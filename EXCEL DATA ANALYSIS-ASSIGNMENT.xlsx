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DHAVI\"/>
    </mc:Choice>
  </mc:AlternateContent>
  <xr:revisionPtr revIDLastSave="0" documentId="13_ncr:1_{8558A6FC-E2A9-49DE-9C0F-CCE52F1B200D}" xr6:coauthVersionLast="47" xr6:coauthVersionMax="47" xr10:uidLastSave="{00000000-0000-0000-0000-000000000000}"/>
  <bookViews>
    <workbookView xWindow="-108" yWindow="-108" windowWidth="23256" windowHeight="12456" xr2:uid="{52328B3A-048C-4602-91CA-42A90C37910B}"/>
  </bookViews>
  <sheets>
    <sheet name="Healthcare" sheetId="1" r:id="rId1"/>
    <sheet name="Dashboard" sheetId="2" r:id="rId2"/>
  </sheets>
  <externalReferences>
    <externalReference r:id="rId3"/>
  </externalReferences>
  <definedNames>
    <definedName name="hospital_details">'[1]Hospitalisation Details'!$A$2:$H$2344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336" i="1" l="1"/>
  <c r="Q2336" i="1"/>
  <c r="P2336" i="1"/>
  <c r="O2336" i="1"/>
  <c r="N2336" i="1"/>
  <c r="L2336" i="1"/>
  <c r="F2336" i="1" a="1"/>
  <c r="F2336" i="1" s="1"/>
  <c r="D2336" i="1" a="1"/>
  <c r="D2336" i="1" s="1"/>
  <c r="B2336" i="1"/>
  <c r="R2335" i="1"/>
  <c r="Q2335" i="1"/>
  <c r="P2335" i="1"/>
  <c r="O2335" i="1"/>
  <c r="N2335" i="1"/>
  <c r="L2335" i="1"/>
  <c r="F2335" i="1" a="1"/>
  <c r="F2335" i="1" s="1"/>
  <c r="D2335" i="1" a="1"/>
  <c r="D2335" i="1" s="1"/>
  <c r="B2335" i="1"/>
  <c r="R2334" i="1"/>
  <c r="Q2334" i="1"/>
  <c r="P2334" i="1"/>
  <c r="O2334" i="1"/>
  <c r="N2334" i="1"/>
  <c r="L2334" i="1"/>
  <c r="F2334" i="1" a="1"/>
  <c r="F2334" i="1" s="1"/>
  <c r="D2334" i="1" a="1"/>
  <c r="D2334" i="1" s="1"/>
  <c r="B2334" i="1"/>
  <c r="R2333" i="1"/>
  <c r="Q2333" i="1"/>
  <c r="P2333" i="1"/>
  <c r="O2333" i="1"/>
  <c r="N2333" i="1"/>
  <c r="L2333" i="1"/>
  <c r="F2333" i="1"/>
  <c r="F2333" i="1" a="1"/>
  <c r="D2333" i="1" a="1"/>
  <c r="D2333" i="1" s="1"/>
  <c r="B2333" i="1"/>
  <c r="R2332" i="1"/>
  <c r="Q2332" i="1"/>
  <c r="P2332" i="1"/>
  <c r="O2332" i="1"/>
  <c r="N2332" i="1"/>
  <c r="L2332" i="1"/>
  <c r="F2332" i="1"/>
  <c r="F2332" i="1" a="1"/>
  <c r="D2332" i="1" a="1"/>
  <c r="D2332" i="1" s="1"/>
  <c r="B2332" i="1"/>
  <c r="R2331" i="1"/>
  <c r="Q2331" i="1"/>
  <c r="P2331" i="1"/>
  <c r="O2331" i="1"/>
  <c r="N2331" i="1"/>
  <c r="L2331" i="1"/>
  <c r="F2331" i="1"/>
  <c r="F2331" i="1" a="1"/>
  <c r="D2331" i="1" a="1"/>
  <c r="D2331" i="1" s="1"/>
  <c r="B2331" i="1"/>
  <c r="R2330" i="1"/>
  <c r="Q2330" i="1"/>
  <c r="P2330" i="1"/>
  <c r="O2330" i="1"/>
  <c r="N2330" i="1"/>
  <c r="L2330" i="1"/>
  <c r="F2330" i="1" a="1"/>
  <c r="F2330" i="1" s="1"/>
  <c r="D2330" i="1" a="1"/>
  <c r="D2330" i="1" s="1"/>
  <c r="B2330" i="1"/>
  <c r="R2329" i="1"/>
  <c r="Q2329" i="1"/>
  <c r="P2329" i="1"/>
  <c r="O2329" i="1"/>
  <c r="N2329" i="1"/>
  <c r="L2329" i="1"/>
  <c r="F2329" i="1"/>
  <c r="F2329" i="1" a="1"/>
  <c r="D2329" i="1" a="1"/>
  <c r="D2329" i="1" s="1"/>
  <c r="B2329" i="1"/>
  <c r="R2328" i="1"/>
  <c r="Q2328" i="1"/>
  <c r="P2328" i="1"/>
  <c r="O2328" i="1"/>
  <c r="N2328" i="1"/>
  <c r="L2328" i="1"/>
  <c r="F2328" i="1"/>
  <c r="F2328" i="1" a="1"/>
  <c r="D2328" i="1" a="1"/>
  <c r="D2328" i="1" s="1"/>
  <c r="B2328" i="1"/>
  <c r="R2327" i="1"/>
  <c r="Q2327" i="1"/>
  <c r="P2327" i="1"/>
  <c r="O2327" i="1"/>
  <c r="N2327" i="1"/>
  <c r="L2327" i="1"/>
  <c r="F2327" i="1"/>
  <c r="F2327" i="1" a="1"/>
  <c r="D2327" i="1" a="1"/>
  <c r="D2327" i="1" s="1"/>
  <c r="B2327" i="1"/>
  <c r="R2326" i="1"/>
  <c r="Q2326" i="1"/>
  <c r="P2326" i="1"/>
  <c r="O2326" i="1"/>
  <c r="N2326" i="1"/>
  <c r="L2326" i="1"/>
  <c r="F2326" i="1" a="1"/>
  <c r="F2326" i="1" s="1"/>
  <c r="D2326" i="1" a="1"/>
  <c r="D2326" i="1" s="1"/>
  <c r="B2326" i="1"/>
  <c r="R2325" i="1"/>
  <c r="Q2325" i="1"/>
  <c r="P2325" i="1"/>
  <c r="O2325" i="1"/>
  <c r="N2325" i="1"/>
  <c r="L2325" i="1"/>
  <c r="F2325" i="1"/>
  <c r="F2325" i="1" a="1"/>
  <c r="D2325" i="1" a="1"/>
  <c r="D2325" i="1" s="1"/>
  <c r="B2325" i="1"/>
  <c r="R2324" i="1"/>
  <c r="Q2324" i="1"/>
  <c r="P2324" i="1"/>
  <c r="O2324" i="1"/>
  <c r="N2324" i="1"/>
  <c r="L2324" i="1"/>
  <c r="F2324" i="1"/>
  <c r="F2324" i="1" a="1"/>
  <c r="D2324" i="1" a="1"/>
  <c r="D2324" i="1" s="1"/>
  <c r="B2324" i="1"/>
  <c r="R2323" i="1"/>
  <c r="Q2323" i="1"/>
  <c r="P2323" i="1"/>
  <c r="O2323" i="1"/>
  <c r="N2323" i="1"/>
  <c r="L2323" i="1"/>
  <c r="F2323" i="1"/>
  <c r="F2323" i="1" a="1"/>
  <c r="D2323" i="1" a="1"/>
  <c r="D2323" i="1" s="1"/>
  <c r="B2323" i="1"/>
  <c r="R2322" i="1"/>
  <c r="Q2322" i="1"/>
  <c r="P2322" i="1"/>
  <c r="O2322" i="1"/>
  <c r="N2322" i="1"/>
  <c r="L2322" i="1"/>
  <c r="F2322" i="1" a="1"/>
  <c r="F2322" i="1" s="1"/>
  <c r="D2322" i="1" a="1"/>
  <c r="D2322" i="1" s="1"/>
  <c r="B2322" i="1"/>
  <c r="R2321" i="1"/>
  <c r="Q2321" i="1"/>
  <c r="P2321" i="1"/>
  <c r="O2321" i="1"/>
  <c r="N2321" i="1"/>
  <c r="L2321" i="1"/>
  <c r="F2321" i="1"/>
  <c r="F2321" i="1" a="1"/>
  <c r="D2321" i="1" a="1"/>
  <c r="D2321" i="1" s="1"/>
  <c r="B2321" i="1"/>
  <c r="R2320" i="1"/>
  <c r="Q2320" i="1"/>
  <c r="P2320" i="1"/>
  <c r="O2320" i="1"/>
  <c r="N2320" i="1"/>
  <c r="L2320" i="1"/>
  <c r="F2320" i="1"/>
  <c r="F2320" i="1" a="1"/>
  <c r="D2320" i="1" a="1"/>
  <c r="D2320" i="1" s="1"/>
  <c r="B2320" i="1"/>
  <c r="R2319" i="1"/>
  <c r="Q2319" i="1"/>
  <c r="P2319" i="1"/>
  <c r="O2319" i="1"/>
  <c r="N2319" i="1"/>
  <c r="L2319" i="1"/>
  <c r="F2319" i="1"/>
  <c r="F2319" i="1" a="1"/>
  <c r="D2319" i="1" a="1"/>
  <c r="D2319" i="1" s="1"/>
  <c r="B2319" i="1"/>
  <c r="R2318" i="1"/>
  <c r="Q2318" i="1"/>
  <c r="P2318" i="1"/>
  <c r="O2318" i="1"/>
  <c r="N2318" i="1"/>
  <c r="L2318" i="1"/>
  <c r="F2318" i="1" a="1"/>
  <c r="F2318" i="1" s="1"/>
  <c r="D2318" i="1"/>
  <c r="D2318" i="1" a="1"/>
  <c r="B2318" i="1"/>
  <c r="R2317" i="1"/>
  <c r="Q2317" i="1"/>
  <c r="P2317" i="1"/>
  <c r="O2317" i="1"/>
  <c r="N2317" i="1"/>
  <c r="L2317" i="1"/>
  <c r="F2317" i="1"/>
  <c r="F2317" i="1" a="1"/>
  <c r="D2317" i="1" a="1"/>
  <c r="D2317" i="1" s="1"/>
  <c r="B2317" i="1"/>
  <c r="R2316" i="1"/>
  <c r="Q2316" i="1"/>
  <c r="P2316" i="1"/>
  <c r="O2316" i="1"/>
  <c r="N2316" i="1"/>
  <c r="L2316" i="1"/>
  <c r="F2316" i="1"/>
  <c r="F2316" i="1" a="1"/>
  <c r="D2316" i="1" a="1"/>
  <c r="D2316" i="1" s="1"/>
  <c r="B2316" i="1"/>
  <c r="R2315" i="1"/>
  <c r="Q2315" i="1"/>
  <c r="P2315" i="1"/>
  <c r="O2315" i="1"/>
  <c r="N2315" i="1"/>
  <c r="L2315" i="1"/>
  <c r="F2315" i="1"/>
  <c r="F2315" i="1" a="1"/>
  <c r="D2315" i="1" a="1"/>
  <c r="D2315" i="1" s="1"/>
  <c r="B2315" i="1"/>
  <c r="R2314" i="1"/>
  <c r="Q2314" i="1"/>
  <c r="P2314" i="1"/>
  <c r="O2314" i="1"/>
  <c r="N2314" i="1"/>
  <c r="L2314" i="1"/>
  <c r="F2314" i="1" a="1"/>
  <c r="F2314" i="1" s="1"/>
  <c r="D2314" i="1"/>
  <c r="D2314" i="1" a="1"/>
  <c r="B2314" i="1"/>
  <c r="R2313" i="1"/>
  <c r="Q2313" i="1"/>
  <c r="P2313" i="1"/>
  <c r="O2313" i="1"/>
  <c r="N2313" i="1"/>
  <c r="L2313" i="1"/>
  <c r="F2313" i="1"/>
  <c r="F2313" i="1" a="1"/>
  <c r="D2313" i="1" a="1"/>
  <c r="D2313" i="1" s="1"/>
  <c r="B2313" i="1"/>
  <c r="R2312" i="1"/>
  <c r="Q2312" i="1"/>
  <c r="P2312" i="1"/>
  <c r="O2312" i="1"/>
  <c r="N2312" i="1"/>
  <c r="L2312" i="1"/>
  <c r="F2312" i="1"/>
  <c r="F2312" i="1" a="1"/>
  <c r="D2312" i="1" a="1"/>
  <c r="D2312" i="1" s="1"/>
  <c r="B2312" i="1"/>
  <c r="R2311" i="1"/>
  <c r="Q2311" i="1"/>
  <c r="P2311" i="1"/>
  <c r="O2311" i="1"/>
  <c r="N2311" i="1"/>
  <c r="L2311" i="1"/>
  <c r="F2311" i="1"/>
  <c r="F2311" i="1" a="1"/>
  <c r="D2311" i="1" a="1"/>
  <c r="D2311" i="1" s="1"/>
  <c r="B2311" i="1"/>
  <c r="R2310" i="1"/>
  <c r="Q2310" i="1"/>
  <c r="P2310" i="1"/>
  <c r="O2310" i="1"/>
  <c r="N2310" i="1"/>
  <c r="L2310" i="1"/>
  <c r="F2310" i="1" a="1"/>
  <c r="F2310" i="1" s="1"/>
  <c r="D2310" i="1"/>
  <c r="D2310" i="1" a="1"/>
  <c r="B2310" i="1"/>
  <c r="R2309" i="1"/>
  <c r="Q2309" i="1"/>
  <c r="P2309" i="1"/>
  <c r="O2309" i="1"/>
  <c r="N2309" i="1"/>
  <c r="L2309" i="1"/>
  <c r="F2309" i="1"/>
  <c r="F2309" i="1" a="1"/>
  <c r="D2309" i="1" a="1"/>
  <c r="D2309" i="1" s="1"/>
  <c r="B2309" i="1"/>
  <c r="R2308" i="1"/>
  <c r="Q2308" i="1"/>
  <c r="P2308" i="1"/>
  <c r="O2308" i="1"/>
  <c r="N2308" i="1"/>
  <c r="L2308" i="1"/>
  <c r="F2308" i="1"/>
  <c r="F2308" i="1" a="1"/>
  <c r="D2308" i="1" a="1"/>
  <c r="D2308" i="1" s="1"/>
  <c r="B2308" i="1"/>
  <c r="R2307" i="1"/>
  <c r="Q2307" i="1"/>
  <c r="P2307" i="1"/>
  <c r="O2307" i="1"/>
  <c r="N2307" i="1"/>
  <c r="L2307" i="1"/>
  <c r="F2307" i="1"/>
  <c r="F2307" i="1" a="1"/>
  <c r="D2307" i="1" a="1"/>
  <c r="D2307" i="1" s="1"/>
  <c r="B2307" i="1"/>
  <c r="R2306" i="1"/>
  <c r="Q2306" i="1"/>
  <c r="P2306" i="1"/>
  <c r="O2306" i="1"/>
  <c r="N2306" i="1"/>
  <c r="L2306" i="1"/>
  <c r="F2306" i="1" a="1"/>
  <c r="F2306" i="1" s="1"/>
  <c r="D2306" i="1"/>
  <c r="D2306" i="1" a="1"/>
  <c r="B2306" i="1"/>
  <c r="R2305" i="1"/>
  <c r="Q2305" i="1"/>
  <c r="P2305" i="1"/>
  <c r="O2305" i="1"/>
  <c r="N2305" i="1"/>
  <c r="L2305" i="1"/>
  <c r="F2305" i="1" a="1"/>
  <c r="F2305" i="1" s="1"/>
  <c r="D2305" i="1" a="1"/>
  <c r="D2305" i="1" s="1"/>
  <c r="B2305" i="1"/>
  <c r="R2304" i="1"/>
  <c r="Q2304" i="1"/>
  <c r="P2304" i="1"/>
  <c r="O2304" i="1"/>
  <c r="N2304" i="1"/>
  <c r="L2304" i="1"/>
  <c r="F2304" i="1" a="1"/>
  <c r="F2304" i="1" s="1"/>
  <c r="D2304" i="1" a="1"/>
  <c r="D2304" i="1" s="1"/>
  <c r="B2304" i="1"/>
  <c r="R2303" i="1"/>
  <c r="Q2303" i="1"/>
  <c r="P2303" i="1"/>
  <c r="O2303" i="1"/>
  <c r="N2303" i="1"/>
  <c r="L2303" i="1"/>
  <c r="F2303" i="1" a="1"/>
  <c r="F2303" i="1" s="1"/>
  <c r="D2303" i="1" a="1"/>
  <c r="D2303" i="1" s="1"/>
  <c r="B2303" i="1"/>
  <c r="R2302" i="1"/>
  <c r="Q2302" i="1"/>
  <c r="P2302" i="1"/>
  <c r="O2302" i="1"/>
  <c r="N2302" i="1"/>
  <c r="L2302" i="1"/>
  <c r="F2302" i="1" a="1"/>
  <c r="F2302" i="1" s="1"/>
  <c r="D2302" i="1"/>
  <c r="D2302" i="1" a="1"/>
  <c r="B2302" i="1"/>
  <c r="R2301" i="1"/>
  <c r="Q2301" i="1"/>
  <c r="P2301" i="1"/>
  <c r="O2301" i="1"/>
  <c r="N2301" i="1"/>
  <c r="L2301" i="1"/>
  <c r="F2301" i="1" a="1"/>
  <c r="F2301" i="1" s="1"/>
  <c r="D2301" i="1" a="1"/>
  <c r="D2301" i="1" s="1"/>
  <c r="B2301" i="1"/>
  <c r="R2300" i="1"/>
  <c r="Q2300" i="1"/>
  <c r="P2300" i="1"/>
  <c r="O2300" i="1"/>
  <c r="N2300" i="1"/>
  <c r="L2300" i="1"/>
  <c r="F2300" i="1" a="1"/>
  <c r="F2300" i="1" s="1"/>
  <c r="D2300" i="1" a="1"/>
  <c r="D2300" i="1" s="1"/>
  <c r="B2300" i="1"/>
  <c r="R2299" i="1"/>
  <c r="Q2299" i="1"/>
  <c r="P2299" i="1"/>
  <c r="O2299" i="1"/>
  <c r="N2299" i="1"/>
  <c r="L2299" i="1"/>
  <c r="F2299" i="1" a="1"/>
  <c r="F2299" i="1" s="1"/>
  <c r="D2299" i="1" a="1"/>
  <c r="D2299" i="1" s="1"/>
  <c r="B2299" i="1"/>
  <c r="R2298" i="1"/>
  <c r="Q2298" i="1"/>
  <c r="P2298" i="1"/>
  <c r="O2298" i="1"/>
  <c r="N2298" i="1"/>
  <c r="L2298" i="1"/>
  <c r="F2298" i="1" a="1"/>
  <c r="F2298" i="1" s="1"/>
  <c r="D2298" i="1"/>
  <c r="D2298" i="1" a="1"/>
  <c r="B2298" i="1"/>
  <c r="R2297" i="1"/>
  <c r="Q2297" i="1"/>
  <c r="P2297" i="1"/>
  <c r="O2297" i="1"/>
  <c r="N2297" i="1"/>
  <c r="L2297" i="1"/>
  <c r="F2297" i="1" a="1"/>
  <c r="F2297" i="1" s="1"/>
  <c r="D2297" i="1" a="1"/>
  <c r="D2297" i="1" s="1"/>
  <c r="B2297" i="1"/>
  <c r="R2296" i="1"/>
  <c r="Q2296" i="1"/>
  <c r="P2296" i="1"/>
  <c r="O2296" i="1"/>
  <c r="N2296" i="1"/>
  <c r="L2296" i="1"/>
  <c r="F2296" i="1" a="1"/>
  <c r="F2296" i="1" s="1"/>
  <c r="D2296" i="1" a="1"/>
  <c r="D2296" i="1" s="1"/>
  <c r="B2296" i="1"/>
  <c r="R2295" i="1"/>
  <c r="Q2295" i="1"/>
  <c r="P2295" i="1"/>
  <c r="O2295" i="1"/>
  <c r="N2295" i="1"/>
  <c r="L2295" i="1"/>
  <c r="F2295" i="1" a="1"/>
  <c r="F2295" i="1" s="1"/>
  <c r="D2295" i="1" a="1"/>
  <c r="D2295" i="1" s="1"/>
  <c r="B2295" i="1"/>
  <c r="R2294" i="1"/>
  <c r="Q2294" i="1"/>
  <c r="P2294" i="1"/>
  <c r="O2294" i="1"/>
  <c r="N2294" i="1"/>
  <c r="L2294" i="1"/>
  <c r="F2294" i="1" a="1"/>
  <c r="F2294" i="1" s="1"/>
  <c r="D2294" i="1"/>
  <c r="D2294" i="1" a="1"/>
  <c r="B2294" i="1"/>
  <c r="R2293" i="1"/>
  <c r="Q2293" i="1"/>
  <c r="P2293" i="1"/>
  <c r="O2293" i="1"/>
  <c r="N2293" i="1"/>
  <c r="L2293" i="1"/>
  <c r="F2293" i="1" a="1"/>
  <c r="F2293" i="1" s="1"/>
  <c r="D2293" i="1" a="1"/>
  <c r="D2293" i="1" s="1"/>
  <c r="B2293" i="1"/>
  <c r="R2292" i="1"/>
  <c r="Q2292" i="1"/>
  <c r="P2292" i="1"/>
  <c r="O2292" i="1"/>
  <c r="N2292" i="1"/>
  <c r="L2292" i="1"/>
  <c r="F2292" i="1" a="1"/>
  <c r="F2292" i="1" s="1"/>
  <c r="D2292" i="1" a="1"/>
  <c r="D2292" i="1" s="1"/>
  <c r="B2292" i="1"/>
  <c r="R2291" i="1"/>
  <c r="Q2291" i="1"/>
  <c r="P2291" i="1"/>
  <c r="O2291" i="1"/>
  <c r="N2291" i="1"/>
  <c r="L2291" i="1"/>
  <c r="F2291" i="1" a="1"/>
  <c r="F2291" i="1" s="1"/>
  <c r="D2291" i="1" a="1"/>
  <c r="D2291" i="1" s="1"/>
  <c r="B2291" i="1"/>
  <c r="R2290" i="1"/>
  <c r="Q2290" i="1"/>
  <c r="P2290" i="1"/>
  <c r="O2290" i="1"/>
  <c r="N2290" i="1"/>
  <c r="L2290" i="1"/>
  <c r="F2290" i="1" a="1"/>
  <c r="F2290" i="1" s="1"/>
  <c r="D2290" i="1"/>
  <c r="D2290" i="1" a="1"/>
  <c r="B2290" i="1"/>
  <c r="R2289" i="1"/>
  <c r="Q2289" i="1"/>
  <c r="P2289" i="1"/>
  <c r="O2289" i="1"/>
  <c r="N2289" i="1"/>
  <c r="L2289" i="1"/>
  <c r="F2289" i="1" a="1"/>
  <c r="F2289" i="1" s="1"/>
  <c r="D2289" i="1" a="1"/>
  <c r="D2289" i="1" s="1"/>
  <c r="B2289" i="1"/>
  <c r="R2288" i="1"/>
  <c r="Q2288" i="1"/>
  <c r="P2288" i="1"/>
  <c r="O2288" i="1"/>
  <c r="N2288" i="1"/>
  <c r="L2288" i="1"/>
  <c r="F2288" i="1" a="1"/>
  <c r="F2288" i="1" s="1"/>
  <c r="D2288" i="1" a="1"/>
  <c r="D2288" i="1" s="1"/>
  <c r="B2288" i="1"/>
  <c r="R2287" i="1"/>
  <c r="Q2287" i="1"/>
  <c r="P2287" i="1"/>
  <c r="O2287" i="1"/>
  <c r="N2287" i="1"/>
  <c r="L2287" i="1"/>
  <c r="F2287" i="1" a="1"/>
  <c r="F2287" i="1" s="1"/>
  <c r="D2287" i="1" a="1"/>
  <c r="D2287" i="1" s="1"/>
  <c r="B2287" i="1"/>
  <c r="R2286" i="1"/>
  <c r="Q2286" i="1"/>
  <c r="P2286" i="1"/>
  <c r="O2286" i="1"/>
  <c r="N2286" i="1"/>
  <c r="L2286" i="1"/>
  <c r="F2286" i="1" a="1"/>
  <c r="F2286" i="1" s="1"/>
  <c r="D2286" i="1"/>
  <c r="D2286" i="1" a="1"/>
  <c r="B2286" i="1"/>
  <c r="R2285" i="1"/>
  <c r="Q2285" i="1"/>
  <c r="P2285" i="1"/>
  <c r="O2285" i="1"/>
  <c r="N2285" i="1"/>
  <c r="L2285" i="1"/>
  <c r="F2285" i="1" a="1"/>
  <c r="F2285" i="1" s="1"/>
  <c r="D2285" i="1" a="1"/>
  <c r="D2285" i="1" s="1"/>
  <c r="B2285" i="1"/>
  <c r="R2284" i="1"/>
  <c r="Q2284" i="1"/>
  <c r="P2284" i="1"/>
  <c r="O2284" i="1"/>
  <c r="N2284" i="1"/>
  <c r="L2284" i="1"/>
  <c r="F2284" i="1" a="1"/>
  <c r="F2284" i="1" s="1"/>
  <c r="D2284" i="1" a="1"/>
  <c r="D2284" i="1" s="1"/>
  <c r="B2284" i="1"/>
  <c r="R2283" i="1"/>
  <c r="Q2283" i="1"/>
  <c r="P2283" i="1"/>
  <c r="O2283" i="1"/>
  <c r="N2283" i="1"/>
  <c r="L2283" i="1"/>
  <c r="F2283" i="1" a="1"/>
  <c r="F2283" i="1" s="1"/>
  <c r="D2283" i="1" a="1"/>
  <c r="D2283" i="1" s="1"/>
  <c r="B2283" i="1"/>
  <c r="R2282" i="1"/>
  <c r="Q2282" i="1"/>
  <c r="P2282" i="1"/>
  <c r="O2282" i="1"/>
  <c r="N2282" i="1"/>
  <c r="L2282" i="1"/>
  <c r="F2282" i="1" a="1"/>
  <c r="F2282" i="1" s="1"/>
  <c r="D2282" i="1"/>
  <c r="D2282" i="1" a="1"/>
  <c r="B2282" i="1"/>
  <c r="R2281" i="1"/>
  <c r="Q2281" i="1"/>
  <c r="P2281" i="1"/>
  <c r="O2281" i="1"/>
  <c r="N2281" i="1"/>
  <c r="L2281" i="1"/>
  <c r="F2281" i="1"/>
  <c r="F2281" i="1" a="1"/>
  <c r="D2281" i="1" a="1"/>
  <c r="D2281" i="1" s="1"/>
  <c r="B2281" i="1"/>
  <c r="R2280" i="1"/>
  <c r="Q2280" i="1"/>
  <c r="P2280" i="1"/>
  <c r="O2280" i="1"/>
  <c r="N2280" i="1"/>
  <c r="L2280" i="1"/>
  <c r="F2280" i="1"/>
  <c r="F2280" i="1" a="1"/>
  <c r="D2280" i="1" a="1"/>
  <c r="D2280" i="1" s="1"/>
  <c r="B2280" i="1"/>
  <c r="R2279" i="1"/>
  <c r="Q2279" i="1"/>
  <c r="P2279" i="1"/>
  <c r="O2279" i="1"/>
  <c r="N2279" i="1"/>
  <c r="L2279" i="1"/>
  <c r="F2279" i="1"/>
  <c r="F2279" i="1" a="1"/>
  <c r="D2279" i="1" a="1"/>
  <c r="D2279" i="1" s="1"/>
  <c r="B2279" i="1"/>
  <c r="R2278" i="1"/>
  <c r="Q2278" i="1"/>
  <c r="P2278" i="1"/>
  <c r="O2278" i="1"/>
  <c r="N2278" i="1"/>
  <c r="L2278" i="1"/>
  <c r="F2278" i="1" a="1"/>
  <c r="F2278" i="1" s="1"/>
  <c r="D2278" i="1"/>
  <c r="D2278" i="1" a="1"/>
  <c r="B2278" i="1"/>
  <c r="R2277" i="1"/>
  <c r="Q2277" i="1"/>
  <c r="P2277" i="1"/>
  <c r="O2277" i="1"/>
  <c r="N2277" i="1"/>
  <c r="L2277" i="1"/>
  <c r="F2277" i="1"/>
  <c r="F2277" i="1" a="1"/>
  <c r="D2277" i="1" a="1"/>
  <c r="D2277" i="1" s="1"/>
  <c r="B2277" i="1"/>
  <c r="R2276" i="1"/>
  <c r="Q2276" i="1"/>
  <c r="P2276" i="1"/>
  <c r="O2276" i="1"/>
  <c r="N2276" i="1"/>
  <c r="L2276" i="1"/>
  <c r="F2276" i="1"/>
  <c r="F2276" i="1" a="1"/>
  <c r="D2276" i="1" a="1"/>
  <c r="D2276" i="1" s="1"/>
  <c r="B2276" i="1"/>
  <c r="R2275" i="1"/>
  <c r="Q2275" i="1"/>
  <c r="P2275" i="1"/>
  <c r="O2275" i="1"/>
  <c r="N2275" i="1"/>
  <c r="L2275" i="1"/>
  <c r="F2275" i="1"/>
  <c r="F2275" i="1" a="1"/>
  <c r="D2275" i="1" a="1"/>
  <c r="D2275" i="1" s="1"/>
  <c r="B2275" i="1"/>
  <c r="R2274" i="1"/>
  <c r="Q2274" i="1"/>
  <c r="P2274" i="1"/>
  <c r="O2274" i="1"/>
  <c r="N2274" i="1"/>
  <c r="L2274" i="1"/>
  <c r="F2274" i="1" a="1"/>
  <c r="F2274" i="1" s="1"/>
  <c r="D2274" i="1"/>
  <c r="D2274" i="1" a="1"/>
  <c r="B2274" i="1"/>
  <c r="R2273" i="1"/>
  <c r="Q2273" i="1"/>
  <c r="P2273" i="1"/>
  <c r="O2273" i="1"/>
  <c r="N2273" i="1"/>
  <c r="L2273" i="1"/>
  <c r="F2273" i="1"/>
  <c r="F2273" i="1" a="1"/>
  <c r="D2273" i="1" a="1"/>
  <c r="D2273" i="1" s="1"/>
  <c r="B2273" i="1"/>
  <c r="R2272" i="1"/>
  <c r="Q2272" i="1"/>
  <c r="P2272" i="1"/>
  <c r="O2272" i="1"/>
  <c r="N2272" i="1"/>
  <c r="L2272" i="1"/>
  <c r="F2272" i="1"/>
  <c r="F2272" i="1" a="1"/>
  <c r="D2272" i="1" a="1"/>
  <c r="D2272" i="1" s="1"/>
  <c r="B2272" i="1"/>
  <c r="R2271" i="1"/>
  <c r="Q2271" i="1"/>
  <c r="P2271" i="1"/>
  <c r="O2271" i="1"/>
  <c r="N2271" i="1"/>
  <c r="L2271" i="1"/>
  <c r="F2271" i="1"/>
  <c r="F2271" i="1" a="1"/>
  <c r="D2271" i="1" a="1"/>
  <c r="D2271" i="1" s="1"/>
  <c r="B2271" i="1"/>
  <c r="R2270" i="1"/>
  <c r="Q2270" i="1"/>
  <c r="P2270" i="1"/>
  <c r="O2270" i="1"/>
  <c r="N2270" i="1"/>
  <c r="L2270" i="1"/>
  <c r="F2270" i="1" a="1"/>
  <c r="F2270" i="1" s="1"/>
  <c r="D2270" i="1"/>
  <c r="D2270" i="1" a="1"/>
  <c r="B2270" i="1"/>
  <c r="R2269" i="1"/>
  <c r="Q2269" i="1"/>
  <c r="P2269" i="1"/>
  <c r="O2269" i="1"/>
  <c r="N2269" i="1"/>
  <c r="L2269" i="1"/>
  <c r="F2269" i="1"/>
  <c r="F2269" i="1" a="1"/>
  <c r="D2269" i="1" a="1"/>
  <c r="D2269" i="1" s="1"/>
  <c r="B2269" i="1"/>
  <c r="R2268" i="1"/>
  <c r="Q2268" i="1"/>
  <c r="P2268" i="1"/>
  <c r="O2268" i="1"/>
  <c r="N2268" i="1"/>
  <c r="L2268" i="1"/>
  <c r="F2268" i="1"/>
  <c r="F2268" i="1" a="1"/>
  <c r="D2268" i="1" a="1"/>
  <c r="D2268" i="1" s="1"/>
  <c r="B2268" i="1"/>
  <c r="R2267" i="1"/>
  <c r="Q2267" i="1"/>
  <c r="P2267" i="1"/>
  <c r="O2267" i="1"/>
  <c r="N2267" i="1"/>
  <c r="L2267" i="1"/>
  <c r="F2267" i="1"/>
  <c r="F2267" i="1" a="1"/>
  <c r="D2267" i="1" a="1"/>
  <c r="D2267" i="1" s="1"/>
  <c r="B2267" i="1"/>
  <c r="R2266" i="1"/>
  <c r="Q2266" i="1"/>
  <c r="P2266" i="1"/>
  <c r="O2266" i="1"/>
  <c r="N2266" i="1"/>
  <c r="L2266" i="1"/>
  <c r="F2266" i="1" a="1"/>
  <c r="F2266" i="1" s="1"/>
  <c r="D2266" i="1"/>
  <c r="D2266" i="1" a="1"/>
  <c r="B2266" i="1"/>
  <c r="R2265" i="1"/>
  <c r="Q2265" i="1"/>
  <c r="P2265" i="1"/>
  <c r="O2265" i="1"/>
  <c r="N2265" i="1"/>
  <c r="L2265" i="1"/>
  <c r="F2265" i="1"/>
  <c r="F2265" i="1" a="1"/>
  <c r="D2265" i="1" a="1"/>
  <c r="D2265" i="1" s="1"/>
  <c r="B2265" i="1"/>
  <c r="R2264" i="1"/>
  <c r="Q2264" i="1"/>
  <c r="P2264" i="1"/>
  <c r="O2264" i="1"/>
  <c r="N2264" i="1"/>
  <c r="L2264" i="1"/>
  <c r="F2264" i="1"/>
  <c r="F2264" i="1" a="1"/>
  <c r="D2264" i="1" a="1"/>
  <c r="D2264" i="1" s="1"/>
  <c r="B2264" i="1"/>
  <c r="R2263" i="1"/>
  <c r="Q2263" i="1"/>
  <c r="P2263" i="1"/>
  <c r="O2263" i="1"/>
  <c r="N2263" i="1"/>
  <c r="L2263" i="1"/>
  <c r="F2263" i="1"/>
  <c r="F2263" i="1" a="1"/>
  <c r="D2263" i="1" a="1"/>
  <c r="D2263" i="1" s="1"/>
  <c r="B2263" i="1"/>
  <c r="R2262" i="1"/>
  <c r="Q2262" i="1"/>
  <c r="P2262" i="1"/>
  <c r="O2262" i="1"/>
  <c r="N2262" i="1"/>
  <c r="L2262" i="1"/>
  <c r="F2262" i="1"/>
  <c r="F2262" i="1" a="1"/>
  <c r="D2262" i="1" a="1"/>
  <c r="D2262" i="1" s="1"/>
  <c r="B2262" i="1"/>
  <c r="R2261" i="1"/>
  <c r="Q2261" i="1"/>
  <c r="P2261" i="1"/>
  <c r="O2261" i="1"/>
  <c r="N2261" i="1"/>
  <c r="L2261" i="1"/>
  <c r="F2261" i="1"/>
  <c r="F2261" i="1" a="1"/>
  <c r="D2261" i="1" a="1"/>
  <c r="D2261" i="1" s="1"/>
  <c r="B2261" i="1"/>
  <c r="R2260" i="1"/>
  <c r="Q2260" i="1"/>
  <c r="P2260" i="1"/>
  <c r="O2260" i="1"/>
  <c r="N2260" i="1"/>
  <c r="L2260" i="1"/>
  <c r="F2260" i="1"/>
  <c r="F2260" i="1" a="1"/>
  <c r="D2260" i="1" a="1"/>
  <c r="D2260" i="1" s="1"/>
  <c r="B2260" i="1"/>
  <c r="R2259" i="1"/>
  <c r="Q2259" i="1"/>
  <c r="P2259" i="1"/>
  <c r="O2259" i="1"/>
  <c r="N2259" i="1"/>
  <c r="L2259" i="1"/>
  <c r="F2259" i="1"/>
  <c r="F2259" i="1" a="1"/>
  <c r="D2259" i="1" a="1"/>
  <c r="D2259" i="1" s="1"/>
  <c r="B2259" i="1"/>
  <c r="R2258" i="1"/>
  <c r="Q2258" i="1"/>
  <c r="P2258" i="1"/>
  <c r="O2258" i="1"/>
  <c r="N2258" i="1"/>
  <c r="L2258" i="1"/>
  <c r="F2258" i="1" a="1"/>
  <c r="F2258" i="1" s="1"/>
  <c r="D2258" i="1" a="1"/>
  <c r="D2258" i="1" s="1"/>
  <c r="B2258" i="1"/>
  <c r="R2257" i="1"/>
  <c r="Q2257" i="1"/>
  <c r="P2257" i="1"/>
  <c r="O2257" i="1"/>
  <c r="N2257" i="1"/>
  <c r="L2257" i="1"/>
  <c r="F2257" i="1"/>
  <c r="F2257" i="1" a="1"/>
  <c r="D2257" i="1" a="1"/>
  <c r="D2257" i="1" s="1"/>
  <c r="B2257" i="1"/>
  <c r="R2256" i="1"/>
  <c r="Q2256" i="1"/>
  <c r="P2256" i="1"/>
  <c r="O2256" i="1"/>
  <c r="N2256" i="1"/>
  <c r="L2256" i="1"/>
  <c r="F2256" i="1"/>
  <c r="F2256" i="1" a="1"/>
  <c r="D2256" i="1" a="1"/>
  <c r="D2256" i="1" s="1"/>
  <c r="B2256" i="1"/>
  <c r="R2255" i="1"/>
  <c r="Q2255" i="1"/>
  <c r="P2255" i="1"/>
  <c r="O2255" i="1"/>
  <c r="N2255" i="1"/>
  <c r="L2255" i="1"/>
  <c r="F2255" i="1"/>
  <c r="F2255" i="1" a="1"/>
  <c r="D2255" i="1" a="1"/>
  <c r="D2255" i="1" s="1"/>
  <c r="B2255" i="1"/>
  <c r="R2254" i="1"/>
  <c r="Q2254" i="1"/>
  <c r="P2254" i="1"/>
  <c r="O2254" i="1"/>
  <c r="N2254" i="1"/>
  <c r="L2254" i="1"/>
  <c r="F2254" i="1"/>
  <c r="F2254" i="1" a="1"/>
  <c r="D2254" i="1" a="1"/>
  <c r="D2254" i="1" s="1"/>
  <c r="B2254" i="1"/>
  <c r="R2253" i="1"/>
  <c r="Q2253" i="1"/>
  <c r="P2253" i="1"/>
  <c r="O2253" i="1"/>
  <c r="N2253" i="1"/>
  <c r="L2253" i="1"/>
  <c r="F2253" i="1"/>
  <c r="F2253" i="1" a="1"/>
  <c r="D2253" i="1" a="1"/>
  <c r="D2253" i="1" s="1"/>
  <c r="B2253" i="1"/>
  <c r="R2252" i="1"/>
  <c r="Q2252" i="1"/>
  <c r="P2252" i="1"/>
  <c r="O2252" i="1"/>
  <c r="N2252" i="1"/>
  <c r="L2252" i="1"/>
  <c r="F2252" i="1"/>
  <c r="F2252" i="1" a="1"/>
  <c r="D2252" i="1" a="1"/>
  <c r="D2252" i="1" s="1"/>
  <c r="B2252" i="1"/>
  <c r="R2251" i="1"/>
  <c r="Q2251" i="1"/>
  <c r="P2251" i="1"/>
  <c r="O2251" i="1"/>
  <c r="N2251" i="1"/>
  <c r="L2251" i="1"/>
  <c r="F2251" i="1"/>
  <c r="F2251" i="1" a="1"/>
  <c r="D2251" i="1" a="1"/>
  <c r="D2251" i="1" s="1"/>
  <c r="B2251" i="1"/>
  <c r="R2250" i="1"/>
  <c r="Q2250" i="1"/>
  <c r="P2250" i="1"/>
  <c r="O2250" i="1"/>
  <c r="N2250" i="1"/>
  <c r="L2250" i="1"/>
  <c r="F2250" i="1" a="1"/>
  <c r="F2250" i="1" s="1"/>
  <c r="D2250" i="1"/>
  <c r="D2250" i="1" a="1"/>
  <c r="B2250" i="1"/>
  <c r="R2249" i="1"/>
  <c r="Q2249" i="1"/>
  <c r="P2249" i="1"/>
  <c r="O2249" i="1"/>
  <c r="N2249" i="1"/>
  <c r="L2249" i="1"/>
  <c r="F2249" i="1"/>
  <c r="F2249" i="1" a="1"/>
  <c r="D2249" i="1" a="1"/>
  <c r="D2249" i="1" s="1"/>
  <c r="B2249" i="1"/>
  <c r="R2248" i="1"/>
  <c r="Q2248" i="1"/>
  <c r="P2248" i="1"/>
  <c r="O2248" i="1"/>
  <c r="N2248" i="1"/>
  <c r="L2248" i="1"/>
  <c r="F2248" i="1"/>
  <c r="F2248" i="1" a="1"/>
  <c r="D2248" i="1" a="1"/>
  <c r="D2248" i="1" s="1"/>
  <c r="B2248" i="1"/>
  <c r="R2247" i="1"/>
  <c r="Q2247" i="1"/>
  <c r="P2247" i="1"/>
  <c r="O2247" i="1"/>
  <c r="N2247" i="1"/>
  <c r="L2247" i="1"/>
  <c r="F2247" i="1"/>
  <c r="F2247" i="1" a="1"/>
  <c r="D2247" i="1" a="1"/>
  <c r="D2247" i="1" s="1"/>
  <c r="B2247" i="1"/>
  <c r="R2246" i="1"/>
  <c r="Q2246" i="1"/>
  <c r="P2246" i="1"/>
  <c r="O2246" i="1"/>
  <c r="N2246" i="1"/>
  <c r="L2246" i="1"/>
  <c r="F2246" i="1"/>
  <c r="F2246" i="1" a="1"/>
  <c r="D2246" i="1" a="1"/>
  <c r="D2246" i="1" s="1"/>
  <c r="B2246" i="1"/>
  <c r="R2245" i="1"/>
  <c r="Q2245" i="1"/>
  <c r="P2245" i="1"/>
  <c r="O2245" i="1"/>
  <c r="N2245" i="1"/>
  <c r="L2245" i="1"/>
  <c r="F2245" i="1"/>
  <c r="F2245" i="1" a="1"/>
  <c r="D2245" i="1" a="1"/>
  <c r="D2245" i="1" s="1"/>
  <c r="B2245" i="1"/>
  <c r="R2244" i="1"/>
  <c r="Q2244" i="1"/>
  <c r="P2244" i="1"/>
  <c r="O2244" i="1"/>
  <c r="N2244" i="1"/>
  <c r="L2244" i="1"/>
  <c r="F2244" i="1"/>
  <c r="F2244" i="1" a="1"/>
  <c r="D2244" i="1" a="1"/>
  <c r="D2244" i="1" s="1"/>
  <c r="B2244" i="1"/>
  <c r="R2243" i="1"/>
  <c r="Q2243" i="1"/>
  <c r="P2243" i="1"/>
  <c r="O2243" i="1"/>
  <c r="N2243" i="1"/>
  <c r="L2243" i="1"/>
  <c r="F2243" i="1"/>
  <c r="F2243" i="1" a="1"/>
  <c r="D2243" i="1" a="1"/>
  <c r="D2243" i="1" s="1"/>
  <c r="B2243" i="1"/>
  <c r="R2242" i="1"/>
  <c r="Q2242" i="1"/>
  <c r="P2242" i="1"/>
  <c r="O2242" i="1"/>
  <c r="N2242" i="1"/>
  <c r="L2242" i="1"/>
  <c r="F2242" i="1" a="1"/>
  <c r="F2242" i="1" s="1"/>
  <c r="D2242" i="1"/>
  <c r="D2242" i="1" a="1"/>
  <c r="B2242" i="1"/>
  <c r="R2241" i="1"/>
  <c r="Q2241" i="1"/>
  <c r="P2241" i="1"/>
  <c r="O2241" i="1"/>
  <c r="N2241" i="1"/>
  <c r="L2241" i="1"/>
  <c r="F2241" i="1"/>
  <c r="F2241" i="1" a="1"/>
  <c r="D2241" i="1" a="1"/>
  <c r="D2241" i="1" s="1"/>
  <c r="B2241" i="1"/>
  <c r="R2240" i="1"/>
  <c r="Q2240" i="1"/>
  <c r="P2240" i="1"/>
  <c r="O2240" i="1"/>
  <c r="N2240" i="1"/>
  <c r="L2240" i="1"/>
  <c r="F2240" i="1"/>
  <c r="F2240" i="1" a="1"/>
  <c r="D2240" i="1" a="1"/>
  <c r="D2240" i="1" s="1"/>
  <c r="B2240" i="1"/>
  <c r="R2239" i="1"/>
  <c r="Q2239" i="1"/>
  <c r="P2239" i="1"/>
  <c r="O2239" i="1"/>
  <c r="N2239" i="1"/>
  <c r="L2239" i="1"/>
  <c r="F2239" i="1"/>
  <c r="F2239" i="1" a="1"/>
  <c r="D2239" i="1" a="1"/>
  <c r="D2239" i="1" s="1"/>
  <c r="B2239" i="1"/>
  <c r="R2238" i="1"/>
  <c r="Q2238" i="1"/>
  <c r="P2238" i="1"/>
  <c r="O2238" i="1"/>
  <c r="N2238" i="1"/>
  <c r="L2238" i="1"/>
  <c r="F2238" i="1" a="1"/>
  <c r="F2238" i="1" s="1"/>
  <c r="D2238" i="1"/>
  <c r="D2238" i="1" a="1"/>
  <c r="B2238" i="1"/>
  <c r="R2237" i="1"/>
  <c r="Q2237" i="1"/>
  <c r="P2237" i="1"/>
  <c r="O2237" i="1"/>
  <c r="N2237" i="1"/>
  <c r="L2237" i="1"/>
  <c r="F2237" i="1"/>
  <c r="F2237" i="1" a="1"/>
  <c r="D2237" i="1" a="1"/>
  <c r="D2237" i="1" s="1"/>
  <c r="B2237" i="1"/>
  <c r="R2236" i="1"/>
  <c r="Q2236" i="1"/>
  <c r="P2236" i="1"/>
  <c r="O2236" i="1"/>
  <c r="N2236" i="1"/>
  <c r="L2236" i="1"/>
  <c r="F2236" i="1"/>
  <c r="F2236" i="1" a="1"/>
  <c r="D2236" i="1" a="1"/>
  <c r="D2236" i="1" s="1"/>
  <c r="B2236" i="1"/>
  <c r="R2235" i="1"/>
  <c r="Q2235" i="1"/>
  <c r="P2235" i="1"/>
  <c r="O2235" i="1"/>
  <c r="N2235" i="1"/>
  <c r="L2235" i="1"/>
  <c r="F2235" i="1"/>
  <c r="F2235" i="1" a="1"/>
  <c r="D2235" i="1" a="1"/>
  <c r="D2235" i="1" s="1"/>
  <c r="B2235" i="1"/>
  <c r="R2234" i="1"/>
  <c r="Q2234" i="1"/>
  <c r="P2234" i="1"/>
  <c r="O2234" i="1"/>
  <c r="N2234" i="1"/>
  <c r="L2234" i="1"/>
  <c r="F2234" i="1" a="1"/>
  <c r="F2234" i="1" s="1"/>
  <c r="D2234" i="1"/>
  <c r="D2234" i="1" a="1"/>
  <c r="B2234" i="1"/>
  <c r="R2233" i="1"/>
  <c r="Q2233" i="1"/>
  <c r="P2233" i="1"/>
  <c r="O2233" i="1"/>
  <c r="N2233" i="1"/>
  <c r="L2233" i="1"/>
  <c r="F2233" i="1"/>
  <c r="F2233" i="1" a="1"/>
  <c r="D2233" i="1" a="1"/>
  <c r="D2233" i="1" s="1"/>
  <c r="B2233" i="1"/>
  <c r="R2232" i="1"/>
  <c r="Q2232" i="1"/>
  <c r="P2232" i="1"/>
  <c r="O2232" i="1"/>
  <c r="N2232" i="1"/>
  <c r="L2232" i="1"/>
  <c r="F2232" i="1"/>
  <c r="F2232" i="1" a="1"/>
  <c r="D2232" i="1" a="1"/>
  <c r="D2232" i="1" s="1"/>
  <c r="B2232" i="1"/>
  <c r="R2231" i="1"/>
  <c r="Q2231" i="1"/>
  <c r="P2231" i="1"/>
  <c r="O2231" i="1"/>
  <c r="N2231" i="1"/>
  <c r="L2231" i="1"/>
  <c r="F2231" i="1"/>
  <c r="F2231" i="1" a="1"/>
  <c r="D2231" i="1" a="1"/>
  <c r="D2231" i="1" s="1"/>
  <c r="B2231" i="1"/>
  <c r="R2230" i="1"/>
  <c r="Q2230" i="1"/>
  <c r="P2230" i="1"/>
  <c r="O2230" i="1"/>
  <c r="N2230" i="1"/>
  <c r="L2230" i="1"/>
  <c r="F2230" i="1" a="1"/>
  <c r="F2230" i="1" s="1"/>
  <c r="D2230" i="1"/>
  <c r="D2230" i="1" a="1"/>
  <c r="B2230" i="1"/>
  <c r="R2229" i="1"/>
  <c r="Q2229" i="1"/>
  <c r="P2229" i="1"/>
  <c r="O2229" i="1"/>
  <c r="N2229" i="1"/>
  <c r="L2229" i="1"/>
  <c r="F2229" i="1"/>
  <c r="F2229" i="1" a="1"/>
  <c r="D2229" i="1" a="1"/>
  <c r="D2229" i="1" s="1"/>
  <c r="B2229" i="1"/>
  <c r="R2228" i="1"/>
  <c r="Q2228" i="1"/>
  <c r="P2228" i="1"/>
  <c r="O2228" i="1"/>
  <c r="N2228" i="1"/>
  <c r="L2228" i="1"/>
  <c r="F2228" i="1"/>
  <c r="F2228" i="1" a="1"/>
  <c r="D2228" i="1" a="1"/>
  <c r="D2228" i="1" s="1"/>
  <c r="B2228" i="1"/>
  <c r="R2227" i="1"/>
  <c r="Q2227" i="1"/>
  <c r="P2227" i="1"/>
  <c r="O2227" i="1"/>
  <c r="N2227" i="1"/>
  <c r="L2227" i="1"/>
  <c r="F2227" i="1"/>
  <c r="F2227" i="1" a="1"/>
  <c r="D2227" i="1" a="1"/>
  <c r="D2227" i="1" s="1"/>
  <c r="B2227" i="1"/>
  <c r="R2226" i="1"/>
  <c r="Q2226" i="1"/>
  <c r="P2226" i="1"/>
  <c r="O2226" i="1"/>
  <c r="N2226" i="1"/>
  <c r="L2226" i="1"/>
  <c r="F2226" i="1" a="1"/>
  <c r="F2226" i="1" s="1"/>
  <c r="D2226" i="1"/>
  <c r="D2226" i="1" a="1"/>
  <c r="B2226" i="1"/>
  <c r="R2225" i="1"/>
  <c r="Q2225" i="1"/>
  <c r="P2225" i="1"/>
  <c r="O2225" i="1"/>
  <c r="N2225" i="1"/>
  <c r="L2225" i="1"/>
  <c r="F2225" i="1"/>
  <c r="F2225" i="1" a="1"/>
  <c r="D2225" i="1" a="1"/>
  <c r="D2225" i="1" s="1"/>
  <c r="B2225" i="1"/>
  <c r="R2224" i="1"/>
  <c r="Q2224" i="1"/>
  <c r="P2224" i="1"/>
  <c r="O2224" i="1"/>
  <c r="N2224" i="1"/>
  <c r="L2224" i="1"/>
  <c r="F2224" i="1"/>
  <c r="F2224" i="1" a="1"/>
  <c r="D2224" i="1" a="1"/>
  <c r="D2224" i="1" s="1"/>
  <c r="B2224" i="1"/>
  <c r="R2223" i="1"/>
  <c r="Q2223" i="1"/>
  <c r="P2223" i="1"/>
  <c r="O2223" i="1"/>
  <c r="N2223" i="1"/>
  <c r="L2223" i="1"/>
  <c r="F2223" i="1" a="1"/>
  <c r="F2223" i="1" s="1"/>
  <c r="D2223" i="1" a="1"/>
  <c r="D2223" i="1" s="1"/>
  <c r="B2223" i="1"/>
  <c r="R2222" i="1"/>
  <c r="Q2222" i="1"/>
  <c r="P2222" i="1"/>
  <c r="O2222" i="1"/>
  <c r="N2222" i="1"/>
  <c r="L2222" i="1"/>
  <c r="F2222" i="1" a="1"/>
  <c r="F2222" i="1" s="1"/>
  <c r="D2222" i="1"/>
  <c r="D2222" i="1" a="1"/>
  <c r="B2222" i="1"/>
  <c r="R2221" i="1"/>
  <c r="Q2221" i="1"/>
  <c r="P2221" i="1"/>
  <c r="O2221" i="1"/>
  <c r="N2221" i="1"/>
  <c r="L2221" i="1"/>
  <c r="F2221" i="1"/>
  <c r="F2221" i="1" a="1"/>
  <c r="D2221" i="1" a="1"/>
  <c r="D2221" i="1" s="1"/>
  <c r="B2221" i="1"/>
  <c r="R2220" i="1"/>
  <c r="Q2220" i="1"/>
  <c r="P2220" i="1"/>
  <c r="O2220" i="1"/>
  <c r="N2220" i="1"/>
  <c r="L2220" i="1"/>
  <c r="F2220" i="1"/>
  <c r="F2220" i="1" a="1"/>
  <c r="D2220" i="1" a="1"/>
  <c r="D2220" i="1" s="1"/>
  <c r="B2220" i="1"/>
  <c r="R2219" i="1"/>
  <c r="Q2219" i="1"/>
  <c r="P2219" i="1"/>
  <c r="O2219" i="1"/>
  <c r="N2219" i="1"/>
  <c r="L2219" i="1"/>
  <c r="F2219" i="1" a="1"/>
  <c r="F2219" i="1" s="1"/>
  <c r="D2219" i="1" a="1"/>
  <c r="D2219" i="1" s="1"/>
  <c r="B2219" i="1"/>
  <c r="R2218" i="1"/>
  <c r="Q2218" i="1"/>
  <c r="P2218" i="1"/>
  <c r="O2218" i="1"/>
  <c r="N2218" i="1"/>
  <c r="L2218" i="1"/>
  <c r="F2218" i="1" a="1"/>
  <c r="F2218" i="1" s="1"/>
  <c r="D2218" i="1"/>
  <c r="D2218" i="1" a="1"/>
  <c r="B2218" i="1"/>
  <c r="R2217" i="1"/>
  <c r="Q2217" i="1"/>
  <c r="P2217" i="1"/>
  <c r="O2217" i="1"/>
  <c r="N2217" i="1"/>
  <c r="L2217" i="1"/>
  <c r="F2217" i="1" a="1"/>
  <c r="F2217" i="1" s="1"/>
  <c r="D2217" i="1" a="1"/>
  <c r="D2217" i="1" s="1"/>
  <c r="B2217" i="1"/>
  <c r="R2216" i="1"/>
  <c r="Q2216" i="1"/>
  <c r="P2216" i="1"/>
  <c r="O2216" i="1"/>
  <c r="N2216" i="1"/>
  <c r="L2216" i="1"/>
  <c r="F2216" i="1"/>
  <c r="F2216" i="1" a="1"/>
  <c r="D2216" i="1" a="1"/>
  <c r="D2216" i="1" s="1"/>
  <c r="B2216" i="1"/>
  <c r="R2215" i="1"/>
  <c r="Q2215" i="1"/>
  <c r="P2215" i="1"/>
  <c r="O2215" i="1"/>
  <c r="N2215" i="1"/>
  <c r="L2215" i="1"/>
  <c r="F2215" i="1" a="1"/>
  <c r="F2215" i="1" s="1"/>
  <c r="D2215" i="1" a="1"/>
  <c r="D2215" i="1" s="1"/>
  <c r="B2215" i="1"/>
  <c r="R2214" i="1"/>
  <c r="Q2214" i="1"/>
  <c r="P2214" i="1"/>
  <c r="O2214" i="1"/>
  <c r="N2214" i="1"/>
  <c r="L2214" i="1"/>
  <c r="F2214" i="1" a="1"/>
  <c r="F2214" i="1" s="1"/>
  <c r="D2214" i="1"/>
  <c r="D2214" i="1" a="1"/>
  <c r="B2214" i="1"/>
  <c r="R2213" i="1"/>
  <c r="Q2213" i="1"/>
  <c r="P2213" i="1"/>
  <c r="O2213" i="1"/>
  <c r="N2213" i="1"/>
  <c r="L2213" i="1"/>
  <c r="F2213" i="1"/>
  <c r="F2213" i="1" a="1"/>
  <c r="D2213" i="1" a="1"/>
  <c r="D2213" i="1" s="1"/>
  <c r="B2213" i="1"/>
  <c r="R2212" i="1"/>
  <c r="Q2212" i="1"/>
  <c r="P2212" i="1"/>
  <c r="O2212" i="1"/>
  <c r="N2212" i="1"/>
  <c r="L2212" i="1"/>
  <c r="F2212" i="1"/>
  <c r="F2212" i="1" a="1"/>
  <c r="D2212" i="1" a="1"/>
  <c r="D2212" i="1" s="1"/>
  <c r="B2212" i="1"/>
  <c r="R2211" i="1"/>
  <c r="Q2211" i="1"/>
  <c r="P2211" i="1"/>
  <c r="O2211" i="1"/>
  <c r="N2211" i="1"/>
  <c r="L2211" i="1"/>
  <c r="F2211" i="1" a="1"/>
  <c r="F2211" i="1" s="1"/>
  <c r="D2211" i="1" a="1"/>
  <c r="D2211" i="1" s="1"/>
  <c r="B2211" i="1"/>
  <c r="R2210" i="1"/>
  <c r="Q2210" i="1"/>
  <c r="P2210" i="1"/>
  <c r="O2210" i="1"/>
  <c r="N2210" i="1"/>
  <c r="L2210" i="1"/>
  <c r="F2210" i="1"/>
  <c r="F2210" i="1" a="1"/>
  <c r="D2210" i="1"/>
  <c r="D2210" i="1" a="1"/>
  <c r="B2210" i="1"/>
  <c r="R2209" i="1"/>
  <c r="Q2209" i="1"/>
  <c r="P2209" i="1"/>
  <c r="O2209" i="1"/>
  <c r="N2209" i="1"/>
  <c r="L2209" i="1"/>
  <c r="F2209" i="1"/>
  <c r="F2209" i="1" a="1"/>
  <c r="D2209" i="1" a="1"/>
  <c r="D2209" i="1" s="1"/>
  <c r="B2209" i="1"/>
  <c r="R2208" i="1"/>
  <c r="Q2208" i="1"/>
  <c r="P2208" i="1"/>
  <c r="O2208" i="1"/>
  <c r="N2208" i="1"/>
  <c r="L2208" i="1"/>
  <c r="F2208" i="1"/>
  <c r="F2208" i="1" a="1"/>
  <c r="D2208" i="1" a="1"/>
  <c r="D2208" i="1" s="1"/>
  <c r="B2208" i="1"/>
  <c r="R2207" i="1"/>
  <c r="Q2207" i="1"/>
  <c r="P2207" i="1"/>
  <c r="O2207" i="1"/>
  <c r="N2207" i="1"/>
  <c r="L2207" i="1"/>
  <c r="F2207" i="1" a="1"/>
  <c r="F2207" i="1" s="1"/>
  <c r="D2207" i="1" a="1"/>
  <c r="D2207" i="1" s="1"/>
  <c r="B2207" i="1"/>
  <c r="R2206" i="1"/>
  <c r="Q2206" i="1"/>
  <c r="P2206" i="1"/>
  <c r="O2206" i="1"/>
  <c r="N2206" i="1"/>
  <c r="L2206" i="1"/>
  <c r="F2206" i="1"/>
  <c r="F2206" i="1" a="1"/>
  <c r="D2206" i="1"/>
  <c r="D2206" i="1" a="1"/>
  <c r="B2206" i="1"/>
  <c r="R2205" i="1"/>
  <c r="Q2205" i="1"/>
  <c r="P2205" i="1"/>
  <c r="O2205" i="1"/>
  <c r="N2205" i="1"/>
  <c r="L2205" i="1"/>
  <c r="F2205" i="1" a="1"/>
  <c r="F2205" i="1" s="1"/>
  <c r="D2205" i="1" a="1"/>
  <c r="D2205" i="1" s="1"/>
  <c r="B2205" i="1"/>
  <c r="R2204" i="1"/>
  <c r="Q2204" i="1"/>
  <c r="P2204" i="1"/>
  <c r="O2204" i="1"/>
  <c r="N2204" i="1"/>
  <c r="L2204" i="1"/>
  <c r="F2204" i="1"/>
  <c r="F2204" i="1" a="1"/>
  <c r="D2204" i="1" a="1"/>
  <c r="D2204" i="1" s="1"/>
  <c r="B2204" i="1"/>
  <c r="R2203" i="1"/>
  <c r="Q2203" i="1"/>
  <c r="P2203" i="1"/>
  <c r="O2203" i="1"/>
  <c r="N2203" i="1"/>
  <c r="L2203" i="1"/>
  <c r="F2203" i="1" a="1"/>
  <c r="F2203" i="1" s="1"/>
  <c r="D2203" i="1" a="1"/>
  <c r="D2203" i="1" s="1"/>
  <c r="B2203" i="1"/>
  <c r="R2202" i="1"/>
  <c r="Q2202" i="1"/>
  <c r="P2202" i="1"/>
  <c r="O2202" i="1"/>
  <c r="N2202" i="1"/>
  <c r="L2202" i="1"/>
  <c r="F2202" i="1" a="1"/>
  <c r="F2202" i="1" s="1"/>
  <c r="D2202" i="1"/>
  <c r="D2202" i="1" a="1"/>
  <c r="B2202" i="1"/>
  <c r="R2201" i="1"/>
  <c r="Q2201" i="1"/>
  <c r="P2201" i="1"/>
  <c r="O2201" i="1"/>
  <c r="N2201" i="1"/>
  <c r="L2201" i="1"/>
  <c r="F2201" i="1" a="1"/>
  <c r="F2201" i="1" s="1"/>
  <c r="D2201" i="1" a="1"/>
  <c r="D2201" i="1" s="1"/>
  <c r="B2201" i="1"/>
  <c r="R2200" i="1"/>
  <c r="Q2200" i="1"/>
  <c r="P2200" i="1"/>
  <c r="O2200" i="1"/>
  <c r="N2200" i="1"/>
  <c r="L2200" i="1"/>
  <c r="F2200" i="1"/>
  <c r="F2200" i="1" a="1"/>
  <c r="D2200" i="1" a="1"/>
  <c r="D2200" i="1" s="1"/>
  <c r="B2200" i="1"/>
  <c r="R2199" i="1"/>
  <c r="Q2199" i="1"/>
  <c r="P2199" i="1"/>
  <c r="O2199" i="1"/>
  <c r="N2199" i="1"/>
  <c r="L2199" i="1"/>
  <c r="F2199" i="1" a="1"/>
  <c r="F2199" i="1" s="1"/>
  <c r="D2199" i="1" a="1"/>
  <c r="D2199" i="1" s="1"/>
  <c r="B2199" i="1"/>
  <c r="R2198" i="1"/>
  <c r="Q2198" i="1"/>
  <c r="P2198" i="1"/>
  <c r="O2198" i="1"/>
  <c r="N2198" i="1"/>
  <c r="L2198" i="1"/>
  <c r="F2198" i="1" a="1"/>
  <c r="F2198" i="1" s="1"/>
  <c r="D2198" i="1"/>
  <c r="D2198" i="1" a="1"/>
  <c r="B2198" i="1"/>
  <c r="R2197" i="1"/>
  <c r="Q2197" i="1"/>
  <c r="P2197" i="1"/>
  <c r="O2197" i="1"/>
  <c r="N2197" i="1"/>
  <c r="L2197" i="1"/>
  <c r="F2197" i="1" a="1"/>
  <c r="F2197" i="1" s="1"/>
  <c r="D2197" i="1" a="1"/>
  <c r="D2197" i="1" s="1"/>
  <c r="B2197" i="1"/>
  <c r="R2196" i="1"/>
  <c r="Q2196" i="1"/>
  <c r="P2196" i="1"/>
  <c r="O2196" i="1"/>
  <c r="N2196" i="1"/>
  <c r="L2196" i="1"/>
  <c r="F2196" i="1"/>
  <c r="F2196" i="1" a="1"/>
  <c r="D2196" i="1" a="1"/>
  <c r="D2196" i="1" s="1"/>
  <c r="B2196" i="1"/>
  <c r="R2195" i="1"/>
  <c r="Q2195" i="1"/>
  <c r="P2195" i="1"/>
  <c r="O2195" i="1"/>
  <c r="N2195" i="1"/>
  <c r="L2195" i="1"/>
  <c r="F2195" i="1" a="1"/>
  <c r="F2195" i="1" s="1"/>
  <c r="D2195" i="1" a="1"/>
  <c r="D2195" i="1" s="1"/>
  <c r="B2195" i="1"/>
  <c r="R2194" i="1"/>
  <c r="Q2194" i="1"/>
  <c r="P2194" i="1"/>
  <c r="O2194" i="1"/>
  <c r="N2194" i="1"/>
  <c r="L2194" i="1"/>
  <c r="F2194" i="1"/>
  <c r="F2194" i="1" a="1"/>
  <c r="D2194" i="1"/>
  <c r="D2194" i="1" a="1"/>
  <c r="B2194" i="1"/>
  <c r="R2193" i="1"/>
  <c r="Q2193" i="1"/>
  <c r="P2193" i="1"/>
  <c r="O2193" i="1"/>
  <c r="N2193" i="1"/>
  <c r="L2193" i="1"/>
  <c r="F2193" i="1" a="1"/>
  <c r="F2193" i="1" s="1"/>
  <c r="D2193" i="1" a="1"/>
  <c r="D2193" i="1" s="1"/>
  <c r="B2193" i="1"/>
  <c r="R2192" i="1"/>
  <c r="Q2192" i="1"/>
  <c r="P2192" i="1"/>
  <c r="O2192" i="1"/>
  <c r="N2192" i="1"/>
  <c r="L2192" i="1"/>
  <c r="F2192" i="1"/>
  <c r="F2192" i="1" a="1"/>
  <c r="D2192" i="1" a="1"/>
  <c r="D2192" i="1" s="1"/>
  <c r="B2192" i="1"/>
  <c r="R2191" i="1"/>
  <c r="Q2191" i="1"/>
  <c r="P2191" i="1"/>
  <c r="O2191" i="1"/>
  <c r="N2191" i="1"/>
  <c r="L2191" i="1"/>
  <c r="F2191" i="1" a="1"/>
  <c r="F2191" i="1" s="1"/>
  <c r="D2191" i="1" a="1"/>
  <c r="D2191" i="1" s="1"/>
  <c r="B2191" i="1"/>
  <c r="R2190" i="1"/>
  <c r="Q2190" i="1"/>
  <c r="P2190" i="1"/>
  <c r="O2190" i="1"/>
  <c r="N2190" i="1"/>
  <c r="L2190" i="1"/>
  <c r="F2190" i="1"/>
  <c r="F2190" i="1" a="1"/>
  <c r="D2190" i="1"/>
  <c r="D2190" i="1" a="1"/>
  <c r="B2190" i="1"/>
  <c r="R2189" i="1"/>
  <c r="Q2189" i="1"/>
  <c r="P2189" i="1"/>
  <c r="O2189" i="1"/>
  <c r="N2189" i="1"/>
  <c r="L2189" i="1"/>
  <c r="F2189" i="1" a="1"/>
  <c r="F2189" i="1" s="1"/>
  <c r="D2189" i="1" a="1"/>
  <c r="D2189" i="1" s="1"/>
  <c r="B2189" i="1"/>
  <c r="R2188" i="1"/>
  <c r="Q2188" i="1"/>
  <c r="P2188" i="1"/>
  <c r="O2188" i="1"/>
  <c r="N2188" i="1"/>
  <c r="L2188" i="1"/>
  <c r="F2188" i="1"/>
  <c r="F2188" i="1" a="1"/>
  <c r="D2188" i="1" a="1"/>
  <c r="D2188" i="1" s="1"/>
  <c r="B2188" i="1"/>
  <c r="R2187" i="1"/>
  <c r="Q2187" i="1"/>
  <c r="P2187" i="1"/>
  <c r="O2187" i="1"/>
  <c r="N2187" i="1"/>
  <c r="L2187" i="1"/>
  <c r="F2187" i="1" a="1"/>
  <c r="F2187" i="1" s="1"/>
  <c r="D2187" i="1" a="1"/>
  <c r="D2187" i="1" s="1"/>
  <c r="B2187" i="1"/>
  <c r="R2186" i="1"/>
  <c r="Q2186" i="1"/>
  <c r="P2186" i="1"/>
  <c r="O2186" i="1"/>
  <c r="N2186" i="1"/>
  <c r="L2186" i="1"/>
  <c r="F2186" i="1"/>
  <c r="F2186" i="1" a="1"/>
  <c r="D2186" i="1"/>
  <c r="D2186" i="1" a="1"/>
  <c r="B2186" i="1"/>
  <c r="R2185" i="1"/>
  <c r="Q2185" i="1"/>
  <c r="P2185" i="1"/>
  <c r="O2185" i="1"/>
  <c r="N2185" i="1"/>
  <c r="L2185" i="1"/>
  <c r="F2185" i="1" a="1"/>
  <c r="F2185" i="1" s="1"/>
  <c r="D2185" i="1" a="1"/>
  <c r="D2185" i="1" s="1"/>
  <c r="B2185" i="1"/>
  <c r="R2184" i="1"/>
  <c r="Q2184" i="1"/>
  <c r="P2184" i="1"/>
  <c r="O2184" i="1"/>
  <c r="N2184" i="1"/>
  <c r="L2184" i="1"/>
  <c r="F2184" i="1"/>
  <c r="F2184" i="1" a="1"/>
  <c r="D2184" i="1" a="1"/>
  <c r="D2184" i="1" s="1"/>
  <c r="B2184" i="1"/>
  <c r="R2183" i="1"/>
  <c r="Q2183" i="1"/>
  <c r="P2183" i="1"/>
  <c r="O2183" i="1"/>
  <c r="N2183" i="1"/>
  <c r="L2183" i="1"/>
  <c r="F2183" i="1" a="1"/>
  <c r="F2183" i="1" s="1"/>
  <c r="D2183" i="1" a="1"/>
  <c r="D2183" i="1" s="1"/>
  <c r="B2183" i="1"/>
  <c r="R2182" i="1"/>
  <c r="Q2182" i="1"/>
  <c r="P2182" i="1"/>
  <c r="O2182" i="1"/>
  <c r="N2182" i="1"/>
  <c r="L2182" i="1"/>
  <c r="F2182" i="1"/>
  <c r="F2182" i="1" a="1"/>
  <c r="D2182" i="1"/>
  <c r="D2182" i="1" a="1"/>
  <c r="B2182" i="1"/>
  <c r="R2181" i="1"/>
  <c r="Q2181" i="1"/>
  <c r="P2181" i="1"/>
  <c r="O2181" i="1"/>
  <c r="N2181" i="1"/>
  <c r="L2181" i="1"/>
  <c r="F2181" i="1" a="1"/>
  <c r="F2181" i="1" s="1"/>
  <c r="D2181" i="1" a="1"/>
  <c r="D2181" i="1" s="1"/>
  <c r="B2181" i="1"/>
  <c r="R2180" i="1"/>
  <c r="Q2180" i="1"/>
  <c r="P2180" i="1"/>
  <c r="O2180" i="1"/>
  <c r="N2180" i="1"/>
  <c r="L2180" i="1"/>
  <c r="F2180" i="1"/>
  <c r="F2180" i="1" a="1"/>
  <c r="D2180" i="1" a="1"/>
  <c r="D2180" i="1" s="1"/>
  <c r="B2180" i="1"/>
  <c r="R2179" i="1"/>
  <c r="Q2179" i="1"/>
  <c r="P2179" i="1"/>
  <c r="O2179" i="1"/>
  <c r="N2179" i="1"/>
  <c r="L2179" i="1"/>
  <c r="F2179" i="1" a="1"/>
  <c r="F2179" i="1" s="1"/>
  <c r="D2179" i="1" a="1"/>
  <c r="D2179" i="1" s="1"/>
  <c r="B2179" i="1"/>
  <c r="R2178" i="1"/>
  <c r="Q2178" i="1"/>
  <c r="P2178" i="1"/>
  <c r="O2178" i="1"/>
  <c r="N2178" i="1"/>
  <c r="L2178" i="1"/>
  <c r="F2178" i="1"/>
  <c r="F2178" i="1" a="1"/>
  <c r="D2178" i="1"/>
  <c r="D2178" i="1" a="1"/>
  <c r="B2178" i="1"/>
  <c r="R2177" i="1"/>
  <c r="Q2177" i="1"/>
  <c r="P2177" i="1"/>
  <c r="O2177" i="1"/>
  <c r="N2177" i="1"/>
  <c r="L2177" i="1"/>
  <c r="F2177" i="1" a="1"/>
  <c r="F2177" i="1" s="1"/>
  <c r="D2177" i="1" a="1"/>
  <c r="D2177" i="1" s="1"/>
  <c r="B2177" i="1"/>
  <c r="R2176" i="1"/>
  <c r="Q2176" i="1"/>
  <c r="P2176" i="1"/>
  <c r="O2176" i="1"/>
  <c r="N2176" i="1"/>
  <c r="L2176" i="1"/>
  <c r="F2176" i="1"/>
  <c r="F2176" i="1" a="1"/>
  <c r="D2176" i="1" a="1"/>
  <c r="D2176" i="1" s="1"/>
  <c r="B2176" i="1"/>
  <c r="R2175" i="1"/>
  <c r="Q2175" i="1"/>
  <c r="P2175" i="1"/>
  <c r="O2175" i="1"/>
  <c r="N2175" i="1"/>
  <c r="L2175" i="1"/>
  <c r="F2175" i="1" a="1"/>
  <c r="F2175" i="1" s="1"/>
  <c r="D2175" i="1" a="1"/>
  <c r="D2175" i="1" s="1"/>
  <c r="B2175" i="1"/>
  <c r="R2174" i="1"/>
  <c r="Q2174" i="1"/>
  <c r="P2174" i="1"/>
  <c r="O2174" i="1"/>
  <c r="N2174" i="1"/>
  <c r="L2174" i="1"/>
  <c r="F2174" i="1"/>
  <c r="F2174" i="1" a="1"/>
  <c r="D2174" i="1"/>
  <c r="D2174" i="1" a="1"/>
  <c r="B2174" i="1"/>
  <c r="R2173" i="1"/>
  <c r="Q2173" i="1"/>
  <c r="P2173" i="1"/>
  <c r="O2173" i="1"/>
  <c r="N2173" i="1"/>
  <c r="L2173" i="1"/>
  <c r="F2173" i="1"/>
  <c r="F2173" i="1" a="1"/>
  <c r="D2173" i="1"/>
  <c r="D2173" i="1" a="1"/>
  <c r="B2173" i="1"/>
  <c r="R2172" i="1"/>
  <c r="Q2172" i="1"/>
  <c r="P2172" i="1"/>
  <c r="O2172" i="1"/>
  <c r="N2172" i="1"/>
  <c r="L2172" i="1"/>
  <c r="F2172" i="1" a="1"/>
  <c r="F2172" i="1" s="1"/>
  <c r="D2172" i="1" a="1"/>
  <c r="D2172" i="1" s="1"/>
  <c r="B2172" i="1"/>
  <c r="R2171" i="1"/>
  <c r="Q2171" i="1"/>
  <c r="P2171" i="1"/>
  <c r="O2171" i="1"/>
  <c r="N2171" i="1"/>
  <c r="L2171" i="1"/>
  <c r="F2171" i="1" a="1"/>
  <c r="F2171" i="1" s="1"/>
  <c r="D2171" i="1" a="1"/>
  <c r="D2171" i="1" s="1"/>
  <c r="B2171" i="1"/>
  <c r="R2170" i="1"/>
  <c r="Q2170" i="1"/>
  <c r="P2170" i="1"/>
  <c r="O2170" i="1"/>
  <c r="N2170" i="1"/>
  <c r="L2170" i="1"/>
  <c r="F2170" i="1"/>
  <c r="F2170" i="1" a="1"/>
  <c r="D2170" i="1"/>
  <c r="D2170" i="1" a="1"/>
  <c r="B2170" i="1"/>
  <c r="R2169" i="1"/>
  <c r="Q2169" i="1"/>
  <c r="P2169" i="1"/>
  <c r="O2169" i="1"/>
  <c r="N2169" i="1"/>
  <c r="L2169" i="1"/>
  <c r="F2169" i="1"/>
  <c r="F2169" i="1" a="1"/>
  <c r="D2169" i="1"/>
  <c r="D2169" i="1" a="1"/>
  <c r="B2169" i="1"/>
  <c r="R2168" i="1"/>
  <c r="Q2168" i="1"/>
  <c r="P2168" i="1"/>
  <c r="O2168" i="1"/>
  <c r="N2168" i="1"/>
  <c r="L2168" i="1"/>
  <c r="F2168" i="1" a="1"/>
  <c r="F2168" i="1" s="1"/>
  <c r="D2168" i="1" a="1"/>
  <c r="D2168" i="1" s="1"/>
  <c r="B2168" i="1"/>
  <c r="R2167" i="1"/>
  <c r="Q2167" i="1"/>
  <c r="P2167" i="1"/>
  <c r="O2167" i="1"/>
  <c r="N2167" i="1"/>
  <c r="L2167" i="1"/>
  <c r="F2167" i="1" a="1"/>
  <c r="F2167" i="1" s="1"/>
  <c r="D2167" i="1" a="1"/>
  <c r="D2167" i="1" s="1"/>
  <c r="B2167" i="1"/>
  <c r="R2166" i="1"/>
  <c r="Q2166" i="1"/>
  <c r="P2166" i="1"/>
  <c r="O2166" i="1"/>
  <c r="N2166" i="1"/>
  <c r="L2166" i="1"/>
  <c r="F2166" i="1" a="1"/>
  <c r="F2166" i="1" s="1"/>
  <c r="D2166" i="1" a="1"/>
  <c r="D2166" i="1" s="1"/>
  <c r="B2166" i="1"/>
  <c r="R2165" i="1"/>
  <c r="Q2165" i="1"/>
  <c r="P2165" i="1"/>
  <c r="O2165" i="1"/>
  <c r="N2165" i="1"/>
  <c r="L2165" i="1"/>
  <c r="F2165" i="1" a="1"/>
  <c r="F2165" i="1" s="1"/>
  <c r="D2165" i="1" a="1"/>
  <c r="D2165" i="1" s="1"/>
  <c r="B2165" i="1"/>
  <c r="R2164" i="1"/>
  <c r="Q2164" i="1"/>
  <c r="P2164" i="1"/>
  <c r="O2164" i="1"/>
  <c r="N2164" i="1"/>
  <c r="L2164" i="1"/>
  <c r="F2164" i="1" a="1"/>
  <c r="F2164" i="1" s="1"/>
  <c r="D2164" i="1" a="1"/>
  <c r="D2164" i="1" s="1"/>
  <c r="B2164" i="1"/>
  <c r="R2163" i="1"/>
  <c r="Q2163" i="1"/>
  <c r="P2163" i="1"/>
  <c r="O2163" i="1"/>
  <c r="N2163" i="1"/>
  <c r="L2163" i="1"/>
  <c r="F2163" i="1" a="1"/>
  <c r="F2163" i="1" s="1"/>
  <c r="D2163" i="1" a="1"/>
  <c r="D2163" i="1" s="1"/>
  <c r="B2163" i="1"/>
  <c r="R2162" i="1"/>
  <c r="Q2162" i="1"/>
  <c r="P2162" i="1"/>
  <c r="O2162" i="1"/>
  <c r="N2162" i="1"/>
  <c r="L2162" i="1"/>
  <c r="F2162" i="1" a="1"/>
  <c r="F2162" i="1" s="1"/>
  <c r="D2162" i="1" a="1"/>
  <c r="D2162" i="1" s="1"/>
  <c r="B2162" i="1"/>
  <c r="R2161" i="1"/>
  <c r="Q2161" i="1"/>
  <c r="P2161" i="1"/>
  <c r="O2161" i="1"/>
  <c r="N2161" i="1"/>
  <c r="L2161" i="1"/>
  <c r="F2161" i="1"/>
  <c r="F2161" i="1" a="1"/>
  <c r="D2161" i="1" a="1"/>
  <c r="D2161" i="1" s="1"/>
  <c r="B2161" i="1"/>
  <c r="R2160" i="1"/>
  <c r="Q2160" i="1"/>
  <c r="P2160" i="1"/>
  <c r="O2160" i="1"/>
  <c r="N2160" i="1"/>
  <c r="L2160" i="1"/>
  <c r="F2160" i="1" a="1"/>
  <c r="F2160" i="1" s="1"/>
  <c r="D2160" i="1" a="1"/>
  <c r="D2160" i="1" s="1"/>
  <c r="B2160" i="1"/>
  <c r="R2159" i="1"/>
  <c r="Q2159" i="1"/>
  <c r="P2159" i="1"/>
  <c r="O2159" i="1"/>
  <c r="N2159" i="1"/>
  <c r="L2159" i="1"/>
  <c r="F2159" i="1" a="1"/>
  <c r="F2159" i="1" s="1"/>
  <c r="D2159" i="1" a="1"/>
  <c r="D2159" i="1" s="1"/>
  <c r="B2159" i="1"/>
  <c r="R2158" i="1"/>
  <c r="Q2158" i="1"/>
  <c r="P2158" i="1"/>
  <c r="O2158" i="1"/>
  <c r="N2158" i="1"/>
  <c r="L2158" i="1"/>
  <c r="F2158" i="1" a="1"/>
  <c r="F2158" i="1" s="1"/>
  <c r="D2158" i="1" a="1"/>
  <c r="D2158" i="1" s="1"/>
  <c r="B2158" i="1"/>
  <c r="R2157" i="1"/>
  <c r="Q2157" i="1"/>
  <c r="P2157" i="1"/>
  <c r="O2157" i="1"/>
  <c r="N2157" i="1"/>
  <c r="L2157" i="1"/>
  <c r="F2157" i="1" a="1"/>
  <c r="F2157" i="1" s="1"/>
  <c r="D2157" i="1" a="1"/>
  <c r="D2157" i="1" s="1"/>
  <c r="B2157" i="1"/>
  <c r="R2156" i="1"/>
  <c r="Q2156" i="1"/>
  <c r="P2156" i="1"/>
  <c r="O2156" i="1"/>
  <c r="N2156" i="1"/>
  <c r="L2156" i="1"/>
  <c r="F2156" i="1" a="1"/>
  <c r="F2156" i="1" s="1"/>
  <c r="D2156" i="1" a="1"/>
  <c r="D2156" i="1" s="1"/>
  <c r="B2156" i="1"/>
  <c r="R2155" i="1"/>
  <c r="Q2155" i="1"/>
  <c r="P2155" i="1"/>
  <c r="O2155" i="1"/>
  <c r="N2155" i="1"/>
  <c r="L2155" i="1"/>
  <c r="F2155" i="1" a="1"/>
  <c r="F2155" i="1" s="1"/>
  <c r="D2155" i="1" a="1"/>
  <c r="D2155" i="1" s="1"/>
  <c r="B2155" i="1"/>
  <c r="R2154" i="1"/>
  <c r="Q2154" i="1"/>
  <c r="P2154" i="1"/>
  <c r="O2154" i="1"/>
  <c r="N2154" i="1"/>
  <c r="L2154" i="1"/>
  <c r="F2154" i="1" a="1"/>
  <c r="F2154" i="1" s="1"/>
  <c r="D2154" i="1" a="1"/>
  <c r="D2154" i="1" s="1"/>
  <c r="B2154" i="1"/>
  <c r="R2153" i="1"/>
  <c r="Q2153" i="1"/>
  <c r="P2153" i="1"/>
  <c r="O2153" i="1"/>
  <c r="N2153" i="1"/>
  <c r="L2153" i="1"/>
  <c r="F2153" i="1"/>
  <c r="F2153" i="1" a="1"/>
  <c r="D2153" i="1" a="1"/>
  <c r="D2153" i="1" s="1"/>
  <c r="B2153" i="1"/>
  <c r="R2152" i="1"/>
  <c r="Q2152" i="1"/>
  <c r="P2152" i="1"/>
  <c r="O2152" i="1"/>
  <c r="N2152" i="1"/>
  <c r="L2152" i="1"/>
  <c r="F2152" i="1"/>
  <c r="F2152" i="1" a="1"/>
  <c r="D2152" i="1" a="1"/>
  <c r="D2152" i="1" s="1"/>
  <c r="B2152" i="1"/>
  <c r="R2151" i="1"/>
  <c r="Q2151" i="1"/>
  <c r="P2151" i="1"/>
  <c r="O2151" i="1"/>
  <c r="N2151" i="1"/>
  <c r="L2151" i="1"/>
  <c r="F2151" i="1"/>
  <c r="F2151" i="1" a="1"/>
  <c r="D2151" i="1" a="1"/>
  <c r="D2151" i="1" s="1"/>
  <c r="B2151" i="1"/>
  <c r="R2150" i="1"/>
  <c r="Q2150" i="1"/>
  <c r="P2150" i="1"/>
  <c r="O2150" i="1"/>
  <c r="N2150" i="1"/>
  <c r="L2150" i="1"/>
  <c r="F2150" i="1"/>
  <c r="F2150" i="1" a="1"/>
  <c r="D2150" i="1" a="1"/>
  <c r="D2150" i="1" s="1"/>
  <c r="B2150" i="1"/>
  <c r="R2149" i="1"/>
  <c r="Q2149" i="1"/>
  <c r="P2149" i="1"/>
  <c r="O2149" i="1"/>
  <c r="N2149" i="1"/>
  <c r="L2149" i="1"/>
  <c r="F2149" i="1"/>
  <c r="F2149" i="1" a="1"/>
  <c r="D2149" i="1" a="1"/>
  <c r="D2149" i="1" s="1"/>
  <c r="B2149" i="1"/>
  <c r="R2148" i="1"/>
  <c r="Q2148" i="1"/>
  <c r="P2148" i="1"/>
  <c r="O2148" i="1"/>
  <c r="N2148" i="1"/>
  <c r="L2148" i="1"/>
  <c r="F2148" i="1" a="1"/>
  <c r="F2148" i="1" s="1"/>
  <c r="D2148" i="1" a="1"/>
  <c r="D2148" i="1" s="1"/>
  <c r="B2148" i="1"/>
  <c r="R2147" i="1"/>
  <c r="Q2147" i="1"/>
  <c r="P2147" i="1"/>
  <c r="O2147" i="1"/>
  <c r="N2147" i="1"/>
  <c r="L2147" i="1"/>
  <c r="F2147" i="1" a="1"/>
  <c r="F2147" i="1" s="1"/>
  <c r="D2147" i="1" a="1"/>
  <c r="D2147" i="1" s="1"/>
  <c r="B2147" i="1"/>
  <c r="R2146" i="1"/>
  <c r="Q2146" i="1"/>
  <c r="P2146" i="1"/>
  <c r="O2146" i="1"/>
  <c r="N2146" i="1"/>
  <c r="L2146" i="1"/>
  <c r="F2146" i="1" a="1"/>
  <c r="F2146" i="1" s="1"/>
  <c r="D2146" i="1" a="1"/>
  <c r="D2146" i="1" s="1"/>
  <c r="B2146" i="1"/>
  <c r="R2145" i="1"/>
  <c r="Q2145" i="1"/>
  <c r="P2145" i="1"/>
  <c r="O2145" i="1"/>
  <c r="N2145" i="1"/>
  <c r="L2145" i="1"/>
  <c r="F2145" i="1"/>
  <c r="F2145" i="1" a="1"/>
  <c r="D2145" i="1" a="1"/>
  <c r="D2145" i="1" s="1"/>
  <c r="B2145" i="1"/>
  <c r="R2144" i="1"/>
  <c r="Q2144" i="1"/>
  <c r="P2144" i="1"/>
  <c r="O2144" i="1"/>
  <c r="N2144" i="1"/>
  <c r="L2144" i="1"/>
  <c r="F2144" i="1" a="1"/>
  <c r="F2144" i="1" s="1"/>
  <c r="D2144" i="1" a="1"/>
  <c r="D2144" i="1" s="1"/>
  <c r="B2144" i="1"/>
  <c r="R2143" i="1"/>
  <c r="Q2143" i="1"/>
  <c r="P2143" i="1"/>
  <c r="O2143" i="1"/>
  <c r="N2143" i="1"/>
  <c r="L2143" i="1"/>
  <c r="F2143" i="1"/>
  <c r="F2143" i="1" a="1"/>
  <c r="D2143" i="1" a="1"/>
  <c r="D2143" i="1" s="1"/>
  <c r="B2143" i="1"/>
  <c r="R2142" i="1"/>
  <c r="Q2142" i="1"/>
  <c r="P2142" i="1"/>
  <c r="O2142" i="1"/>
  <c r="N2142" i="1"/>
  <c r="L2142" i="1"/>
  <c r="F2142" i="1" a="1"/>
  <c r="F2142" i="1" s="1"/>
  <c r="D2142" i="1" a="1"/>
  <c r="D2142" i="1" s="1"/>
  <c r="B2142" i="1"/>
  <c r="R2141" i="1"/>
  <c r="Q2141" i="1"/>
  <c r="P2141" i="1"/>
  <c r="O2141" i="1"/>
  <c r="N2141" i="1"/>
  <c r="L2141" i="1"/>
  <c r="F2141" i="1"/>
  <c r="F2141" i="1" a="1"/>
  <c r="D2141" i="1" a="1"/>
  <c r="D2141" i="1" s="1"/>
  <c r="B2141" i="1"/>
  <c r="R2140" i="1"/>
  <c r="Q2140" i="1"/>
  <c r="P2140" i="1"/>
  <c r="O2140" i="1"/>
  <c r="N2140" i="1"/>
  <c r="L2140" i="1"/>
  <c r="F2140" i="1" a="1"/>
  <c r="F2140" i="1" s="1"/>
  <c r="D2140" i="1" a="1"/>
  <c r="D2140" i="1" s="1"/>
  <c r="B2140" i="1"/>
  <c r="R2139" i="1"/>
  <c r="Q2139" i="1"/>
  <c r="P2139" i="1"/>
  <c r="O2139" i="1"/>
  <c r="N2139" i="1"/>
  <c r="L2139" i="1"/>
  <c r="F2139" i="1" a="1"/>
  <c r="F2139" i="1" s="1"/>
  <c r="D2139" i="1" a="1"/>
  <c r="D2139" i="1" s="1"/>
  <c r="B2139" i="1"/>
  <c r="R2138" i="1"/>
  <c r="Q2138" i="1"/>
  <c r="P2138" i="1"/>
  <c r="O2138" i="1"/>
  <c r="N2138" i="1"/>
  <c r="L2138" i="1"/>
  <c r="F2138" i="1" a="1"/>
  <c r="F2138" i="1" s="1"/>
  <c r="D2138" i="1" a="1"/>
  <c r="D2138" i="1" s="1"/>
  <c r="B2138" i="1"/>
  <c r="R2137" i="1"/>
  <c r="Q2137" i="1"/>
  <c r="P2137" i="1"/>
  <c r="O2137" i="1"/>
  <c r="N2137" i="1"/>
  <c r="L2137" i="1"/>
  <c r="F2137" i="1"/>
  <c r="F2137" i="1" a="1"/>
  <c r="D2137" i="1" a="1"/>
  <c r="D2137" i="1" s="1"/>
  <c r="B2137" i="1"/>
  <c r="R2136" i="1"/>
  <c r="Q2136" i="1"/>
  <c r="P2136" i="1"/>
  <c r="O2136" i="1"/>
  <c r="N2136" i="1"/>
  <c r="L2136" i="1"/>
  <c r="F2136" i="1" a="1"/>
  <c r="F2136" i="1" s="1"/>
  <c r="D2136" i="1" a="1"/>
  <c r="D2136" i="1" s="1"/>
  <c r="B2136" i="1"/>
  <c r="R2135" i="1"/>
  <c r="Q2135" i="1"/>
  <c r="P2135" i="1"/>
  <c r="O2135" i="1"/>
  <c r="N2135" i="1"/>
  <c r="L2135" i="1"/>
  <c r="F2135" i="1"/>
  <c r="F2135" i="1" a="1"/>
  <c r="D2135" i="1" a="1"/>
  <c r="D2135" i="1" s="1"/>
  <c r="B2135" i="1"/>
  <c r="R2134" i="1"/>
  <c r="Q2134" i="1"/>
  <c r="P2134" i="1"/>
  <c r="O2134" i="1"/>
  <c r="N2134" i="1"/>
  <c r="L2134" i="1"/>
  <c r="F2134" i="1" a="1"/>
  <c r="F2134" i="1" s="1"/>
  <c r="D2134" i="1" a="1"/>
  <c r="D2134" i="1" s="1"/>
  <c r="B2134" i="1"/>
  <c r="R2133" i="1"/>
  <c r="Q2133" i="1"/>
  <c r="P2133" i="1"/>
  <c r="O2133" i="1"/>
  <c r="N2133" i="1"/>
  <c r="L2133" i="1"/>
  <c r="F2133" i="1" a="1"/>
  <c r="F2133" i="1" s="1"/>
  <c r="D2133" i="1" a="1"/>
  <c r="D2133" i="1" s="1"/>
  <c r="B2133" i="1"/>
  <c r="R2132" i="1"/>
  <c r="Q2132" i="1"/>
  <c r="P2132" i="1"/>
  <c r="O2132" i="1"/>
  <c r="N2132" i="1"/>
  <c r="L2132" i="1"/>
  <c r="F2132" i="1" a="1"/>
  <c r="F2132" i="1" s="1"/>
  <c r="D2132" i="1" a="1"/>
  <c r="D2132" i="1" s="1"/>
  <c r="B2132" i="1"/>
  <c r="R2131" i="1"/>
  <c r="Q2131" i="1"/>
  <c r="P2131" i="1"/>
  <c r="O2131" i="1"/>
  <c r="N2131" i="1"/>
  <c r="L2131" i="1"/>
  <c r="F2131" i="1" a="1"/>
  <c r="F2131" i="1" s="1"/>
  <c r="D2131" i="1" a="1"/>
  <c r="D2131" i="1" s="1"/>
  <c r="B2131" i="1"/>
  <c r="R2130" i="1"/>
  <c r="Q2130" i="1"/>
  <c r="P2130" i="1"/>
  <c r="O2130" i="1"/>
  <c r="N2130" i="1"/>
  <c r="L2130" i="1"/>
  <c r="F2130" i="1" a="1"/>
  <c r="F2130" i="1" s="1"/>
  <c r="D2130" i="1" a="1"/>
  <c r="D2130" i="1" s="1"/>
  <c r="B2130" i="1"/>
  <c r="R2129" i="1"/>
  <c r="Q2129" i="1"/>
  <c r="P2129" i="1"/>
  <c r="O2129" i="1"/>
  <c r="N2129" i="1"/>
  <c r="L2129" i="1"/>
  <c r="F2129" i="1"/>
  <c r="F2129" i="1" a="1"/>
  <c r="D2129" i="1" a="1"/>
  <c r="D2129" i="1" s="1"/>
  <c r="B2129" i="1"/>
  <c r="R2128" i="1"/>
  <c r="Q2128" i="1"/>
  <c r="P2128" i="1"/>
  <c r="O2128" i="1"/>
  <c r="N2128" i="1"/>
  <c r="L2128" i="1"/>
  <c r="F2128" i="1" a="1"/>
  <c r="F2128" i="1" s="1"/>
  <c r="D2128" i="1" a="1"/>
  <c r="D2128" i="1" s="1"/>
  <c r="B2128" i="1"/>
  <c r="R2127" i="1"/>
  <c r="Q2127" i="1"/>
  <c r="P2127" i="1"/>
  <c r="O2127" i="1"/>
  <c r="N2127" i="1"/>
  <c r="L2127" i="1"/>
  <c r="F2127" i="1"/>
  <c r="F2127" i="1" a="1"/>
  <c r="D2127" i="1" a="1"/>
  <c r="D2127" i="1" s="1"/>
  <c r="B2127" i="1"/>
  <c r="R2126" i="1"/>
  <c r="Q2126" i="1"/>
  <c r="P2126" i="1"/>
  <c r="O2126" i="1"/>
  <c r="N2126" i="1"/>
  <c r="L2126" i="1"/>
  <c r="F2126" i="1" a="1"/>
  <c r="F2126" i="1" s="1"/>
  <c r="D2126" i="1" a="1"/>
  <c r="D2126" i="1" s="1"/>
  <c r="B2126" i="1"/>
  <c r="R2125" i="1"/>
  <c r="Q2125" i="1"/>
  <c r="P2125" i="1"/>
  <c r="O2125" i="1"/>
  <c r="N2125" i="1"/>
  <c r="L2125" i="1"/>
  <c r="F2125" i="1" a="1"/>
  <c r="F2125" i="1" s="1"/>
  <c r="D2125" i="1" a="1"/>
  <c r="D2125" i="1" s="1"/>
  <c r="B2125" i="1"/>
  <c r="R2124" i="1"/>
  <c r="Q2124" i="1"/>
  <c r="P2124" i="1"/>
  <c r="O2124" i="1"/>
  <c r="N2124" i="1"/>
  <c r="L2124" i="1"/>
  <c r="F2124" i="1" a="1"/>
  <c r="F2124" i="1" s="1"/>
  <c r="D2124" i="1" a="1"/>
  <c r="D2124" i="1" s="1"/>
  <c r="B2124" i="1"/>
  <c r="R2123" i="1"/>
  <c r="Q2123" i="1"/>
  <c r="P2123" i="1"/>
  <c r="O2123" i="1"/>
  <c r="N2123" i="1"/>
  <c r="L2123" i="1"/>
  <c r="F2123" i="1" a="1"/>
  <c r="F2123" i="1" s="1"/>
  <c r="D2123" i="1" a="1"/>
  <c r="D2123" i="1" s="1"/>
  <c r="B2123" i="1"/>
  <c r="R2122" i="1"/>
  <c r="Q2122" i="1"/>
  <c r="P2122" i="1"/>
  <c r="O2122" i="1"/>
  <c r="N2122" i="1"/>
  <c r="L2122" i="1"/>
  <c r="F2122" i="1" a="1"/>
  <c r="F2122" i="1" s="1"/>
  <c r="D2122" i="1" a="1"/>
  <c r="D2122" i="1" s="1"/>
  <c r="B2122" i="1"/>
  <c r="R2121" i="1"/>
  <c r="Q2121" i="1"/>
  <c r="P2121" i="1"/>
  <c r="O2121" i="1"/>
  <c r="N2121" i="1"/>
  <c r="L2121" i="1"/>
  <c r="F2121" i="1"/>
  <c r="F2121" i="1" a="1"/>
  <c r="D2121" i="1" a="1"/>
  <c r="D2121" i="1" s="1"/>
  <c r="B2121" i="1"/>
  <c r="R2120" i="1"/>
  <c r="Q2120" i="1"/>
  <c r="P2120" i="1"/>
  <c r="O2120" i="1"/>
  <c r="N2120" i="1"/>
  <c r="L2120" i="1"/>
  <c r="F2120" i="1" a="1"/>
  <c r="F2120" i="1" s="1"/>
  <c r="D2120" i="1" a="1"/>
  <c r="D2120" i="1" s="1"/>
  <c r="B2120" i="1"/>
  <c r="R2119" i="1"/>
  <c r="Q2119" i="1"/>
  <c r="P2119" i="1"/>
  <c r="O2119" i="1"/>
  <c r="N2119" i="1"/>
  <c r="L2119" i="1"/>
  <c r="F2119" i="1"/>
  <c r="F2119" i="1" a="1"/>
  <c r="D2119" i="1" a="1"/>
  <c r="D2119" i="1" s="1"/>
  <c r="B2119" i="1"/>
  <c r="R2118" i="1"/>
  <c r="Q2118" i="1"/>
  <c r="P2118" i="1"/>
  <c r="O2118" i="1"/>
  <c r="N2118" i="1"/>
  <c r="L2118" i="1"/>
  <c r="F2118" i="1" a="1"/>
  <c r="F2118" i="1" s="1"/>
  <c r="D2118" i="1" a="1"/>
  <c r="D2118" i="1" s="1"/>
  <c r="B2118" i="1"/>
  <c r="R2117" i="1"/>
  <c r="Q2117" i="1"/>
  <c r="P2117" i="1"/>
  <c r="O2117" i="1"/>
  <c r="N2117" i="1"/>
  <c r="L2117" i="1"/>
  <c r="F2117" i="1" a="1"/>
  <c r="F2117" i="1" s="1"/>
  <c r="D2117" i="1" a="1"/>
  <c r="D2117" i="1" s="1"/>
  <c r="B2117" i="1"/>
  <c r="R2116" i="1"/>
  <c r="Q2116" i="1"/>
  <c r="P2116" i="1"/>
  <c r="O2116" i="1"/>
  <c r="N2116" i="1"/>
  <c r="L2116" i="1"/>
  <c r="F2116" i="1" a="1"/>
  <c r="F2116" i="1" s="1"/>
  <c r="D2116" i="1" a="1"/>
  <c r="D2116" i="1" s="1"/>
  <c r="B2116" i="1"/>
  <c r="R2115" i="1"/>
  <c r="Q2115" i="1"/>
  <c r="P2115" i="1"/>
  <c r="O2115" i="1"/>
  <c r="N2115" i="1"/>
  <c r="L2115" i="1"/>
  <c r="F2115" i="1" a="1"/>
  <c r="F2115" i="1" s="1"/>
  <c r="D2115" i="1" a="1"/>
  <c r="D2115" i="1" s="1"/>
  <c r="B2115" i="1"/>
  <c r="R2114" i="1"/>
  <c r="Q2114" i="1"/>
  <c r="P2114" i="1"/>
  <c r="O2114" i="1"/>
  <c r="N2114" i="1"/>
  <c r="L2114" i="1"/>
  <c r="F2114" i="1" a="1"/>
  <c r="F2114" i="1" s="1"/>
  <c r="D2114" i="1" a="1"/>
  <c r="D2114" i="1" s="1"/>
  <c r="B2114" i="1"/>
  <c r="R2113" i="1"/>
  <c r="Q2113" i="1"/>
  <c r="P2113" i="1"/>
  <c r="O2113" i="1"/>
  <c r="N2113" i="1"/>
  <c r="L2113" i="1"/>
  <c r="F2113" i="1"/>
  <c r="F2113" i="1" a="1"/>
  <c r="D2113" i="1" a="1"/>
  <c r="D2113" i="1" s="1"/>
  <c r="B2113" i="1"/>
  <c r="R2112" i="1"/>
  <c r="Q2112" i="1"/>
  <c r="P2112" i="1"/>
  <c r="O2112" i="1"/>
  <c r="N2112" i="1"/>
  <c r="L2112" i="1"/>
  <c r="F2112" i="1" a="1"/>
  <c r="F2112" i="1" s="1"/>
  <c r="D2112" i="1" a="1"/>
  <c r="D2112" i="1" s="1"/>
  <c r="B2112" i="1"/>
  <c r="R2111" i="1"/>
  <c r="Q2111" i="1"/>
  <c r="P2111" i="1"/>
  <c r="O2111" i="1"/>
  <c r="N2111" i="1"/>
  <c r="L2111" i="1"/>
  <c r="F2111" i="1"/>
  <c r="F2111" i="1" a="1"/>
  <c r="D2111" i="1" a="1"/>
  <c r="D2111" i="1" s="1"/>
  <c r="B2111" i="1"/>
  <c r="R2110" i="1"/>
  <c r="Q2110" i="1"/>
  <c r="P2110" i="1"/>
  <c r="O2110" i="1"/>
  <c r="N2110" i="1"/>
  <c r="L2110" i="1"/>
  <c r="F2110" i="1" a="1"/>
  <c r="F2110" i="1" s="1"/>
  <c r="D2110" i="1" a="1"/>
  <c r="D2110" i="1" s="1"/>
  <c r="B2110" i="1"/>
  <c r="R2109" i="1"/>
  <c r="Q2109" i="1"/>
  <c r="P2109" i="1"/>
  <c r="O2109" i="1"/>
  <c r="N2109" i="1"/>
  <c r="L2109" i="1"/>
  <c r="F2109" i="1" a="1"/>
  <c r="F2109" i="1" s="1"/>
  <c r="D2109" i="1" a="1"/>
  <c r="D2109" i="1" s="1"/>
  <c r="B2109" i="1"/>
  <c r="R2108" i="1"/>
  <c r="Q2108" i="1"/>
  <c r="P2108" i="1"/>
  <c r="O2108" i="1"/>
  <c r="N2108" i="1"/>
  <c r="L2108" i="1"/>
  <c r="F2108" i="1" a="1"/>
  <c r="F2108" i="1" s="1"/>
  <c r="D2108" i="1" a="1"/>
  <c r="D2108" i="1" s="1"/>
  <c r="B2108" i="1"/>
  <c r="R2107" i="1"/>
  <c r="Q2107" i="1"/>
  <c r="P2107" i="1"/>
  <c r="O2107" i="1"/>
  <c r="N2107" i="1"/>
  <c r="L2107" i="1"/>
  <c r="F2107" i="1" a="1"/>
  <c r="F2107" i="1" s="1"/>
  <c r="D2107" i="1" a="1"/>
  <c r="D2107" i="1" s="1"/>
  <c r="B2107" i="1"/>
  <c r="R2106" i="1"/>
  <c r="Q2106" i="1"/>
  <c r="P2106" i="1"/>
  <c r="O2106" i="1"/>
  <c r="N2106" i="1"/>
  <c r="L2106" i="1"/>
  <c r="F2106" i="1" a="1"/>
  <c r="F2106" i="1" s="1"/>
  <c r="D2106" i="1" a="1"/>
  <c r="D2106" i="1" s="1"/>
  <c r="B2106" i="1"/>
  <c r="R2105" i="1"/>
  <c r="Q2105" i="1"/>
  <c r="P2105" i="1"/>
  <c r="O2105" i="1"/>
  <c r="N2105" i="1"/>
  <c r="L2105" i="1"/>
  <c r="F2105" i="1"/>
  <c r="F2105" i="1" a="1"/>
  <c r="D2105" i="1" a="1"/>
  <c r="D2105" i="1" s="1"/>
  <c r="B2105" i="1"/>
  <c r="R2104" i="1"/>
  <c r="Q2104" i="1"/>
  <c r="P2104" i="1"/>
  <c r="O2104" i="1"/>
  <c r="N2104" i="1"/>
  <c r="L2104" i="1"/>
  <c r="F2104" i="1" a="1"/>
  <c r="F2104" i="1" s="1"/>
  <c r="D2104" i="1" a="1"/>
  <c r="D2104" i="1" s="1"/>
  <c r="B2104" i="1"/>
  <c r="R2103" i="1"/>
  <c r="Q2103" i="1"/>
  <c r="P2103" i="1"/>
  <c r="O2103" i="1"/>
  <c r="N2103" i="1"/>
  <c r="L2103" i="1"/>
  <c r="F2103" i="1"/>
  <c r="F2103" i="1" a="1"/>
  <c r="D2103" i="1" a="1"/>
  <c r="D2103" i="1" s="1"/>
  <c r="B2103" i="1"/>
  <c r="R2102" i="1"/>
  <c r="Q2102" i="1"/>
  <c r="P2102" i="1"/>
  <c r="O2102" i="1"/>
  <c r="N2102" i="1"/>
  <c r="L2102" i="1"/>
  <c r="F2102" i="1" a="1"/>
  <c r="F2102" i="1" s="1"/>
  <c r="D2102" i="1" a="1"/>
  <c r="D2102" i="1" s="1"/>
  <c r="B2102" i="1"/>
  <c r="R2101" i="1"/>
  <c r="Q2101" i="1"/>
  <c r="P2101" i="1"/>
  <c r="O2101" i="1"/>
  <c r="N2101" i="1"/>
  <c r="L2101" i="1"/>
  <c r="F2101" i="1" a="1"/>
  <c r="F2101" i="1" s="1"/>
  <c r="D2101" i="1" a="1"/>
  <c r="D2101" i="1" s="1"/>
  <c r="B2101" i="1"/>
  <c r="R2100" i="1"/>
  <c r="Q2100" i="1"/>
  <c r="P2100" i="1"/>
  <c r="O2100" i="1"/>
  <c r="N2100" i="1"/>
  <c r="L2100" i="1"/>
  <c r="F2100" i="1" a="1"/>
  <c r="F2100" i="1" s="1"/>
  <c r="D2100" i="1" a="1"/>
  <c r="D2100" i="1" s="1"/>
  <c r="B2100" i="1"/>
  <c r="R2099" i="1"/>
  <c r="Q2099" i="1"/>
  <c r="P2099" i="1"/>
  <c r="O2099" i="1"/>
  <c r="N2099" i="1"/>
  <c r="L2099" i="1"/>
  <c r="F2099" i="1" a="1"/>
  <c r="F2099" i="1" s="1"/>
  <c r="D2099" i="1" a="1"/>
  <c r="D2099" i="1" s="1"/>
  <c r="B2099" i="1"/>
  <c r="R2098" i="1"/>
  <c r="Q2098" i="1"/>
  <c r="P2098" i="1"/>
  <c r="O2098" i="1"/>
  <c r="N2098" i="1"/>
  <c r="L2098" i="1"/>
  <c r="F2098" i="1" a="1"/>
  <c r="F2098" i="1" s="1"/>
  <c r="D2098" i="1" a="1"/>
  <c r="D2098" i="1" s="1"/>
  <c r="B2098" i="1"/>
  <c r="R2097" i="1"/>
  <c r="Q2097" i="1"/>
  <c r="P2097" i="1"/>
  <c r="O2097" i="1"/>
  <c r="N2097" i="1"/>
  <c r="L2097" i="1"/>
  <c r="F2097" i="1" a="1"/>
  <c r="F2097" i="1" s="1"/>
  <c r="D2097" i="1" a="1"/>
  <c r="D2097" i="1" s="1"/>
  <c r="B2097" i="1"/>
  <c r="R2096" i="1"/>
  <c r="Q2096" i="1"/>
  <c r="P2096" i="1"/>
  <c r="O2096" i="1"/>
  <c r="N2096" i="1"/>
  <c r="L2096" i="1"/>
  <c r="F2096" i="1" a="1"/>
  <c r="F2096" i="1" s="1"/>
  <c r="D2096" i="1" a="1"/>
  <c r="D2096" i="1" s="1"/>
  <c r="B2096" i="1"/>
  <c r="R2095" i="1"/>
  <c r="Q2095" i="1"/>
  <c r="P2095" i="1"/>
  <c r="O2095" i="1"/>
  <c r="N2095" i="1"/>
  <c r="L2095" i="1"/>
  <c r="F2095" i="1" a="1"/>
  <c r="F2095" i="1" s="1"/>
  <c r="D2095" i="1" a="1"/>
  <c r="D2095" i="1" s="1"/>
  <c r="B2095" i="1"/>
  <c r="R2094" i="1"/>
  <c r="Q2094" i="1"/>
  <c r="P2094" i="1"/>
  <c r="O2094" i="1"/>
  <c r="N2094" i="1"/>
  <c r="L2094" i="1"/>
  <c r="F2094" i="1"/>
  <c r="F2094" i="1" a="1"/>
  <c r="D2094" i="1" a="1"/>
  <c r="D2094" i="1" s="1"/>
  <c r="B2094" i="1"/>
  <c r="R2093" i="1"/>
  <c r="Q2093" i="1"/>
  <c r="P2093" i="1"/>
  <c r="O2093" i="1"/>
  <c r="N2093" i="1"/>
  <c r="L2093" i="1"/>
  <c r="F2093" i="1"/>
  <c r="F2093" i="1" a="1"/>
  <c r="D2093" i="1" a="1"/>
  <c r="D2093" i="1" s="1"/>
  <c r="B2093" i="1"/>
  <c r="R2092" i="1"/>
  <c r="Q2092" i="1"/>
  <c r="P2092" i="1"/>
  <c r="O2092" i="1"/>
  <c r="N2092" i="1"/>
  <c r="L2092" i="1"/>
  <c r="F2092" i="1" a="1"/>
  <c r="F2092" i="1" s="1"/>
  <c r="D2092" i="1" a="1"/>
  <c r="D2092" i="1" s="1"/>
  <c r="B2092" i="1"/>
  <c r="R2091" i="1"/>
  <c r="Q2091" i="1"/>
  <c r="P2091" i="1"/>
  <c r="O2091" i="1"/>
  <c r="N2091" i="1"/>
  <c r="L2091" i="1"/>
  <c r="F2091" i="1" a="1"/>
  <c r="F2091" i="1" s="1"/>
  <c r="D2091" i="1" a="1"/>
  <c r="D2091" i="1" s="1"/>
  <c r="B2091" i="1"/>
  <c r="R2090" i="1"/>
  <c r="Q2090" i="1"/>
  <c r="P2090" i="1"/>
  <c r="O2090" i="1"/>
  <c r="N2090" i="1"/>
  <c r="L2090" i="1"/>
  <c r="F2090" i="1"/>
  <c r="F2090" i="1" a="1"/>
  <c r="D2090" i="1" a="1"/>
  <c r="D2090" i="1" s="1"/>
  <c r="B2090" i="1"/>
  <c r="R2089" i="1"/>
  <c r="Q2089" i="1"/>
  <c r="P2089" i="1"/>
  <c r="O2089" i="1"/>
  <c r="N2089" i="1"/>
  <c r="L2089" i="1"/>
  <c r="F2089" i="1"/>
  <c r="F2089" i="1" a="1"/>
  <c r="D2089" i="1" a="1"/>
  <c r="D2089" i="1" s="1"/>
  <c r="B2089" i="1"/>
  <c r="R2088" i="1"/>
  <c r="Q2088" i="1"/>
  <c r="P2088" i="1"/>
  <c r="O2088" i="1"/>
  <c r="N2088" i="1"/>
  <c r="L2088" i="1"/>
  <c r="F2088" i="1" a="1"/>
  <c r="F2088" i="1" s="1"/>
  <c r="D2088" i="1" a="1"/>
  <c r="D2088" i="1" s="1"/>
  <c r="B2088" i="1"/>
  <c r="R2087" i="1"/>
  <c r="Q2087" i="1"/>
  <c r="P2087" i="1"/>
  <c r="O2087" i="1"/>
  <c r="N2087" i="1"/>
  <c r="L2087" i="1"/>
  <c r="F2087" i="1"/>
  <c r="F2087" i="1" a="1"/>
  <c r="D2087" i="1" a="1"/>
  <c r="D2087" i="1" s="1"/>
  <c r="B2087" i="1"/>
  <c r="R2086" i="1"/>
  <c r="Q2086" i="1"/>
  <c r="P2086" i="1"/>
  <c r="O2086" i="1"/>
  <c r="N2086" i="1"/>
  <c r="L2086" i="1"/>
  <c r="F2086" i="1"/>
  <c r="F2086" i="1" a="1"/>
  <c r="D2086" i="1" a="1"/>
  <c r="D2086" i="1" s="1"/>
  <c r="B2086" i="1"/>
  <c r="R2085" i="1"/>
  <c r="Q2085" i="1"/>
  <c r="P2085" i="1"/>
  <c r="O2085" i="1"/>
  <c r="N2085" i="1"/>
  <c r="L2085" i="1"/>
  <c r="F2085" i="1"/>
  <c r="F2085" i="1" a="1"/>
  <c r="D2085" i="1" a="1"/>
  <c r="D2085" i="1" s="1"/>
  <c r="B2085" i="1"/>
  <c r="R2084" i="1"/>
  <c r="Q2084" i="1"/>
  <c r="P2084" i="1"/>
  <c r="O2084" i="1"/>
  <c r="N2084" i="1"/>
  <c r="L2084" i="1"/>
  <c r="F2084" i="1"/>
  <c r="F2084" i="1" a="1"/>
  <c r="D2084" i="1" a="1"/>
  <c r="D2084" i="1" s="1"/>
  <c r="B2084" i="1"/>
  <c r="R2083" i="1"/>
  <c r="Q2083" i="1"/>
  <c r="P2083" i="1"/>
  <c r="O2083" i="1"/>
  <c r="N2083" i="1"/>
  <c r="L2083" i="1"/>
  <c r="F2083" i="1" a="1"/>
  <c r="F2083" i="1" s="1"/>
  <c r="D2083" i="1" a="1"/>
  <c r="D2083" i="1" s="1"/>
  <c r="B2083" i="1"/>
  <c r="R2082" i="1"/>
  <c r="Q2082" i="1"/>
  <c r="P2082" i="1"/>
  <c r="O2082" i="1"/>
  <c r="N2082" i="1"/>
  <c r="L2082" i="1"/>
  <c r="F2082" i="1"/>
  <c r="F2082" i="1" a="1"/>
  <c r="D2082" i="1" a="1"/>
  <c r="D2082" i="1" s="1"/>
  <c r="B2082" i="1"/>
  <c r="R2081" i="1"/>
  <c r="Q2081" i="1"/>
  <c r="P2081" i="1"/>
  <c r="O2081" i="1"/>
  <c r="N2081" i="1"/>
  <c r="L2081" i="1"/>
  <c r="F2081" i="1"/>
  <c r="F2081" i="1" a="1"/>
  <c r="D2081" i="1" a="1"/>
  <c r="D2081" i="1" s="1"/>
  <c r="B2081" i="1"/>
  <c r="R2080" i="1"/>
  <c r="Q2080" i="1"/>
  <c r="P2080" i="1"/>
  <c r="O2080" i="1"/>
  <c r="N2080" i="1"/>
  <c r="L2080" i="1"/>
  <c r="F2080" i="1" a="1"/>
  <c r="F2080" i="1" s="1"/>
  <c r="D2080" i="1" a="1"/>
  <c r="D2080" i="1" s="1"/>
  <c r="B2080" i="1"/>
  <c r="R2079" i="1"/>
  <c r="Q2079" i="1"/>
  <c r="P2079" i="1"/>
  <c r="O2079" i="1"/>
  <c r="N2079" i="1"/>
  <c r="L2079" i="1"/>
  <c r="F2079" i="1"/>
  <c r="F2079" i="1" a="1"/>
  <c r="D2079" i="1" a="1"/>
  <c r="D2079" i="1" s="1"/>
  <c r="B2079" i="1"/>
  <c r="R2078" i="1"/>
  <c r="Q2078" i="1"/>
  <c r="P2078" i="1"/>
  <c r="O2078" i="1"/>
  <c r="N2078" i="1"/>
  <c r="L2078" i="1"/>
  <c r="F2078" i="1"/>
  <c r="F2078" i="1" a="1"/>
  <c r="D2078" i="1" a="1"/>
  <c r="D2078" i="1" s="1"/>
  <c r="B2078" i="1"/>
  <c r="R2077" i="1"/>
  <c r="Q2077" i="1"/>
  <c r="P2077" i="1"/>
  <c r="O2077" i="1"/>
  <c r="N2077" i="1"/>
  <c r="L2077" i="1"/>
  <c r="F2077" i="1"/>
  <c r="F2077" i="1" a="1"/>
  <c r="D2077" i="1" a="1"/>
  <c r="D2077" i="1" s="1"/>
  <c r="B2077" i="1"/>
  <c r="R2076" i="1"/>
  <c r="Q2076" i="1"/>
  <c r="P2076" i="1"/>
  <c r="O2076" i="1"/>
  <c r="N2076" i="1"/>
  <c r="L2076" i="1"/>
  <c r="F2076" i="1"/>
  <c r="F2076" i="1" a="1"/>
  <c r="D2076" i="1" a="1"/>
  <c r="D2076" i="1" s="1"/>
  <c r="B2076" i="1"/>
  <c r="R2075" i="1"/>
  <c r="Q2075" i="1"/>
  <c r="P2075" i="1"/>
  <c r="O2075" i="1"/>
  <c r="N2075" i="1"/>
  <c r="L2075" i="1"/>
  <c r="F2075" i="1" a="1"/>
  <c r="F2075" i="1" s="1"/>
  <c r="D2075" i="1"/>
  <c r="D2075" i="1" a="1"/>
  <c r="B2075" i="1"/>
  <c r="R2074" i="1"/>
  <c r="Q2074" i="1"/>
  <c r="P2074" i="1"/>
  <c r="O2074" i="1"/>
  <c r="N2074" i="1"/>
  <c r="L2074" i="1"/>
  <c r="F2074" i="1"/>
  <c r="F2074" i="1" a="1"/>
  <c r="D2074" i="1" a="1"/>
  <c r="D2074" i="1" s="1"/>
  <c r="B2074" i="1"/>
  <c r="R2073" i="1"/>
  <c r="Q2073" i="1"/>
  <c r="P2073" i="1"/>
  <c r="O2073" i="1"/>
  <c r="N2073" i="1"/>
  <c r="L2073" i="1"/>
  <c r="F2073" i="1"/>
  <c r="F2073" i="1" a="1"/>
  <c r="D2073" i="1" a="1"/>
  <c r="D2073" i="1" s="1"/>
  <c r="B2073" i="1"/>
  <c r="R2072" i="1"/>
  <c r="Q2072" i="1"/>
  <c r="P2072" i="1"/>
  <c r="O2072" i="1"/>
  <c r="N2072" i="1"/>
  <c r="L2072" i="1"/>
  <c r="F2072" i="1" a="1"/>
  <c r="F2072" i="1" s="1"/>
  <c r="D2072" i="1" a="1"/>
  <c r="D2072" i="1" s="1"/>
  <c r="B2072" i="1"/>
  <c r="R2071" i="1"/>
  <c r="Q2071" i="1"/>
  <c r="P2071" i="1"/>
  <c r="O2071" i="1"/>
  <c r="N2071" i="1"/>
  <c r="L2071" i="1"/>
  <c r="F2071" i="1" a="1"/>
  <c r="F2071" i="1" s="1"/>
  <c r="D2071" i="1" a="1"/>
  <c r="D2071" i="1" s="1"/>
  <c r="B2071" i="1"/>
  <c r="R2070" i="1"/>
  <c r="Q2070" i="1"/>
  <c r="P2070" i="1"/>
  <c r="O2070" i="1"/>
  <c r="N2070" i="1"/>
  <c r="L2070" i="1"/>
  <c r="F2070" i="1"/>
  <c r="F2070" i="1" a="1"/>
  <c r="D2070" i="1" a="1"/>
  <c r="D2070" i="1" s="1"/>
  <c r="B2070" i="1"/>
  <c r="R2069" i="1"/>
  <c r="Q2069" i="1"/>
  <c r="P2069" i="1"/>
  <c r="O2069" i="1"/>
  <c r="N2069" i="1"/>
  <c r="L2069" i="1"/>
  <c r="F2069" i="1"/>
  <c r="F2069" i="1" a="1"/>
  <c r="D2069" i="1" a="1"/>
  <c r="D2069" i="1" s="1"/>
  <c r="B2069" i="1"/>
  <c r="R2068" i="1"/>
  <c r="Q2068" i="1"/>
  <c r="P2068" i="1"/>
  <c r="O2068" i="1"/>
  <c r="N2068" i="1"/>
  <c r="L2068" i="1"/>
  <c r="F2068" i="1" a="1"/>
  <c r="F2068" i="1" s="1"/>
  <c r="D2068" i="1" a="1"/>
  <c r="D2068" i="1" s="1"/>
  <c r="B2068" i="1"/>
  <c r="R2067" i="1"/>
  <c r="Q2067" i="1"/>
  <c r="P2067" i="1"/>
  <c r="O2067" i="1"/>
  <c r="N2067" i="1"/>
  <c r="L2067" i="1"/>
  <c r="F2067" i="1" a="1"/>
  <c r="F2067" i="1" s="1"/>
  <c r="D2067" i="1"/>
  <c r="D2067" i="1" a="1"/>
  <c r="B2067" i="1"/>
  <c r="R2066" i="1"/>
  <c r="Q2066" i="1"/>
  <c r="P2066" i="1"/>
  <c r="O2066" i="1"/>
  <c r="N2066" i="1"/>
  <c r="L2066" i="1"/>
  <c r="F2066" i="1"/>
  <c r="F2066" i="1" a="1"/>
  <c r="D2066" i="1" a="1"/>
  <c r="D2066" i="1" s="1"/>
  <c r="B2066" i="1"/>
  <c r="R2065" i="1"/>
  <c r="Q2065" i="1"/>
  <c r="P2065" i="1"/>
  <c r="O2065" i="1"/>
  <c r="N2065" i="1"/>
  <c r="L2065" i="1"/>
  <c r="F2065" i="1"/>
  <c r="F2065" i="1" a="1"/>
  <c r="D2065" i="1" a="1"/>
  <c r="D2065" i="1" s="1"/>
  <c r="B2065" i="1"/>
  <c r="R2064" i="1"/>
  <c r="Q2064" i="1"/>
  <c r="P2064" i="1"/>
  <c r="O2064" i="1"/>
  <c r="N2064" i="1"/>
  <c r="L2064" i="1"/>
  <c r="F2064" i="1" a="1"/>
  <c r="F2064" i="1" s="1"/>
  <c r="D2064" i="1" a="1"/>
  <c r="D2064" i="1" s="1"/>
  <c r="B2064" i="1"/>
  <c r="R2063" i="1"/>
  <c r="Q2063" i="1"/>
  <c r="P2063" i="1"/>
  <c r="O2063" i="1"/>
  <c r="N2063" i="1"/>
  <c r="L2063" i="1"/>
  <c r="F2063" i="1" a="1"/>
  <c r="F2063" i="1" s="1"/>
  <c r="D2063" i="1" a="1"/>
  <c r="D2063" i="1" s="1"/>
  <c r="B2063" i="1"/>
  <c r="R2062" i="1"/>
  <c r="Q2062" i="1"/>
  <c r="P2062" i="1"/>
  <c r="O2062" i="1"/>
  <c r="N2062" i="1"/>
  <c r="L2062" i="1"/>
  <c r="F2062" i="1"/>
  <c r="F2062" i="1" a="1"/>
  <c r="D2062" i="1" a="1"/>
  <c r="D2062" i="1" s="1"/>
  <c r="B2062" i="1"/>
  <c r="R2061" i="1"/>
  <c r="Q2061" i="1"/>
  <c r="P2061" i="1"/>
  <c r="O2061" i="1"/>
  <c r="N2061" i="1"/>
  <c r="L2061" i="1"/>
  <c r="F2061" i="1"/>
  <c r="F2061" i="1" a="1"/>
  <c r="D2061" i="1" a="1"/>
  <c r="D2061" i="1" s="1"/>
  <c r="B2061" i="1"/>
  <c r="R2060" i="1"/>
  <c r="Q2060" i="1"/>
  <c r="P2060" i="1"/>
  <c r="O2060" i="1"/>
  <c r="N2060" i="1"/>
  <c r="L2060" i="1"/>
  <c r="F2060" i="1" a="1"/>
  <c r="F2060" i="1" s="1"/>
  <c r="D2060" i="1" a="1"/>
  <c r="D2060" i="1" s="1"/>
  <c r="B2060" i="1"/>
  <c r="R2059" i="1"/>
  <c r="Q2059" i="1"/>
  <c r="P2059" i="1"/>
  <c r="O2059" i="1"/>
  <c r="N2059" i="1"/>
  <c r="L2059" i="1"/>
  <c r="F2059" i="1" a="1"/>
  <c r="F2059" i="1" s="1"/>
  <c r="D2059" i="1" a="1"/>
  <c r="D2059" i="1" s="1"/>
  <c r="B2059" i="1"/>
  <c r="R2058" i="1"/>
  <c r="Q2058" i="1"/>
  <c r="P2058" i="1"/>
  <c r="O2058" i="1"/>
  <c r="N2058" i="1"/>
  <c r="L2058" i="1"/>
  <c r="F2058" i="1"/>
  <c r="F2058" i="1" a="1"/>
  <c r="D2058" i="1" a="1"/>
  <c r="D2058" i="1" s="1"/>
  <c r="B2058" i="1"/>
  <c r="R2057" i="1"/>
  <c r="Q2057" i="1"/>
  <c r="P2057" i="1"/>
  <c r="O2057" i="1"/>
  <c r="N2057" i="1"/>
  <c r="L2057" i="1"/>
  <c r="F2057" i="1"/>
  <c r="F2057" i="1" a="1"/>
  <c r="D2057" i="1" a="1"/>
  <c r="D2057" i="1" s="1"/>
  <c r="B2057" i="1"/>
  <c r="R2056" i="1"/>
  <c r="Q2056" i="1"/>
  <c r="P2056" i="1"/>
  <c r="O2056" i="1"/>
  <c r="N2056" i="1"/>
  <c r="L2056" i="1"/>
  <c r="F2056" i="1" a="1"/>
  <c r="F2056" i="1" s="1"/>
  <c r="D2056" i="1" a="1"/>
  <c r="D2056" i="1" s="1"/>
  <c r="B2056" i="1"/>
  <c r="R2055" i="1"/>
  <c r="Q2055" i="1"/>
  <c r="P2055" i="1"/>
  <c r="O2055" i="1"/>
  <c r="N2055" i="1"/>
  <c r="L2055" i="1"/>
  <c r="F2055" i="1" a="1"/>
  <c r="F2055" i="1" s="1"/>
  <c r="D2055" i="1" a="1"/>
  <c r="D2055" i="1" s="1"/>
  <c r="B2055" i="1"/>
  <c r="R2054" i="1"/>
  <c r="Q2054" i="1"/>
  <c r="P2054" i="1"/>
  <c r="O2054" i="1"/>
  <c r="N2054" i="1"/>
  <c r="L2054" i="1"/>
  <c r="F2054" i="1"/>
  <c r="F2054" i="1" a="1"/>
  <c r="D2054" i="1" a="1"/>
  <c r="D2054" i="1" s="1"/>
  <c r="B2054" i="1"/>
  <c r="R2053" i="1"/>
  <c r="Q2053" i="1"/>
  <c r="P2053" i="1"/>
  <c r="O2053" i="1"/>
  <c r="N2053" i="1"/>
  <c r="L2053" i="1"/>
  <c r="F2053" i="1"/>
  <c r="F2053" i="1" a="1"/>
  <c r="D2053" i="1" a="1"/>
  <c r="D2053" i="1" s="1"/>
  <c r="B2053" i="1"/>
  <c r="R2052" i="1"/>
  <c r="Q2052" i="1"/>
  <c r="P2052" i="1"/>
  <c r="O2052" i="1"/>
  <c r="N2052" i="1"/>
  <c r="L2052" i="1"/>
  <c r="F2052" i="1" a="1"/>
  <c r="F2052" i="1" s="1"/>
  <c r="D2052" i="1" a="1"/>
  <c r="D2052" i="1" s="1"/>
  <c r="B2052" i="1"/>
  <c r="R2051" i="1"/>
  <c r="Q2051" i="1"/>
  <c r="P2051" i="1"/>
  <c r="O2051" i="1"/>
  <c r="N2051" i="1"/>
  <c r="L2051" i="1"/>
  <c r="F2051" i="1" a="1"/>
  <c r="F2051" i="1" s="1"/>
  <c r="D2051" i="1" a="1"/>
  <c r="D2051" i="1" s="1"/>
  <c r="B2051" i="1"/>
  <c r="R2050" i="1"/>
  <c r="Q2050" i="1"/>
  <c r="P2050" i="1"/>
  <c r="O2050" i="1"/>
  <c r="N2050" i="1"/>
  <c r="L2050" i="1"/>
  <c r="F2050" i="1"/>
  <c r="F2050" i="1" a="1"/>
  <c r="D2050" i="1" a="1"/>
  <c r="D2050" i="1" s="1"/>
  <c r="B2050" i="1"/>
  <c r="R2049" i="1"/>
  <c r="Q2049" i="1"/>
  <c r="P2049" i="1"/>
  <c r="O2049" i="1"/>
  <c r="N2049" i="1"/>
  <c r="L2049" i="1"/>
  <c r="F2049" i="1"/>
  <c r="F2049" i="1" a="1"/>
  <c r="D2049" i="1" a="1"/>
  <c r="D2049" i="1" s="1"/>
  <c r="B2049" i="1"/>
  <c r="R2048" i="1"/>
  <c r="Q2048" i="1"/>
  <c r="P2048" i="1"/>
  <c r="O2048" i="1"/>
  <c r="N2048" i="1"/>
  <c r="L2048" i="1"/>
  <c r="F2048" i="1" a="1"/>
  <c r="F2048" i="1" s="1"/>
  <c r="D2048" i="1" a="1"/>
  <c r="D2048" i="1" s="1"/>
  <c r="B2048" i="1"/>
  <c r="R2047" i="1"/>
  <c r="Q2047" i="1"/>
  <c r="P2047" i="1"/>
  <c r="O2047" i="1"/>
  <c r="N2047" i="1"/>
  <c r="L2047" i="1"/>
  <c r="F2047" i="1" a="1"/>
  <c r="F2047" i="1" s="1"/>
  <c r="D2047" i="1" a="1"/>
  <c r="D2047" i="1" s="1"/>
  <c r="B2047" i="1"/>
  <c r="R2046" i="1"/>
  <c r="Q2046" i="1"/>
  <c r="P2046" i="1"/>
  <c r="O2046" i="1"/>
  <c r="N2046" i="1"/>
  <c r="L2046" i="1"/>
  <c r="F2046" i="1"/>
  <c r="F2046" i="1" a="1"/>
  <c r="D2046" i="1" a="1"/>
  <c r="D2046" i="1" s="1"/>
  <c r="B2046" i="1"/>
  <c r="R2045" i="1"/>
  <c r="Q2045" i="1"/>
  <c r="P2045" i="1"/>
  <c r="O2045" i="1"/>
  <c r="N2045" i="1"/>
  <c r="L2045" i="1"/>
  <c r="F2045" i="1"/>
  <c r="F2045" i="1" a="1"/>
  <c r="D2045" i="1" a="1"/>
  <c r="D2045" i="1" s="1"/>
  <c r="B2045" i="1"/>
  <c r="R2044" i="1"/>
  <c r="Q2044" i="1"/>
  <c r="P2044" i="1"/>
  <c r="O2044" i="1"/>
  <c r="N2044" i="1"/>
  <c r="L2044" i="1"/>
  <c r="F2044" i="1" a="1"/>
  <c r="F2044" i="1" s="1"/>
  <c r="D2044" i="1" a="1"/>
  <c r="D2044" i="1" s="1"/>
  <c r="B2044" i="1"/>
  <c r="R2043" i="1"/>
  <c r="Q2043" i="1"/>
  <c r="P2043" i="1"/>
  <c r="O2043" i="1"/>
  <c r="N2043" i="1"/>
  <c r="L2043" i="1"/>
  <c r="F2043" i="1" a="1"/>
  <c r="F2043" i="1" s="1"/>
  <c r="D2043" i="1" a="1"/>
  <c r="D2043" i="1" s="1"/>
  <c r="B2043" i="1"/>
  <c r="R2042" i="1"/>
  <c r="Q2042" i="1"/>
  <c r="P2042" i="1"/>
  <c r="O2042" i="1"/>
  <c r="N2042" i="1"/>
  <c r="L2042" i="1"/>
  <c r="F2042" i="1"/>
  <c r="F2042" i="1" a="1"/>
  <c r="D2042" i="1" a="1"/>
  <c r="D2042" i="1" s="1"/>
  <c r="B2042" i="1"/>
  <c r="R2041" i="1"/>
  <c r="Q2041" i="1"/>
  <c r="P2041" i="1"/>
  <c r="O2041" i="1"/>
  <c r="N2041" i="1"/>
  <c r="L2041" i="1"/>
  <c r="F2041" i="1"/>
  <c r="F2041" i="1" a="1"/>
  <c r="D2041" i="1" a="1"/>
  <c r="D2041" i="1" s="1"/>
  <c r="B2041" i="1"/>
  <c r="R2040" i="1"/>
  <c r="Q2040" i="1"/>
  <c r="P2040" i="1"/>
  <c r="O2040" i="1"/>
  <c r="N2040" i="1"/>
  <c r="L2040" i="1"/>
  <c r="F2040" i="1" a="1"/>
  <c r="F2040" i="1" s="1"/>
  <c r="D2040" i="1" a="1"/>
  <c r="D2040" i="1" s="1"/>
  <c r="B2040" i="1"/>
  <c r="R2039" i="1"/>
  <c r="Q2039" i="1"/>
  <c r="P2039" i="1"/>
  <c r="O2039" i="1"/>
  <c r="N2039" i="1"/>
  <c r="L2039" i="1"/>
  <c r="F2039" i="1" a="1"/>
  <c r="F2039" i="1" s="1"/>
  <c r="D2039" i="1" a="1"/>
  <c r="D2039" i="1" s="1"/>
  <c r="B2039" i="1"/>
  <c r="R2038" i="1"/>
  <c r="Q2038" i="1"/>
  <c r="P2038" i="1"/>
  <c r="O2038" i="1"/>
  <c r="N2038" i="1"/>
  <c r="L2038" i="1"/>
  <c r="F2038" i="1"/>
  <c r="F2038" i="1" a="1"/>
  <c r="D2038" i="1" a="1"/>
  <c r="D2038" i="1" s="1"/>
  <c r="B2038" i="1"/>
  <c r="R2037" i="1"/>
  <c r="Q2037" i="1"/>
  <c r="P2037" i="1"/>
  <c r="O2037" i="1"/>
  <c r="N2037" i="1"/>
  <c r="L2037" i="1"/>
  <c r="F2037" i="1"/>
  <c r="F2037" i="1" a="1"/>
  <c r="D2037" i="1" a="1"/>
  <c r="D2037" i="1" s="1"/>
  <c r="B2037" i="1"/>
  <c r="R2036" i="1"/>
  <c r="Q2036" i="1"/>
  <c r="P2036" i="1"/>
  <c r="O2036" i="1"/>
  <c r="N2036" i="1"/>
  <c r="L2036" i="1"/>
  <c r="F2036" i="1" a="1"/>
  <c r="F2036" i="1" s="1"/>
  <c r="D2036" i="1" a="1"/>
  <c r="D2036" i="1" s="1"/>
  <c r="B2036" i="1"/>
  <c r="R2035" i="1"/>
  <c r="Q2035" i="1"/>
  <c r="P2035" i="1"/>
  <c r="O2035" i="1"/>
  <c r="N2035" i="1"/>
  <c r="L2035" i="1"/>
  <c r="F2035" i="1" a="1"/>
  <c r="F2035" i="1" s="1"/>
  <c r="D2035" i="1" a="1"/>
  <c r="D2035" i="1" s="1"/>
  <c r="B2035" i="1"/>
  <c r="R2034" i="1"/>
  <c r="Q2034" i="1"/>
  <c r="P2034" i="1"/>
  <c r="O2034" i="1"/>
  <c r="N2034" i="1"/>
  <c r="L2034" i="1"/>
  <c r="F2034" i="1"/>
  <c r="F2034" i="1" a="1"/>
  <c r="D2034" i="1" a="1"/>
  <c r="D2034" i="1" s="1"/>
  <c r="B2034" i="1"/>
  <c r="R2033" i="1"/>
  <c r="Q2033" i="1"/>
  <c r="P2033" i="1"/>
  <c r="O2033" i="1"/>
  <c r="N2033" i="1"/>
  <c r="L2033" i="1"/>
  <c r="F2033" i="1"/>
  <c r="F2033" i="1" a="1"/>
  <c r="D2033" i="1" a="1"/>
  <c r="D2033" i="1" s="1"/>
  <c r="B2033" i="1"/>
  <c r="R2032" i="1"/>
  <c r="Q2032" i="1"/>
  <c r="P2032" i="1"/>
  <c r="O2032" i="1"/>
  <c r="N2032" i="1"/>
  <c r="L2032" i="1"/>
  <c r="F2032" i="1" a="1"/>
  <c r="F2032" i="1" s="1"/>
  <c r="D2032" i="1" a="1"/>
  <c r="D2032" i="1" s="1"/>
  <c r="B2032" i="1"/>
  <c r="R2031" i="1"/>
  <c r="Q2031" i="1"/>
  <c r="P2031" i="1"/>
  <c r="O2031" i="1"/>
  <c r="N2031" i="1"/>
  <c r="L2031" i="1"/>
  <c r="F2031" i="1" a="1"/>
  <c r="F2031" i="1" s="1"/>
  <c r="D2031" i="1" a="1"/>
  <c r="D2031" i="1" s="1"/>
  <c r="B2031" i="1"/>
  <c r="R2030" i="1"/>
  <c r="Q2030" i="1"/>
  <c r="P2030" i="1"/>
  <c r="O2030" i="1"/>
  <c r="N2030" i="1"/>
  <c r="L2030" i="1"/>
  <c r="F2030" i="1"/>
  <c r="F2030" i="1" a="1"/>
  <c r="D2030" i="1" a="1"/>
  <c r="D2030" i="1" s="1"/>
  <c r="B2030" i="1"/>
  <c r="R2029" i="1"/>
  <c r="Q2029" i="1"/>
  <c r="P2029" i="1"/>
  <c r="O2029" i="1"/>
  <c r="N2029" i="1"/>
  <c r="L2029" i="1"/>
  <c r="F2029" i="1"/>
  <c r="F2029" i="1" a="1"/>
  <c r="D2029" i="1" a="1"/>
  <c r="D2029" i="1" s="1"/>
  <c r="B2029" i="1"/>
  <c r="R2028" i="1"/>
  <c r="Q2028" i="1"/>
  <c r="P2028" i="1"/>
  <c r="O2028" i="1"/>
  <c r="N2028" i="1"/>
  <c r="L2028" i="1"/>
  <c r="F2028" i="1" a="1"/>
  <c r="F2028" i="1" s="1"/>
  <c r="D2028" i="1" a="1"/>
  <c r="D2028" i="1" s="1"/>
  <c r="B2028" i="1"/>
  <c r="R2027" i="1"/>
  <c r="Q2027" i="1"/>
  <c r="P2027" i="1"/>
  <c r="O2027" i="1"/>
  <c r="N2027" i="1"/>
  <c r="L2027" i="1"/>
  <c r="F2027" i="1"/>
  <c r="F2027" i="1" a="1"/>
  <c r="D2027" i="1" a="1"/>
  <c r="D2027" i="1" s="1"/>
  <c r="B2027" i="1"/>
  <c r="R2026" i="1"/>
  <c r="Q2026" i="1"/>
  <c r="P2026" i="1"/>
  <c r="O2026" i="1"/>
  <c r="N2026" i="1"/>
  <c r="L2026" i="1"/>
  <c r="F2026" i="1"/>
  <c r="F2026" i="1" a="1"/>
  <c r="D2026" i="1" a="1"/>
  <c r="D2026" i="1" s="1"/>
  <c r="B2026" i="1"/>
  <c r="R2025" i="1"/>
  <c r="Q2025" i="1"/>
  <c r="P2025" i="1"/>
  <c r="O2025" i="1"/>
  <c r="N2025" i="1"/>
  <c r="L2025" i="1"/>
  <c r="F2025" i="1"/>
  <c r="F2025" i="1" a="1"/>
  <c r="D2025" i="1" a="1"/>
  <c r="D2025" i="1" s="1"/>
  <c r="B2025" i="1"/>
  <c r="R2024" i="1"/>
  <c r="Q2024" i="1"/>
  <c r="P2024" i="1"/>
  <c r="O2024" i="1"/>
  <c r="N2024" i="1"/>
  <c r="L2024" i="1"/>
  <c r="F2024" i="1"/>
  <c r="F2024" i="1" a="1"/>
  <c r="D2024" i="1" a="1"/>
  <c r="D2024" i="1" s="1"/>
  <c r="B2024" i="1"/>
  <c r="R2023" i="1"/>
  <c r="Q2023" i="1"/>
  <c r="P2023" i="1"/>
  <c r="O2023" i="1"/>
  <c r="N2023" i="1"/>
  <c r="L2023" i="1"/>
  <c r="F2023" i="1" a="1"/>
  <c r="F2023" i="1" s="1"/>
  <c r="D2023" i="1" a="1"/>
  <c r="D2023" i="1" s="1"/>
  <c r="B2023" i="1"/>
  <c r="R2022" i="1"/>
  <c r="Q2022" i="1"/>
  <c r="P2022" i="1"/>
  <c r="O2022" i="1"/>
  <c r="N2022" i="1"/>
  <c r="L2022" i="1"/>
  <c r="F2022" i="1"/>
  <c r="F2022" i="1" a="1"/>
  <c r="D2022" i="1" a="1"/>
  <c r="D2022" i="1" s="1"/>
  <c r="B2022" i="1"/>
  <c r="R2021" i="1"/>
  <c r="Q2021" i="1"/>
  <c r="P2021" i="1"/>
  <c r="O2021" i="1"/>
  <c r="N2021" i="1"/>
  <c r="L2021" i="1"/>
  <c r="F2021" i="1"/>
  <c r="F2021" i="1" a="1"/>
  <c r="D2021" i="1" a="1"/>
  <c r="D2021" i="1" s="1"/>
  <c r="B2021" i="1"/>
  <c r="R2020" i="1"/>
  <c r="Q2020" i="1"/>
  <c r="P2020" i="1"/>
  <c r="O2020" i="1"/>
  <c r="N2020" i="1"/>
  <c r="L2020" i="1"/>
  <c r="F2020" i="1" a="1"/>
  <c r="F2020" i="1" s="1"/>
  <c r="D2020" i="1" a="1"/>
  <c r="D2020" i="1" s="1"/>
  <c r="B2020" i="1"/>
  <c r="R2019" i="1"/>
  <c r="Q2019" i="1"/>
  <c r="P2019" i="1"/>
  <c r="O2019" i="1"/>
  <c r="N2019" i="1"/>
  <c r="L2019" i="1"/>
  <c r="F2019" i="1" a="1"/>
  <c r="F2019" i="1" s="1"/>
  <c r="D2019" i="1" a="1"/>
  <c r="D2019" i="1" s="1"/>
  <c r="B2019" i="1"/>
  <c r="R2018" i="1"/>
  <c r="Q2018" i="1"/>
  <c r="P2018" i="1"/>
  <c r="O2018" i="1"/>
  <c r="N2018" i="1"/>
  <c r="L2018" i="1"/>
  <c r="F2018" i="1"/>
  <c r="F2018" i="1" a="1"/>
  <c r="D2018" i="1" a="1"/>
  <c r="D2018" i="1" s="1"/>
  <c r="B2018" i="1"/>
  <c r="R2017" i="1"/>
  <c r="Q2017" i="1"/>
  <c r="P2017" i="1"/>
  <c r="O2017" i="1"/>
  <c r="N2017" i="1"/>
  <c r="L2017" i="1"/>
  <c r="F2017" i="1"/>
  <c r="F2017" i="1" a="1"/>
  <c r="D2017" i="1"/>
  <c r="D2017" i="1" a="1"/>
  <c r="B2017" i="1"/>
  <c r="R2016" i="1"/>
  <c r="Q2016" i="1"/>
  <c r="P2016" i="1"/>
  <c r="O2016" i="1"/>
  <c r="N2016" i="1"/>
  <c r="L2016" i="1"/>
  <c r="F2016" i="1"/>
  <c r="F2016" i="1" a="1"/>
  <c r="D2016" i="1"/>
  <c r="D2016" i="1" a="1"/>
  <c r="B2016" i="1"/>
  <c r="R2015" i="1"/>
  <c r="Q2015" i="1"/>
  <c r="P2015" i="1"/>
  <c r="O2015" i="1"/>
  <c r="N2015" i="1"/>
  <c r="L2015" i="1"/>
  <c r="F2015" i="1"/>
  <c r="F2015" i="1" a="1"/>
  <c r="D2015" i="1"/>
  <c r="D2015" i="1" a="1"/>
  <c r="B2015" i="1"/>
  <c r="R2014" i="1"/>
  <c r="Q2014" i="1"/>
  <c r="P2014" i="1"/>
  <c r="O2014" i="1"/>
  <c r="N2014" i="1"/>
  <c r="L2014" i="1"/>
  <c r="F2014" i="1"/>
  <c r="F2014" i="1" a="1"/>
  <c r="D2014" i="1"/>
  <c r="D2014" i="1" a="1"/>
  <c r="B2014" i="1"/>
  <c r="R2013" i="1"/>
  <c r="Q2013" i="1"/>
  <c r="P2013" i="1"/>
  <c r="O2013" i="1"/>
  <c r="N2013" i="1"/>
  <c r="L2013" i="1"/>
  <c r="F2013" i="1"/>
  <c r="F2013" i="1" a="1"/>
  <c r="D2013" i="1"/>
  <c r="D2013" i="1" a="1"/>
  <c r="B2013" i="1"/>
  <c r="R2012" i="1"/>
  <c r="Q2012" i="1"/>
  <c r="P2012" i="1"/>
  <c r="O2012" i="1"/>
  <c r="N2012" i="1"/>
  <c r="L2012" i="1"/>
  <c r="F2012" i="1"/>
  <c r="F2012" i="1" a="1"/>
  <c r="D2012" i="1"/>
  <c r="D2012" i="1" a="1"/>
  <c r="B2012" i="1"/>
  <c r="R2011" i="1"/>
  <c r="Q2011" i="1"/>
  <c r="P2011" i="1"/>
  <c r="O2011" i="1"/>
  <c r="N2011" i="1"/>
  <c r="L2011" i="1"/>
  <c r="F2011" i="1"/>
  <c r="F2011" i="1" a="1"/>
  <c r="D2011" i="1"/>
  <c r="D2011" i="1" a="1"/>
  <c r="B2011" i="1"/>
  <c r="R2010" i="1"/>
  <c r="Q2010" i="1"/>
  <c r="P2010" i="1"/>
  <c r="O2010" i="1"/>
  <c r="N2010" i="1"/>
  <c r="L2010" i="1"/>
  <c r="F2010" i="1"/>
  <c r="F2010" i="1" a="1"/>
  <c r="D2010" i="1"/>
  <c r="D2010" i="1" a="1"/>
  <c r="B2010" i="1"/>
  <c r="R2009" i="1"/>
  <c r="Q2009" i="1"/>
  <c r="P2009" i="1"/>
  <c r="O2009" i="1"/>
  <c r="N2009" i="1"/>
  <c r="L2009" i="1"/>
  <c r="F2009" i="1"/>
  <c r="F2009" i="1" a="1"/>
  <c r="D2009" i="1"/>
  <c r="D2009" i="1" a="1"/>
  <c r="B2009" i="1"/>
  <c r="R2008" i="1"/>
  <c r="Q2008" i="1"/>
  <c r="P2008" i="1"/>
  <c r="O2008" i="1"/>
  <c r="N2008" i="1"/>
  <c r="L2008" i="1"/>
  <c r="F2008" i="1"/>
  <c r="F2008" i="1" a="1"/>
  <c r="D2008" i="1"/>
  <c r="D2008" i="1" a="1"/>
  <c r="B2008" i="1"/>
  <c r="R2007" i="1"/>
  <c r="Q2007" i="1"/>
  <c r="P2007" i="1"/>
  <c r="O2007" i="1"/>
  <c r="N2007" i="1"/>
  <c r="L2007" i="1"/>
  <c r="F2007" i="1"/>
  <c r="F2007" i="1" a="1"/>
  <c r="D2007" i="1"/>
  <c r="D2007" i="1" a="1"/>
  <c r="B2007" i="1"/>
  <c r="R2006" i="1"/>
  <c r="Q2006" i="1"/>
  <c r="P2006" i="1"/>
  <c r="O2006" i="1"/>
  <c r="N2006" i="1"/>
  <c r="L2006" i="1"/>
  <c r="F2006" i="1"/>
  <c r="F2006" i="1" a="1"/>
  <c r="D2006" i="1"/>
  <c r="D2006" i="1" a="1"/>
  <c r="B2006" i="1"/>
  <c r="R2005" i="1"/>
  <c r="Q2005" i="1"/>
  <c r="P2005" i="1"/>
  <c r="O2005" i="1"/>
  <c r="N2005" i="1"/>
  <c r="L2005" i="1"/>
  <c r="F2005" i="1"/>
  <c r="F2005" i="1" a="1"/>
  <c r="D2005" i="1"/>
  <c r="D2005" i="1" a="1"/>
  <c r="B2005" i="1"/>
  <c r="R2004" i="1"/>
  <c r="Q2004" i="1"/>
  <c r="P2004" i="1"/>
  <c r="O2004" i="1"/>
  <c r="N2004" i="1"/>
  <c r="L2004" i="1"/>
  <c r="F2004" i="1"/>
  <c r="F2004" i="1" a="1"/>
  <c r="D2004" i="1"/>
  <c r="D2004" i="1" a="1"/>
  <c r="B2004" i="1"/>
  <c r="R2003" i="1"/>
  <c r="Q2003" i="1"/>
  <c r="P2003" i="1"/>
  <c r="O2003" i="1"/>
  <c r="N2003" i="1"/>
  <c r="L2003" i="1"/>
  <c r="F2003" i="1"/>
  <c r="F2003" i="1" a="1"/>
  <c r="D2003" i="1"/>
  <c r="D2003" i="1" a="1"/>
  <c r="B2003" i="1"/>
  <c r="R2002" i="1"/>
  <c r="Q2002" i="1"/>
  <c r="P2002" i="1"/>
  <c r="O2002" i="1"/>
  <c r="N2002" i="1"/>
  <c r="L2002" i="1"/>
  <c r="F2002" i="1"/>
  <c r="F2002" i="1" a="1"/>
  <c r="D2002" i="1"/>
  <c r="D2002" i="1" a="1"/>
  <c r="B2002" i="1"/>
  <c r="R2001" i="1"/>
  <c r="Q2001" i="1"/>
  <c r="P2001" i="1"/>
  <c r="O2001" i="1"/>
  <c r="N2001" i="1"/>
  <c r="L2001" i="1"/>
  <c r="F2001" i="1"/>
  <c r="F2001" i="1" a="1"/>
  <c r="D2001" i="1"/>
  <c r="D2001" i="1" a="1"/>
  <c r="B2001" i="1"/>
  <c r="R2000" i="1"/>
  <c r="Q2000" i="1"/>
  <c r="P2000" i="1"/>
  <c r="O2000" i="1"/>
  <c r="N2000" i="1"/>
  <c r="L2000" i="1"/>
  <c r="F2000" i="1"/>
  <c r="F2000" i="1" a="1"/>
  <c r="D2000" i="1"/>
  <c r="D2000" i="1" a="1"/>
  <c r="B2000" i="1"/>
  <c r="R1999" i="1"/>
  <c r="Q1999" i="1"/>
  <c r="P1999" i="1"/>
  <c r="O1999" i="1"/>
  <c r="N1999" i="1"/>
  <c r="L1999" i="1"/>
  <c r="F1999" i="1"/>
  <c r="F1999" i="1" a="1"/>
  <c r="D1999" i="1"/>
  <c r="D1999" i="1" a="1"/>
  <c r="B1999" i="1"/>
  <c r="R1998" i="1"/>
  <c r="Q1998" i="1"/>
  <c r="P1998" i="1"/>
  <c r="O1998" i="1"/>
  <c r="N1998" i="1"/>
  <c r="L1998" i="1"/>
  <c r="F1998" i="1"/>
  <c r="F1998" i="1" a="1"/>
  <c r="D1998" i="1"/>
  <c r="D1998" i="1" a="1"/>
  <c r="B1998" i="1"/>
  <c r="R1997" i="1"/>
  <c r="Q1997" i="1"/>
  <c r="P1997" i="1"/>
  <c r="O1997" i="1"/>
  <c r="N1997" i="1"/>
  <c r="L1997" i="1"/>
  <c r="F1997" i="1"/>
  <c r="F1997" i="1" a="1"/>
  <c r="D1997" i="1"/>
  <c r="D1997" i="1" a="1"/>
  <c r="B1997" i="1"/>
  <c r="R1996" i="1"/>
  <c r="Q1996" i="1"/>
  <c r="P1996" i="1"/>
  <c r="O1996" i="1"/>
  <c r="N1996" i="1"/>
  <c r="L1996" i="1"/>
  <c r="F1996" i="1"/>
  <c r="F1996" i="1" a="1"/>
  <c r="D1996" i="1"/>
  <c r="D1996" i="1" a="1"/>
  <c r="B1996" i="1"/>
  <c r="R1995" i="1"/>
  <c r="Q1995" i="1"/>
  <c r="P1995" i="1"/>
  <c r="O1995" i="1"/>
  <c r="N1995" i="1"/>
  <c r="L1995" i="1"/>
  <c r="F1995" i="1"/>
  <c r="F1995" i="1" a="1"/>
  <c r="D1995" i="1"/>
  <c r="D1995" i="1" a="1"/>
  <c r="B1995" i="1"/>
  <c r="R1994" i="1"/>
  <c r="Q1994" i="1"/>
  <c r="P1994" i="1"/>
  <c r="O1994" i="1"/>
  <c r="N1994" i="1"/>
  <c r="L1994" i="1"/>
  <c r="F1994" i="1"/>
  <c r="F1994" i="1" a="1"/>
  <c r="D1994" i="1"/>
  <c r="D1994" i="1" a="1"/>
  <c r="B1994" i="1"/>
  <c r="R1993" i="1"/>
  <c r="Q1993" i="1"/>
  <c r="P1993" i="1"/>
  <c r="O1993" i="1"/>
  <c r="N1993" i="1"/>
  <c r="L1993" i="1"/>
  <c r="F1993" i="1"/>
  <c r="F1993" i="1" a="1"/>
  <c r="D1993" i="1"/>
  <c r="D1993" i="1" a="1"/>
  <c r="B1993" i="1"/>
  <c r="R1992" i="1"/>
  <c r="Q1992" i="1"/>
  <c r="P1992" i="1"/>
  <c r="O1992" i="1"/>
  <c r="N1992" i="1"/>
  <c r="L1992" i="1"/>
  <c r="F1992" i="1"/>
  <c r="F1992" i="1" a="1"/>
  <c r="D1992" i="1"/>
  <c r="D1992" i="1" a="1"/>
  <c r="B1992" i="1"/>
  <c r="R1991" i="1"/>
  <c r="Q1991" i="1"/>
  <c r="P1991" i="1"/>
  <c r="O1991" i="1"/>
  <c r="N1991" i="1"/>
  <c r="L1991" i="1"/>
  <c r="F1991" i="1"/>
  <c r="F1991" i="1" a="1"/>
  <c r="D1991" i="1"/>
  <c r="D1991" i="1" a="1"/>
  <c r="B1991" i="1"/>
  <c r="R1990" i="1"/>
  <c r="Q1990" i="1"/>
  <c r="P1990" i="1"/>
  <c r="O1990" i="1"/>
  <c r="N1990" i="1"/>
  <c r="L1990" i="1"/>
  <c r="F1990" i="1"/>
  <c r="F1990" i="1" a="1"/>
  <c r="D1990" i="1"/>
  <c r="D1990" i="1" a="1"/>
  <c r="B1990" i="1"/>
  <c r="R1989" i="1"/>
  <c r="Q1989" i="1"/>
  <c r="P1989" i="1"/>
  <c r="O1989" i="1"/>
  <c r="N1989" i="1"/>
  <c r="L1989" i="1"/>
  <c r="F1989" i="1"/>
  <c r="F1989" i="1" a="1"/>
  <c r="D1989" i="1"/>
  <c r="D1989" i="1" a="1"/>
  <c r="B1989" i="1"/>
  <c r="R1988" i="1"/>
  <c r="Q1988" i="1"/>
  <c r="P1988" i="1"/>
  <c r="O1988" i="1"/>
  <c r="N1988" i="1"/>
  <c r="L1988" i="1"/>
  <c r="F1988" i="1"/>
  <c r="F1988" i="1" a="1"/>
  <c r="D1988" i="1"/>
  <c r="D1988" i="1" a="1"/>
  <c r="B1988" i="1"/>
  <c r="R1987" i="1"/>
  <c r="Q1987" i="1"/>
  <c r="P1987" i="1"/>
  <c r="O1987" i="1"/>
  <c r="N1987" i="1"/>
  <c r="L1987" i="1"/>
  <c r="F1987" i="1"/>
  <c r="F1987" i="1" a="1"/>
  <c r="D1987" i="1"/>
  <c r="D1987" i="1" a="1"/>
  <c r="B1987" i="1"/>
  <c r="R1986" i="1"/>
  <c r="Q1986" i="1"/>
  <c r="P1986" i="1"/>
  <c r="O1986" i="1"/>
  <c r="N1986" i="1"/>
  <c r="L1986" i="1"/>
  <c r="F1986" i="1"/>
  <c r="F1986" i="1" a="1"/>
  <c r="D1986" i="1"/>
  <c r="D1986" i="1" a="1"/>
  <c r="B1986" i="1"/>
  <c r="R1985" i="1"/>
  <c r="Q1985" i="1"/>
  <c r="P1985" i="1"/>
  <c r="O1985" i="1"/>
  <c r="N1985" i="1"/>
  <c r="L1985" i="1"/>
  <c r="F1985" i="1"/>
  <c r="F1985" i="1" a="1"/>
  <c r="D1985" i="1"/>
  <c r="D1985" i="1" a="1"/>
  <c r="B1985" i="1"/>
  <c r="R1984" i="1"/>
  <c r="Q1984" i="1"/>
  <c r="P1984" i="1"/>
  <c r="O1984" i="1"/>
  <c r="N1984" i="1"/>
  <c r="L1984" i="1"/>
  <c r="F1984" i="1"/>
  <c r="F1984" i="1" a="1"/>
  <c r="D1984" i="1"/>
  <c r="D1984" i="1" a="1"/>
  <c r="B1984" i="1"/>
  <c r="R1983" i="1"/>
  <c r="Q1983" i="1"/>
  <c r="P1983" i="1"/>
  <c r="O1983" i="1"/>
  <c r="N1983" i="1"/>
  <c r="L1983" i="1"/>
  <c r="F1983" i="1"/>
  <c r="F1983" i="1" a="1"/>
  <c r="D1983" i="1"/>
  <c r="D1983" i="1" a="1"/>
  <c r="B1983" i="1"/>
  <c r="R1982" i="1"/>
  <c r="Q1982" i="1"/>
  <c r="P1982" i="1"/>
  <c r="O1982" i="1"/>
  <c r="N1982" i="1"/>
  <c r="L1982" i="1"/>
  <c r="F1982" i="1"/>
  <c r="F1982" i="1" a="1"/>
  <c r="D1982" i="1"/>
  <c r="D1982" i="1" a="1"/>
  <c r="B1982" i="1"/>
  <c r="R1981" i="1"/>
  <c r="Q1981" i="1"/>
  <c r="P1981" i="1"/>
  <c r="O1981" i="1"/>
  <c r="N1981" i="1"/>
  <c r="L1981" i="1"/>
  <c r="F1981" i="1"/>
  <c r="F1981" i="1" a="1"/>
  <c r="D1981" i="1"/>
  <c r="D1981" i="1" a="1"/>
  <c r="B1981" i="1"/>
  <c r="R1980" i="1"/>
  <c r="Q1980" i="1"/>
  <c r="P1980" i="1"/>
  <c r="O1980" i="1"/>
  <c r="N1980" i="1"/>
  <c r="L1980" i="1"/>
  <c r="F1980" i="1"/>
  <c r="F1980" i="1" a="1"/>
  <c r="D1980" i="1"/>
  <c r="D1980" i="1" a="1"/>
  <c r="B1980" i="1"/>
  <c r="R1979" i="1"/>
  <c r="Q1979" i="1"/>
  <c r="P1979" i="1"/>
  <c r="O1979" i="1"/>
  <c r="N1979" i="1"/>
  <c r="L1979" i="1"/>
  <c r="F1979" i="1"/>
  <c r="F1979" i="1" a="1"/>
  <c r="D1979" i="1"/>
  <c r="D1979" i="1" a="1"/>
  <c r="B1979" i="1"/>
  <c r="R1978" i="1"/>
  <c r="Q1978" i="1"/>
  <c r="P1978" i="1"/>
  <c r="O1978" i="1"/>
  <c r="N1978" i="1"/>
  <c r="L1978" i="1"/>
  <c r="F1978" i="1"/>
  <c r="F1978" i="1" a="1"/>
  <c r="D1978" i="1"/>
  <c r="D1978" i="1" a="1"/>
  <c r="B1978" i="1"/>
  <c r="R1977" i="1"/>
  <c r="Q1977" i="1"/>
  <c r="P1977" i="1"/>
  <c r="O1977" i="1"/>
  <c r="N1977" i="1"/>
  <c r="L1977" i="1"/>
  <c r="F1977" i="1"/>
  <c r="F1977" i="1" a="1"/>
  <c r="D1977" i="1"/>
  <c r="D1977" i="1" a="1"/>
  <c r="B1977" i="1"/>
  <c r="R1976" i="1"/>
  <c r="Q1976" i="1"/>
  <c r="P1976" i="1"/>
  <c r="O1976" i="1"/>
  <c r="N1976" i="1"/>
  <c r="L1976" i="1"/>
  <c r="F1976" i="1"/>
  <c r="F1976" i="1" a="1"/>
  <c r="D1976" i="1"/>
  <c r="D1976" i="1" a="1"/>
  <c r="B1976" i="1"/>
  <c r="R1975" i="1"/>
  <c r="Q1975" i="1"/>
  <c r="P1975" i="1"/>
  <c r="O1975" i="1"/>
  <c r="N1975" i="1"/>
  <c r="L1975" i="1"/>
  <c r="F1975" i="1"/>
  <c r="F1975" i="1" a="1"/>
  <c r="D1975" i="1"/>
  <c r="D1975" i="1" a="1"/>
  <c r="B1975" i="1"/>
  <c r="R1974" i="1"/>
  <c r="Q1974" i="1"/>
  <c r="P1974" i="1"/>
  <c r="O1974" i="1"/>
  <c r="N1974" i="1"/>
  <c r="L1974" i="1"/>
  <c r="F1974" i="1"/>
  <c r="F1974" i="1" a="1"/>
  <c r="D1974" i="1"/>
  <c r="D1974" i="1" a="1"/>
  <c r="B1974" i="1"/>
  <c r="R1973" i="1"/>
  <c r="Q1973" i="1"/>
  <c r="P1973" i="1"/>
  <c r="O1973" i="1"/>
  <c r="N1973" i="1"/>
  <c r="L1973" i="1"/>
  <c r="F1973" i="1"/>
  <c r="F1973" i="1" a="1"/>
  <c r="D1973" i="1"/>
  <c r="D1973" i="1" a="1"/>
  <c r="B1973" i="1"/>
  <c r="R1972" i="1"/>
  <c r="Q1972" i="1"/>
  <c r="P1972" i="1"/>
  <c r="O1972" i="1"/>
  <c r="N1972" i="1"/>
  <c r="L1972" i="1"/>
  <c r="F1972" i="1"/>
  <c r="F1972" i="1" a="1"/>
  <c r="D1972" i="1"/>
  <c r="D1972" i="1" a="1"/>
  <c r="B1972" i="1"/>
  <c r="R1971" i="1"/>
  <c r="Q1971" i="1"/>
  <c r="P1971" i="1"/>
  <c r="O1971" i="1"/>
  <c r="N1971" i="1"/>
  <c r="L1971" i="1"/>
  <c r="F1971" i="1"/>
  <c r="F1971" i="1" a="1"/>
  <c r="D1971" i="1"/>
  <c r="D1971" i="1" a="1"/>
  <c r="B1971" i="1"/>
  <c r="R1970" i="1"/>
  <c r="Q1970" i="1"/>
  <c r="P1970" i="1"/>
  <c r="O1970" i="1"/>
  <c r="N1970" i="1"/>
  <c r="L1970" i="1"/>
  <c r="F1970" i="1"/>
  <c r="F1970" i="1" a="1"/>
  <c r="D1970" i="1"/>
  <c r="D1970" i="1" a="1"/>
  <c r="B1970" i="1"/>
  <c r="R1969" i="1"/>
  <c r="Q1969" i="1"/>
  <c r="P1969" i="1"/>
  <c r="O1969" i="1"/>
  <c r="N1969" i="1"/>
  <c r="L1969" i="1"/>
  <c r="F1969" i="1"/>
  <c r="F1969" i="1" a="1"/>
  <c r="D1969" i="1"/>
  <c r="D1969" i="1" a="1"/>
  <c r="B1969" i="1"/>
  <c r="R1968" i="1"/>
  <c r="Q1968" i="1"/>
  <c r="P1968" i="1"/>
  <c r="O1968" i="1"/>
  <c r="N1968" i="1"/>
  <c r="L1968" i="1"/>
  <c r="F1968" i="1"/>
  <c r="F1968" i="1" a="1"/>
  <c r="D1968" i="1"/>
  <c r="D1968" i="1" a="1"/>
  <c r="B1968" i="1"/>
  <c r="R1967" i="1"/>
  <c r="Q1967" i="1"/>
  <c r="P1967" i="1"/>
  <c r="O1967" i="1"/>
  <c r="N1967" i="1"/>
  <c r="L1967" i="1"/>
  <c r="F1967" i="1"/>
  <c r="F1967" i="1" a="1"/>
  <c r="D1967" i="1"/>
  <c r="D1967" i="1" a="1"/>
  <c r="B1967" i="1"/>
  <c r="R1966" i="1"/>
  <c r="Q1966" i="1"/>
  <c r="P1966" i="1"/>
  <c r="O1966" i="1"/>
  <c r="N1966" i="1"/>
  <c r="L1966" i="1"/>
  <c r="F1966" i="1"/>
  <c r="F1966" i="1" a="1"/>
  <c r="D1966" i="1"/>
  <c r="D1966" i="1" a="1"/>
  <c r="B1966" i="1"/>
  <c r="R1965" i="1"/>
  <c r="Q1965" i="1"/>
  <c r="P1965" i="1"/>
  <c r="O1965" i="1"/>
  <c r="N1965" i="1"/>
  <c r="L1965" i="1"/>
  <c r="F1965" i="1"/>
  <c r="F1965" i="1" a="1"/>
  <c r="D1965" i="1"/>
  <c r="D1965" i="1" a="1"/>
  <c r="B1965" i="1"/>
  <c r="R1964" i="1"/>
  <c r="Q1964" i="1"/>
  <c r="P1964" i="1"/>
  <c r="O1964" i="1"/>
  <c r="N1964" i="1"/>
  <c r="L1964" i="1"/>
  <c r="F1964" i="1"/>
  <c r="F1964" i="1" a="1"/>
  <c r="D1964" i="1"/>
  <c r="D1964" i="1" a="1"/>
  <c r="B1964" i="1"/>
  <c r="R1963" i="1"/>
  <c r="Q1963" i="1"/>
  <c r="P1963" i="1"/>
  <c r="O1963" i="1"/>
  <c r="N1963" i="1"/>
  <c r="L1963" i="1"/>
  <c r="F1963" i="1"/>
  <c r="F1963" i="1" a="1"/>
  <c r="D1963" i="1"/>
  <c r="D1963" i="1" a="1"/>
  <c r="B1963" i="1"/>
  <c r="R1962" i="1"/>
  <c r="Q1962" i="1"/>
  <c r="P1962" i="1"/>
  <c r="O1962" i="1"/>
  <c r="N1962" i="1"/>
  <c r="L1962" i="1"/>
  <c r="F1962" i="1"/>
  <c r="F1962" i="1" a="1"/>
  <c r="D1962" i="1"/>
  <c r="D1962" i="1" a="1"/>
  <c r="B1962" i="1"/>
  <c r="R1961" i="1"/>
  <c r="Q1961" i="1"/>
  <c r="P1961" i="1"/>
  <c r="O1961" i="1"/>
  <c r="N1961" i="1"/>
  <c r="L1961" i="1"/>
  <c r="F1961" i="1"/>
  <c r="F1961" i="1" a="1"/>
  <c r="D1961" i="1"/>
  <c r="D1961" i="1" a="1"/>
  <c r="B1961" i="1"/>
  <c r="R1960" i="1"/>
  <c r="Q1960" i="1"/>
  <c r="P1960" i="1"/>
  <c r="O1960" i="1"/>
  <c r="N1960" i="1"/>
  <c r="L1960" i="1"/>
  <c r="F1960" i="1"/>
  <c r="F1960" i="1" a="1"/>
  <c r="D1960" i="1"/>
  <c r="D1960" i="1" a="1"/>
  <c r="B1960" i="1"/>
  <c r="R1959" i="1"/>
  <c r="Q1959" i="1"/>
  <c r="P1959" i="1"/>
  <c r="O1959" i="1"/>
  <c r="N1959" i="1"/>
  <c r="L1959" i="1"/>
  <c r="F1959" i="1"/>
  <c r="F1959" i="1" a="1"/>
  <c r="D1959" i="1"/>
  <c r="D1959" i="1" a="1"/>
  <c r="B1959" i="1"/>
  <c r="R1958" i="1"/>
  <c r="Q1958" i="1"/>
  <c r="P1958" i="1"/>
  <c r="O1958" i="1"/>
  <c r="N1958" i="1"/>
  <c r="L1958" i="1"/>
  <c r="F1958" i="1"/>
  <c r="F1958" i="1" a="1"/>
  <c r="D1958" i="1"/>
  <c r="D1958" i="1" a="1"/>
  <c r="B1958" i="1"/>
  <c r="R1957" i="1"/>
  <c r="Q1957" i="1"/>
  <c r="P1957" i="1"/>
  <c r="O1957" i="1"/>
  <c r="N1957" i="1"/>
  <c r="L1957" i="1"/>
  <c r="F1957" i="1"/>
  <c r="F1957" i="1" a="1"/>
  <c r="D1957" i="1"/>
  <c r="D1957" i="1" a="1"/>
  <c r="B1957" i="1"/>
  <c r="R1956" i="1"/>
  <c r="Q1956" i="1"/>
  <c r="P1956" i="1"/>
  <c r="O1956" i="1"/>
  <c r="N1956" i="1"/>
  <c r="L1956" i="1"/>
  <c r="F1956" i="1"/>
  <c r="F1956" i="1" a="1"/>
  <c r="D1956" i="1"/>
  <c r="D1956" i="1" a="1"/>
  <c r="B1956" i="1"/>
  <c r="R1955" i="1"/>
  <c r="Q1955" i="1"/>
  <c r="P1955" i="1"/>
  <c r="O1955" i="1"/>
  <c r="N1955" i="1"/>
  <c r="L1955" i="1"/>
  <c r="F1955" i="1"/>
  <c r="F1955" i="1" a="1"/>
  <c r="D1955" i="1"/>
  <c r="D1955" i="1" a="1"/>
  <c r="B1955" i="1"/>
  <c r="R1954" i="1"/>
  <c r="Q1954" i="1"/>
  <c r="P1954" i="1"/>
  <c r="O1954" i="1"/>
  <c r="N1954" i="1"/>
  <c r="L1954" i="1"/>
  <c r="F1954" i="1"/>
  <c r="F1954" i="1" a="1"/>
  <c r="D1954" i="1"/>
  <c r="D1954" i="1" a="1"/>
  <c r="B1954" i="1"/>
  <c r="R1953" i="1"/>
  <c r="Q1953" i="1"/>
  <c r="P1953" i="1"/>
  <c r="O1953" i="1"/>
  <c r="N1953" i="1"/>
  <c r="L1953" i="1"/>
  <c r="F1953" i="1"/>
  <c r="F1953" i="1" a="1"/>
  <c r="D1953" i="1"/>
  <c r="D1953" i="1" a="1"/>
  <c r="B1953" i="1"/>
  <c r="R1952" i="1"/>
  <c r="Q1952" i="1"/>
  <c r="P1952" i="1"/>
  <c r="O1952" i="1"/>
  <c r="N1952" i="1"/>
  <c r="L1952" i="1"/>
  <c r="F1952" i="1"/>
  <c r="F1952" i="1" a="1"/>
  <c r="D1952" i="1"/>
  <c r="D1952" i="1" a="1"/>
  <c r="B1952" i="1"/>
  <c r="R1951" i="1"/>
  <c r="Q1951" i="1"/>
  <c r="P1951" i="1"/>
  <c r="O1951" i="1"/>
  <c r="N1951" i="1"/>
  <c r="L1951" i="1"/>
  <c r="F1951" i="1"/>
  <c r="F1951" i="1" a="1"/>
  <c r="D1951" i="1"/>
  <c r="D1951" i="1" a="1"/>
  <c r="B1951" i="1"/>
  <c r="R1950" i="1"/>
  <c r="Q1950" i="1"/>
  <c r="P1950" i="1"/>
  <c r="O1950" i="1"/>
  <c r="N1950" i="1"/>
  <c r="L1950" i="1"/>
  <c r="F1950" i="1"/>
  <c r="F1950" i="1" a="1"/>
  <c r="D1950" i="1"/>
  <c r="D1950" i="1" a="1"/>
  <c r="B1950" i="1"/>
  <c r="R1949" i="1"/>
  <c r="Q1949" i="1"/>
  <c r="P1949" i="1"/>
  <c r="O1949" i="1"/>
  <c r="N1949" i="1"/>
  <c r="L1949" i="1"/>
  <c r="F1949" i="1"/>
  <c r="F1949" i="1" a="1"/>
  <c r="D1949" i="1"/>
  <c r="D1949" i="1" a="1"/>
  <c r="B1949" i="1"/>
  <c r="R1948" i="1"/>
  <c r="Q1948" i="1"/>
  <c r="P1948" i="1"/>
  <c r="O1948" i="1"/>
  <c r="N1948" i="1"/>
  <c r="L1948" i="1"/>
  <c r="F1948" i="1"/>
  <c r="F1948" i="1" a="1"/>
  <c r="D1948" i="1"/>
  <c r="D1948" i="1" a="1"/>
  <c r="B1948" i="1"/>
  <c r="R1947" i="1"/>
  <c r="Q1947" i="1"/>
  <c r="P1947" i="1"/>
  <c r="O1947" i="1"/>
  <c r="N1947" i="1"/>
  <c r="L1947" i="1"/>
  <c r="F1947" i="1"/>
  <c r="F1947" i="1" a="1"/>
  <c r="D1947" i="1"/>
  <c r="D1947" i="1" a="1"/>
  <c r="B1947" i="1"/>
  <c r="R1946" i="1"/>
  <c r="Q1946" i="1"/>
  <c r="P1946" i="1"/>
  <c r="O1946" i="1"/>
  <c r="N1946" i="1"/>
  <c r="L1946" i="1"/>
  <c r="F1946" i="1"/>
  <c r="F1946" i="1" a="1"/>
  <c r="D1946" i="1"/>
  <c r="D1946" i="1" a="1"/>
  <c r="B1946" i="1"/>
  <c r="R1945" i="1"/>
  <c r="Q1945" i="1"/>
  <c r="P1945" i="1"/>
  <c r="O1945" i="1"/>
  <c r="N1945" i="1"/>
  <c r="L1945" i="1"/>
  <c r="F1945" i="1"/>
  <c r="F1945" i="1" a="1"/>
  <c r="D1945" i="1"/>
  <c r="D1945" i="1" a="1"/>
  <c r="B1945" i="1"/>
  <c r="R1944" i="1"/>
  <c r="Q1944" i="1"/>
  <c r="P1944" i="1"/>
  <c r="O1944" i="1"/>
  <c r="N1944" i="1"/>
  <c r="L1944" i="1"/>
  <c r="F1944" i="1"/>
  <c r="F1944" i="1" a="1"/>
  <c r="D1944" i="1"/>
  <c r="D1944" i="1" a="1"/>
  <c r="B1944" i="1"/>
  <c r="R1943" i="1"/>
  <c r="Q1943" i="1"/>
  <c r="P1943" i="1"/>
  <c r="O1943" i="1"/>
  <c r="N1943" i="1"/>
  <c r="L1943" i="1"/>
  <c r="F1943" i="1"/>
  <c r="F1943" i="1" a="1"/>
  <c r="D1943" i="1"/>
  <c r="D1943" i="1" a="1"/>
  <c r="B1943" i="1"/>
  <c r="R1942" i="1"/>
  <c r="Q1942" i="1"/>
  <c r="P1942" i="1"/>
  <c r="O1942" i="1"/>
  <c r="N1942" i="1"/>
  <c r="L1942" i="1"/>
  <c r="F1942" i="1"/>
  <c r="F1942" i="1" a="1"/>
  <c r="D1942" i="1"/>
  <c r="D1942" i="1" a="1"/>
  <c r="B1942" i="1"/>
  <c r="R1941" i="1"/>
  <c r="Q1941" i="1"/>
  <c r="P1941" i="1"/>
  <c r="O1941" i="1"/>
  <c r="N1941" i="1"/>
  <c r="L1941" i="1"/>
  <c r="F1941" i="1"/>
  <c r="F1941" i="1" a="1"/>
  <c r="D1941" i="1"/>
  <c r="D1941" i="1" a="1"/>
  <c r="B1941" i="1"/>
  <c r="R1940" i="1"/>
  <c r="Q1940" i="1"/>
  <c r="P1940" i="1"/>
  <c r="O1940" i="1"/>
  <c r="N1940" i="1"/>
  <c r="L1940" i="1"/>
  <c r="F1940" i="1"/>
  <c r="F1940" i="1" a="1"/>
  <c r="D1940" i="1"/>
  <c r="D1940" i="1" a="1"/>
  <c r="B1940" i="1"/>
  <c r="R1939" i="1"/>
  <c r="Q1939" i="1"/>
  <c r="P1939" i="1"/>
  <c r="O1939" i="1"/>
  <c r="N1939" i="1"/>
  <c r="L1939" i="1"/>
  <c r="F1939" i="1"/>
  <c r="F1939" i="1" a="1"/>
  <c r="D1939" i="1"/>
  <c r="D1939" i="1" a="1"/>
  <c r="B1939" i="1"/>
  <c r="R1938" i="1"/>
  <c r="Q1938" i="1"/>
  <c r="P1938" i="1"/>
  <c r="O1938" i="1"/>
  <c r="N1938" i="1"/>
  <c r="L1938" i="1"/>
  <c r="F1938" i="1"/>
  <c r="F1938" i="1" a="1"/>
  <c r="D1938" i="1"/>
  <c r="D1938" i="1" a="1"/>
  <c r="B1938" i="1"/>
  <c r="R1937" i="1"/>
  <c r="Q1937" i="1"/>
  <c r="P1937" i="1"/>
  <c r="O1937" i="1"/>
  <c r="N1937" i="1"/>
  <c r="L1937" i="1"/>
  <c r="F1937" i="1"/>
  <c r="F1937" i="1" a="1"/>
  <c r="D1937" i="1"/>
  <c r="D1937" i="1" a="1"/>
  <c r="B1937" i="1"/>
  <c r="R1936" i="1"/>
  <c r="Q1936" i="1"/>
  <c r="P1936" i="1"/>
  <c r="O1936" i="1"/>
  <c r="N1936" i="1"/>
  <c r="L1936" i="1"/>
  <c r="F1936" i="1"/>
  <c r="F1936" i="1" a="1"/>
  <c r="D1936" i="1"/>
  <c r="D1936" i="1" a="1"/>
  <c r="B1936" i="1"/>
  <c r="R1935" i="1"/>
  <c r="Q1935" i="1"/>
  <c r="P1935" i="1"/>
  <c r="O1935" i="1"/>
  <c r="N1935" i="1"/>
  <c r="L1935" i="1"/>
  <c r="F1935" i="1"/>
  <c r="F1935" i="1" a="1"/>
  <c r="D1935" i="1"/>
  <c r="D1935" i="1" a="1"/>
  <c r="B1935" i="1"/>
  <c r="R1934" i="1"/>
  <c r="Q1934" i="1"/>
  <c r="P1934" i="1"/>
  <c r="O1934" i="1"/>
  <c r="N1934" i="1"/>
  <c r="L1934" i="1"/>
  <c r="F1934" i="1"/>
  <c r="F1934" i="1" a="1"/>
  <c r="D1934" i="1"/>
  <c r="D1934" i="1" a="1"/>
  <c r="B1934" i="1"/>
  <c r="R1933" i="1"/>
  <c r="Q1933" i="1"/>
  <c r="P1933" i="1"/>
  <c r="O1933" i="1"/>
  <c r="N1933" i="1"/>
  <c r="L1933" i="1"/>
  <c r="F1933" i="1"/>
  <c r="F1933" i="1" a="1"/>
  <c r="D1933" i="1"/>
  <c r="D1933" i="1" a="1"/>
  <c r="B1933" i="1"/>
  <c r="R1932" i="1"/>
  <c r="Q1932" i="1"/>
  <c r="P1932" i="1"/>
  <c r="O1932" i="1"/>
  <c r="N1932" i="1"/>
  <c r="L1932" i="1"/>
  <c r="F1932" i="1"/>
  <c r="F1932" i="1" a="1"/>
  <c r="D1932" i="1"/>
  <c r="D1932" i="1" a="1"/>
  <c r="B1932" i="1"/>
  <c r="R1931" i="1"/>
  <c r="Q1931" i="1"/>
  <c r="P1931" i="1"/>
  <c r="O1931" i="1"/>
  <c r="N1931" i="1"/>
  <c r="L1931" i="1"/>
  <c r="F1931" i="1"/>
  <c r="F1931" i="1" a="1"/>
  <c r="D1931" i="1"/>
  <c r="D1931" i="1" a="1"/>
  <c r="B1931" i="1"/>
  <c r="R1930" i="1"/>
  <c r="Q1930" i="1"/>
  <c r="P1930" i="1"/>
  <c r="O1930" i="1"/>
  <c r="N1930" i="1"/>
  <c r="L1930" i="1"/>
  <c r="F1930" i="1"/>
  <c r="F1930" i="1" a="1"/>
  <c r="D1930" i="1"/>
  <c r="D1930" i="1" a="1"/>
  <c r="B1930" i="1"/>
  <c r="R1929" i="1"/>
  <c r="Q1929" i="1"/>
  <c r="P1929" i="1"/>
  <c r="O1929" i="1"/>
  <c r="N1929" i="1"/>
  <c r="L1929" i="1"/>
  <c r="F1929" i="1"/>
  <c r="F1929" i="1" a="1"/>
  <c r="D1929" i="1"/>
  <c r="D1929" i="1" a="1"/>
  <c r="B1929" i="1"/>
  <c r="R1928" i="1"/>
  <c r="Q1928" i="1"/>
  <c r="P1928" i="1"/>
  <c r="O1928" i="1"/>
  <c r="N1928" i="1"/>
  <c r="L1928" i="1"/>
  <c r="F1928" i="1"/>
  <c r="F1928" i="1" a="1"/>
  <c r="D1928" i="1"/>
  <c r="D1928" i="1" a="1"/>
  <c r="B1928" i="1"/>
  <c r="R1927" i="1"/>
  <c r="Q1927" i="1"/>
  <c r="P1927" i="1"/>
  <c r="O1927" i="1"/>
  <c r="N1927" i="1"/>
  <c r="L1927" i="1"/>
  <c r="F1927" i="1"/>
  <c r="F1927" i="1" a="1"/>
  <c r="D1927" i="1"/>
  <c r="D1927" i="1" a="1"/>
  <c r="B1927" i="1"/>
  <c r="R1926" i="1"/>
  <c r="Q1926" i="1"/>
  <c r="P1926" i="1"/>
  <c r="O1926" i="1"/>
  <c r="N1926" i="1"/>
  <c r="L1926" i="1"/>
  <c r="F1926" i="1"/>
  <c r="F1926" i="1" a="1"/>
  <c r="D1926" i="1"/>
  <c r="D1926" i="1" a="1"/>
  <c r="B1926" i="1"/>
  <c r="R1925" i="1"/>
  <c r="Q1925" i="1"/>
  <c r="P1925" i="1"/>
  <c r="O1925" i="1"/>
  <c r="N1925" i="1"/>
  <c r="L1925" i="1"/>
  <c r="F1925" i="1"/>
  <c r="F1925" i="1" a="1"/>
  <c r="D1925" i="1"/>
  <c r="D1925" i="1" a="1"/>
  <c r="B1925" i="1"/>
  <c r="R1924" i="1"/>
  <c r="Q1924" i="1"/>
  <c r="P1924" i="1"/>
  <c r="O1924" i="1"/>
  <c r="N1924" i="1"/>
  <c r="L1924" i="1"/>
  <c r="F1924" i="1"/>
  <c r="F1924" i="1" a="1"/>
  <c r="D1924" i="1"/>
  <c r="D1924" i="1" a="1"/>
  <c r="B1924" i="1"/>
  <c r="R1923" i="1"/>
  <c r="Q1923" i="1"/>
  <c r="P1923" i="1"/>
  <c r="O1923" i="1"/>
  <c r="N1923" i="1"/>
  <c r="L1923" i="1"/>
  <c r="F1923" i="1"/>
  <c r="F1923" i="1" a="1"/>
  <c r="D1923" i="1"/>
  <c r="D1923" i="1" a="1"/>
  <c r="B1923" i="1"/>
  <c r="R1922" i="1"/>
  <c r="Q1922" i="1"/>
  <c r="P1922" i="1"/>
  <c r="O1922" i="1"/>
  <c r="N1922" i="1"/>
  <c r="L1922" i="1"/>
  <c r="F1922" i="1"/>
  <c r="F1922" i="1" a="1"/>
  <c r="D1922" i="1"/>
  <c r="D1922" i="1" a="1"/>
  <c r="B1922" i="1"/>
  <c r="R1921" i="1"/>
  <c r="Q1921" i="1"/>
  <c r="P1921" i="1"/>
  <c r="O1921" i="1"/>
  <c r="N1921" i="1"/>
  <c r="L1921" i="1"/>
  <c r="F1921" i="1"/>
  <c r="F1921" i="1" a="1"/>
  <c r="D1921" i="1"/>
  <c r="D1921" i="1" a="1"/>
  <c r="B1921" i="1"/>
  <c r="R1920" i="1"/>
  <c r="Q1920" i="1"/>
  <c r="P1920" i="1"/>
  <c r="O1920" i="1"/>
  <c r="N1920" i="1"/>
  <c r="L1920" i="1"/>
  <c r="F1920" i="1"/>
  <c r="F1920" i="1" a="1"/>
  <c r="D1920" i="1"/>
  <c r="D1920" i="1" a="1"/>
  <c r="B1920" i="1"/>
  <c r="R1919" i="1"/>
  <c r="Q1919" i="1"/>
  <c r="P1919" i="1"/>
  <c r="O1919" i="1"/>
  <c r="N1919" i="1"/>
  <c r="L1919" i="1"/>
  <c r="F1919" i="1"/>
  <c r="F1919" i="1" a="1"/>
  <c r="D1919" i="1"/>
  <c r="D1919" i="1" a="1"/>
  <c r="B1919" i="1"/>
  <c r="R1918" i="1"/>
  <c r="Q1918" i="1"/>
  <c r="P1918" i="1"/>
  <c r="O1918" i="1"/>
  <c r="N1918" i="1"/>
  <c r="L1918" i="1"/>
  <c r="F1918" i="1"/>
  <c r="F1918" i="1" a="1"/>
  <c r="D1918" i="1"/>
  <c r="D1918" i="1" a="1"/>
  <c r="B1918" i="1"/>
  <c r="R1917" i="1"/>
  <c r="Q1917" i="1"/>
  <c r="P1917" i="1"/>
  <c r="O1917" i="1"/>
  <c r="N1917" i="1"/>
  <c r="L1917" i="1"/>
  <c r="F1917" i="1"/>
  <c r="F1917" i="1" a="1"/>
  <c r="D1917" i="1"/>
  <c r="D1917" i="1" a="1"/>
  <c r="B1917" i="1"/>
  <c r="R1916" i="1"/>
  <c r="Q1916" i="1"/>
  <c r="P1916" i="1"/>
  <c r="O1916" i="1"/>
  <c r="N1916" i="1"/>
  <c r="L1916" i="1"/>
  <c r="F1916" i="1"/>
  <c r="F1916" i="1" a="1"/>
  <c r="D1916" i="1"/>
  <c r="D1916" i="1" a="1"/>
  <c r="B1916" i="1"/>
  <c r="R1915" i="1"/>
  <c r="Q1915" i="1"/>
  <c r="P1915" i="1"/>
  <c r="O1915" i="1"/>
  <c r="N1915" i="1"/>
  <c r="L1915" i="1"/>
  <c r="F1915" i="1"/>
  <c r="F1915" i="1" a="1"/>
  <c r="D1915" i="1"/>
  <c r="D1915" i="1" a="1"/>
  <c r="B1915" i="1"/>
  <c r="R1914" i="1"/>
  <c r="Q1914" i="1"/>
  <c r="P1914" i="1"/>
  <c r="O1914" i="1"/>
  <c r="N1914" i="1"/>
  <c r="L1914" i="1"/>
  <c r="F1914" i="1"/>
  <c r="F1914" i="1" a="1"/>
  <c r="D1914" i="1"/>
  <c r="D1914" i="1" a="1"/>
  <c r="B1914" i="1"/>
  <c r="R1913" i="1"/>
  <c r="Q1913" i="1"/>
  <c r="P1913" i="1"/>
  <c r="O1913" i="1"/>
  <c r="N1913" i="1"/>
  <c r="L1913" i="1"/>
  <c r="F1913" i="1"/>
  <c r="F1913" i="1" a="1"/>
  <c r="D1913" i="1"/>
  <c r="D1913" i="1" a="1"/>
  <c r="B1913" i="1"/>
  <c r="R1912" i="1"/>
  <c r="Q1912" i="1"/>
  <c r="P1912" i="1"/>
  <c r="O1912" i="1"/>
  <c r="N1912" i="1"/>
  <c r="L1912" i="1"/>
  <c r="F1912" i="1"/>
  <c r="F1912" i="1" a="1"/>
  <c r="D1912" i="1"/>
  <c r="D1912" i="1" a="1"/>
  <c r="B1912" i="1"/>
  <c r="R1911" i="1"/>
  <c r="Q1911" i="1"/>
  <c r="P1911" i="1"/>
  <c r="O1911" i="1"/>
  <c r="N1911" i="1"/>
  <c r="L1911" i="1"/>
  <c r="F1911" i="1" a="1"/>
  <c r="F1911" i="1" s="1"/>
  <c r="D1911" i="1"/>
  <c r="D1911" i="1" a="1"/>
  <c r="B1911" i="1"/>
  <c r="R1910" i="1"/>
  <c r="Q1910" i="1"/>
  <c r="P1910" i="1"/>
  <c r="O1910" i="1"/>
  <c r="N1910" i="1"/>
  <c r="L1910" i="1"/>
  <c r="F1910" i="1"/>
  <c r="F1910" i="1" a="1"/>
  <c r="D1910" i="1"/>
  <c r="D1910" i="1" a="1"/>
  <c r="B1910" i="1"/>
  <c r="R1909" i="1"/>
  <c r="Q1909" i="1"/>
  <c r="P1909" i="1"/>
  <c r="O1909" i="1"/>
  <c r="N1909" i="1"/>
  <c r="L1909" i="1"/>
  <c r="F1909" i="1"/>
  <c r="F1909" i="1" a="1"/>
  <c r="D1909" i="1"/>
  <c r="D1909" i="1" a="1"/>
  <c r="B1909" i="1"/>
  <c r="R1908" i="1"/>
  <c r="Q1908" i="1"/>
  <c r="P1908" i="1"/>
  <c r="O1908" i="1"/>
  <c r="N1908" i="1"/>
  <c r="L1908" i="1"/>
  <c r="F1908" i="1"/>
  <c r="F1908" i="1" a="1"/>
  <c r="D1908" i="1"/>
  <c r="D1908" i="1" a="1"/>
  <c r="B1908" i="1"/>
  <c r="R1907" i="1"/>
  <c r="Q1907" i="1"/>
  <c r="P1907" i="1"/>
  <c r="O1907" i="1"/>
  <c r="N1907" i="1"/>
  <c r="L1907" i="1"/>
  <c r="F1907" i="1" a="1"/>
  <c r="F1907" i="1" s="1"/>
  <c r="D1907" i="1"/>
  <c r="D1907" i="1" a="1"/>
  <c r="B1907" i="1"/>
  <c r="R1906" i="1"/>
  <c r="Q1906" i="1"/>
  <c r="P1906" i="1"/>
  <c r="O1906" i="1"/>
  <c r="N1906" i="1"/>
  <c r="L1906" i="1"/>
  <c r="F1906" i="1"/>
  <c r="F1906" i="1" a="1"/>
  <c r="D1906" i="1"/>
  <c r="D1906" i="1" a="1"/>
  <c r="B1906" i="1"/>
  <c r="R1905" i="1"/>
  <c r="Q1905" i="1"/>
  <c r="P1905" i="1"/>
  <c r="O1905" i="1"/>
  <c r="N1905" i="1"/>
  <c r="L1905" i="1"/>
  <c r="F1905" i="1"/>
  <c r="F1905" i="1" a="1"/>
  <c r="D1905" i="1"/>
  <c r="D1905" i="1" a="1"/>
  <c r="B1905" i="1"/>
  <c r="R1904" i="1"/>
  <c r="Q1904" i="1"/>
  <c r="P1904" i="1"/>
  <c r="O1904" i="1"/>
  <c r="N1904" i="1"/>
  <c r="L1904" i="1"/>
  <c r="F1904" i="1"/>
  <c r="F1904" i="1" a="1"/>
  <c r="D1904" i="1"/>
  <c r="D1904" i="1" a="1"/>
  <c r="B1904" i="1"/>
  <c r="R1903" i="1"/>
  <c r="Q1903" i="1"/>
  <c r="P1903" i="1"/>
  <c r="O1903" i="1"/>
  <c r="N1903" i="1"/>
  <c r="L1903" i="1"/>
  <c r="F1903" i="1" a="1"/>
  <c r="F1903" i="1" s="1"/>
  <c r="D1903" i="1"/>
  <c r="D1903" i="1" a="1"/>
  <c r="B1903" i="1"/>
  <c r="R1902" i="1"/>
  <c r="Q1902" i="1"/>
  <c r="P1902" i="1"/>
  <c r="O1902" i="1"/>
  <c r="N1902" i="1"/>
  <c r="L1902" i="1"/>
  <c r="F1902" i="1"/>
  <c r="F1902" i="1" a="1"/>
  <c r="D1902" i="1"/>
  <c r="D1902" i="1" a="1"/>
  <c r="B1902" i="1"/>
  <c r="R1901" i="1"/>
  <c r="Q1901" i="1"/>
  <c r="P1901" i="1"/>
  <c r="O1901" i="1"/>
  <c r="N1901" i="1"/>
  <c r="L1901" i="1"/>
  <c r="F1901" i="1"/>
  <c r="F1901" i="1" a="1"/>
  <c r="D1901" i="1"/>
  <c r="D1901" i="1" a="1"/>
  <c r="B1901" i="1"/>
  <c r="R1900" i="1"/>
  <c r="Q1900" i="1"/>
  <c r="P1900" i="1"/>
  <c r="O1900" i="1"/>
  <c r="N1900" i="1"/>
  <c r="L1900" i="1"/>
  <c r="F1900" i="1"/>
  <c r="F1900" i="1" a="1"/>
  <c r="D1900" i="1"/>
  <c r="D1900" i="1" a="1"/>
  <c r="B1900" i="1"/>
  <c r="R1899" i="1"/>
  <c r="Q1899" i="1"/>
  <c r="P1899" i="1"/>
  <c r="O1899" i="1"/>
  <c r="N1899" i="1"/>
  <c r="L1899" i="1"/>
  <c r="F1899" i="1" a="1"/>
  <c r="F1899" i="1" s="1"/>
  <c r="D1899" i="1"/>
  <c r="D1899" i="1" a="1"/>
  <c r="B1899" i="1"/>
  <c r="R1898" i="1"/>
  <c r="Q1898" i="1"/>
  <c r="P1898" i="1"/>
  <c r="O1898" i="1"/>
  <c r="N1898" i="1"/>
  <c r="L1898" i="1"/>
  <c r="F1898" i="1"/>
  <c r="F1898" i="1" a="1"/>
  <c r="D1898" i="1"/>
  <c r="D1898" i="1" a="1"/>
  <c r="B1898" i="1"/>
  <c r="R1897" i="1"/>
  <c r="Q1897" i="1"/>
  <c r="P1897" i="1"/>
  <c r="O1897" i="1"/>
  <c r="N1897" i="1"/>
  <c r="L1897" i="1"/>
  <c r="F1897" i="1"/>
  <c r="F1897" i="1" a="1"/>
  <c r="D1897" i="1"/>
  <c r="D1897" i="1" a="1"/>
  <c r="B1897" i="1"/>
  <c r="R1896" i="1"/>
  <c r="Q1896" i="1"/>
  <c r="P1896" i="1"/>
  <c r="O1896" i="1"/>
  <c r="N1896" i="1"/>
  <c r="L1896" i="1"/>
  <c r="F1896" i="1"/>
  <c r="F1896" i="1" a="1"/>
  <c r="D1896" i="1"/>
  <c r="D1896" i="1" a="1"/>
  <c r="B1896" i="1"/>
  <c r="R1895" i="1"/>
  <c r="Q1895" i="1"/>
  <c r="P1895" i="1"/>
  <c r="O1895" i="1"/>
  <c r="N1895" i="1"/>
  <c r="L1895" i="1"/>
  <c r="F1895" i="1" a="1"/>
  <c r="F1895" i="1" s="1"/>
  <c r="D1895" i="1"/>
  <c r="D1895" i="1" a="1"/>
  <c r="B1895" i="1"/>
  <c r="R1894" i="1"/>
  <c r="Q1894" i="1"/>
  <c r="P1894" i="1"/>
  <c r="O1894" i="1"/>
  <c r="N1894" i="1"/>
  <c r="L1894" i="1"/>
  <c r="F1894" i="1"/>
  <c r="F1894" i="1" a="1"/>
  <c r="D1894" i="1"/>
  <c r="D1894" i="1" a="1"/>
  <c r="B1894" i="1"/>
  <c r="R1893" i="1"/>
  <c r="Q1893" i="1"/>
  <c r="P1893" i="1"/>
  <c r="O1893" i="1"/>
  <c r="N1893" i="1"/>
  <c r="L1893" i="1"/>
  <c r="F1893" i="1"/>
  <c r="F1893" i="1" a="1"/>
  <c r="D1893" i="1"/>
  <c r="D1893" i="1" a="1"/>
  <c r="B1893" i="1"/>
  <c r="R1892" i="1"/>
  <c r="Q1892" i="1"/>
  <c r="P1892" i="1"/>
  <c r="O1892" i="1"/>
  <c r="N1892" i="1"/>
  <c r="L1892" i="1"/>
  <c r="F1892" i="1"/>
  <c r="F1892" i="1" a="1"/>
  <c r="D1892" i="1"/>
  <c r="D1892" i="1" a="1"/>
  <c r="B1892" i="1"/>
  <c r="R1891" i="1"/>
  <c r="Q1891" i="1"/>
  <c r="P1891" i="1"/>
  <c r="O1891" i="1"/>
  <c r="N1891" i="1"/>
  <c r="L1891" i="1"/>
  <c r="F1891" i="1" a="1"/>
  <c r="F1891" i="1" s="1"/>
  <c r="D1891" i="1"/>
  <c r="D1891" i="1" a="1"/>
  <c r="B1891" i="1"/>
  <c r="R1890" i="1"/>
  <c r="Q1890" i="1"/>
  <c r="P1890" i="1"/>
  <c r="O1890" i="1"/>
  <c r="N1890" i="1"/>
  <c r="L1890" i="1"/>
  <c r="F1890" i="1"/>
  <c r="F1890" i="1" a="1"/>
  <c r="D1890" i="1"/>
  <c r="D1890" i="1" a="1"/>
  <c r="B1890" i="1"/>
  <c r="R1889" i="1"/>
  <c r="Q1889" i="1"/>
  <c r="P1889" i="1"/>
  <c r="O1889" i="1"/>
  <c r="N1889" i="1"/>
  <c r="L1889" i="1"/>
  <c r="F1889" i="1"/>
  <c r="F1889" i="1" a="1"/>
  <c r="D1889" i="1"/>
  <c r="D1889" i="1" a="1"/>
  <c r="B1889" i="1"/>
  <c r="R1888" i="1"/>
  <c r="Q1888" i="1"/>
  <c r="P1888" i="1"/>
  <c r="O1888" i="1"/>
  <c r="N1888" i="1"/>
  <c r="L1888" i="1"/>
  <c r="F1888" i="1"/>
  <c r="F1888" i="1" a="1"/>
  <c r="D1888" i="1"/>
  <c r="D1888" i="1" a="1"/>
  <c r="B1888" i="1"/>
  <c r="R1887" i="1"/>
  <c r="Q1887" i="1"/>
  <c r="P1887" i="1"/>
  <c r="O1887" i="1"/>
  <c r="N1887" i="1"/>
  <c r="L1887" i="1"/>
  <c r="F1887" i="1" a="1"/>
  <c r="F1887" i="1" s="1"/>
  <c r="D1887" i="1"/>
  <c r="D1887" i="1" a="1"/>
  <c r="B1887" i="1"/>
  <c r="R1886" i="1"/>
  <c r="Q1886" i="1"/>
  <c r="P1886" i="1"/>
  <c r="O1886" i="1"/>
  <c r="N1886" i="1"/>
  <c r="L1886" i="1"/>
  <c r="F1886" i="1"/>
  <c r="F1886" i="1" a="1"/>
  <c r="D1886" i="1"/>
  <c r="D1886" i="1" a="1"/>
  <c r="B1886" i="1"/>
  <c r="R1885" i="1"/>
  <c r="Q1885" i="1"/>
  <c r="P1885" i="1"/>
  <c r="O1885" i="1"/>
  <c r="N1885" i="1"/>
  <c r="L1885" i="1"/>
  <c r="F1885" i="1"/>
  <c r="F1885" i="1" a="1"/>
  <c r="D1885" i="1"/>
  <c r="D1885" i="1" a="1"/>
  <c r="B1885" i="1"/>
  <c r="R1884" i="1"/>
  <c r="Q1884" i="1"/>
  <c r="P1884" i="1"/>
  <c r="O1884" i="1"/>
  <c r="N1884" i="1"/>
  <c r="L1884" i="1"/>
  <c r="F1884" i="1"/>
  <c r="F1884" i="1" a="1"/>
  <c r="D1884" i="1"/>
  <c r="D1884" i="1" a="1"/>
  <c r="B1884" i="1"/>
  <c r="R1883" i="1"/>
  <c r="Q1883" i="1"/>
  <c r="P1883" i="1"/>
  <c r="O1883" i="1"/>
  <c r="N1883" i="1"/>
  <c r="L1883" i="1"/>
  <c r="F1883" i="1" a="1"/>
  <c r="F1883" i="1" s="1"/>
  <c r="D1883" i="1"/>
  <c r="D1883" i="1" a="1"/>
  <c r="B1883" i="1"/>
  <c r="R1882" i="1"/>
  <c r="Q1882" i="1"/>
  <c r="P1882" i="1"/>
  <c r="O1882" i="1"/>
  <c r="N1882" i="1"/>
  <c r="L1882" i="1"/>
  <c r="F1882" i="1"/>
  <c r="F1882" i="1" a="1"/>
  <c r="D1882" i="1"/>
  <c r="D1882" i="1" a="1"/>
  <c r="B1882" i="1"/>
  <c r="R1881" i="1"/>
  <c r="Q1881" i="1"/>
  <c r="P1881" i="1"/>
  <c r="O1881" i="1"/>
  <c r="N1881" i="1"/>
  <c r="L1881" i="1"/>
  <c r="F1881" i="1"/>
  <c r="F1881" i="1" a="1"/>
  <c r="D1881" i="1"/>
  <c r="D1881" i="1" a="1"/>
  <c r="B1881" i="1"/>
  <c r="R1880" i="1"/>
  <c r="Q1880" i="1"/>
  <c r="P1880" i="1"/>
  <c r="O1880" i="1"/>
  <c r="N1880" i="1"/>
  <c r="L1880" i="1"/>
  <c r="F1880" i="1"/>
  <c r="F1880" i="1" a="1"/>
  <c r="D1880" i="1"/>
  <c r="D1880" i="1" a="1"/>
  <c r="B1880" i="1"/>
  <c r="R1879" i="1"/>
  <c r="Q1879" i="1"/>
  <c r="P1879" i="1"/>
  <c r="O1879" i="1"/>
  <c r="N1879" i="1"/>
  <c r="L1879" i="1"/>
  <c r="F1879" i="1" a="1"/>
  <c r="F1879" i="1" s="1"/>
  <c r="D1879" i="1"/>
  <c r="D1879" i="1" a="1"/>
  <c r="B1879" i="1"/>
  <c r="R1878" i="1"/>
  <c r="Q1878" i="1"/>
  <c r="P1878" i="1"/>
  <c r="O1878" i="1"/>
  <c r="N1878" i="1"/>
  <c r="L1878" i="1"/>
  <c r="F1878" i="1"/>
  <c r="F1878" i="1" a="1"/>
  <c r="D1878" i="1"/>
  <c r="D1878" i="1" a="1"/>
  <c r="B1878" i="1"/>
  <c r="R1877" i="1"/>
  <c r="Q1877" i="1"/>
  <c r="P1877" i="1"/>
  <c r="O1877" i="1"/>
  <c r="N1877" i="1"/>
  <c r="L1877" i="1"/>
  <c r="F1877" i="1"/>
  <c r="F1877" i="1" a="1"/>
  <c r="D1877" i="1"/>
  <c r="D1877" i="1" a="1"/>
  <c r="B1877" i="1"/>
  <c r="R1876" i="1"/>
  <c r="Q1876" i="1"/>
  <c r="P1876" i="1"/>
  <c r="O1876" i="1"/>
  <c r="N1876" i="1"/>
  <c r="L1876" i="1"/>
  <c r="F1876" i="1"/>
  <c r="F1876" i="1" a="1"/>
  <c r="D1876" i="1"/>
  <c r="D1876" i="1" a="1"/>
  <c r="B1876" i="1"/>
  <c r="R1875" i="1"/>
  <c r="Q1875" i="1"/>
  <c r="P1875" i="1"/>
  <c r="O1875" i="1"/>
  <c r="N1875" i="1"/>
  <c r="L1875" i="1"/>
  <c r="F1875" i="1" a="1"/>
  <c r="F1875" i="1" s="1"/>
  <c r="D1875" i="1"/>
  <c r="D1875" i="1" a="1"/>
  <c r="B1875" i="1"/>
  <c r="R1874" i="1"/>
  <c r="Q1874" i="1"/>
  <c r="P1874" i="1"/>
  <c r="O1874" i="1"/>
  <c r="N1874" i="1"/>
  <c r="L1874" i="1"/>
  <c r="F1874" i="1"/>
  <c r="F1874" i="1" a="1"/>
  <c r="D1874" i="1"/>
  <c r="D1874" i="1" a="1"/>
  <c r="B1874" i="1"/>
  <c r="R1873" i="1"/>
  <c r="Q1873" i="1"/>
  <c r="P1873" i="1"/>
  <c r="O1873" i="1"/>
  <c r="N1873" i="1"/>
  <c r="L1873" i="1"/>
  <c r="F1873" i="1"/>
  <c r="F1873" i="1" a="1"/>
  <c r="D1873" i="1"/>
  <c r="D1873" i="1" a="1"/>
  <c r="B1873" i="1"/>
  <c r="R1872" i="1"/>
  <c r="Q1872" i="1"/>
  <c r="P1872" i="1"/>
  <c r="O1872" i="1"/>
  <c r="N1872" i="1"/>
  <c r="L1872" i="1"/>
  <c r="F1872" i="1"/>
  <c r="F1872" i="1" a="1"/>
  <c r="D1872" i="1"/>
  <c r="D1872" i="1" a="1"/>
  <c r="B1872" i="1"/>
  <c r="R1871" i="1"/>
  <c r="Q1871" i="1"/>
  <c r="P1871" i="1"/>
  <c r="O1871" i="1"/>
  <c r="N1871" i="1"/>
  <c r="L1871" i="1"/>
  <c r="F1871" i="1" a="1"/>
  <c r="F1871" i="1" s="1"/>
  <c r="D1871" i="1"/>
  <c r="D1871" i="1" a="1"/>
  <c r="B1871" i="1"/>
  <c r="R1870" i="1"/>
  <c r="Q1870" i="1"/>
  <c r="P1870" i="1"/>
  <c r="O1870" i="1"/>
  <c r="N1870" i="1"/>
  <c r="L1870" i="1"/>
  <c r="F1870" i="1"/>
  <c r="F1870" i="1" a="1"/>
  <c r="D1870" i="1"/>
  <c r="D1870" i="1" a="1"/>
  <c r="B1870" i="1"/>
  <c r="R1869" i="1"/>
  <c r="Q1869" i="1"/>
  <c r="P1869" i="1"/>
  <c r="O1869" i="1"/>
  <c r="N1869" i="1"/>
  <c r="L1869" i="1"/>
  <c r="F1869" i="1"/>
  <c r="F1869" i="1" a="1"/>
  <c r="D1869" i="1"/>
  <c r="D1869" i="1" a="1"/>
  <c r="B1869" i="1"/>
  <c r="R1868" i="1"/>
  <c r="Q1868" i="1"/>
  <c r="P1868" i="1"/>
  <c r="O1868" i="1"/>
  <c r="N1868" i="1"/>
  <c r="L1868" i="1"/>
  <c r="F1868" i="1"/>
  <c r="F1868" i="1" a="1"/>
  <c r="D1868" i="1"/>
  <c r="D1868" i="1" a="1"/>
  <c r="B1868" i="1"/>
  <c r="R1867" i="1"/>
  <c r="Q1867" i="1"/>
  <c r="P1867" i="1"/>
  <c r="O1867" i="1"/>
  <c r="N1867" i="1"/>
  <c r="L1867" i="1"/>
  <c r="F1867" i="1" a="1"/>
  <c r="F1867" i="1" s="1"/>
  <c r="D1867" i="1"/>
  <c r="D1867" i="1" a="1"/>
  <c r="B1867" i="1"/>
  <c r="R1866" i="1"/>
  <c r="Q1866" i="1"/>
  <c r="P1866" i="1"/>
  <c r="O1866" i="1"/>
  <c r="N1866" i="1"/>
  <c r="L1866" i="1"/>
  <c r="F1866" i="1"/>
  <c r="F1866" i="1" a="1"/>
  <c r="D1866" i="1"/>
  <c r="D1866" i="1" a="1"/>
  <c r="B1866" i="1"/>
  <c r="R1865" i="1"/>
  <c r="Q1865" i="1"/>
  <c r="P1865" i="1"/>
  <c r="O1865" i="1"/>
  <c r="N1865" i="1"/>
  <c r="L1865" i="1"/>
  <c r="F1865" i="1"/>
  <c r="F1865" i="1" a="1"/>
  <c r="D1865" i="1"/>
  <c r="D1865" i="1" a="1"/>
  <c r="B1865" i="1"/>
  <c r="R1864" i="1"/>
  <c r="Q1864" i="1"/>
  <c r="P1864" i="1"/>
  <c r="O1864" i="1"/>
  <c r="N1864" i="1"/>
  <c r="L1864" i="1"/>
  <c r="F1864" i="1"/>
  <c r="F1864" i="1" a="1"/>
  <c r="D1864" i="1"/>
  <c r="D1864" i="1" a="1"/>
  <c r="B1864" i="1"/>
  <c r="R1863" i="1"/>
  <c r="Q1863" i="1"/>
  <c r="P1863" i="1"/>
  <c r="O1863" i="1"/>
  <c r="N1863" i="1"/>
  <c r="L1863" i="1"/>
  <c r="F1863" i="1" a="1"/>
  <c r="F1863" i="1" s="1"/>
  <c r="D1863" i="1"/>
  <c r="D1863" i="1" a="1"/>
  <c r="B1863" i="1"/>
  <c r="R1862" i="1"/>
  <c r="Q1862" i="1"/>
  <c r="P1862" i="1"/>
  <c r="O1862" i="1"/>
  <c r="N1862" i="1"/>
  <c r="L1862" i="1"/>
  <c r="F1862" i="1"/>
  <c r="F1862" i="1" a="1"/>
  <c r="D1862" i="1"/>
  <c r="D1862" i="1" a="1"/>
  <c r="B1862" i="1"/>
  <c r="R1861" i="1"/>
  <c r="Q1861" i="1"/>
  <c r="P1861" i="1"/>
  <c r="O1861" i="1"/>
  <c r="N1861" i="1"/>
  <c r="L1861" i="1"/>
  <c r="F1861" i="1"/>
  <c r="F1861" i="1" a="1"/>
  <c r="D1861" i="1"/>
  <c r="D1861" i="1" a="1"/>
  <c r="B1861" i="1"/>
  <c r="R1860" i="1"/>
  <c r="Q1860" i="1"/>
  <c r="P1860" i="1"/>
  <c r="O1860" i="1"/>
  <c r="N1860" i="1"/>
  <c r="L1860" i="1"/>
  <c r="F1860" i="1"/>
  <c r="F1860" i="1" a="1"/>
  <c r="D1860" i="1"/>
  <c r="D1860" i="1" a="1"/>
  <c r="B1860" i="1"/>
  <c r="R1859" i="1"/>
  <c r="Q1859" i="1"/>
  <c r="P1859" i="1"/>
  <c r="O1859" i="1"/>
  <c r="N1859" i="1"/>
  <c r="L1859" i="1"/>
  <c r="F1859" i="1" a="1"/>
  <c r="F1859" i="1" s="1"/>
  <c r="D1859" i="1"/>
  <c r="D1859" i="1" a="1"/>
  <c r="B1859" i="1"/>
  <c r="R1858" i="1"/>
  <c r="Q1858" i="1"/>
  <c r="P1858" i="1"/>
  <c r="O1858" i="1"/>
  <c r="N1858" i="1"/>
  <c r="L1858" i="1"/>
  <c r="F1858" i="1"/>
  <c r="F1858" i="1" a="1"/>
  <c r="D1858" i="1"/>
  <c r="D1858" i="1" a="1"/>
  <c r="B1858" i="1"/>
  <c r="R1857" i="1"/>
  <c r="Q1857" i="1"/>
  <c r="P1857" i="1"/>
  <c r="O1857" i="1"/>
  <c r="N1857" i="1"/>
  <c r="L1857" i="1"/>
  <c r="F1857" i="1"/>
  <c r="F1857" i="1" a="1"/>
  <c r="D1857" i="1"/>
  <c r="D1857" i="1" a="1"/>
  <c r="B1857" i="1"/>
  <c r="R1856" i="1"/>
  <c r="Q1856" i="1"/>
  <c r="P1856" i="1"/>
  <c r="O1856" i="1"/>
  <c r="N1856" i="1"/>
  <c r="L1856" i="1"/>
  <c r="F1856" i="1" a="1"/>
  <c r="F1856" i="1" s="1"/>
  <c r="D1856" i="1"/>
  <c r="D1856" i="1" a="1"/>
  <c r="B1856" i="1"/>
  <c r="R1855" i="1"/>
  <c r="Q1855" i="1"/>
  <c r="P1855" i="1"/>
  <c r="O1855" i="1"/>
  <c r="N1855" i="1"/>
  <c r="L1855" i="1"/>
  <c r="F1855" i="1" a="1"/>
  <c r="F1855" i="1" s="1"/>
  <c r="D1855" i="1"/>
  <c r="D1855" i="1" a="1"/>
  <c r="B1855" i="1"/>
  <c r="R1854" i="1"/>
  <c r="Q1854" i="1"/>
  <c r="P1854" i="1"/>
  <c r="O1854" i="1"/>
  <c r="N1854" i="1"/>
  <c r="L1854" i="1"/>
  <c r="F1854" i="1"/>
  <c r="F1854" i="1" a="1"/>
  <c r="D1854" i="1"/>
  <c r="D1854" i="1" a="1"/>
  <c r="B1854" i="1"/>
  <c r="R1853" i="1"/>
  <c r="Q1853" i="1"/>
  <c r="P1853" i="1"/>
  <c r="O1853" i="1"/>
  <c r="N1853" i="1"/>
  <c r="L1853" i="1"/>
  <c r="F1853" i="1"/>
  <c r="F1853" i="1" a="1"/>
  <c r="D1853" i="1"/>
  <c r="D1853" i="1" a="1"/>
  <c r="B1853" i="1"/>
  <c r="R1852" i="1"/>
  <c r="Q1852" i="1"/>
  <c r="P1852" i="1"/>
  <c r="O1852" i="1"/>
  <c r="N1852" i="1"/>
  <c r="L1852" i="1"/>
  <c r="F1852" i="1"/>
  <c r="F1852" i="1" a="1"/>
  <c r="D1852" i="1"/>
  <c r="D1852" i="1" a="1"/>
  <c r="B1852" i="1"/>
  <c r="R1851" i="1"/>
  <c r="Q1851" i="1"/>
  <c r="P1851" i="1"/>
  <c r="O1851" i="1"/>
  <c r="N1851" i="1"/>
  <c r="L1851" i="1"/>
  <c r="F1851" i="1" a="1"/>
  <c r="F1851" i="1" s="1"/>
  <c r="D1851" i="1"/>
  <c r="D1851" i="1" a="1"/>
  <c r="B1851" i="1"/>
  <c r="R1850" i="1"/>
  <c r="Q1850" i="1"/>
  <c r="P1850" i="1"/>
  <c r="O1850" i="1"/>
  <c r="N1850" i="1"/>
  <c r="L1850" i="1"/>
  <c r="F1850" i="1"/>
  <c r="F1850" i="1" a="1"/>
  <c r="D1850" i="1"/>
  <c r="D1850" i="1" a="1"/>
  <c r="B1850" i="1"/>
  <c r="R1849" i="1"/>
  <c r="Q1849" i="1"/>
  <c r="P1849" i="1"/>
  <c r="O1849" i="1"/>
  <c r="N1849" i="1"/>
  <c r="L1849" i="1"/>
  <c r="F1849" i="1"/>
  <c r="F1849" i="1" a="1"/>
  <c r="D1849" i="1"/>
  <c r="D1849" i="1" a="1"/>
  <c r="B1849" i="1"/>
  <c r="R1848" i="1"/>
  <c r="Q1848" i="1"/>
  <c r="P1848" i="1"/>
  <c r="O1848" i="1"/>
  <c r="N1848" i="1"/>
  <c r="L1848" i="1"/>
  <c r="F1848" i="1" a="1"/>
  <c r="F1848" i="1" s="1"/>
  <c r="D1848" i="1"/>
  <c r="D1848" i="1" a="1"/>
  <c r="B1848" i="1"/>
  <c r="R1847" i="1"/>
  <c r="Q1847" i="1"/>
  <c r="P1847" i="1"/>
  <c r="O1847" i="1"/>
  <c r="N1847" i="1"/>
  <c r="L1847" i="1"/>
  <c r="F1847" i="1" a="1"/>
  <c r="F1847" i="1" s="1"/>
  <c r="D1847" i="1"/>
  <c r="D1847" i="1" a="1"/>
  <c r="B1847" i="1"/>
  <c r="R1846" i="1"/>
  <c r="Q1846" i="1"/>
  <c r="P1846" i="1"/>
  <c r="O1846" i="1"/>
  <c r="N1846" i="1"/>
  <c r="L1846" i="1"/>
  <c r="F1846" i="1"/>
  <c r="F1846" i="1" a="1"/>
  <c r="D1846" i="1"/>
  <c r="D1846" i="1" a="1"/>
  <c r="B1846" i="1"/>
  <c r="R1845" i="1"/>
  <c r="Q1845" i="1"/>
  <c r="P1845" i="1"/>
  <c r="O1845" i="1"/>
  <c r="N1845" i="1"/>
  <c r="L1845" i="1"/>
  <c r="F1845" i="1"/>
  <c r="F1845" i="1" a="1"/>
  <c r="D1845" i="1"/>
  <c r="D1845" i="1" a="1"/>
  <c r="B1845" i="1"/>
  <c r="R1844" i="1"/>
  <c r="Q1844" i="1"/>
  <c r="P1844" i="1"/>
  <c r="O1844" i="1"/>
  <c r="N1844" i="1"/>
  <c r="L1844" i="1"/>
  <c r="F1844" i="1" a="1"/>
  <c r="F1844" i="1" s="1"/>
  <c r="D1844" i="1"/>
  <c r="D1844" i="1" a="1"/>
  <c r="B1844" i="1"/>
  <c r="R1843" i="1"/>
  <c r="Q1843" i="1"/>
  <c r="P1843" i="1"/>
  <c r="O1843" i="1"/>
  <c r="N1843" i="1"/>
  <c r="L1843" i="1"/>
  <c r="F1843" i="1" a="1"/>
  <c r="F1843" i="1" s="1"/>
  <c r="D1843" i="1"/>
  <c r="D1843" i="1" a="1"/>
  <c r="B1843" i="1"/>
  <c r="R1842" i="1"/>
  <c r="Q1842" i="1"/>
  <c r="P1842" i="1"/>
  <c r="O1842" i="1"/>
  <c r="N1842" i="1"/>
  <c r="L1842" i="1"/>
  <c r="F1842" i="1" a="1"/>
  <c r="F1842" i="1" s="1"/>
  <c r="D1842" i="1"/>
  <c r="D1842" i="1" a="1"/>
  <c r="B1842" i="1"/>
  <c r="R1841" i="1"/>
  <c r="Q1841" i="1"/>
  <c r="P1841" i="1"/>
  <c r="O1841" i="1"/>
  <c r="N1841" i="1"/>
  <c r="L1841" i="1"/>
  <c r="F1841" i="1"/>
  <c r="F1841" i="1" a="1"/>
  <c r="D1841" i="1"/>
  <c r="D1841" i="1" a="1"/>
  <c r="B1841" i="1"/>
  <c r="R1840" i="1"/>
  <c r="Q1840" i="1"/>
  <c r="P1840" i="1"/>
  <c r="O1840" i="1"/>
  <c r="N1840" i="1"/>
  <c r="L1840" i="1"/>
  <c r="F1840" i="1" a="1"/>
  <c r="F1840" i="1" s="1"/>
  <c r="D1840" i="1"/>
  <c r="D1840" i="1" a="1"/>
  <c r="B1840" i="1"/>
  <c r="R1839" i="1"/>
  <c r="Q1839" i="1"/>
  <c r="P1839" i="1"/>
  <c r="O1839" i="1"/>
  <c r="N1839" i="1"/>
  <c r="L1839" i="1"/>
  <c r="F1839" i="1" a="1"/>
  <c r="F1839" i="1" s="1"/>
  <c r="D1839" i="1"/>
  <c r="D1839" i="1" a="1"/>
  <c r="B1839" i="1"/>
  <c r="R1838" i="1"/>
  <c r="Q1838" i="1"/>
  <c r="P1838" i="1"/>
  <c r="O1838" i="1"/>
  <c r="N1838" i="1"/>
  <c r="L1838" i="1"/>
  <c r="F1838" i="1" a="1"/>
  <c r="F1838" i="1" s="1"/>
  <c r="D1838" i="1"/>
  <c r="D1838" i="1" a="1"/>
  <c r="B1838" i="1"/>
  <c r="R1837" i="1"/>
  <c r="Q1837" i="1"/>
  <c r="P1837" i="1"/>
  <c r="O1837" i="1"/>
  <c r="N1837" i="1"/>
  <c r="L1837" i="1"/>
  <c r="F1837" i="1"/>
  <c r="F1837" i="1" a="1"/>
  <c r="D1837" i="1"/>
  <c r="D1837" i="1" a="1"/>
  <c r="B1837" i="1"/>
  <c r="R1836" i="1"/>
  <c r="Q1836" i="1"/>
  <c r="P1836" i="1"/>
  <c r="O1836" i="1"/>
  <c r="N1836" i="1"/>
  <c r="L1836" i="1"/>
  <c r="F1836" i="1"/>
  <c r="F1836" i="1" a="1"/>
  <c r="D1836" i="1"/>
  <c r="D1836" i="1" a="1"/>
  <c r="B1836" i="1"/>
  <c r="R1835" i="1"/>
  <c r="Q1835" i="1"/>
  <c r="P1835" i="1"/>
  <c r="O1835" i="1"/>
  <c r="N1835" i="1"/>
  <c r="L1835" i="1"/>
  <c r="F1835" i="1" a="1"/>
  <c r="F1835" i="1" s="1"/>
  <c r="D1835" i="1"/>
  <c r="D1835" i="1" a="1"/>
  <c r="B1835" i="1"/>
  <c r="R1834" i="1"/>
  <c r="Q1834" i="1"/>
  <c r="P1834" i="1"/>
  <c r="O1834" i="1"/>
  <c r="N1834" i="1"/>
  <c r="L1834" i="1"/>
  <c r="F1834" i="1" a="1"/>
  <c r="F1834" i="1" s="1"/>
  <c r="D1834" i="1"/>
  <c r="D1834" i="1" a="1"/>
  <c r="B1834" i="1"/>
  <c r="R1833" i="1"/>
  <c r="Q1833" i="1"/>
  <c r="P1833" i="1"/>
  <c r="O1833" i="1"/>
  <c r="N1833" i="1"/>
  <c r="L1833" i="1"/>
  <c r="F1833" i="1"/>
  <c r="F1833" i="1" a="1"/>
  <c r="D1833" i="1"/>
  <c r="D1833" i="1" a="1"/>
  <c r="B1833" i="1"/>
  <c r="R1832" i="1"/>
  <c r="Q1832" i="1"/>
  <c r="P1832" i="1"/>
  <c r="O1832" i="1"/>
  <c r="N1832" i="1"/>
  <c r="L1832" i="1"/>
  <c r="F1832" i="1"/>
  <c r="F1832" i="1" a="1"/>
  <c r="D1832" i="1"/>
  <c r="D1832" i="1" a="1"/>
  <c r="B1832" i="1"/>
  <c r="R1831" i="1"/>
  <c r="Q1831" i="1"/>
  <c r="P1831" i="1"/>
  <c r="O1831" i="1"/>
  <c r="N1831" i="1"/>
  <c r="L1831" i="1"/>
  <c r="F1831" i="1" a="1"/>
  <c r="F1831" i="1" s="1"/>
  <c r="D1831" i="1"/>
  <c r="D1831" i="1" a="1"/>
  <c r="B1831" i="1"/>
  <c r="R1830" i="1"/>
  <c r="Q1830" i="1"/>
  <c r="P1830" i="1"/>
  <c r="O1830" i="1"/>
  <c r="N1830" i="1"/>
  <c r="L1830" i="1"/>
  <c r="F1830" i="1"/>
  <c r="F1830" i="1" a="1"/>
  <c r="D1830" i="1"/>
  <c r="D1830" i="1" a="1"/>
  <c r="B1830" i="1"/>
  <c r="R1829" i="1"/>
  <c r="Q1829" i="1"/>
  <c r="P1829" i="1"/>
  <c r="O1829" i="1"/>
  <c r="N1829" i="1"/>
  <c r="L1829" i="1"/>
  <c r="F1829" i="1"/>
  <c r="F1829" i="1" a="1"/>
  <c r="D1829" i="1"/>
  <c r="D1829" i="1" a="1"/>
  <c r="B1829" i="1"/>
  <c r="R1828" i="1"/>
  <c r="Q1828" i="1"/>
  <c r="P1828" i="1"/>
  <c r="O1828" i="1"/>
  <c r="N1828" i="1"/>
  <c r="L1828" i="1"/>
  <c r="F1828" i="1"/>
  <c r="F1828" i="1" a="1"/>
  <c r="D1828" i="1"/>
  <c r="D1828" i="1" a="1"/>
  <c r="B1828" i="1"/>
  <c r="R1827" i="1"/>
  <c r="Q1827" i="1"/>
  <c r="P1827" i="1"/>
  <c r="O1827" i="1"/>
  <c r="N1827" i="1"/>
  <c r="L1827" i="1"/>
  <c r="F1827" i="1" a="1"/>
  <c r="F1827" i="1" s="1"/>
  <c r="D1827" i="1"/>
  <c r="D1827" i="1" a="1"/>
  <c r="B1827" i="1"/>
  <c r="R1826" i="1"/>
  <c r="Q1826" i="1"/>
  <c r="P1826" i="1"/>
  <c r="O1826" i="1"/>
  <c r="N1826" i="1"/>
  <c r="L1826" i="1"/>
  <c r="F1826" i="1"/>
  <c r="F1826" i="1" a="1"/>
  <c r="D1826" i="1"/>
  <c r="D1826" i="1" a="1"/>
  <c r="B1826" i="1"/>
  <c r="R1825" i="1"/>
  <c r="Q1825" i="1"/>
  <c r="P1825" i="1"/>
  <c r="O1825" i="1"/>
  <c r="N1825" i="1"/>
  <c r="L1825" i="1"/>
  <c r="F1825" i="1"/>
  <c r="F1825" i="1" a="1"/>
  <c r="D1825" i="1"/>
  <c r="D1825" i="1" a="1"/>
  <c r="B1825" i="1"/>
  <c r="R1824" i="1"/>
  <c r="Q1824" i="1"/>
  <c r="P1824" i="1"/>
  <c r="O1824" i="1"/>
  <c r="N1824" i="1"/>
  <c r="L1824" i="1"/>
  <c r="F1824" i="1"/>
  <c r="F1824" i="1" a="1"/>
  <c r="D1824" i="1"/>
  <c r="D1824" i="1" a="1"/>
  <c r="B1824" i="1"/>
  <c r="R1823" i="1"/>
  <c r="Q1823" i="1"/>
  <c r="P1823" i="1"/>
  <c r="O1823" i="1"/>
  <c r="N1823" i="1"/>
  <c r="L1823" i="1"/>
  <c r="F1823" i="1" a="1"/>
  <c r="F1823" i="1" s="1"/>
  <c r="D1823" i="1"/>
  <c r="D1823" i="1" a="1"/>
  <c r="B1823" i="1"/>
  <c r="R1822" i="1"/>
  <c r="Q1822" i="1"/>
  <c r="P1822" i="1"/>
  <c r="O1822" i="1"/>
  <c r="N1822" i="1"/>
  <c r="L1822" i="1"/>
  <c r="F1822" i="1" a="1"/>
  <c r="F1822" i="1" s="1"/>
  <c r="D1822" i="1"/>
  <c r="D1822" i="1" a="1"/>
  <c r="B1822" i="1"/>
  <c r="R1821" i="1"/>
  <c r="Q1821" i="1"/>
  <c r="P1821" i="1"/>
  <c r="O1821" i="1"/>
  <c r="N1821" i="1"/>
  <c r="L1821" i="1"/>
  <c r="F1821" i="1"/>
  <c r="F1821" i="1" a="1"/>
  <c r="D1821" i="1"/>
  <c r="D1821" i="1" a="1"/>
  <c r="B1821" i="1"/>
  <c r="R1820" i="1"/>
  <c r="Q1820" i="1"/>
  <c r="P1820" i="1"/>
  <c r="O1820" i="1"/>
  <c r="N1820" i="1"/>
  <c r="L1820" i="1"/>
  <c r="F1820" i="1" a="1"/>
  <c r="F1820" i="1" s="1"/>
  <c r="D1820" i="1"/>
  <c r="D1820" i="1" a="1"/>
  <c r="B1820" i="1"/>
  <c r="R1819" i="1"/>
  <c r="Q1819" i="1"/>
  <c r="P1819" i="1"/>
  <c r="O1819" i="1"/>
  <c r="N1819" i="1"/>
  <c r="L1819" i="1"/>
  <c r="F1819" i="1" a="1"/>
  <c r="F1819" i="1" s="1"/>
  <c r="D1819" i="1"/>
  <c r="D1819" i="1" a="1"/>
  <c r="B1819" i="1"/>
  <c r="R1818" i="1"/>
  <c r="Q1818" i="1"/>
  <c r="P1818" i="1"/>
  <c r="O1818" i="1"/>
  <c r="N1818" i="1"/>
  <c r="L1818" i="1"/>
  <c r="F1818" i="1"/>
  <c r="F1818" i="1" a="1"/>
  <c r="D1818" i="1"/>
  <c r="D1818" i="1" a="1"/>
  <c r="B1818" i="1"/>
  <c r="R1817" i="1"/>
  <c r="Q1817" i="1"/>
  <c r="P1817" i="1"/>
  <c r="O1817" i="1"/>
  <c r="N1817" i="1"/>
  <c r="L1817" i="1"/>
  <c r="F1817" i="1"/>
  <c r="F1817" i="1" a="1"/>
  <c r="D1817" i="1"/>
  <c r="D1817" i="1" a="1"/>
  <c r="B1817" i="1"/>
  <c r="R1816" i="1"/>
  <c r="Q1816" i="1"/>
  <c r="P1816" i="1"/>
  <c r="O1816" i="1"/>
  <c r="N1816" i="1"/>
  <c r="L1816" i="1"/>
  <c r="F1816" i="1" a="1"/>
  <c r="F1816" i="1" s="1"/>
  <c r="D1816" i="1"/>
  <c r="D1816" i="1" a="1"/>
  <c r="B1816" i="1"/>
  <c r="R1815" i="1"/>
  <c r="Q1815" i="1"/>
  <c r="P1815" i="1"/>
  <c r="O1815" i="1"/>
  <c r="N1815" i="1"/>
  <c r="L1815" i="1"/>
  <c r="F1815" i="1" a="1"/>
  <c r="F1815" i="1" s="1"/>
  <c r="D1815" i="1"/>
  <c r="D1815" i="1" a="1"/>
  <c r="B1815" i="1"/>
  <c r="R1814" i="1"/>
  <c r="Q1814" i="1"/>
  <c r="P1814" i="1"/>
  <c r="O1814" i="1"/>
  <c r="N1814" i="1"/>
  <c r="L1814" i="1"/>
  <c r="F1814" i="1"/>
  <c r="F1814" i="1" a="1"/>
  <c r="D1814" i="1"/>
  <c r="D1814" i="1" a="1"/>
  <c r="B1814" i="1"/>
  <c r="R1813" i="1"/>
  <c r="Q1813" i="1"/>
  <c r="P1813" i="1"/>
  <c r="O1813" i="1"/>
  <c r="N1813" i="1"/>
  <c r="L1813" i="1"/>
  <c r="F1813" i="1"/>
  <c r="F1813" i="1" a="1"/>
  <c r="D1813" i="1"/>
  <c r="D1813" i="1" a="1"/>
  <c r="B1813" i="1"/>
  <c r="R1812" i="1"/>
  <c r="Q1812" i="1"/>
  <c r="P1812" i="1"/>
  <c r="O1812" i="1"/>
  <c r="N1812" i="1"/>
  <c r="L1812" i="1"/>
  <c r="F1812" i="1" a="1"/>
  <c r="F1812" i="1" s="1"/>
  <c r="D1812" i="1"/>
  <c r="D1812" i="1" a="1"/>
  <c r="B1812" i="1"/>
  <c r="R1811" i="1"/>
  <c r="Q1811" i="1"/>
  <c r="P1811" i="1"/>
  <c r="O1811" i="1"/>
  <c r="N1811" i="1"/>
  <c r="L1811" i="1"/>
  <c r="F1811" i="1" a="1"/>
  <c r="F1811" i="1" s="1"/>
  <c r="D1811" i="1"/>
  <c r="D1811" i="1" a="1"/>
  <c r="B1811" i="1"/>
  <c r="R1810" i="1"/>
  <c r="Q1810" i="1"/>
  <c r="P1810" i="1"/>
  <c r="O1810" i="1"/>
  <c r="N1810" i="1"/>
  <c r="L1810" i="1"/>
  <c r="F1810" i="1"/>
  <c r="F1810" i="1" a="1"/>
  <c r="D1810" i="1"/>
  <c r="D1810" i="1" a="1"/>
  <c r="B1810" i="1"/>
  <c r="R1809" i="1"/>
  <c r="Q1809" i="1"/>
  <c r="P1809" i="1"/>
  <c r="O1809" i="1"/>
  <c r="N1809" i="1"/>
  <c r="L1809" i="1"/>
  <c r="F1809" i="1"/>
  <c r="F1809" i="1" a="1"/>
  <c r="D1809" i="1"/>
  <c r="D1809" i="1" a="1"/>
  <c r="B1809" i="1"/>
  <c r="R1808" i="1"/>
  <c r="Q1808" i="1"/>
  <c r="P1808" i="1"/>
  <c r="O1808" i="1"/>
  <c r="N1808" i="1"/>
  <c r="L1808" i="1"/>
  <c r="F1808" i="1"/>
  <c r="F1808" i="1" a="1"/>
  <c r="D1808" i="1"/>
  <c r="D1808" i="1" a="1"/>
  <c r="B1808" i="1"/>
  <c r="R1807" i="1"/>
  <c r="Q1807" i="1"/>
  <c r="P1807" i="1"/>
  <c r="O1807" i="1"/>
  <c r="N1807" i="1"/>
  <c r="L1807" i="1"/>
  <c r="F1807" i="1" a="1"/>
  <c r="F1807" i="1" s="1"/>
  <c r="D1807" i="1"/>
  <c r="D1807" i="1" a="1"/>
  <c r="B1807" i="1"/>
  <c r="R1806" i="1"/>
  <c r="Q1806" i="1"/>
  <c r="P1806" i="1"/>
  <c r="O1806" i="1"/>
  <c r="N1806" i="1"/>
  <c r="L1806" i="1"/>
  <c r="F1806" i="1" a="1"/>
  <c r="F1806" i="1" s="1"/>
  <c r="D1806" i="1"/>
  <c r="D1806" i="1" a="1"/>
  <c r="B1806" i="1"/>
  <c r="R1805" i="1"/>
  <c r="Q1805" i="1"/>
  <c r="P1805" i="1"/>
  <c r="O1805" i="1"/>
  <c r="N1805" i="1"/>
  <c r="L1805" i="1"/>
  <c r="F1805" i="1"/>
  <c r="F1805" i="1" a="1"/>
  <c r="D1805" i="1"/>
  <c r="D1805" i="1" a="1"/>
  <c r="B1805" i="1"/>
  <c r="R1804" i="1"/>
  <c r="Q1804" i="1"/>
  <c r="P1804" i="1"/>
  <c r="O1804" i="1"/>
  <c r="N1804" i="1"/>
  <c r="L1804" i="1"/>
  <c r="F1804" i="1"/>
  <c r="F1804" i="1" a="1"/>
  <c r="D1804" i="1"/>
  <c r="D1804" i="1" a="1"/>
  <c r="B1804" i="1"/>
  <c r="R1803" i="1"/>
  <c r="Q1803" i="1"/>
  <c r="P1803" i="1"/>
  <c r="O1803" i="1"/>
  <c r="N1803" i="1"/>
  <c r="L1803" i="1"/>
  <c r="F1803" i="1" a="1"/>
  <c r="F1803" i="1" s="1"/>
  <c r="D1803" i="1"/>
  <c r="D1803" i="1" a="1"/>
  <c r="B1803" i="1"/>
  <c r="R1802" i="1"/>
  <c r="Q1802" i="1"/>
  <c r="P1802" i="1"/>
  <c r="O1802" i="1"/>
  <c r="N1802" i="1"/>
  <c r="L1802" i="1"/>
  <c r="F1802" i="1" a="1"/>
  <c r="F1802" i="1" s="1"/>
  <c r="D1802" i="1"/>
  <c r="D1802" i="1" a="1"/>
  <c r="B1802" i="1"/>
  <c r="R1801" i="1"/>
  <c r="Q1801" i="1"/>
  <c r="P1801" i="1"/>
  <c r="O1801" i="1"/>
  <c r="N1801" i="1"/>
  <c r="L1801" i="1"/>
  <c r="F1801" i="1"/>
  <c r="F1801" i="1" a="1"/>
  <c r="D1801" i="1"/>
  <c r="D1801" i="1" a="1"/>
  <c r="B1801" i="1"/>
  <c r="R1800" i="1"/>
  <c r="Q1800" i="1"/>
  <c r="P1800" i="1"/>
  <c r="O1800" i="1"/>
  <c r="N1800" i="1"/>
  <c r="L1800" i="1"/>
  <c r="F1800" i="1"/>
  <c r="F1800" i="1" a="1"/>
  <c r="D1800" i="1"/>
  <c r="D1800" i="1" a="1"/>
  <c r="B1800" i="1"/>
  <c r="R1799" i="1"/>
  <c r="Q1799" i="1"/>
  <c r="P1799" i="1"/>
  <c r="O1799" i="1"/>
  <c r="N1799" i="1"/>
  <c r="L1799" i="1"/>
  <c r="F1799" i="1" a="1"/>
  <c r="F1799" i="1" s="1"/>
  <c r="D1799" i="1"/>
  <c r="D1799" i="1" a="1"/>
  <c r="B1799" i="1"/>
  <c r="R1798" i="1"/>
  <c r="Q1798" i="1"/>
  <c r="P1798" i="1"/>
  <c r="O1798" i="1"/>
  <c r="N1798" i="1"/>
  <c r="L1798" i="1"/>
  <c r="F1798" i="1" a="1"/>
  <c r="F1798" i="1" s="1"/>
  <c r="D1798" i="1"/>
  <c r="D1798" i="1" a="1"/>
  <c r="B1798" i="1"/>
  <c r="R1797" i="1"/>
  <c r="Q1797" i="1"/>
  <c r="P1797" i="1"/>
  <c r="O1797" i="1"/>
  <c r="N1797" i="1"/>
  <c r="L1797" i="1"/>
  <c r="F1797" i="1"/>
  <c r="F1797" i="1" a="1"/>
  <c r="D1797" i="1"/>
  <c r="D1797" i="1" a="1"/>
  <c r="B1797" i="1"/>
  <c r="R1796" i="1"/>
  <c r="Q1796" i="1"/>
  <c r="P1796" i="1"/>
  <c r="O1796" i="1"/>
  <c r="N1796" i="1"/>
  <c r="L1796" i="1"/>
  <c r="F1796" i="1"/>
  <c r="F1796" i="1" a="1"/>
  <c r="D1796" i="1"/>
  <c r="D1796" i="1" a="1"/>
  <c r="B1796" i="1"/>
  <c r="R1795" i="1"/>
  <c r="Q1795" i="1"/>
  <c r="P1795" i="1"/>
  <c r="O1795" i="1"/>
  <c r="N1795" i="1"/>
  <c r="L1795" i="1"/>
  <c r="F1795" i="1" a="1"/>
  <c r="F1795" i="1" s="1"/>
  <c r="D1795" i="1"/>
  <c r="D1795" i="1" a="1"/>
  <c r="B1795" i="1"/>
  <c r="R1794" i="1"/>
  <c r="Q1794" i="1"/>
  <c r="P1794" i="1"/>
  <c r="O1794" i="1"/>
  <c r="N1794" i="1"/>
  <c r="L1794" i="1"/>
  <c r="F1794" i="1"/>
  <c r="F1794" i="1" a="1"/>
  <c r="D1794" i="1"/>
  <c r="D1794" i="1" a="1"/>
  <c r="B1794" i="1"/>
  <c r="R1793" i="1"/>
  <c r="Q1793" i="1"/>
  <c r="P1793" i="1"/>
  <c r="O1793" i="1"/>
  <c r="N1793" i="1"/>
  <c r="L1793" i="1"/>
  <c r="F1793" i="1"/>
  <c r="F1793" i="1" a="1"/>
  <c r="D1793" i="1"/>
  <c r="D1793" i="1" a="1"/>
  <c r="B1793" i="1"/>
  <c r="R1792" i="1"/>
  <c r="Q1792" i="1"/>
  <c r="P1792" i="1"/>
  <c r="O1792" i="1"/>
  <c r="N1792" i="1"/>
  <c r="L1792" i="1"/>
  <c r="F1792" i="1"/>
  <c r="F1792" i="1" a="1"/>
  <c r="D1792" i="1"/>
  <c r="D1792" i="1" a="1"/>
  <c r="B1792" i="1"/>
  <c r="R1791" i="1"/>
  <c r="Q1791" i="1"/>
  <c r="P1791" i="1"/>
  <c r="O1791" i="1"/>
  <c r="N1791" i="1"/>
  <c r="L1791" i="1"/>
  <c r="F1791" i="1" a="1"/>
  <c r="F1791" i="1" s="1"/>
  <c r="D1791" i="1"/>
  <c r="D1791" i="1" a="1"/>
  <c r="B1791" i="1"/>
  <c r="R1790" i="1"/>
  <c r="Q1790" i="1"/>
  <c r="P1790" i="1"/>
  <c r="O1790" i="1"/>
  <c r="N1790" i="1"/>
  <c r="L1790" i="1"/>
  <c r="F1790" i="1"/>
  <c r="F1790" i="1" a="1"/>
  <c r="D1790" i="1"/>
  <c r="D1790" i="1" a="1"/>
  <c r="B1790" i="1"/>
  <c r="R1789" i="1"/>
  <c r="Q1789" i="1"/>
  <c r="P1789" i="1"/>
  <c r="O1789" i="1"/>
  <c r="N1789" i="1"/>
  <c r="L1789" i="1"/>
  <c r="F1789" i="1"/>
  <c r="F1789" i="1" a="1"/>
  <c r="D1789" i="1"/>
  <c r="D1789" i="1" a="1"/>
  <c r="B1789" i="1"/>
  <c r="R1788" i="1"/>
  <c r="Q1788" i="1"/>
  <c r="P1788" i="1"/>
  <c r="O1788" i="1"/>
  <c r="N1788" i="1"/>
  <c r="L1788" i="1"/>
  <c r="F1788" i="1" a="1"/>
  <c r="F1788" i="1" s="1"/>
  <c r="D1788" i="1"/>
  <c r="D1788" i="1" a="1"/>
  <c r="B1788" i="1"/>
  <c r="R1787" i="1"/>
  <c r="Q1787" i="1"/>
  <c r="P1787" i="1"/>
  <c r="O1787" i="1"/>
  <c r="N1787" i="1"/>
  <c r="L1787" i="1"/>
  <c r="F1787" i="1" a="1"/>
  <c r="F1787" i="1" s="1"/>
  <c r="D1787" i="1"/>
  <c r="D1787" i="1" a="1"/>
  <c r="B1787" i="1"/>
  <c r="R1786" i="1"/>
  <c r="Q1786" i="1"/>
  <c r="P1786" i="1"/>
  <c r="O1786" i="1"/>
  <c r="N1786" i="1"/>
  <c r="L1786" i="1"/>
  <c r="F1786" i="1"/>
  <c r="F1786" i="1" a="1"/>
  <c r="D1786" i="1"/>
  <c r="D1786" i="1" a="1"/>
  <c r="B1786" i="1"/>
  <c r="R1785" i="1"/>
  <c r="Q1785" i="1"/>
  <c r="P1785" i="1"/>
  <c r="O1785" i="1"/>
  <c r="N1785" i="1"/>
  <c r="L1785" i="1"/>
  <c r="F1785" i="1"/>
  <c r="F1785" i="1" a="1"/>
  <c r="D1785" i="1"/>
  <c r="D1785" i="1" a="1"/>
  <c r="B1785" i="1"/>
  <c r="R1784" i="1"/>
  <c r="Q1784" i="1"/>
  <c r="P1784" i="1"/>
  <c r="O1784" i="1"/>
  <c r="N1784" i="1"/>
  <c r="L1784" i="1"/>
  <c r="F1784" i="1" a="1"/>
  <c r="F1784" i="1" s="1"/>
  <c r="D1784" i="1"/>
  <c r="D1784" i="1" a="1"/>
  <c r="B1784" i="1"/>
  <c r="R1783" i="1"/>
  <c r="Q1783" i="1"/>
  <c r="P1783" i="1"/>
  <c r="O1783" i="1"/>
  <c r="N1783" i="1"/>
  <c r="L1783" i="1"/>
  <c r="F1783" i="1" a="1"/>
  <c r="F1783" i="1" s="1"/>
  <c r="D1783" i="1"/>
  <c r="D1783" i="1" a="1"/>
  <c r="B1783" i="1"/>
  <c r="R1782" i="1"/>
  <c r="Q1782" i="1"/>
  <c r="P1782" i="1"/>
  <c r="O1782" i="1"/>
  <c r="N1782" i="1"/>
  <c r="L1782" i="1"/>
  <c r="F1782" i="1"/>
  <c r="F1782" i="1" a="1"/>
  <c r="D1782" i="1"/>
  <c r="D1782" i="1" a="1"/>
  <c r="B1782" i="1"/>
  <c r="R1781" i="1"/>
  <c r="Q1781" i="1"/>
  <c r="P1781" i="1"/>
  <c r="O1781" i="1"/>
  <c r="N1781" i="1"/>
  <c r="L1781" i="1"/>
  <c r="F1781" i="1"/>
  <c r="F1781" i="1" a="1"/>
  <c r="D1781" i="1"/>
  <c r="D1781" i="1" a="1"/>
  <c r="B1781" i="1"/>
  <c r="R1780" i="1"/>
  <c r="Q1780" i="1"/>
  <c r="P1780" i="1"/>
  <c r="O1780" i="1"/>
  <c r="N1780" i="1"/>
  <c r="L1780" i="1"/>
  <c r="F1780" i="1" a="1"/>
  <c r="F1780" i="1" s="1"/>
  <c r="D1780" i="1"/>
  <c r="D1780" i="1" a="1"/>
  <c r="B1780" i="1"/>
  <c r="R1779" i="1"/>
  <c r="Q1779" i="1"/>
  <c r="P1779" i="1"/>
  <c r="O1779" i="1"/>
  <c r="N1779" i="1"/>
  <c r="L1779" i="1"/>
  <c r="F1779" i="1" a="1"/>
  <c r="F1779" i="1" s="1"/>
  <c r="D1779" i="1"/>
  <c r="D1779" i="1" a="1"/>
  <c r="B1779" i="1"/>
  <c r="R1778" i="1"/>
  <c r="Q1778" i="1"/>
  <c r="P1778" i="1"/>
  <c r="O1778" i="1"/>
  <c r="N1778" i="1"/>
  <c r="L1778" i="1"/>
  <c r="F1778" i="1"/>
  <c r="F1778" i="1" a="1"/>
  <c r="D1778" i="1"/>
  <c r="D1778" i="1" a="1"/>
  <c r="B1778" i="1"/>
  <c r="R1777" i="1"/>
  <c r="Q1777" i="1"/>
  <c r="P1777" i="1"/>
  <c r="O1777" i="1"/>
  <c r="N1777" i="1"/>
  <c r="L1777" i="1"/>
  <c r="F1777" i="1"/>
  <c r="F1777" i="1" a="1"/>
  <c r="D1777" i="1"/>
  <c r="D1777" i="1" a="1"/>
  <c r="B1777" i="1"/>
  <c r="R1776" i="1"/>
  <c r="Q1776" i="1"/>
  <c r="P1776" i="1"/>
  <c r="O1776" i="1"/>
  <c r="N1776" i="1"/>
  <c r="L1776" i="1"/>
  <c r="F1776" i="1"/>
  <c r="F1776" i="1" a="1"/>
  <c r="D1776" i="1"/>
  <c r="D1776" i="1" a="1"/>
  <c r="B1776" i="1"/>
  <c r="R1775" i="1"/>
  <c r="Q1775" i="1"/>
  <c r="P1775" i="1"/>
  <c r="O1775" i="1"/>
  <c r="N1775" i="1"/>
  <c r="L1775" i="1"/>
  <c r="F1775" i="1" a="1"/>
  <c r="F1775" i="1" s="1"/>
  <c r="D1775" i="1"/>
  <c r="D1775" i="1" a="1"/>
  <c r="B1775" i="1"/>
  <c r="R1774" i="1"/>
  <c r="Q1774" i="1"/>
  <c r="P1774" i="1"/>
  <c r="O1774" i="1"/>
  <c r="N1774" i="1"/>
  <c r="L1774" i="1"/>
  <c r="F1774" i="1" a="1"/>
  <c r="F1774" i="1" s="1"/>
  <c r="D1774" i="1"/>
  <c r="D1774" i="1" a="1"/>
  <c r="B1774" i="1"/>
  <c r="R1773" i="1"/>
  <c r="Q1773" i="1"/>
  <c r="P1773" i="1"/>
  <c r="O1773" i="1"/>
  <c r="N1773" i="1"/>
  <c r="L1773" i="1"/>
  <c r="F1773" i="1"/>
  <c r="F1773" i="1" a="1"/>
  <c r="D1773" i="1"/>
  <c r="D1773" i="1" a="1"/>
  <c r="B1773" i="1"/>
  <c r="R1772" i="1"/>
  <c r="Q1772" i="1"/>
  <c r="P1772" i="1"/>
  <c r="O1772" i="1"/>
  <c r="N1772" i="1"/>
  <c r="L1772" i="1"/>
  <c r="F1772" i="1"/>
  <c r="F1772" i="1" a="1"/>
  <c r="D1772" i="1"/>
  <c r="D1772" i="1" a="1"/>
  <c r="B1772" i="1"/>
  <c r="R1771" i="1"/>
  <c r="Q1771" i="1"/>
  <c r="P1771" i="1"/>
  <c r="O1771" i="1"/>
  <c r="N1771" i="1"/>
  <c r="L1771" i="1"/>
  <c r="F1771" i="1" a="1"/>
  <c r="F1771" i="1" s="1"/>
  <c r="D1771" i="1"/>
  <c r="D1771" i="1" a="1"/>
  <c r="B1771" i="1"/>
  <c r="R1770" i="1"/>
  <c r="Q1770" i="1"/>
  <c r="P1770" i="1"/>
  <c r="O1770" i="1"/>
  <c r="N1770" i="1"/>
  <c r="L1770" i="1"/>
  <c r="F1770" i="1" a="1"/>
  <c r="F1770" i="1" s="1"/>
  <c r="D1770" i="1"/>
  <c r="D1770" i="1" a="1"/>
  <c r="B1770" i="1"/>
  <c r="R1769" i="1"/>
  <c r="Q1769" i="1"/>
  <c r="P1769" i="1"/>
  <c r="O1769" i="1"/>
  <c r="N1769" i="1"/>
  <c r="L1769" i="1"/>
  <c r="F1769" i="1"/>
  <c r="F1769" i="1" a="1"/>
  <c r="D1769" i="1"/>
  <c r="D1769" i="1" a="1"/>
  <c r="B1769" i="1"/>
  <c r="R1768" i="1"/>
  <c r="Q1768" i="1"/>
  <c r="P1768" i="1"/>
  <c r="O1768" i="1"/>
  <c r="N1768" i="1"/>
  <c r="L1768" i="1"/>
  <c r="F1768" i="1"/>
  <c r="F1768" i="1" a="1"/>
  <c r="D1768" i="1"/>
  <c r="D1768" i="1" a="1"/>
  <c r="B1768" i="1"/>
  <c r="R1767" i="1"/>
  <c r="Q1767" i="1"/>
  <c r="P1767" i="1"/>
  <c r="O1767" i="1"/>
  <c r="N1767" i="1"/>
  <c r="L1767" i="1"/>
  <c r="F1767" i="1" a="1"/>
  <c r="F1767" i="1" s="1"/>
  <c r="D1767" i="1"/>
  <c r="D1767" i="1" a="1"/>
  <c r="B1767" i="1"/>
  <c r="R1766" i="1"/>
  <c r="Q1766" i="1"/>
  <c r="P1766" i="1"/>
  <c r="O1766" i="1"/>
  <c r="N1766" i="1"/>
  <c r="L1766" i="1"/>
  <c r="F1766" i="1" a="1"/>
  <c r="F1766" i="1" s="1"/>
  <c r="D1766" i="1"/>
  <c r="D1766" i="1" a="1"/>
  <c r="B1766" i="1"/>
  <c r="R1765" i="1"/>
  <c r="Q1765" i="1"/>
  <c r="P1765" i="1"/>
  <c r="O1765" i="1"/>
  <c r="N1765" i="1"/>
  <c r="L1765" i="1"/>
  <c r="F1765" i="1"/>
  <c r="F1765" i="1" a="1"/>
  <c r="D1765" i="1"/>
  <c r="D1765" i="1" a="1"/>
  <c r="B1765" i="1"/>
  <c r="R1764" i="1"/>
  <c r="Q1764" i="1"/>
  <c r="P1764" i="1"/>
  <c r="O1764" i="1"/>
  <c r="N1764" i="1"/>
  <c r="L1764" i="1"/>
  <c r="F1764" i="1"/>
  <c r="F1764" i="1" a="1"/>
  <c r="D1764" i="1"/>
  <c r="D1764" i="1" a="1"/>
  <c r="B1764" i="1"/>
  <c r="R1763" i="1"/>
  <c r="Q1763" i="1"/>
  <c r="P1763" i="1"/>
  <c r="O1763" i="1"/>
  <c r="N1763" i="1"/>
  <c r="L1763" i="1"/>
  <c r="F1763" i="1" a="1"/>
  <c r="F1763" i="1" s="1"/>
  <c r="D1763" i="1"/>
  <c r="D1763" i="1" a="1"/>
  <c r="B1763" i="1"/>
  <c r="R1762" i="1"/>
  <c r="Q1762" i="1"/>
  <c r="P1762" i="1"/>
  <c r="O1762" i="1"/>
  <c r="N1762" i="1"/>
  <c r="L1762" i="1"/>
  <c r="F1762" i="1"/>
  <c r="F1762" i="1" a="1"/>
  <c r="D1762" i="1"/>
  <c r="D1762" i="1" a="1"/>
  <c r="B1762" i="1"/>
  <c r="R1761" i="1"/>
  <c r="Q1761" i="1"/>
  <c r="P1761" i="1"/>
  <c r="O1761" i="1"/>
  <c r="N1761" i="1"/>
  <c r="L1761" i="1"/>
  <c r="F1761" i="1"/>
  <c r="F1761" i="1" a="1"/>
  <c r="D1761" i="1"/>
  <c r="D1761" i="1" a="1"/>
  <c r="B1761" i="1"/>
  <c r="R1760" i="1"/>
  <c r="Q1760" i="1"/>
  <c r="P1760" i="1"/>
  <c r="O1760" i="1"/>
  <c r="N1760" i="1"/>
  <c r="L1760" i="1"/>
  <c r="F1760" i="1"/>
  <c r="F1760" i="1" a="1"/>
  <c r="D1760" i="1"/>
  <c r="D1760" i="1" a="1"/>
  <c r="B1760" i="1"/>
  <c r="R1759" i="1"/>
  <c r="Q1759" i="1"/>
  <c r="P1759" i="1"/>
  <c r="O1759" i="1"/>
  <c r="N1759" i="1"/>
  <c r="L1759" i="1"/>
  <c r="F1759" i="1" a="1"/>
  <c r="F1759" i="1" s="1"/>
  <c r="D1759" i="1"/>
  <c r="D1759" i="1" a="1"/>
  <c r="B1759" i="1"/>
  <c r="R1758" i="1"/>
  <c r="Q1758" i="1"/>
  <c r="P1758" i="1"/>
  <c r="O1758" i="1"/>
  <c r="N1758" i="1"/>
  <c r="L1758" i="1"/>
  <c r="F1758" i="1"/>
  <c r="F1758" i="1" a="1"/>
  <c r="D1758" i="1"/>
  <c r="D1758" i="1" a="1"/>
  <c r="B1758" i="1"/>
  <c r="R1757" i="1"/>
  <c r="Q1757" i="1"/>
  <c r="P1757" i="1"/>
  <c r="O1757" i="1"/>
  <c r="N1757" i="1"/>
  <c r="L1757" i="1"/>
  <c r="F1757" i="1"/>
  <c r="F1757" i="1" a="1"/>
  <c r="D1757" i="1"/>
  <c r="D1757" i="1" a="1"/>
  <c r="B1757" i="1"/>
  <c r="R1756" i="1"/>
  <c r="Q1756" i="1"/>
  <c r="P1756" i="1"/>
  <c r="O1756" i="1"/>
  <c r="N1756" i="1"/>
  <c r="L1756" i="1"/>
  <c r="F1756" i="1" a="1"/>
  <c r="F1756" i="1" s="1"/>
  <c r="D1756" i="1"/>
  <c r="D1756" i="1" a="1"/>
  <c r="B1756" i="1"/>
  <c r="R1755" i="1"/>
  <c r="Q1755" i="1"/>
  <c r="P1755" i="1"/>
  <c r="O1755" i="1"/>
  <c r="N1755" i="1"/>
  <c r="L1755" i="1"/>
  <c r="F1755" i="1" a="1"/>
  <c r="F1755" i="1" s="1"/>
  <c r="D1755" i="1"/>
  <c r="D1755" i="1" a="1"/>
  <c r="B1755" i="1"/>
  <c r="R1754" i="1"/>
  <c r="Q1754" i="1"/>
  <c r="P1754" i="1"/>
  <c r="O1754" i="1"/>
  <c r="N1754" i="1"/>
  <c r="L1754" i="1"/>
  <c r="F1754" i="1"/>
  <c r="F1754" i="1" a="1"/>
  <c r="D1754" i="1"/>
  <c r="D1754" i="1" a="1"/>
  <c r="B1754" i="1"/>
  <c r="R1753" i="1"/>
  <c r="Q1753" i="1"/>
  <c r="P1753" i="1"/>
  <c r="O1753" i="1"/>
  <c r="N1753" i="1"/>
  <c r="L1753" i="1"/>
  <c r="F1753" i="1"/>
  <c r="F1753" i="1" a="1"/>
  <c r="D1753" i="1"/>
  <c r="D1753" i="1" a="1"/>
  <c r="B1753" i="1"/>
  <c r="R1752" i="1"/>
  <c r="Q1752" i="1"/>
  <c r="P1752" i="1"/>
  <c r="O1752" i="1"/>
  <c r="N1752" i="1"/>
  <c r="L1752" i="1"/>
  <c r="F1752" i="1"/>
  <c r="F1752" i="1" a="1"/>
  <c r="D1752" i="1"/>
  <c r="D1752" i="1" a="1"/>
  <c r="B1752" i="1"/>
  <c r="R1751" i="1"/>
  <c r="Q1751" i="1"/>
  <c r="P1751" i="1"/>
  <c r="O1751" i="1"/>
  <c r="N1751" i="1"/>
  <c r="L1751" i="1"/>
  <c r="F1751" i="1" a="1"/>
  <c r="F1751" i="1" s="1"/>
  <c r="D1751" i="1"/>
  <c r="D1751" i="1" a="1"/>
  <c r="B1751" i="1"/>
  <c r="R1750" i="1"/>
  <c r="Q1750" i="1"/>
  <c r="P1750" i="1"/>
  <c r="O1750" i="1"/>
  <c r="N1750" i="1"/>
  <c r="L1750" i="1"/>
  <c r="F1750" i="1"/>
  <c r="F1750" i="1" a="1"/>
  <c r="D1750" i="1"/>
  <c r="D1750" i="1" a="1"/>
  <c r="B1750" i="1"/>
  <c r="R1749" i="1"/>
  <c r="Q1749" i="1"/>
  <c r="P1749" i="1"/>
  <c r="O1749" i="1"/>
  <c r="N1749" i="1"/>
  <c r="L1749" i="1"/>
  <c r="F1749" i="1"/>
  <c r="F1749" i="1" a="1"/>
  <c r="D1749" i="1"/>
  <c r="D1749" i="1" a="1"/>
  <c r="B1749" i="1"/>
  <c r="R1748" i="1"/>
  <c r="Q1748" i="1"/>
  <c r="P1748" i="1"/>
  <c r="O1748" i="1"/>
  <c r="N1748" i="1"/>
  <c r="L1748" i="1"/>
  <c r="F1748" i="1" a="1"/>
  <c r="F1748" i="1" s="1"/>
  <c r="D1748" i="1"/>
  <c r="D1748" i="1" a="1"/>
  <c r="B1748" i="1"/>
  <c r="R1747" i="1"/>
  <c r="Q1747" i="1"/>
  <c r="P1747" i="1"/>
  <c r="O1747" i="1"/>
  <c r="N1747" i="1"/>
  <c r="L1747" i="1"/>
  <c r="F1747" i="1" a="1"/>
  <c r="F1747" i="1" s="1"/>
  <c r="D1747" i="1"/>
  <c r="D1747" i="1" a="1"/>
  <c r="B1747" i="1"/>
  <c r="R1746" i="1"/>
  <c r="Q1746" i="1"/>
  <c r="P1746" i="1"/>
  <c r="O1746" i="1"/>
  <c r="N1746" i="1"/>
  <c r="L1746" i="1"/>
  <c r="F1746" i="1"/>
  <c r="F1746" i="1" a="1"/>
  <c r="D1746" i="1"/>
  <c r="D1746" i="1" a="1"/>
  <c r="B1746" i="1"/>
  <c r="R1745" i="1"/>
  <c r="Q1745" i="1"/>
  <c r="P1745" i="1"/>
  <c r="O1745" i="1"/>
  <c r="N1745" i="1"/>
  <c r="L1745" i="1"/>
  <c r="F1745" i="1"/>
  <c r="F1745" i="1" a="1"/>
  <c r="D1745" i="1"/>
  <c r="D1745" i="1" a="1"/>
  <c r="B1745" i="1"/>
  <c r="R1744" i="1"/>
  <c r="Q1744" i="1"/>
  <c r="P1744" i="1"/>
  <c r="O1744" i="1"/>
  <c r="N1744" i="1"/>
  <c r="L1744" i="1"/>
  <c r="F1744" i="1"/>
  <c r="F1744" i="1" a="1"/>
  <c r="D1744" i="1"/>
  <c r="D1744" i="1" a="1"/>
  <c r="B1744" i="1"/>
  <c r="R1743" i="1"/>
  <c r="Q1743" i="1"/>
  <c r="P1743" i="1"/>
  <c r="O1743" i="1"/>
  <c r="N1743" i="1"/>
  <c r="L1743" i="1"/>
  <c r="F1743" i="1" a="1"/>
  <c r="F1743" i="1" s="1"/>
  <c r="D1743" i="1"/>
  <c r="D1743" i="1" a="1"/>
  <c r="B1743" i="1"/>
  <c r="R1742" i="1"/>
  <c r="Q1742" i="1"/>
  <c r="P1742" i="1"/>
  <c r="O1742" i="1"/>
  <c r="N1742" i="1"/>
  <c r="L1742" i="1"/>
  <c r="F1742" i="1" a="1"/>
  <c r="F1742" i="1" s="1"/>
  <c r="D1742" i="1"/>
  <c r="D1742" i="1" a="1"/>
  <c r="B1742" i="1"/>
  <c r="R1741" i="1"/>
  <c r="Q1741" i="1"/>
  <c r="P1741" i="1"/>
  <c r="O1741" i="1"/>
  <c r="N1741" i="1"/>
  <c r="L1741" i="1"/>
  <c r="F1741" i="1"/>
  <c r="F1741" i="1" a="1"/>
  <c r="D1741" i="1"/>
  <c r="D1741" i="1" a="1"/>
  <c r="B1741" i="1"/>
  <c r="R1740" i="1"/>
  <c r="Q1740" i="1"/>
  <c r="P1740" i="1"/>
  <c r="O1740" i="1"/>
  <c r="N1740" i="1"/>
  <c r="L1740" i="1"/>
  <c r="F1740" i="1"/>
  <c r="F1740" i="1" a="1"/>
  <c r="D1740" i="1"/>
  <c r="D1740" i="1" a="1"/>
  <c r="B1740" i="1"/>
  <c r="R1739" i="1"/>
  <c r="Q1739" i="1"/>
  <c r="P1739" i="1"/>
  <c r="O1739" i="1"/>
  <c r="N1739" i="1"/>
  <c r="L1739" i="1"/>
  <c r="F1739" i="1" a="1"/>
  <c r="F1739" i="1" s="1"/>
  <c r="D1739" i="1"/>
  <c r="D1739" i="1" a="1"/>
  <c r="B1739" i="1"/>
  <c r="R1738" i="1"/>
  <c r="Q1738" i="1"/>
  <c r="P1738" i="1"/>
  <c r="O1738" i="1"/>
  <c r="N1738" i="1"/>
  <c r="L1738" i="1"/>
  <c r="F1738" i="1"/>
  <c r="F1738" i="1" a="1"/>
  <c r="D1738" i="1"/>
  <c r="D1738" i="1" a="1"/>
  <c r="B1738" i="1"/>
  <c r="R1737" i="1"/>
  <c r="Q1737" i="1"/>
  <c r="P1737" i="1"/>
  <c r="O1737" i="1"/>
  <c r="N1737" i="1"/>
  <c r="L1737" i="1"/>
  <c r="F1737" i="1"/>
  <c r="F1737" i="1" a="1"/>
  <c r="D1737" i="1"/>
  <c r="D1737" i="1" a="1"/>
  <c r="B1737" i="1"/>
  <c r="R1736" i="1"/>
  <c r="Q1736" i="1"/>
  <c r="P1736" i="1"/>
  <c r="O1736" i="1"/>
  <c r="N1736" i="1"/>
  <c r="L1736" i="1"/>
  <c r="F1736" i="1"/>
  <c r="F1736" i="1" a="1"/>
  <c r="D1736" i="1"/>
  <c r="D1736" i="1" a="1"/>
  <c r="B1736" i="1"/>
  <c r="R1735" i="1"/>
  <c r="Q1735" i="1"/>
  <c r="P1735" i="1"/>
  <c r="O1735" i="1"/>
  <c r="N1735" i="1"/>
  <c r="L1735" i="1"/>
  <c r="F1735" i="1" a="1"/>
  <c r="F1735" i="1" s="1"/>
  <c r="D1735" i="1"/>
  <c r="D1735" i="1" a="1"/>
  <c r="B1735" i="1"/>
  <c r="R1734" i="1"/>
  <c r="Q1734" i="1"/>
  <c r="P1734" i="1"/>
  <c r="O1734" i="1"/>
  <c r="N1734" i="1"/>
  <c r="L1734" i="1"/>
  <c r="F1734" i="1" a="1"/>
  <c r="F1734" i="1" s="1"/>
  <c r="D1734" i="1"/>
  <c r="D1734" i="1" a="1"/>
  <c r="B1734" i="1"/>
  <c r="R1733" i="1"/>
  <c r="Q1733" i="1"/>
  <c r="P1733" i="1"/>
  <c r="O1733" i="1"/>
  <c r="N1733" i="1"/>
  <c r="L1733" i="1"/>
  <c r="F1733" i="1"/>
  <c r="F1733" i="1" a="1"/>
  <c r="D1733" i="1"/>
  <c r="D1733" i="1" a="1"/>
  <c r="B1733" i="1"/>
  <c r="R1732" i="1"/>
  <c r="Q1732" i="1"/>
  <c r="P1732" i="1"/>
  <c r="O1732" i="1"/>
  <c r="N1732" i="1"/>
  <c r="L1732" i="1"/>
  <c r="F1732" i="1"/>
  <c r="F1732" i="1" a="1"/>
  <c r="D1732" i="1"/>
  <c r="D1732" i="1" a="1"/>
  <c r="B1732" i="1"/>
  <c r="R1731" i="1"/>
  <c r="Q1731" i="1"/>
  <c r="P1731" i="1"/>
  <c r="O1731" i="1"/>
  <c r="N1731" i="1"/>
  <c r="L1731" i="1"/>
  <c r="F1731" i="1" a="1"/>
  <c r="F1731" i="1" s="1"/>
  <c r="D1731" i="1"/>
  <c r="D1731" i="1" a="1"/>
  <c r="B1731" i="1"/>
  <c r="R1730" i="1"/>
  <c r="Q1730" i="1"/>
  <c r="P1730" i="1"/>
  <c r="O1730" i="1"/>
  <c r="N1730" i="1"/>
  <c r="L1730" i="1"/>
  <c r="F1730" i="1"/>
  <c r="F1730" i="1" a="1"/>
  <c r="D1730" i="1"/>
  <c r="D1730" i="1" a="1"/>
  <c r="B1730" i="1"/>
  <c r="R1729" i="1"/>
  <c r="Q1729" i="1"/>
  <c r="P1729" i="1"/>
  <c r="O1729" i="1"/>
  <c r="N1729" i="1"/>
  <c r="L1729" i="1"/>
  <c r="F1729" i="1"/>
  <c r="F1729" i="1" a="1"/>
  <c r="D1729" i="1"/>
  <c r="D1729" i="1" a="1"/>
  <c r="B1729" i="1"/>
  <c r="R1728" i="1"/>
  <c r="Q1728" i="1"/>
  <c r="P1728" i="1"/>
  <c r="O1728" i="1"/>
  <c r="N1728" i="1"/>
  <c r="L1728" i="1"/>
  <c r="F1728" i="1"/>
  <c r="F1728" i="1" a="1"/>
  <c r="D1728" i="1"/>
  <c r="D1728" i="1" a="1"/>
  <c r="B1728" i="1"/>
  <c r="R1727" i="1"/>
  <c r="Q1727" i="1"/>
  <c r="P1727" i="1"/>
  <c r="O1727" i="1"/>
  <c r="N1727" i="1"/>
  <c r="L1727" i="1"/>
  <c r="F1727" i="1" a="1"/>
  <c r="F1727" i="1" s="1"/>
  <c r="D1727" i="1"/>
  <c r="D1727" i="1" a="1"/>
  <c r="B1727" i="1"/>
  <c r="R1726" i="1"/>
  <c r="Q1726" i="1"/>
  <c r="P1726" i="1"/>
  <c r="O1726" i="1"/>
  <c r="N1726" i="1"/>
  <c r="L1726" i="1"/>
  <c r="F1726" i="1"/>
  <c r="F1726" i="1" a="1"/>
  <c r="D1726" i="1"/>
  <c r="D1726" i="1" a="1"/>
  <c r="B1726" i="1"/>
  <c r="R1725" i="1"/>
  <c r="Q1725" i="1"/>
  <c r="P1725" i="1"/>
  <c r="O1725" i="1"/>
  <c r="N1725" i="1"/>
  <c r="L1725" i="1"/>
  <c r="F1725" i="1"/>
  <c r="F1725" i="1" a="1"/>
  <c r="D1725" i="1"/>
  <c r="D1725" i="1" a="1"/>
  <c r="B1725" i="1"/>
  <c r="R1724" i="1"/>
  <c r="Q1724" i="1"/>
  <c r="P1724" i="1"/>
  <c r="O1724" i="1"/>
  <c r="N1724" i="1"/>
  <c r="L1724" i="1"/>
  <c r="F1724" i="1"/>
  <c r="F1724" i="1" a="1"/>
  <c r="D1724" i="1"/>
  <c r="D1724" i="1" a="1"/>
  <c r="B1724" i="1"/>
  <c r="R1723" i="1"/>
  <c r="Q1723" i="1"/>
  <c r="P1723" i="1"/>
  <c r="O1723" i="1"/>
  <c r="N1723" i="1"/>
  <c r="L1723" i="1"/>
  <c r="F1723" i="1" a="1"/>
  <c r="F1723" i="1" s="1"/>
  <c r="D1723" i="1"/>
  <c r="D1723" i="1" a="1"/>
  <c r="B1723" i="1"/>
  <c r="R1722" i="1"/>
  <c r="Q1722" i="1"/>
  <c r="P1722" i="1"/>
  <c r="O1722" i="1"/>
  <c r="N1722" i="1"/>
  <c r="L1722" i="1"/>
  <c r="F1722" i="1"/>
  <c r="F1722" i="1" a="1"/>
  <c r="D1722" i="1"/>
  <c r="D1722" i="1" a="1"/>
  <c r="B1722" i="1"/>
  <c r="R1721" i="1"/>
  <c r="Q1721" i="1"/>
  <c r="P1721" i="1"/>
  <c r="O1721" i="1"/>
  <c r="N1721" i="1"/>
  <c r="L1721" i="1"/>
  <c r="F1721" i="1"/>
  <c r="F1721" i="1" a="1"/>
  <c r="D1721" i="1" a="1"/>
  <c r="D1721" i="1" s="1"/>
  <c r="B1721" i="1"/>
  <c r="R1720" i="1"/>
  <c r="Q1720" i="1"/>
  <c r="P1720" i="1"/>
  <c r="O1720" i="1"/>
  <c r="N1720" i="1"/>
  <c r="L1720" i="1"/>
  <c r="F1720" i="1" a="1"/>
  <c r="F1720" i="1" s="1"/>
  <c r="D1720" i="1"/>
  <c r="D1720" i="1" a="1"/>
  <c r="B1720" i="1"/>
  <c r="R1719" i="1"/>
  <c r="Q1719" i="1"/>
  <c r="P1719" i="1"/>
  <c r="O1719" i="1"/>
  <c r="N1719" i="1"/>
  <c r="L1719" i="1"/>
  <c r="F1719" i="1"/>
  <c r="F1719" i="1" a="1"/>
  <c r="D1719" i="1"/>
  <c r="D1719" i="1" a="1"/>
  <c r="B1719" i="1"/>
  <c r="R1718" i="1"/>
  <c r="Q1718" i="1"/>
  <c r="P1718" i="1"/>
  <c r="O1718" i="1"/>
  <c r="N1718" i="1"/>
  <c r="L1718" i="1"/>
  <c r="F1718" i="1" a="1"/>
  <c r="F1718" i="1" s="1"/>
  <c r="D1718" i="1"/>
  <c r="D1718" i="1" a="1"/>
  <c r="B1718" i="1"/>
  <c r="R1717" i="1"/>
  <c r="Q1717" i="1"/>
  <c r="P1717" i="1"/>
  <c r="O1717" i="1"/>
  <c r="N1717" i="1"/>
  <c r="L1717" i="1"/>
  <c r="F1717" i="1"/>
  <c r="F1717" i="1" a="1"/>
  <c r="D1717" i="1" a="1"/>
  <c r="D1717" i="1" s="1"/>
  <c r="B1717" i="1"/>
  <c r="R1716" i="1"/>
  <c r="Q1716" i="1"/>
  <c r="P1716" i="1"/>
  <c r="O1716" i="1"/>
  <c r="N1716" i="1"/>
  <c r="L1716" i="1"/>
  <c r="F1716" i="1"/>
  <c r="F1716" i="1" a="1"/>
  <c r="D1716" i="1"/>
  <c r="D1716" i="1" a="1"/>
  <c r="B1716" i="1"/>
  <c r="R1715" i="1"/>
  <c r="Q1715" i="1"/>
  <c r="P1715" i="1"/>
  <c r="O1715" i="1"/>
  <c r="N1715" i="1"/>
  <c r="L1715" i="1"/>
  <c r="F1715" i="1" a="1"/>
  <c r="F1715" i="1" s="1"/>
  <c r="D1715" i="1"/>
  <c r="D1715" i="1" a="1"/>
  <c r="B1715" i="1"/>
  <c r="R1714" i="1"/>
  <c r="Q1714" i="1"/>
  <c r="P1714" i="1"/>
  <c r="O1714" i="1"/>
  <c r="N1714" i="1"/>
  <c r="L1714" i="1"/>
  <c r="F1714" i="1"/>
  <c r="F1714" i="1" a="1"/>
  <c r="D1714" i="1"/>
  <c r="D1714" i="1" a="1"/>
  <c r="B1714" i="1"/>
  <c r="R1713" i="1"/>
  <c r="Q1713" i="1"/>
  <c r="P1713" i="1"/>
  <c r="O1713" i="1"/>
  <c r="N1713" i="1"/>
  <c r="L1713" i="1"/>
  <c r="F1713" i="1"/>
  <c r="F1713" i="1" a="1"/>
  <c r="D1713" i="1" a="1"/>
  <c r="D1713" i="1" s="1"/>
  <c r="B1713" i="1"/>
  <c r="R1712" i="1"/>
  <c r="Q1712" i="1"/>
  <c r="P1712" i="1"/>
  <c r="O1712" i="1"/>
  <c r="N1712" i="1"/>
  <c r="L1712" i="1"/>
  <c r="F1712" i="1" a="1"/>
  <c r="F1712" i="1" s="1"/>
  <c r="D1712" i="1"/>
  <c r="D1712" i="1" a="1"/>
  <c r="B1712" i="1"/>
  <c r="R1711" i="1"/>
  <c r="Q1711" i="1"/>
  <c r="P1711" i="1"/>
  <c r="O1711" i="1"/>
  <c r="N1711" i="1"/>
  <c r="L1711" i="1"/>
  <c r="F1711" i="1"/>
  <c r="F1711" i="1" a="1"/>
  <c r="D1711" i="1"/>
  <c r="D1711" i="1" a="1"/>
  <c r="B1711" i="1"/>
  <c r="R1710" i="1"/>
  <c r="Q1710" i="1"/>
  <c r="P1710" i="1"/>
  <c r="O1710" i="1"/>
  <c r="N1710" i="1"/>
  <c r="L1710" i="1"/>
  <c r="F1710" i="1" a="1"/>
  <c r="F1710" i="1" s="1"/>
  <c r="D1710" i="1"/>
  <c r="D1710" i="1" a="1"/>
  <c r="B1710" i="1"/>
  <c r="R1709" i="1"/>
  <c r="Q1709" i="1"/>
  <c r="P1709" i="1"/>
  <c r="O1709" i="1"/>
  <c r="N1709" i="1"/>
  <c r="L1709" i="1"/>
  <c r="F1709" i="1"/>
  <c r="F1709" i="1" a="1"/>
  <c r="D1709" i="1" a="1"/>
  <c r="D1709" i="1" s="1"/>
  <c r="B1709" i="1"/>
  <c r="R1708" i="1"/>
  <c r="Q1708" i="1"/>
  <c r="P1708" i="1"/>
  <c r="O1708" i="1"/>
  <c r="N1708" i="1"/>
  <c r="L1708" i="1"/>
  <c r="F1708" i="1"/>
  <c r="F1708" i="1" a="1"/>
  <c r="D1708" i="1"/>
  <c r="D1708" i="1" a="1"/>
  <c r="B1708" i="1"/>
  <c r="R1707" i="1"/>
  <c r="Q1707" i="1"/>
  <c r="P1707" i="1"/>
  <c r="O1707" i="1"/>
  <c r="N1707" i="1"/>
  <c r="L1707" i="1"/>
  <c r="F1707" i="1"/>
  <c r="F1707" i="1" a="1"/>
  <c r="D1707" i="1"/>
  <c r="D1707" i="1" a="1"/>
  <c r="B1707" i="1"/>
  <c r="R1706" i="1"/>
  <c r="Q1706" i="1"/>
  <c r="P1706" i="1"/>
  <c r="O1706" i="1"/>
  <c r="N1706" i="1"/>
  <c r="L1706" i="1"/>
  <c r="F1706" i="1" a="1"/>
  <c r="F1706" i="1" s="1"/>
  <c r="D1706" i="1"/>
  <c r="D1706" i="1" a="1"/>
  <c r="B1706" i="1"/>
  <c r="R1705" i="1"/>
  <c r="Q1705" i="1"/>
  <c r="P1705" i="1"/>
  <c r="O1705" i="1"/>
  <c r="N1705" i="1"/>
  <c r="L1705" i="1"/>
  <c r="F1705" i="1"/>
  <c r="F1705" i="1" a="1"/>
  <c r="D1705" i="1"/>
  <c r="D1705" i="1" a="1"/>
  <c r="B1705" i="1"/>
  <c r="R1704" i="1"/>
  <c r="Q1704" i="1"/>
  <c r="P1704" i="1"/>
  <c r="O1704" i="1"/>
  <c r="N1704" i="1"/>
  <c r="L1704" i="1"/>
  <c r="F1704" i="1"/>
  <c r="F1704" i="1" a="1"/>
  <c r="D1704" i="1"/>
  <c r="D1704" i="1" a="1"/>
  <c r="B1704" i="1"/>
  <c r="R1703" i="1"/>
  <c r="Q1703" i="1"/>
  <c r="P1703" i="1"/>
  <c r="O1703" i="1"/>
  <c r="N1703" i="1"/>
  <c r="L1703" i="1"/>
  <c r="F1703" i="1" a="1"/>
  <c r="F1703" i="1" s="1"/>
  <c r="D1703" i="1"/>
  <c r="D1703" i="1" a="1"/>
  <c r="B1703" i="1"/>
  <c r="R1702" i="1"/>
  <c r="Q1702" i="1"/>
  <c r="P1702" i="1"/>
  <c r="O1702" i="1"/>
  <c r="N1702" i="1"/>
  <c r="L1702" i="1"/>
  <c r="F1702" i="1" a="1"/>
  <c r="F1702" i="1" s="1"/>
  <c r="D1702" i="1"/>
  <c r="D1702" i="1" a="1"/>
  <c r="B1702" i="1"/>
  <c r="R1701" i="1"/>
  <c r="Q1701" i="1"/>
  <c r="P1701" i="1"/>
  <c r="O1701" i="1"/>
  <c r="N1701" i="1"/>
  <c r="L1701" i="1"/>
  <c r="F1701" i="1"/>
  <c r="F1701" i="1" a="1"/>
  <c r="D1701" i="1"/>
  <c r="D1701" i="1" a="1"/>
  <c r="B1701" i="1"/>
  <c r="R1700" i="1"/>
  <c r="Q1700" i="1"/>
  <c r="P1700" i="1"/>
  <c r="O1700" i="1"/>
  <c r="N1700" i="1"/>
  <c r="L1700" i="1"/>
  <c r="F1700" i="1"/>
  <c r="F1700" i="1" a="1"/>
  <c r="D1700" i="1"/>
  <c r="D1700" i="1" a="1"/>
  <c r="B1700" i="1"/>
  <c r="R1699" i="1"/>
  <c r="Q1699" i="1"/>
  <c r="P1699" i="1"/>
  <c r="O1699" i="1"/>
  <c r="N1699" i="1"/>
  <c r="L1699" i="1"/>
  <c r="F1699" i="1" a="1"/>
  <c r="F1699" i="1" s="1"/>
  <c r="D1699" i="1"/>
  <c r="D1699" i="1" a="1"/>
  <c r="B1699" i="1"/>
  <c r="R1698" i="1"/>
  <c r="Q1698" i="1"/>
  <c r="P1698" i="1"/>
  <c r="O1698" i="1"/>
  <c r="N1698" i="1"/>
  <c r="L1698" i="1"/>
  <c r="F1698" i="1" a="1"/>
  <c r="F1698" i="1" s="1"/>
  <c r="D1698" i="1"/>
  <c r="D1698" i="1" a="1"/>
  <c r="B1698" i="1"/>
  <c r="R1697" i="1"/>
  <c r="Q1697" i="1"/>
  <c r="P1697" i="1"/>
  <c r="O1697" i="1"/>
  <c r="N1697" i="1"/>
  <c r="L1697" i="1"/>
  <c r="F1697" i="1"/>
  <c r="F1697" i="1" a="1"/>
  <c r="D1697" i="1"/>
  <c r="D1697" i="1" a="1"/>
  <c r="B1697" i="1"/>
  <c r="R1696" i="1"/>
  <c r="Q1696" i="1"/>
  <c r="P1696" i="1"/>
  <c r="O1696" i="1"/>
  <c r="N1696" i="1"/>
  <c r="L1696" i="1"/>
  <c r="F1696" i="1"/>
  <c r="F1696" i="1" a="1"/>
  <c r="D1696" i="1"/>
  <c r="D1696" i="1" a="1"/>
  <c r="B1696" i="1"/>
  <c r="R1695" i="1"/>
  <c r="Q1695" i="1"/>
  <c r="P1695" i="1"/>
  <c r="O1695" i="1"/>
  <c r="N1695" i="1"/>
  <c r="L1695" i="1"/>
  <c r="F1695" i="1" a="1"/>
  <c r="F1695" i="1" s="1"/>
  <c r="D1695" i="1"/>
  <c r="D1695" i="1" a="1"/>
  <c r="B1695" i="1"/>
  <c r="R1694" i="1"/>
  <c r="Q1694" i="1"/>
  <c r="P1694" i="1"/>
  <c r="O1694" i="1"/>
  <c r="N1694" i="1"/>
  <c r="L1694" i="1"/>
  <c r="F1694" i="1" a="1"/>
  <c r="F1694" i="1" s="1"/>
  <c r="D1694" i="1"/>
  <c r="D1694" i="1" a="1"/>
  <c r="B1694" i="1"/>
  <c r="R1693" i="1"/>
  <c r="Q1693" i="1"/>
  <c r="P1693" i="1"/>
  <c r="O1693" i="1"/>
  <c r="N1693" i="1"/>
  <c r="L1693" i="1"/>
  <c r="F1693" i="1"/>
  <c r="F1693" i="1" a="1"/>
  <c r="D1693" i="1"/>
  <c r="D1693" i="1" a="1"/>
  <c r="B1693" i="1"/>
  <c r="R1692" i="1"/>
  <c r="Q1692" i="1"/>
  <c r="P1692" i="1"/>
  <c r="O1692" i="1"/>
  <c r="N1692" i="1"/>
  <c r="L1692" i="1"/>
  <c r="F1692" i="1"/>
  <c r="F1692" i="1" a="1"/>
  <c r="D1692" i="1"/>
  <c r="D1692" i="1" a="1"/>
  <c r="B1692" i="1"/>
  <c r="R1691" i="1"/>
  <c r="Q1691" i="1"/>
  <c r="P1691" i="1"/>
  <c r="O1691" i="1"/>
  <c r="N1691" i="1"/>
  <c r="L1691" i="1"/>
  <c r="F1691" i="1"/>
  <c r="F1691" i="1" a="1"/>
  <c r="D1691" i="1"/>
  <c r="D1691" i="1" a="1"/>
  <c r="B1691" i="1"/>
  <c r="R1690" i="1"/>
  <c r="Q1690" i="1"/>
  <c r="P1690" i="1"/>
  <c r="O1690" i="1"/>
  <c r="N1690" i="1"/>
  <c r="L1690" i="1"/>
  <c r="F1690" i="1" a="1"/>
  <c r="F1690" i="1" s="1"/>
  <c r="D1690" i="1"/>
  <c r="D1690" i="1" a="1"/>
  <c r="B1690" i="1"/>
  <c r="R1689" i="1"/>
  <c r="Q1689" i="1"/>
  <c r="P1689" i="1"/>
  <c r="O1689" i="1"/>
  <c r="N1689" i="1"/>
  <c r="L1689" i="1"/>
  <c r="F1689" i="1"/>
  <c r="F1689" i="1" a="1"/>
  <c r="D1689" i="1"/>
  <c r="D1689" i="1" a="1"/>
  <c r="B1689" i="1"/>
  <c r="R1688" i="1"/>
  <c r="Q1688" i="1"/>
  <c r="P1688" i="1"/>
  <c r="O1688" i="1"/>
  <c r="N1688" i="1"/>
  <c r="L1688" i="1"/>
  <c r="F1688" i="1"/>
  <c r="F1688" i="1" a="1"/>
  <c r="D1688" i="1"/>
  <c r="D1688" i="1" a="1"/>
  <c r="B1688" i="1"/>
  <c r="R1687" i="1"/>
  <c r="Q1687" i="1"/>
  <c r="P1687" i="1"/>
  <c r="O1687" i="1"/>
  <c r="N1687" i="1"/>
  <c r="L1687" i="1"/>
  <c r="F1687" i="1"/>
  <c r="F1687" i="1" a="1"/>
  <c r="D1687" i="1"/>
  <c r="D1687" i="1" a="1"/>
  <c r="B1687" i="1"/>
  <c r="R1686" i="1"/>
  <c r="Q1686" i="1"/>
  <c r="P1686" i="1"/>
  <c r="O1686" i="1"/>
  <c r="N1686" i="1"/>
  <c r="L1686" i="1"/>
  <c r="F1686" i="1" a="1"/>
  <c r="F1686" i="1" s="1"/>
  <c r="D1686" i="1"/>
  <c r="D1686" i="1" a="1"/>
  <c r="B1686" i="1"/>
  <c r="R1685" i="1"/>
  <c r="Q1685" i="1"/>
  <c r="P1685" i="1"/>
  <c r="O1685" i="1"/>
  <c r="N1685" i="1"/>
  <c r="L1685" i="1"/>
  <c r="F1685" i="1"/>
  <c r="F1685" i="1" a="1"/>
  <c r="D1685" i="1"/>
  <c r="D1685" i="1" a="1"/>
  <c r="B1685" i="1"/>
  <c r="R1684" i="1"/>
  <c r="Q1684" i="1"/>
  <c r="P1684" i="1"/>
  <c r="O1684" i="1"/>
  <c r="N1684" i="1"/>
  <c r="L1684" i="1"/>
  <c r="F1684" i="1"/>
  <c r="F1684" i="1" a="1"/>
  <c r="D1684" i="1"/>
  <c r="D1684" i="1" a="1"/>
  <c r="B1684" i="1"/>
  <c r="R1683" i="1"/>
  <c r="Q1683" i="1"/>
  <c r="P1683" i="1"/>
  <c r="O1683" i="1"/>
  <c r="N1683" i="1"/>
  <c r="L1683" i="1"/>
  <c r="F1683" i="1"/>
  <c r="F1683" i="1" a="1"/>
  <c r="D1683" i="1" a="1"/>
  <c r="D1683" i="1" s="1"/>
  <c r="B1683" i="1"/>
  <c r="R1682" i="1"/>
  <c r="Q1682" i="1"/>
  <c r="P1682" i="1"/>
  <c r="O1682" i="1"/>
  <c r="N1682" i="1"/>
  <c r="L1682" i="1"/>
  <c r="F1682" i="1" a="1"/>
  <c r="F1682" i="1" s="1"/>
  <c r="D1682" i="1"/>
  <c r="D1682" i="1" a="1"/>
  <c r="B1682" i="1"/>
  <c r="R1681" i="1"/>
  <c r="Q1681" i="1"/>
  <c r="P1681" i="1"/>
  <c r="O1681" i="1"/>
  <c r="N1681" i="1"/>
  <c r="L1681" i="1"/>
  <c r="F1681" i="1"/>
  <c r="F1681" i="1" a="1"/>
  <c r="D1681" i="1"/>
  <c r="D1681" i="1" a="1"/>
  <c r="B1681" i="1"/>
  <c r="R1680" i="1"/>
  <c r="Q1680" i="1"/>
  <c r="P1680" i="1"/>
  <c r="O1680" i="1"/>
  <c r="N1680" i="1"/>
  <c r="L1680" i="1"/>
  <c r="F1680" i="1"/>
  <c r="F1680" i="1" a="1"/>
  <c r="D1680" i="1"/>
  <c r="D1680" i="1" a="1"/>
  <c r="B1680" i="1"/>
  <c r="R1679" i="1"/>
  <c r="Q1679" i="1"/>
  <c r="P1679" i="1"/>
  <c r="O1679" i="1"/>
  <c r="N1679" i="1"/>
  <c r="L1679" i="1"/>
  <c r="F1679" i="1"/>
  <c r="F1679" i="1" a="1"/>
  <c r="D1679" i="1" a="1"/>
  <c r="D1679" i="1" s="1"/>
  <c r="B1679" i="1"/>
  <c r="R1678" i="1"/>
  <c r="Q1678" i="1"/>
  <c r="P1678" i="1"/>
  <c r="O1678" i="1"/>
  <c r="N1678" i="1"/>
  <c r="L1678" i="1"/>
  <c r="F1678" i="1" a="1"/>
  <c r="F1678" i="1" s="1"/>
  <c r="D1678" i="1"/>
  <c r="D1678" i="1" a="1"/>
  <c r="B1678" i="1"/>
  <c r="R1677" i="1"/>
  <c r="Q1677" i="1"/>
  <c r="P1677" i="1"/>
  <c r="O1677" i="1"/>
  <c r="N1677" i="1"/>
  <c r="L1677" i="1"/>
  <c r="F1677" i="1"/>
  <c r="F1677" i="1" a="1"/>
  <c r="D1677" i="1"/>
  <c r="D1677" i="1" a="1"/>
  <c r="B1677" i="1"/>
  <c r="R1676" i="1"/>
  <c r="Q1676" i="1"/>
  <c r="P1676" i="1"/>
  <c r="O1676" i="1"/>
  <c r="N1676" i="1"/>
  <c r="L1676" i="1"/>
  <c r="F1676" i="1"/>
  <c r="F1676" i="1" a="1"/>
  <c r="D1676" i="1"/>
  <c r="D1676" i="1" a="1"/>
  <c r="B1676" i="1"/>
  <c r="R1675" i="1"/>
  <c r="Q1675" i="1"/>
  <c r="P1675" i="1"/>
  <c r="O1675" i="1"/>
  <c r="N1675" i="1"/>
  <c r="L1675" i="1"/>
  <c r="F1675" i="1"/>
  <c r="F1675" i="1" a="1"/>
  <c r="D1675" i="1" a="1"/>
  <c r="D1675" i="1" s="1"/>
  <c r="B1675" i="1"/>
  <c r="R1674" i="1"/>
  <c r="Q1674" i="1"/>
  <c r="P1674" i="1"/>
  <c r="O1674" i="1"/>
  <c r="N1674" i="1"/>
  <c r="L1674" i="1"/>
  <c r="F1674" i="1" a="1"/>
  <c r="F1674" i="1" s="1"/>
  <c r="D1674" i="1"/>
  <c r="D1674" i="1" a="1"/>
  <c r="B1674" i="1"/>
  <c r="R1673" i="1"/>
  <c r="Q1673" i="1"/>
  <c r="P1673" i="1"/>
  <c r="O1673" i="1"/>
  <c r="N1673" i="1"/>
  <c r="L1673" i="1"/>
  <c r="F1673" i="1"/>
  <c r="F1673" i="1" a="1"/>
  <c r="D1673" i="1"/>
  <c r="D1673" i="1" a="1"/>
  <c r="B1673" i="1"/>
  <c r="R1672" i="1"/>
  <c r="Q1672" i="1"/>
  <c r="P1672" i="1"/>
  <c r="O1672" i="1"/>
  <c r="N1672" i="1"/>
  <c r="L1672" i="1"/>
  <c r="F1672" i="1"/>
  <c r="F1672" i="1" a="1"/>
  <c r="D1672" i="1"/>
  <c r="D1672" i="1" a="1"/>
  <c r="B1672" i="1"/>
  <c r="R1671" i="1"/>
  <c r="Q1671" i="1"/>
  <c r="P1671" i="1"/>
  <c r="O1671" i="1"/>
  <c r="N1671" i="1"/>
  <c r="L1671" i="1"/>
  <c r="F1671" i="1"/>
  <c r="F1671" i="1" a="1"/>
  <c r="D1671" i="1" a="1"/>
  <c r="D1671" i="1" s="1"/>
  <c r="B1671" i="1"/>
  <c r="R1670" i="1"/>
  <c r="Q1670" i="1"/>
  <c r="P1670" i="1"/>
  <c r="O1670" i="1"/>
  <c r="N1670" i="1"/>
  <c r="L1670" i="1"/>
  <c r="F1670" i="1" a="1"/>
  <c r="F1670" i="1" s="1"/>
  <c r="D1670" i="1"/>
  <c r="D1670" i="1" a="1"/>
  <c r="B1670" i="1"/>
  <c r="R1669" i="1"/>
  <c r="Q1669" i="1"/>
  <c r="P1669" i="1"/>
  <c r="O1669" i="1"/>
  <c r="N1669" i="1"/>
  <c r="L1669" i="1"/>
  <c r="F1669" i="1"/>
  <c r="F1669" i="1" a="1"/>
  <c r="D1669" i="1"/>
  <c r="D1669" i="1" a="1"/>
  <c r="B1669" i="1"/>
  <c r="R1668" i="1"/>
  <c r="Q1668" i="1"/>
  <c r="P1668" i="1"/>
  <c r="O1668" i="1"/>
  <c r="N1668" i="1"/>
  <c r="L1668" i="1"/>
  <c r="F1668" i="1"/>
  <c r="F1668" i="1" a="1"/>
  <c r="D1668" i="1"/>
  <c r="D1668" i="1" a="1"/>
  <c r="B1668" i="1"/>
  <c r="R1667" i="1"/>
  <c r="Q1667" i="1"/>
  <c r="P1667" i="1"/>
  <c r="O1667" i="1"/>
  <c r="N1667" i="1"/>
  <c r="L1667" i="1"/>
  <c r="F1667" i="1"/>
  <c r="F1667" i="1" a="1"/>
  <c r="D1667" i="1" a="1"/>
  <c r="D1667" i="1" s="1"/>
  <c r="B1667" i="1"/>
  <c r="R1666" i="1"/>
  <c r="Q1666" i="1"/>
  <c r="P1666" i="1"/>
  <c r="O1666" i="1"/>
  <c r="N1666" i="1"/>
  <c r="L1666" i="1"/>
  <c r="F1666" i="1" a="1"/>
  <c r="F1666" i="1" s="1"/>
  <c r="D1666" i="1"/>
  <c r="D1666" i="1" a="1"/>
  <c r="B1666" i="1"/>
  <c r="R1665" i="1"/>
  <c r="Q1665" i="1"/>
  <c r="P1665" i="1"/>
  <c r="O1665" i="1"/>
  <c r="N1665" i="1"/>
  <c r="L1665" i="1"/>
  <c r="F1665" i="1"/>
  <c r="F1665" i="1" a="1"/>
  <c r="D1665" i="1"/>
  <c r="D1665" i="1" a="1"/>
  <c r="B1665" i="1"/>
  <c r="R1664" i="1"/>
  <c r="Q1664" i="1"/>
  <c r="P1664" i="1"/>
  <c r="O1664" i="1"/>
  <c r="N1664" i="1"/>
  <c r="L1664" i="1"/>
  <c r="F1664" i="1"/>
  <c r="F1664" i="1" a="1"/>
  <c r="D1664" i="1"/>
  <c r="D1664" i="1" a="1"/>
  <c r="B1664" i="1"/>
  <c r="R1663" i="1"/>
  <c r="Q1663" i="1"/>
  <c r="P1663" i="1"/>
  <c r="O1663" i="1"/>
  <c r="N1663" i="1"/>
  <c r="L1663" i="1"/>
  <c r="F1663" i="1"/>
  <c r="F1663" i="1" a="1"/>
  <c r="D1663" i="1" a="1"/>
  <c r="D1663" i="1" s="1"/>
  <c r="B1663" i="1"/>
  <c r="R1662" i="1"/>
  <c r="Q1662" i="1"/>
  <c r="P1662" i="1"/>
  <c r="O1662" i="1"/>
  <c r="N1662" i="1"/>
  <c r="L1662" i="1"/>
  <c r="F1662" i="1" a="1"/>
  <c r="F1662" i="1" s="1"/>
  <c r="D1662" i="1"/>
  <c r="D1662" i="1" a="1"/>
  <c r="B1662" i="1"/>
  <c r="R1661" i="1"/>
  <c r="Q1661" i="1"/>
  <c r="P1661" i="1"/>
  <c r="O1661" i="1"/>
  <c r="N1661" i="1"/>
  <c r="L1661" i="1"/>
  <c r="F1661" i="1"/>
  <c r="F1661" i="1" a="1"/>
  <c r="D1661" i="1"/>
  <c r="D1661" i="1" a="1"/>
  <c r="B1661" i="1"/>
  <c r="R1660" i="1"/>
  <c r="Q1660" i="1"/>
  <c r="P1660" i="1"/>
  <c r="O1660" i="1"/>
  <c r="N1660" i="1"/>
  <c r="L1660" i="1"/>
  <c r="F1660" i="1"/>
  <c r="F1660" i="1" a="1"/>
  <c r="D1660" i="1"/>
  <c r="D1660" i="1" a="1"/>
  <c r="B1660" i="1"/>
  <c r="R1659" i="1"/>
  <c r="Q1659" i="1"/>
  <c r="P1659" i="1"/>
  <c r="O1659" i="1"/>
  <c r="N1659" i="1"/>
  <c r="L1659" i="1"/>
  <c r="F1659" i="1"/>
  <c r="F1659" i="1" a="1"/>
  <c r="D1659" i="1" a="1"/>
  <c r="D1659" i="1" s="1"/>
  <c r="B1659" i="1"/>
  <c r="R1658" i="1"/>
  <c r="Q1658" i="1"/>
  <c r="P1658" i="1"/>
  <c r="O1658" i="1"/>
  <c r="N1658" i="1"/>
  <c r="L1658" i="1"/>
  <c r="F1658" i="1" a="1"/>
  <c r="F1658" i="1" s="1"/>
  <c r="D1658" i="1"/>
  <c r="D1658" i="1" a="1"/>
  <c r="B1658" i="1"/>
  <c r="R1657" i="1"/>
  <c r="Q1657" i="1"/>
  <c r="P1657" i="1"/>
  <c r="O1657" i="1"/>
  <c r="N1657" i="1"/>
  <c r="L1657" i="1"/>
  <c r="F1657" i="1"/>
  <c r="F1657" i="1" a="1"/>
  <c r="D1657" i="1"/>
  <c r="D1657" i="1" a="1"/>
  <c r="B1657" i="1"/>
  <c r="R1656" i="1"/>
  <c r="Q1656" i="1"/>
  <c r="P1656" i="1"/>
  <c r="O1656" i="1"/>
  <c r="N1656" i="1"/>
  <c r="L1656" i="1"/>
  <c r="F1656" i="1"/>
  <c r="F1656" i="1" a="1"/>
  <c r="D1656" i="1"/>
  <c r="D1656" i="1" a="1"/>
  <c r="B1656" i="1"/>
  <c r="R1655" i="1"/>
  <c r="Q1655" i="1"/>
  <c r="P1655" i="1"/>
  <c r="O1655" i="1"/>
  <c r="N1655" i="1"/>
  <c r="L1655" i="1"/>
  <c r="F1655" i="1"/>
  <c r="F1655" i="1" a="1"/>
  <c r="D1655" i="1" a="1"/>
  <c r="D1655" i="1" s="1"/>
  <c r="B1655" i="1"/>
  <c r="R1654" i="1"/>
  <c r="Q1654" i="1"/>
  <c r="P1654" i="1"/>
  <c r="O1654" i="1"/>
  <c r="N1654" i="1"/>
  <c r="L1654" i="1"/>
  <c r="F1654" i="1" a="1"/>
  <c r="F1654" i="1" s="1"/>
  <c r="D1654" i="1"/>
  <c r="D1654" i="1" a="1"/>
  <c r="B1654" i="1"/>
  <c r="R1653" i="1"/>
  <c r="Q1653" i="1"/>
  <c r="P1653" i="1"/>
  <c r="O1653" i="1"/>
  <c r="N1653" i="1"/>
  <c r="L1653" i="1"/>
  <c r="F1653" i="1"/>
  <c r="F1653" i="1" a="1"/>
  <c r="D1653" i="1"/>
  <c r="D1653" i="1" a="1"/>
  <c r="B1653" i="1"/>
  <c r="R1652" i="1"/>
  <c r="Q1652" i="1"/>
  <c r="P1652" i="1"/>
  <c r="O1652" i="1"/>
  <c r="N1652" i="1"/>
  <c r="L1652" i="1"/>
  <c r="F1652" i="1"/>
  <c r="F1652" i="1" a="1"/>
  <c r="D1652" i="1"/>
  <c r="D1652" i="1" a="1"/>
  <c r="B1652" i="1"/>
  <c r="R1651" i="1"/>
  <c r="Q1651" i="1"/>
  <c r="P1651" i="1"/>
  <c r="O1651" i="1"/>
  <c r="N1651" i="1"/>
  <c r="L1651" i="1"/>
  <c r="F1651" i="1"/>
  <c r="F1651" i="1" a="1"/>
  <c r="D1651" i="1" a="1"/>
  <c r="D1651" i="1" s="1"/>
  <c r="B1651" i="1"/>
  <c r="R1650" i="1"/>
  <c r="Q1650" i="1"/>
  <c r="P1650" i="1"/>
  <c r="O1650" i="1"/>
  <c r="N1650" i="1"/>
  <c r="L1650" i="1"/>
  <c r="F1650" i="1" a="1"/>
  <c r="F1650" i="1" s="1"/>
  <c r="D1650" i="1"/>
  <c r="D1650" i="1" a="1"/>
  <c r="B1650" i="1"/>
  <c r="R1649" i="1"/>
  <c r="Q1649" i="1"/>
  <c r="P1649" i="1"/>
  <c r="O1649" i="1"/>
  <c r="N1649" i="1"/>
  <c r="L1649" i="1"/>
  <c r="F1649" i="1"/>
  <c r="F1649" i="1" a="1"/>
  <c r="D1649" i="1"/>
  <c r="D1649" i="1" a="1"/>
  <c r="B1649" i="1"/>
  <c r="R1648" i="1"/>
  <c r="Q1648" i="1"/>
  <c r="P1648" i="1"/>
  <c r="O1648" i="1"/>
  <c r="N1648" i="1"/>
  <c r="L1648" i="1"/>
  <c r="F1648" i="1"/>
  <c r="F1648" i="1" a="1"/>
  <c r="D1648" i="1"/>
  <c r="D1648" i="1" a="1"/>
  <c r="B1648" i="1"/>
  <c r="R1647" i="1"/>
  <c r="Q1647" i="1"/>
  <c r="P1647" i="1"/>
  <c r="O1647" i="1"/>
  <c r="N1647" i="1"/>
  <c r="L1647" i="1"/>
  <c r="F1647" i="1"/>
  <c r="F1647" i="1" a="1"/>
  <c r="D1647" i="1" a="1"/>
  <c r="D1647" i="1" s="1"/>
  <c r="B1647" i="1"/>
  <c r="R1646" i="1"/>
  <c r="Q1646" i="1"/>
  <c r="P1646" i="1"/>
  <c r="O1646" i="1"/>
  <c r="N1646" i="1"/>
  <c r="L1646" i="1"/>
  <c r="F1646" i="1" a="1"/>
  <c r="F1646" i="1" s="1"/>
  <c r="D1646" i="1"/>
  <c r="D1646" i="1" a="1"/>
  <c r="B1646" i="1"/>
  <c r="R1645" i="1"/>
  <c r="Q1645" i="1"/>
  <c r="P1645" i="1"/>
  <c r="O1645" i="1"/>
  <c r="N1645" i="1"/>
  <c r="L1645" i="1"/>
  <c r="F1645" i="1"/>
  <c r="F1645" i="1" a="1"/>
  <c r="D1645" i="1"/>
  <c r="D1645" i="1" a="1"/>
  <c r="B1645" i="1"/>
  <c r="R1644" i="1"/>
  <c r="Q1644" i="1"/>
  <c r="P1644" i="1"/>
  <c r="O1644" i="1"/>
  <c r="N1644" i="1"/>
  <c r="L1644" i="1"/>
  <c r="F1644" i="1"/>
  <c r="F1644" i="1" a="1"/>
  <c r="D1644" i="1"/>
  <c r="D1644" i="1" a="1"/>
  <c r="B1644" i="1"/>
  <c r="R1643" i="1"/>
  <c r="Q1643" i="1"/>
  <c r="P1643" i="1"/>
  <c r="O1643" i="1"/>
  <c r="N1643" i="1"/>
  <c r="L1643" i="1"/>
  <c r="F1643" i="1"/>
  <c r="F1643" i="1" a="1"/>
  <c r="D1643" i="1" a="1"/>
  <c r="D1643" i="1" s="1"/>
  <c r="B1643" i="1"/>
  <c r="R1642" i="1"/>
  <c r="Q1642" i="1"/>
  <c r="P1642" i="1"/>
  <c r="O1642" i="1"/>
  <c r="N1642" i="1"/>
  <c r="L1642" i="1"/>
  <c r="F1642" i="1" a="1"/>
  <c r="F1642" i="1" s="1"/>
  <c r="D1642" i="1"/>
  <c r="D1642" i="1" a="1"/>
  <c r="B1642" i="1"/>
  <c r="R1641" i="1"/>
  <c r="Q1641" i="1"/>
  <c r="P1641" i="1"/>
  <c r="O1641" i="1"/>
  <c r="N1641" i="1"/>
  <c r="L1641" i="1"/>
  <c r="F1641" i="1"/>
  <c r="F1641" i="1" a="1"/>
  <c r="D1641" i="1"/>
  <c r="D1641" i="1" a="1"/>
  <c r="B1641" i="1"/>
  <c r="R1640" i="1"/>
  <c r="Q1640" i="1"/>
  <c r="P1640" i="1"/>
  <c r="O1640" i="1"/>
  <c r="N1640" i="1"/>
  <c r="L1640" i="1"/>
  <c r="F1640" i="1"/>
  <c r="F1640" i="1" a="1"/>
  <c r="D1640" i="1"/>
  <c r="D1640" i="1" a="1"/>
  <c r="B1640" i="1"/>
  <c r="R1639" i="1"/>
  <c r="Q1639" i="1"/>
  <c r="P1639" i="1"/>
  <c r="O1639" i="1"/>
  <c r="N1639" i="1"/>
  <c r="L1639" i="1"/>
  <c r="F1639" i="1"/>
  <c r="F1639" i="1" a="1"/>
  <c r="D1639" i="1" a="1"/>
  <c r="D1639" i="1" s="1"/>
  <c r="B1639" i="1"/>
  <c r="R1638" i="1"/>
  <c r="Q1638" i="1"/>
  <c r="P1638" i="1"/>
  <c r="O1638" i="1"/>
  <c r="N1638" i="1"/>
  <c r="L1638" i="1"/>
  <c r="F1638" i="1" a="1"/>
  <c r="F1638" i="1" s="1"/>
  <c r="D1638" i="1"/>
  <c r="D1638" i="1" a="1"/>
  <c r="B1638" i="1"/>
  <c r="R1637" i="1"/>
  <c r="Q1637" i="1"/>
  <c r="P1637" i="1"/>
  <c r="O1637" i="1"/>
  <c r="N1637" i="1"/>
  <c r="L1637" i="1"/>
  <c r="F1637" i="1"/>
  <c r="F1637" i="1" a="1"/>
  <c r="D1637" i="1"/>
  <c r="D1637" i="1" a="1"/>
  <c r="B1637" i="1"/>
  <c r="R1636" i="1"/>
  <c r="Q1636" i="1"/>
  <c r="P1636" i="1"/>
  <c r="O1636" i="1"/>
  <c r="N1636" i="1"/>
  <c r="L1636" i="1"/>
  <c r="F1636" i="1"/>
  <c r="F1636" i="1" a="1"/>
  <c r="D1636" i="1"/>
  <c r="D1636" i="1" a="1"/>
  <c r="B1636" i="1"/>
  <c r="R1635" i="1"/>
  <c r="Q1635" i="1"/>
  <c r="P1635" i="1"/>
  <c r="O1635" i="1"/>
  <c r="N1635" i="1"/>
  <c r="L1635" i="1"/>
  <c r="F1635" i="1"/>
  <c r="F1635" i="1" a="1"/>
  <c r="D1635" i="1" a="1"/>
  <c r="D1635" i="1" s="1"/>
  <c r="B1635" i="1"/>
  <c r="R1634" i="1"/>
  <c r="Q1634" i="1"/>
  <c r="P1634" i="1"/>
  <c r="O1634" i="1"/>
  <c r="N1634" i="1"/>
  <c r="L1634" i="1"/>
  <c r="F1634" i="1" a="1"/>
  <c r="F1634" i="1" s="1"/>
  <c r="D1634" i="1"/>
  <c r="D1634" i="1" a="1"/>
  <c r="B1634" i="1"/>
  <c r="R1633" i="1"/>
  <c r="Q1633" i="1"/>
  <c r="P1633" i="1"/>
  <c r="O1633" i="1"/>
  <c r="N1633" i="1"/>
  <c r="L1633" i="1"/>
  <c r="F1633" i="1"/>
  <c r="F1633" i="1" a="1"/>
  <c r="D1633" i="1"/>
  <c r="D1633" i="1" a="1"/>
  <c r="B1633" i="1"/>
  <c r="R1632" i="1"/>
  <c r="Q1632" i="1"/>
  <c r="P1632" i="1"/>
  <c r="O1632" i="1"/>
  <c r="N1632" i="1"/>
  <c r="L1632" i="1"/>
  <c r="F1632" i="1"/>
  <c r="F1632" i="1" a="1"/>
  <c r="D1632" i="1"/>
  <c r="D1632" i="1" a="1"/>
  <c r="B1632" i="1"/>
  <c r="R1631" i="1"/>
  <c r="Q1631" i="1"/>
  <c r="P1631" i="1"/>
  <c r="O1631" i="1"/>
  <c r="N1631" i="1"/>
  <c r="L1631" i="1"/>
  <c r="F1631" i="1"/>
  <c r="F1631" i="1" a="1"/>
  <c r="D1631" i="1" a="1"/>
  <c r="D1631" i="1" s="1"/>
  <c r="B1631" i="1"/>
  <c r="R1630" i="1"/>
  <c r="Q1630" i="1"/>
  <c r="P1630" i="1"/>
  <c r="O1630" i="1"/>
  <c r="N1630" i="1"/>
  <c r="L1630" i="1"/>
  <c r="F1630" i="1" a="1"/>
  <c r="F1630" i="1" s="1"/>
  <c r="D1630" i="1"/>
  <c r="D1630" i="1" a="1"/>
  <c r="B1630" i="1"/>
  <c r="R1629" i="1"/>
  <c r="Q1629" i="1"/>
  <c r="P1629" i="1"/>
  <c r="O1629" i="1"/>
  <c r="N1629" i="1"/>
  <c r="L1629" i="1"/>
  <c r="F1629" i="1"/>
  <c r="F1629" i="1" a="1"/>
  <c r="D1629" i="1"/>
  <c r="D1629" i="1" a="1"/>
  <c r="B1629" i="1"/>
  <c r="R1628" i="1"/>
  <c r="Q1628" i="1"/>
  <c r="P1628" i="1"/>
  <c r="O1628" i="1"/>
  <c r="N1628" i="1"/>
  <c r="L1628" i="1"/>
  <c r="F1628" i="1"/>
  <c r="F1628" i="1" a="1"/>
  <c r="D1628" i="1"/>
  <c r="D1628" i="1" a="1"/>
  <c r="B1628" i="1"/>
  <c r="R1627" i="1"/>
  <c r="Q1627" i="1"/>
  <c r="P1627" i="1"/>
  <c r="O1627" i="1"/>
  <c r="N1627" i="1"/>
  <c r="L1627" i="1"/>
  <c r="F1627" i="1"/>
  <c r="F1627" i="1" a="1"/>
  <c r="D1627" i="1" a="1"/>
  <c r="D1627" i="1" s="1"/>
  <c r="B1627" i="1"/>
  <c r="R1626" i="1"/>
  <c r="Q1626" i="1"/>
  <c r="P1626" i="1"/>
  <c r="O1626" i="1"/>
  <c r="N1626" i="1"/>
  <c r="L1626" i="1"/>
  <c r="F1626" i="1" a="1"/>
  <c r="F1626" i="1" s="1"/>
  <c r="D1626" i="1"/>
  <c r="D1626" i="1" a="1"/>
  <c r="B1626" i="1"/>
  <c r="R1625" i="1"/>
  <c r="Q1625" i="1"/>
  <c r="P1625" i="1"/>
  <c r="O1625" i="1"/>
  <c r="N1625" i="1"/>
  <c r="L1625" i="1"/>
  <c r="F1625" i="1"/>
  <c r="F1625" i="1" a="1"/>
  <c r="D1625" i="1"/>
  <c r="D1625" i="1" a="1"/>
  <c r="B1625" i="1"/>
  <c r="R1624" i="1"/>
  <c r="Q1624" i="1"/>
  <c r="P1624" i="1"/>
  <c r="O1624" i="1"/>
  <c r="N1624" i="1"/>
  <c r="L1624" i="1"/>
  <c r="F1624" i="1"/>
  <c r="F1624" i="1" a="1"/>
  <c r="D1624" i="1"/>
  <c r="D1624" i="1" a="1"/>
  <c r="B1624" i="1"/>
  <c r="R1623" i="1"/>
  <c r="Q1623" i="1"/>
  <c r="P1623" i="1"/>
  <c r="O1623" i="1"/>
  <c r="N1623" i="1"/>
  <c r="L1623" i="1"/>
  <c r="F1623" i="1"/>
  <c r="F1623" i="1" a="1"/>
  <c r="D1623" i="1" a="1"/>
  <c r="D1623" i="1" s="1"/>
  <c r="B1623" i="1"/>
  <c r="R1622" i="1"/>
  <c r="Q1622" i="1"/>
  <c r="P1622" i="1"/>
  <c r="O1622" i="1"/>
  <c r="N1622" i="1"/>
  <c r="L1622" i="1"/>
  <c r="F1622" i="1" a="1"/>
  <c r="F1622" i="1" s="1"/>
  <c r="D1622" i="1"/>
  <c r="D1622" i="1" a="1"/>
  <c r="B1622" i="1"/>
  <c r="R1621" i="1"/>
  <c r="Q1621" i="1"/>
  <c r="P1621" i="1"/>
  <c r="O1621" i="1"/>
  <c r="N1621" i="1"/>
  <c r="L1621" i="1"/>
  <c r="F1621" i="1"/>
  <c r="F1621" i="1" a="1"/>
  <c r="D1621" i="1"/>
  <c r="D1621" i="1" a="1"/>
  <c r="B1621" i="1"/>
  <c r="R1620" i="1"/>
  <c r="Q1620" i="1"/>
  <c r="P1620" i="1"/>
  <c r="O1620" i="1"/>
  <c r="N1620" i="1"/>
  <c r="L1620" i="1"/>
  <c r="F1620" i="1"/>
  <c r="F1620" i="1" a="1"/>
  <c r="D1620" i="1"/>
  <c r="D1620" i="1" a="1"/>
  <c r="B1620" i="1"/>
  <c r="R1619" i="1"/>
  <c r="Q1619" i="1"/>
  <c r="P1619" i="1"/>
  <c r="O1619" i="1"/>
  <c r="N1619" i="1"/>
  <c r="L1619" i="1"/>
  <c r="F1619" i="1"/>
  <c r="F1619" i="1" a="1"/>
  <c r="D1619" i="1" a="1"/>
  <c r="D1619" i="1" s="1"/>
  <c r="B1619" i="1"/>
  <c r="R1618" i="1"/>
  <c r="Q1618" i="1"/>
  <c r="P1618" i="1"/>
  <c r="O1618" i="1"/>
  <c r="N1618" i="1"/>
  <c r="L1618" i="1"/>
  <c r="F1618" i="1" a="1"/>
  <c r="F1618" i="1" s="1"/>
  <c r="D1618" i="1"/>
  <c r="D1618" i="1" a="1"/>
  <c r="B1618" i="1"/>
  <c r="R1617" i="1"/>
  <c r="Q1617" i="1"/>
  <c r="P1617" i="1"/>
  <c r="O1617" i="1"/>
  <c r="N1617" i="1"/>
  <c r="L1617" i="1"/>
  <c r="F1617" i="1"/>
  <c r="F1617" i="1" a="1"/>
  <c r="D1617" i="1"/>
  <c r="D1617" i="1" a="1"/>
  <c r="B1617" i="1"/>
  <c r="R1616" i="1"/>
  <c r="Q1616" i="1"/>
  <c r="P1616" i="1"/>
  <c r="O1616" i="1"/>
  <c r="N1616" i="1"/>
  <c r="L1616" i="1"/>
  <c r="F1616" i="1"/>
  <c r="F1616" i="1" a="1"/>
  <c r="D1616" i="1"/>
  <c r="D1616" i="1" a="1"/>
  <c r="B1616" i="1"/>
  <c r="R1615" i="1"/>
  <c r="Q1615" i="1"/>
  <c r="P1615" i="1"/>
  <c r="O1615" i="1"/>
  <c r="N1615" i="1"/>
  <c r="L1615" i="1"/>
  <c r="F1615" i="1"/>
  <c r="F1615" i="1" a="1"/>
  <c r="D1615" i="1" a="1"/>
  <c r="D1615" i="1" s="1"/>
  <c r="B1615" i="1"/>
  <c r="R1614" i="1"/>
  <c r="Q1614" i="1"/>
  <c r="P1614" i="1"/>
  <c r="O1614" i="1"/>
  <c r="N1614" i="1"/>
  <c r="L1614" i="1"/>
  <c r="F1614" i="1" a="1"/>
  <c r="F1614" i="1" s="1"/>
  <c r="D1614" i="1"/>
  <c r="D1614" i="1" a="1"/>
  <c r="B1614" i="1"/>
  <c r="R1613" i="1"/>
  <c r="Q1613" i="1"/>
  <c r="P1613" i="1"/>
  <c r="O1613" i="1"/>
  <c r="N1613" i="1"/>
  <c r="L1613" i="1"/>
  <c r="F1613" i="1"/>
  <c r="F1613" i="1" a="1"/>
  <c r="D1613" i="1"/>
  <c r="D1613" i="1" a="1"/>
  <c r="B1613" i="1"/>
  <c r="R1612" i="1"/>
  <c r="Q1612" i="1"/>
  <c r="P1612" i="1"/>
  <c r="O1612" i="1"/>
  <c r="N1612" i="1"/>
  <c r="L1612" i="1"/>
  <c r="F1612" i="1"/>
  <c r="F1612" i="1" a="1"/>
  <c r="D1612" i="1"/>
  <c r="D1612" i="1" a="1"/>
  <c r="B1612" i="1"/>
  <c r="R1611" i="1"/>
  <c r="Q1611" i="1"/>
  <c r="P1611" i="1"/>
  <c r="O1611" i="1"/>
  <c r="N1611" i="1"/>
  <c r="L1611" i="1"/>
  <c r="F1611" i="1"/>
  <c r="F1611" i="1" a="1"/>
  <c r="D1611" i="1" a="1"/>
  <c r="D1611" i="1" s="1"/>
  <c r="B1611" i="1"/>
  <c r="R1610" i="1"/>
  <c r="Q1610" i="1"/>
  <c r="P1610" i="1"/>
  <c r="O1610" i="1"/>
  <c r="N1610" i="1"/>
  <c r="L1610" i="1"/>
  <c r="F1610" i="1" a="1"/>
  <c r="F1610" i="1" s="1"/>
  <c r="D1610" i="1"/>
  <c r="D1610" i="1" a="1"/>
  <c r="B1610" i="1"/>
  <c r="R1609" i="1"/>
  <c r="Q1609" i="1"/>
  <c r="P1609" i="1"/>
  <c r="O1609" i="1"/>
  <c r="N1609" i="1"/>
  <c r="L1609" i="1"/>
  <c r="F1609" i="1"/>
  <c r="F1609" i="1" a="1"/>
  <c r="D1609" i="1"/>
  <c r="D1609" i="1" a="1"/>
  <c r="B1609" i="1"/>
  <c r="R1608" i="1"/>
  <c r="Q1608" i="1"/>
  <c r="P1608" i="1"/>
  <c r="O1608" i="1"/>
  <c r="N1608" i="1"/>
  <c r="L1608" i="1"/>
  <c r="F1608" i="1"/>
  <c r="F1608" i="1" a="1"/>
  <c r="D1608" i="1"/>
  <c r="D1608" i="1" a="1"/>
  <c r="B1608" i="1"/>
  <c r="R1607" i="1"/>
  <c r="Q1607" i="1"/>
  <c r="P1607" i="1"/>
  <c r="O1607" i="1"/>
  <c r="N1607" i="1"/>
  <c r="L1607" i="1"/>
  <c r="F1607" i="1"/>
  <c r="F1607" i="1" a="1"/>
  <c r="D1607" i="1" a="1"/>
  <c r="D1607" i="1" s="1"/>
  <c r="B1607" i="1"/>
  <c r="R1606" i="1"/>
  <c r="Q1606" i="1"/>
  <c r="P1606" i="1"/>
  <c r="O1606" i="1"/>
  <c r="N1606" i="1"/>
  <c r="L1606" i="1"/>
  <c r="F1606" i="1" a="1"/>
  <c r="F1606" i="1" s="1"/>
  <c r="D1606" i="1" a="1"/>
  <c r="D1606" i="1" s="1"/>
  <c r="B1606" i="1"/>
  <c r="R1605" i="1"/>
  <c r="Q1605" i="1"/>
  <c r="P1605" i="1"/>
  <c r="O1605" i="1"/>
  <c r="N1605" i="1"/>
  <c r="L1605" i="1"/>
  <c r="F1605" i="1"/>
  <c r="F1605" i="1" a="1"/>
  <c r="D1605" i="1"/>
  <c r="D1605" i="1" a="1"/>
  <c r="B1605" i="1"/>
  <c r="R1604" i="1"/>
  <c r="Q1604" i="1"/>
  <c r="P1604" i="1"/>
  <c r="O1604" i="1"/>
  <c r="N1604" i="1"/>
  <c r="L1604" i="1"/>
  <c r="F1604" i="1"/>
  <c r="F1604" i="1" a="1"/>
  <c r="D1604" i="1"/>
  <c r="D1604" i="1" a="1"/>
  <c r="B1604" i="1"/>
  <c r="R1603" i="1"/>
  <c r="Q1603" i="1"/>
  <c r="P1603" i="1"/>
  <c r="O1603" i="1"/>
  <c r="N1603" i="1"/>
  <c r="L1603" i="1"/>
  <c r="F1603" i="1"/>
  <c r="F1603" i="1" a="1"/>
  <c r="D1603" i="1" a="1"/>
  <c r="D1603" i="1" s="1"/>
  <c r="B1603" i="1"/>
  <c r="R1602" i="1"/>
  <c r="Q1602" i="1"/>
  <c r="P1602" i="1"/>
  <c r="O1602" i="1"/>
  <c r="N1602" i="1"/>
  <c r="L1602" i="1"/>
  <c r="F1602" i="1" a="1"/>
  <c r="F1602" i="1" s="1"/>
  <c r="D1602" i="1" a="1"/>
  <c r="D1602" i="1" s="1"/>
  <c r="B1602" i="1"/>
  <c r="R1601" i="1"/>
  <c r="Q1601" i="1"/>
  <c r="P1601" i="1"/>
  <c r="O1601" i="1"/>
  <c r="N1601" i="1"/>
  <c r="L1601" i="1"/>
  <c r="F1601" i="1"/>
  <c r="F1601" i="1" a="1"/>
  <c r="D1601" i="1"/>
  <c r="D1601" i="1" a="1"/>
  <c r="B1601" i="1"/>
  <c r="R1600" i="1"/>
  <c r="Q1600" i="1"/>
  <c r="P1600" i="1"/>
  <c r="O1600" i="1"/>
  <c r="N1600" i="1"/>
  <c r="L1600" i="1"/>
  <c r="F1600" i="1"/>
  <c r="F1600" i="1" a="1"/>
  <c r="D1600" i="1"/>
  <c r="D1600" i="1" a="1"/>
  <c r="B1600" i="1"/>
  <c r="R1599" i="1"/>
  <c r="Q1599" i="1"/>
  <c r="P1599" i="1"/>
  <c r="O1599" i="1"/>
  <c r="N1599" i="1"/>
  <c r="L1599" i="1"/>
  <c r="F1599" i="1"/>
  <c r="F1599" i="1" a="1"/>
  <c r="D1599" i="1" a="1"/>
  <c r="D1599" i="1" s="1"/>
  <c r="B1599" i="1"/>
  <c r="R1598" i="1"/>
  <c r="Q1598" i="1"/>
  <c r="P1598" i="1"/>
  <c r="O1598" i="1"/>
  <c r="N1598" i="1"/>
  <c r="L1598" i="1"/>
  <c r="F1598" i="1" a="1"/>
  <c r="F1598" i="1" s="1"/>
  <c r="D1598" i="1" a="1"/>
  <c r="D1598" i="1" s="1"/>
  <c r="B1598" i="1"/>
  <c r="R1597" i="1"/>
  <c r="Q1597" i="1"/>
  <c r="P1597" i="1"/>
  <c r="O1597" i="1"/>
  <c r="N1597" i="1"/>
  <c r="L1597" i="1"/>
  <c r="F1597" i="1"/>
  <c r="F1597" i="1" a="1"/>
  <c r="D1597" i="1"/>
  <c r="D1597" i="1" a="1"/>
  <c r="B1597" i="1"/>
  <c r="R1596" i="1"/>
  <c r="Q1596" i="1"/>
  <c r="P1596" i="1"/>
  <c r="O1596" i="1"/>
  <c r="N1596" i="1"/>
  <c r="L1596" i="1"/>
  <c r="F1596" i="1"/>
  <c r="F1596" i="1" a="1"/>
  <c r="D1596" i="1"/>
  <c r="D1596" i="1" a="1"/>
  <c r="B1596" i="1"/>
  <c r="R1595" i="1"/>
  <c r="Q1595" i="1"/>
  <c r="P1595" i="1"/>
  <c r="O1595" i="1"/>
  <c r="N1595" i="1"/>
  <c r="L1595" i="1"/>
  <c r="F1595" i="1"/>
  <c r="F1595" i="1" a="1"/>
  <c r="D1595" i="1" a="1"/>
  <c r="D1595" i="1" s="1"/>
  <c r="B1595" i="1"/>
  <c r="R1594" i="1"/>
  <c r="Q1594" i="1"/>
  <c r="P1594" i="1"/>
  <c r="O1594" i="1"/>
  <c r="N1594" i="1"/>
  <c r="L1594" i="1"/>
  <c r="F1594" i="1" a="1"/>
  <c r="F1594" i="1" s="1"/>
  <c r="D1594" i="1" a="1"/>
  <c r="D1594" i="1" s="1"/>
  <c r="B1594" i="1"/>
  <c r="R1593" i="1"/>
  <c r="Q1593" i="1"/>
  <c r="P1593" i="1"/>
  <c r="O1593" i="1"/>
  <c r="N1593" i="1"/>
  <c r="L1593" i="1"/>
  <c r="F1593" i="1"/>
  <c r="F1593" i="1" a="1"/>
  <c r="D1593" i="1" a="1"/>
  <c r="D1593" i="1" s="1"/>
  <c r="B1593" i="1"/>
  <c r="R1592" i="1"/>
  <c r="Q1592" i="1"/>
  <c r="P1592" i="1"/>
  <c r="O1592" i="1"/>
  <c r="N1592" i="1"/>
  <c r="L1592" i="1"/>
  <c r="F1592" i="1"/>
  <c r="F1592" i="1" a="1"/>
  <c r="D1592" i="1"/>
  <c r="D1592" i="1" a="1"/>
  <c r="B1592" i="1"/>
  <c r="R1591" i="1"/>
  <c r="Q1591" i="1"/>
  <c r="P1591" i="1"/>
  <c r="O1591" i="1"/>
  <c r="N1591" i="1"/>
  <c r="L1591" i="1"/>
  <c r="F1591" i="1"/>
  <c r="F1591" i="1" a="1"/>
  <c r="D1591" i="1" a="1"/>
  <c r="D1591" i="1" s="1"/>
  <c r="B1591" i="1"/>
  <c r="R1590" i="1"/>
  <c r="Q1590" i="1"/>
  <c r="P1590" i="1"/>
  <c r="O1590" i="1"/>
  <c r="N1590" i="1"/>
  <c r="L1590" i="1"/>
  <c r="F1590" i="1" a="1"/>
  <c r="F1590" i="1" s="1"/>
  <c r="D1590" i="1" a="1"/>
  <c r="D1590" i="1" s="1"/>
  <c r="B1590" i="1"/>
  <c r="R1589" i="1"/>
  <c r="Q1589" i="1"/>
  <c r="P1589" i="1"/>
  <c r="O1589" i="1"/>
  <c r="N1589" i="1"/>
  <c r="L1589" i="1"/>
  <c r="F1589" i="1"/>
  <c r="F1589" i="1" a="1"/>
  <c r="D1589" i="1" a="1"/>
  <c r="D1589" i="1" s="1"/>
  <c r="B1589" i="1"/>
  <c r="R1588" i="1"/>
  <c r="Q1588" i="1"/>
  <c r="P1588" i="1"/>
  <c r="O1588" i="1"/>
  <c r="N1588" i="1"/>
  <c r="L1588" i="1"/>
  <c r="F1588" i="1"/>
  <c r="F1588" i="1" a="1"/>
  <c r="D1588" i="1"/>
  <c r="D1588" i="1" a="1"/>
  <c r="B1588" i="1"/>
  <c r="R1587" i="1"/>
  <c r="Q1587" i="1"/>
  <c r="P1587" i="1"/>
  <c r="O1587" i="1"/>
  <c r="N1587" i="1"/>
  <c r="L1587" i="1"/>
  <c r="F1587" i="1"/>
  <c r="F1587" i="1" a="1"/>
  <c r="D1587" i="1" a="1"/>
  <c r="D1587" i="1" s="1"/>
  <c r="B1587" i="1"/>
  <c r="R1586" i="1"/>
  <c r="Q1586" i="1"/>
  <c r="P1586" i="1"/>
  <c r="O1586" i="1"/>
  <c r="N1586" i="1"/>
  <c r="L1586" i="1"/>
  <c r="F1586" i="1" a="1"/>
  <c r="F1586" i="1" s="1"/>
  <c r="D1586" i="1" a="1"/>
  <c r="D1586" i="1" s="1"/>
  <c r="B1586" i="1"/>
  <c r="R1585" i="1"/>
  <c r="Q1585" i="1"/>
  <c r="P1585" i="1"/>
  <c r="O1585" i="1"/>
  <c r="N1585" i="1"/>
  <c r="L1585" i="1"/>
  <c r="F1585" i="1"/>
  <c r="F1585" i="1" a="1"/>
  <c r="D1585" i="1" a="1"/>
  <c r="D1585" i="1" s="1"/>
  <c r="B1585" i="1"/>
  <c r="R1584" i="1"/>
  <c r="Q1584" i="1"/>
  <c r="P1584" i="1"/>
  <c r="O1584" i="1"/>
  <c r="N1584" i="1"/>
  <c r="L1584" i="1"/>
  <c r="F1584" i="1"/>
  <c r="F1584" i="1" a="1"/>
  <c r="D1584" i="1"/>
  <c r="D1584" i="1" a="1"/>
  <c r="B1584" i="1"/>
  <c r="R1583" i="1"/>
  <c r="Q1583" i="1"/>
  <c r="P1583" i="1"/>
  <c r="O1583" i="1"/>
  <c r="N1583" i="1"/>
  <c r="L1583" i="1"/>
  <c r="F1583" i="1"/>
  <c r="F1583" i="1" a="1"/>
  <c r="D1583" i="1" a="1"/>
  <c r="D1583" i="1" s="1"/>
  <c r="B1583" i="1"/>
  <c r="R1582" i="1"/>
  <c r="Q1582" i="1"/>
  <c r="P1582" i="1"/>
  <c r="O1582" i="1"/>
  <c r="N1582" i="1"/>
  <c r="L1582" i="1"/>
  <c r="F1582" i="1" a="1"/>
  <c r="F1582" i="1" s="1"/>
  <c r="D1582" i="1" a="1"/>
  <c r="D1582" i="1" s="1"/>
  <c r="B1582" i="1"/>
  <c r="R1581" i="1"/>
  <c r="Q1581" i="1"/>
  <c r="P1581" i="1"/>
  <c r="O1581" i="1"/>
  <c r="N1581" i="1"/>
  <c r="L1581" i="1"/>
  <c r="F1581" i="1"/>
  <c r="F1581" i="1" a="1"/>
  <c r="D1581" i="1" a="1"/>
  <c r="D1581" i="1" s="1"/>
  <c r="B1581" i="1"/>
  <c r="R1580" i="1"/>
  <c r="Q1580" i="1"/>
  <c r="P1580" i="1"/>
  <c r="O1580" i="1"/>
  <c r="N1580" i="1"/>
  <c r="L1580" i="1"/>
  <c r="F1580" i="1" a="1"/>
  <c r="F1580" i="1" s="1"/>
  <c r="D1580" i="1"/>
  <c r="D1580" i="1" a="1"/>
  <c r="B1580" i="1"/>
  <c r="R1579" i="1"/>
  <c r="Q1579" i="1"/>
  <c r="P1579" i="1"/>
  <c r="O1579" i="1"/>
  <c r="N1579" i="1"/>
  <c r="L1579" i="1"/>
  <c r="F1579" i="1"/>
  <c r="F1579" i="1" a="1"/>
  <c r="D1579" i="1" a="1"/>
  <c r="D1579" i="1" s="1"/>
  <c r="B1579" i="1"/>
  <c r="R1578" i="1"/>
  <c r="Q1578" i="1"/>
  <c r="P1578" i="1"/>
  <c r="O1578" i="1"/>
  <c r="N1578" i="1"/>
  <c r="L1578" i="1"/>
  <c r="F1578" i="1" a="1"/>
  <c r="F1578" i="1" s="1"/>
  <c r="D1578" i="1" a="1"/>
  <c r="D1578" i="1" s="1"/>
  <c r="B1578" i="1"/>
  <c r="R1577" i="1"/>
  <c r="Q1577" i="1"/>
  <c r="P1577" i="1"/>
  <c r="O1577" i="1"/>
  <c r="N1577" i="1"/>
  <c r="L1577" i="1"/>
  <c r="F1577" i="1"/>
  <c r="F1577" i="1" a="1"/>
  <c r="D1577" i="1" a="1"/>
  <c r="D1577" i="1" s="1"/>
  <c r="B1577" i="1"/>
  <c r="R1576" i="1"/>
  <c r="Q1576" i="1"/>
  <c r="P1576" i="1"/>
  <c r="O1576" i="1"/>
  <c r="N1576" i="1"/>
  <c r="L1576" i="1"/>
  <c r="F1576" i="1" a="1"/>
  <c r="F1576" i="1" s="1"/>
  <c r="D1576" i="1"/>
  <c r="D1576" i="1" a="1"/>
  <c r="B1576" i="1"/>
  <c r="R1575" i="1"/>
  <c r="Q1575" i="1"/>
  <c r="P1575" i="1"/>
  <c r="O1575" i="1"/>
  <c r="N1575" i="1"/>
  <c r="L1575" i="1"/>
  <c r="F1575" i="1"/>
  <c r="F1575" i="1" a="1"/>
  <c r="D1575" i="1" a="1"/>
  <c r="D1575" i="1" s="1"/>
  <c r="B1575" i="1"/>
  <c r="R1574" i="1"/>
  <c r="Q1574" i="1"/>
  <c r="P1574" i="1"/>
  <c r="O1574" i="1"/>
  <c r="N1574" i="1"/>
  <c r="L1574" i="1"/>
  <c r="F1574" i="1" a="1"/>
  <c r="F1574" i="1" s="1"/>
  <c r="D1574" i="1" a="1"/>
  <c r="D1574" i="1" s="1"/>
  <c r="B1574" i="1"/>
  <c r="R1573" i="1"/>
  <c r="Q1573" i="1"/>
  <c r="P1573" i="1"/>
  <c r="O1573" i="1"/>
  <c r="N1573" i="1"/>
  <c r="L1573" i="1"/>
  <c r="F1573" i="1"/>
  <c r="F1573" i="1" a="1"/>
  <c r="D1573" i="1" a="1"/>
  <c r="D1573" i="1" s="1"/>
  <c r="B1573" i="1"/>
  <c r="R1572" i="1"/>
  <c r="Q1572" i="1"/>
  <c r="P1572" i="1"/>
  <c r="O1572" i="1"/>
  <c r="N1572" i="1"/>
  <c r="L1572" i="1"/>
  <c r="F1572" i="1" a="1"/>
  <c r="F1572" i="1" s="1"/>
  <c r="D1572" i="1"/>
  <c r="D1572" i="1" a="1"/>
  <c r="B1572" i="1"/>
  <c r="R1571" i="1"/>
  <c r="Q1571" i="1"/>
  <c r="P1571" i="1"/>
  <c r="O1571" i="1"/>
  <c r="N1571" i="1"/>
  <c r="L1571" i="1"/>
  <c r="F1571" i="1"/>
  <c r="F1571" i="1" a="1"/>
  <c r="D1571" i="1" a="1"/>
  <c r="D1571" i="1" s="1"/>
  <c r="B1571" i="1"/>
  <c r="R1570" i="1"/>
  <c r="Q1570" i="1"/>
  <c r="P1570" i="1"/>
  <c r="O1570" i="1"/>
  <c r="N1570" i="1"/>
  <c r="L1570" i="1"/>
  <c r="F1570" i="1" a="1"/>
  <c r="F1570" i="1" s="1"/>
  <c r="D1570" i="1" a="1"/>
  <c r="D1570" i="1" s="1"/>
  <c r="B1570" i="1"/>
  <c r="R1569" i="1"/>
  <c r="Q1569" i="1"/>
  <c r="P1569" i="1"/>
  <c r="O1569" i="1"/>
  <c r="N1569" i="1"/>
  <c r="L1569" i="1"/>
  <c r="F1569" i="1"/>
  <c r="F1569" i="1" a="1"/>
  <c r="D1569" i="1" a="1"/>
  <c r="D1569" i="1" s="1"/>
  <c r="B1569" i="1"/>
  <c r="R1568" i="1"/>
  <c r="Q1568" i="1"/>
  <c r="P1568" i="1"/>
  <c r="O1568" i="1"/>
  <c r="N1568" i="1"/>
  <c r="L1568" i="1"/>
  <c r="F1568" i="1" a="1"/>
  <c r="F1568" i="1" s="1"/>
  <c r="D1568" i="1"/>
  <c r="D1568" i="1" a="1"/>
  <c r="B1568" i="1"/>
  <c r="R1567" i="1"/>
  <c r="Q1567" i="1"/>
  <c r="P1567" i="1"/>
  <c r="O1567" i="1"/>
  <c r="N1567" i="1"/>
  <c r="L1567" i="1"/>
  <c r="F1567" i="1"/>
  <c r="F1567" i="1" a="1"/>
  <c r="D1567" i="1" a="1"/>
  <c r="D1567" i="1" s="1"/>
  <c r="B1567" i="1"/>
  <c r="R1566" i="1"/>
  <c r="Q1566" i="1"/>
  <c r="P1566" i="1"/>
  <c r="O1566" i="1"/>
  <c r="N1566" i="1"/>
  <c r="L1566" i="1"/>
  <c r="F1566" i="1" a="1"/>
  <c r="F1566" i="1" s="1"/>
  <c r="D1566" i="1" a="1"/>
  <c r="D1566" i="1" s="1"/>
  <c r="B1566" i="1"/>
  <c r="R1565" i="1"/>
  <c r="Q1565" i="1"/>
  <c r="P1565" i="1"/>
  <c r="O1565" i="1"/>
  <c r="N1565" i="1"/>
  <c r="L1565" i="1"/>
  <c r="F1565" i="1"/>
  <c r="F1565" i="1" a="1"/>
  <c r="D1565" i="1" a="1"/>
  <c r="D1565" i="1" s="1"/>
  <c r="B1565" i="1"/>
  <c r="R1564" i="1"/>
  <c r="Q1564" i="1"/>
  <c r="P1564" i="1"/>
  <c r="O1564" i="1"/>
  <c r="N1564" i="1"/>
  <c r="L1564" i="1"/>
  <c r="F1564" i="1" a="1"/>
  <c r="F1564" i="1" s="1"/>
  <c r="D1564" i="1"/>
  <c r="D1564" i="1" a="1"/>
  <c r="B1564" i="1"/>
  <c r="R1563" i="1"/>
  <c r="Q1563" i="1"/>
  <c r="P1563" i="1"/>
  <c r="O1563" i="1"/>
  <c r="N1563" i="1"/>
  <c r="L1563" i="1"/>
  <c r="F1563" i="1"/>
  <c r="F1563" i="1" a="1"/>
  <c r="D1563" i="1" a="1"/>
  <c r="D1563" i="1" s="1"/>
  <c r="B1563" i="1"/>
  <c r="R1562" i="1"/>
  <c r="Q1562" i="1"/>
  <c r="P1562" i="1"/>
  <c r="O1562" i="1"/>
  <c r="N1562" i="1"/>
  <c r="L1562" i="1"/>
  <c r="F1562" i="1" a="1"/>
  <c r="F1562" i="1" s="1"/>
  <c r="D1562" i="1" a="1"/>
  <c r="D1562" i="1" s="1"/>
  <c r="B1562" i="1"/>
  <c r="R1561" i="1"/>
  <c r="Q1561" i="1"/>
  <c r="P1561" i="1"/>
  <c r="O1561" i="1"/>
  <c r="N1561" i="1"/>
  <c r="L1561" i="1"/>
  <c r="F1561" i="1"/>
  <c r="F1561" i="1" a="1"/>
  <c r="D1561" i="1" a="1"/>
  <c r="D1561" i="1" s="1"/>
  <c r="B1561" i="1"/>
  <c r="R1560" i="1"/>
  <c r="Q1560" i="1"/>
  <c r="P1560" i="1"/>
  <c r="O1560" i="1"/>
  <c r="N1560" i="1"/>
  <c r="L1560" i="1"/>
  <c r="F1560" i="1" a="1"/>
  <c r="F1560" i="1" s="1"/>
  <c r="D1560" i="1"/>
  <c r="D1560" i="1" a="1"/>
  <c r="B1560" i="1"/>
  <c r="R1559" i="1"/>
  <c r="Q1559" i="1"/>
  <c r="P1559" i="1"/>
  <c r="O1559" i="1"/>
  <c r="N1559" i="1"/>
  <c r="L1559" i="1"/>
  <c r="F1559" i="1"/>
  <c r="F1559" i="1" a="1"/>
  <c r="D1559" i="1" a="1"/>
  <c r="D1559" i="1" s="1"/>
  <c r="B1559" i="1"/>
  <c r="R1558" i="1"/>
  <c r="Q1558" i="1"/>
  <c r="P1558" i="1"/>
  <c r="O1558" i="1"/>
  <c r="N1558" i="1"/>
  <c r="L1558" i="1"/>
  <c r="F1558" i="1" a="1"/>
  <c r="F1558" i="1" s="1"/>
  <c r="D1558" i="1" a="1"/>
  <c r="D1558" i="1" s="1"/>
  <c r="B1558" i="1"/>
  <c r="R1557" i="1"/>
  <c r="Q1557" i="1"/>
  <c r="P1557" i="1"/>
  <c r="O1557" i="1"/>
  <c r="N1557" i="1"/>
  <c r="L1557" i="1"/>
  <c r="F1557" i="1"/>
  <c r="F1557" i="1" a="1"/>
  <c r="D1557" i="1" a="1"/>
  <c r="D1557" i="1" s="1"/>
  <c r="B1557" i="1"/>
  <c r="R1556" i="1"/>
  <c r="Q1556" i="1"/>
  <c r="P1556" i="1"/>
  <c r="O1556" i="1"/>
  <c r="N1556" i="1"/>
  <c r="L1556" i="1"/>
  <c r="F1556" i="1" a="1"/>
  <c r="F1556" i="1" s="1"/>
  <c r="D1556" i="1"/>
  <c r="D1556" i="1" a="1"/>
  <c r="B1556" i="1"/>
  <c r="R1555" i="1"/>
  <c r="Q1555" i="1"/>
  <c r="P1555" i="1"/>
  <c r="O1555" i="1"/>
  <c r="N1555" i="1"/>
  <c r="L1555" i="1"/>
  <c r="F1555" i="1"/>
  <c r="F1555" i="1" a="1"/>
  <c r="D1555" i="1" a="1"/>
  <c r="D1555" i="1" s="1"/>
  <c r="B1555" i="1"/>
  <c r="R1554" i="1"/>
  <c r="Q1554" i="1"/>
  <c r="P1554" i="1"/>
  <c r="O1554" i="1"/>
  <c r="N1554" i="1"/>
  <c r="L1554" i="1"/>
  <c r="F1554" i="1" a="1"/>
  <c r="F1554" i="1" s="1"/>
  <c r="D1554" i="1" a="1"/>
  <c r="D1554" i="1" s="1"/>
  <c r="B1554" i="1"/>
  <c r="R1553" i="1"/>
  <c r="Q1553" i="1"/>
  <c r="P1553" i="1"/>
  <c r="O1553" i="1"/>
  <c r="N1553" i="1"/>
  <c r="L1553" i="1"/>
  <c r="F1553" i="1"/>
  <c r="F1553" i="1" a="1"/>
  <c r="D1553" i="1" a="1"/>
  <c r="D1553" i="1" s="1"/>
  <c r="B1553" i="1"/>
  <c r="R1552" i="1"/>
  <c r="Q1552" i="1"/>
  <c r="P1552" i="1"/>
  <c r="O1552" i="1"/>
  <c r="N1552" i="1"/>
  <c r="L1552" i="1"/>
  <c r="F1552" i="1" a="1"/>
  <c r="F1552" i="1" s="1"/>
  <c r="D1552" i="1"/>
  <c r="D1552" i="1" a="1"/>
  <c r="B1552" i="1"/>
  <c r="R1551" i="1"/>
  <c r="Q1551" i="1"/>
  <c r="P1551" i="1"/>
  <c r="O1551" i="1"/>
  <c r="N1551" i="1"/>
  <c r="L1551" i="1"/>
  <c r="F1551" i="1"/>
  <c r="F1551" i="1" a="1"/>
  <c r="D1551" i="1" a="1"/>
  <c r="D1551" i="1" s="1"/>
  <c r="B1551" i="1"/>
  <c r="R1550" i="1"/>
  <c r="Q1550" i="1"/>
  <c r="P1550" i="1"/>
  <c r="O1550" i="1"/>
  <c r="N1550" i="1"/>
  <c r="L1550" i="1"/>
  <c r="F1550" i="1" a="1"/>
  <c r="F1550" i="1" s="1"/>
  <c r="D1550" i="1" a="1"/>
  <c r="D1550" i="1" s="1"/>
  <c r="B1550" i="1"/>
  <c r="R1549" i="1"/>
  <c r="Q1549" i="1"/>
  <c r="P1549" i="1"/>
  <c r="O1549" i="1"/>
  <c r="N1549" i="1"/>
  <c r="L1549" i="1"/>
  <c r="F1549" i="1"/>
  <c r="F1549" i="1" a="1"/>
  <c r="D1549" i="1" a="1"/>
  <c r="D1549" i="1" s="1"/>
  <c r="B1549" i="1"/>
  <c r="R1548" i="1"/>
  <c r="Q1548" i="1"/>
  <c r="P1548" i="1"/>
  <c r="O1548" i="1"/>
  <c r="N1548" i="1"/>
  <c r="L1548" i="1"/>
  <c r="F1548" i="1" a="1"/>
  <c r="F1548" i="1" s="1"/>
  <c r="D1548" i="1"/>
  <c r="D1548" i="1" a="1"/>
  <c r="B1548" i="1"/>
  <c r="R1547" i="1"/>
  <c r="Q1547" i="1"/>
  <c r="P1547" i="1"/>
  <c r="O1547" i="1"/>
  <c r="N1547" i="1"/>
  <c r="L1547" i="1"/>
  <c r="F1547" i="1"/>
  <c r="F1547" i="1" a="1"/>
  <c r="D1547" i="1" a="1"/>
  <c r="D1547" i="1" s="1"/>
  <c r="B1547" i="1"/>
  <c r="R1546" i="1"/>
  <c r="Q1546" i="1"/>
  <c r="P1546" i="1"/>
  <c r="O1546" i="1"/>
  <c r="N1546" i="1"/>
  <c r="L1546" i="1"/>
  <c r="F1546" i="1" a="1"/>
  <c r="F1546" i="1" s="1"/>
  <c r="D1546" i="1" a="1"/>
  <c r="D1546" i="1" s="1"/>
  <c r="B1546" i="1"/>
  <c r="R1545" i="1"/>
  <c r="Q1545" i="1"/>
  <c r="P1545" i="1"/>
  <c r="O1545" i="1"/>
  <c r="N1545" i="1"/>
  <c r="L1545" i="1"/>
  <c r="F1545" i="1"/>
  <c r="F1545" i="1" a="1"/>
  <c r="D1545" i="1" a="1"/>
  <c r="D1545" i="1" s="1"/>
  <c r="B1545" i="1"/>
  <c r="R1544" i="1"/>
  <c r="Q1544" i="1"/>
  <c r="P1544" i="1"/>
  <c r="O1544" i="1"/>
  <c r="N1544" i="1"/>
  <c r="L1544" i="1"/>
  <c r="F1544" i="1" a="1"/>
  <c r="F1544" i="1" s="1"/>
  <c r="D1544" i="1"/>
  <c r="D1544" i="1" a="1"/>
  <c r="B1544" i="1"/>
  <c r="R1543" i="1"/>
  <c r="Q1543" i="1"/>
  <c r="P1543" i="1"/>
  <c r="O1543" i="1"/>
  <c r="N1543" i="1"/>
  <c r="L1543" i="1"/>
  <c r="F1543" i="1"/>
  <c r="F1543" i="1" a="1"/>
  <c r="D1543" i="1" a="1"/>
  <c r="D1543" i="1" s="1"/>
  <c r="B1543" i="1"/>
  <c r="R1542" i="1"/>
  <c r="Q1542" i="1"/>
  <c r="P1542" i="1"/>
  <c r="O1542" i="1"/>
  <c r="N1542" i="1"/>
  <c r="L1542" i="1"/>
  <c r="F1542" i="1" a="1"/>
  <c r="F1542" i="1" s="1"/>
  <c r="D1542" i="1" a="1"/>
  <c r="D1542" i="1" s="1"/>
  <c r="B1542" i="1"/>
  <c r="R1541" i="1"/>
  <c r="Q1541" i="1"/>
  <c r="P1541" i="1"/>
  <c r="O1541" i="1"/>
  <c r="N1541" i="1"/>
  <c r="L1541" i="1"/>
  <c r="F1541" i="1"/>
  <c r="F1541" i="1" a="1"/>
  <c r="D1541" i="1" a="1"/>
  <c r="D1541" i="1" s="1"/>
  <c r="B1541" i="1"/>
  <c r="R1540" i="1"/>
  <c r="Q1540" i="1"/>
  <c r="P1540" i="1"/>
  <c r="O1540" i="1"/>
  <c r="N1540" i="1"/>
  <c r="L1540" i="1"/>
  <c r="F1540" i="1" a="1"/>
  <c r="F1540" i="1" s="1"/>
  <c r="D1540" i="1"/>
  <c r="D1540" i="1" a="1"/>
  <c r="B1540" i="1"/>
  <c r="R1539" i="1"/>
  <c r="Q1539" i="1"/>
  <c r="P1539" i="1"/>
  <c r="O1539" i="1"/>
  <c r="N1539" i="1"/>
  <c r="L1539" i="1"/>
  <c r="F1539" i="1"/>
  <c r="F1539" i="1" a="1"/>
  <c r="D1539" i="1" a="1"/>
  <c r="D1539" i="1" s="1"/>
  <c r="B1539" i="1"/>
  <c r="R1538" i="1"/>
  <c r="Q1538" i="1"/>
  <c r="P1538" i="1"/>
  <c r="O1538" i="1"/>
  <c r="N1538" i="1"/>
  <c r="L1538" i="1"/>
  <c r="F1538" i="1" a="1"/>
  <c r="F1538" i="1" s="1"/>
  <c r="D1538" i="1" a="1"/>
  <c r="D1538" i="1" s="1"/>
  <c r="B1538" i="1"/>
  <c r="R1537" i="1"/>
  <c r="Q1537" i="1"/>
  <c r="P1537" i="1"/>
  <c r="O1537" i="1"/>
  <c r="N1537" i="1"/>
  <c r="L1537" i="1"/>
  <c r="F1537" i="1"/>
  <c r="F1537" i="1" a="1"/>
  <c r="D1537" i="1" a="1"/>
  <c r="D1537" i="1" s="1"/>
  <c r="B1537" i="1"/>
  <c r="R1536" i="1"/>
  <c r="Q1536" i="1"/>
  <c r="P1536" i="1"/>
  <c r="O1536" i="1"/>
  <c r="N1536" i="1"/>
  <c r="L1536" i="1"/>
  <c r="F1536" i="1" a="1"/>
  <c r="F1536" i="1" s="1"/>
  <c r="D1536" i="1"/>
  <c r="D1536" i="1" a="1"/>
  <c r="B1536" i="1"/>
  <c r="R1535" i="1"/>
  <c r="Q1535" i="1"/>
  <c r="P1535" i="1"/>
  <c r="O1535" i="1"/>
  <c r="N1535" i="1"/>
  <c r="L1535" i="1"/>
  <c r="F1535" i="1"/>
  <c r="F1535" i="1" a="1"/>
  <c r="D1535" i="1" a="1"/>
  <c r="D1535" i="1" s="1"/>
  <c r="B1535" i="1"/>
  <c r="R1534" i="1"/>
  <c r="Q1534" i="1"/>
  <c r="P1534" i="1"/>
  <c r="O1534" i="1"/>
  <c r="N1534" i="1"/>
  <c r="L1534" i="1"/>
  <c r="F1534" i="1" a="1"/>
  <c r="F1534" i="1" s="1"/>
  <c r="D1534" i="1" a="1"/>
  <c r="D1534" i="1" s="1"/>
  <c r="B1534" i="1"/>
  <c r="R1533" i="1"/>
  <c r="Q1533" i="1"/>
  <c r="P1533" i="1"/>
  <c r="O1533" i="1"/>
  <c r="N1533" i="1"/>
  <c r="L1533" i="1"/>
  <c r="F1533" i="1"/>
  <c r="F1533" i="1" a="1"/>
  <c r="D1533" i="1" a="1"/>
  <c r="D1533" i="1" s="1"/>
  <c r="B1533" i="1"/>
  <c r="R1532" i="1"/>
  <c r="Q1532" i="1"/>
  <c r="P1532" i="1"/>
  <c r="O1532" i="1"/>
  <c r="N1532" i="1"/>
  <c r="L1532" i="1"/>
  <c r="F1532" i="1" a="1"/>
  <c r="F1532" i="1" s="1"/>
  <c r="D1532" i="1"/>
  <c r="D1532" i="1" a="1"/>
  <c r="B1532" i="1"/>
  <c r="R1531" i="1"/>
  <c r="Q1531" i="1"/>
  <c r="P1531" i="1"/>
  <c r="O1531" i="1"/>
  <c r="N1531" i="1"/>
  <c r="L1531" i="1"/>
  <c r="F1531" i="1"/>
  <c r="F1531" i="1" a="1"/>
  <c r="D1531" i="1" a="1"/>
  <c r="D1531" i="1" s="1"/>
  <c r="B1531" i="1"/>
  <c r="R1530" i="1"/>
  <c r="Q1530" i="1"/>
  <c r="P1530" i="1"/>
  <c r="O1530" i="1"/>
  <c r="N1530" i="1"/>
  <c r="L1530" i="1"/>
  <c r="F1530" i="1" a="1"/>
  <c r="F1530" i="1" s="1"/>
  <c r="D1530" i="1" a="1"/>
  <c r="D1530" i="1" s="1"/>
  <c r="B1530" i="1"/>
  <c r="R1529" i="1"/>
  <c r="Q1529" i="1"/>
  <c r="P1529" i="1"/>
  <c r="O1529" i="1"/>
  <c r="N1529" i="1"/>
  <c r="L1529" i="1"/>
  <c r="F1529" i="1"/>
  <c r="F1529" i="1" a="1"/>
  <c r="D1529" i="1" a="1"/>
  <c r="D1529" i="1" s="1"/>
  <c r="B1529" i="1"/>
  <c r="R1528" i="1"/>
  <c r="Q1528" i="1"/>
  <c r="P1528" i="1"/>
  <c r="O1528" i="1"/>
  <c r="N1528" i="1"/>
  <c r="L1528" i="1"/>
  <c r="F1528" i="1" a="1"/>
  <c r="F1528" i="1" s="1"/>
  <c r="D1528" i="1"/>
  <c r="D1528" i="1" a="1"/>
  <c r="B1528" i="1"/>
  <c r="R1527" i="1"/>
  <c r="Q1527" i="1"/>
  <c r="P1527" i="1"/>
  <c r="O1527" i="1"/>
  <c r="N1527" i="1"/>
  <c r="L1527" i="1"/>
  <c r="F1527" i="1"/>
  <c r="F1527" i="1" a="1"/>
  <c r="D1527" i="1" a="1"/>
  <c r="D1527" i="1" s="1"/>
  <c r="B1527" i="1"/>
  <c r="R1526" i="1"/>
  <c r="Q1526" i="1"/>
  <c r="P1526" i="1"/>
  <c r="O1526" i="1"/>
  <c r="N1526" i="1"/>
  <c r="L1526" i="1"/>
  <c r="F1526" i="1" a="1"/>
  <c r="F1526" i="1" s="1"/>
  <c r="D1526" i="1" a="1"/>
  <c r="D1526" i="1" s="1"/>
  <c r="B1526" i="1"/>
  <c r="R1525" i="1"/>
  <c r="Q1525" i="1"/>
  <c r="P1525" i="1"/>
  <c r="O1525" i="1"/>
  <c r="N1525" i="1"/>
  <c r="L1525" i="1"/>
  <c r="F1525" i="1"/>
  <c r="F1525" i="1" a="1"/>
  <c r="D1525" i="1" a="1"/>
  <c r="D1525" i="1" s="1"/>
  <c r="B1525" i="1"/>
  <c r="R1524" i="1"/>
  <c r="Q1524" i="1"/>
  <c r="P1524" i="1"/>
  <c r="O1524" i="1"/>
  <c r="N1524" i="1"/>
  <c r="L1524" i="1"/>
  <c r="F1524" i="1" a="1"/>
  <c r="F1524" i="1" s="1"/>
  <c r="D1524" i="1"/>
  <c r="D1524" i="1" a="1"/>
  <c r="B1524" i="1"/>
  <c r="R1523" i="1"/>
  <c r="Q1523" i="1"/>
  <c r="P1523" i="1"/>
  <c r="O1523" i="1"/>
  <c r="N1523" i="1"/>
  <c r="L1523" i="1"/>
  <c r="F1523" i="1"/>
  <c r="F1523" i="1" a="1"/>
  <c r="D1523" i="1" a="1"/>
  <c r="D1523" i="1" s="1"/>
  <c r="B1523" i="1"/>
  <c r="R1522" i="1"/>
  <c r="Q1522" i="1"/>
  <c r="P1522" i="1"/>
  <c r="O1522" i="1"/>
  <c r="N1522" i="1"/>
  <c r="L1522" i="1"/>
  <c r="F1522" i="1" a="1"/>
  <c r="F1522" i="1" s="1"/>
  <c r="D1522" i="1" a="1"/>
  <c r="D1522" i="1" s="1"/>
  <c r="B1522" i="1"/>
  <c r="R1521" i="1"/>
  <c r="Q1521" i="1"/>
  <c r="P1521" i="1"/>
  <c r="O1521" i="1"/>
  <c r="N1521" i="1"/>
  <c r="L1521" i="1"/>
  <c r="F1521" i="1"/>
  <c r="F1521" i="1" a="1"/>
  <c r="D1521" i="1" a="1"/>
  <c r="D1521" i="1" s="1"/>
  <c r="B1521" i="1"/>
  <c r="R1520" i="1"/>
  <c r="Q1520" i="1"/>
  <c r="P1520" i="1"/>
  <c r="O1520" i="1"/>
  <c r="N1520" i="1"/>
  <c r="L1520" i="1"/>
  <c r="F1520" i="1" a="1"/>
  <c r="F1520" i="1" s="1"/>
  <c r="D1520" i="1"/>
  <c r="D1520" i="1" a="1"/>
  <c r="B1520" i="1"/>
  <c r="R1519" i="1"/>
  <c r="Q1519" i="1"/>
  <c r="P1519" i="1"/>
  <c r="O1519" i="1"/>
  <c r="N1519" i="1"/>
  <c r="L1519" i="1"/>
  <c r="F1519" i="1"/>
  <c r="F1519" i="1" a="1"/>
  <c r="D1519" i="1"/>
  <c r="D1519" i="1" a="1"/>
  <c r="B1519" i="1"/>
  <c r="R1518" i="1"/>
  <c r="Q1518" i="1"/>
  <c r="P1518" i="1"/>
  <c r="O1518" i="1"/>
  <c r="N1518" i="1"/>
  <c r="L1518" i="1"/>
  <c r="F1518" i="1" a="1"/>
  <c r="F1518" i="1" s="1"/>
  <c r="D1518" i="1" a="1"/>
  <c r="D1518" i="1" s="1"/>
  <c r="B1518" i="1"/>
  <c r="R1517" i="1"/>
  <c r="Q1517" i="1"/>
  <c r="P1517" i="1"/>
  <c r="O1517" i="1"/>
  <c r="N1517" i="1"/>
  <c r="L1517" i="1"/>
  <c r="F1517" i="1"/>
  <c r="F1517" i="1" a="1"/>
  <c r="D1517" i="1" a="1"/>
  <c r="D1517" i="1" s="1"/>
  <c r="B1517" i="1"/>
  <c r="R1516" i="1"/>
  <c r="Q1516" i="1"/>
  <c r="P1516" i="1"/>
  <c r="O1516" i="1"/>
  <c r="N1516" i="1"/>
  <c r="L1516" i="1"/>
  <c r="F1516" i="1"/>
  <c r="F1516" i="1" a="1"/>
  <c r="D1516" i="1"/>
  <c r="D1516" i="1" a="1"/>
  <c r="B1516" i="1"/>
  <c r="R1515" i="1"/>
  <c r="Q1515" i="1"/>
  <c r="P1515" i="1"/>
  <c r="O1515" i="1"/>
  <c r="N1515" i="1"/>
  <c r="L1515" i="1"/>
  <c r="F1515" i="1"/>
  <c r="F1515" i="1" a="1"/>
  <c r="D1515" i="1"/>
  <c r="D1515" i="1" a="1"/>
  <c r="B1515" i="1"/>
  <c r="R1514" i="1"/>
  <c r="Q1514" i="1"/>
  <c r="P1514" i="1"/>
  <c r="O1514" i="1"/>
  <c r="N1514" i="1"/>
  <c r="L1514" i="1"/>
  <c r="F1514" i="1" a="1"/>
  <c r="F1514" i="1" s="1"/>
  <c r="D1514" i="1" a="1"/>
  <c r="D1514" i="1" s="1"/>
  <c r="B1514" i="1"/>
  <c r="R1513" i="1"/>
  <c r="Q1513" i="1"/>
  <c r="P1513" i="1"/>
  <c r="O1513" i="1"/>
  <c r="N1513" i="1"/>
  <c r="L1513" i="1"/>
  <c r="F1513" i="1"/>
  <c r="F1513" i="1" a="1"/>
  <c r="D1513" i="1" a="1"/>
  <c r="D1513" i="1" s="1"/>
  <c r="B1513" i="1"/>
  <c r="R1512" i="1"/>
  <c r="Q1512" i="1"/>
  <c r="P1512" i="1"/>
  <c r="O1512" i="1"/>
  <c r="N1512" i="1"/>
  <c r="L1512" i="1"/>
  <c r="F1512" i="1"/>
  <c r="F1512" i="1" a="1"/>
  <c r="D1512" i="1"/>
  <c r="D1512" i="1" a="1"/>
  <c r="B1512" i="1"/>
  <c r="R1511" i="1"/>
  <c r="Q1511" i="1"/>
  <c r="P1511" i="1"/>
  <c r="O1511" i="1"/>
  <c r="N1511" i="1"/>
  <c r="L1511" i="1"/>
  <c r="F1511" i="1"/>
  <c r="F1511" i="1" a="1"/>
  <c r="D1511" i="1"/>
  <c r="D1511" i="1" a="1"/>
  <c r="B1511" i="1"/>
  <c r="R1510" i="1"/>
  <c r="Q1510" i="1"/>
  <c r="P1510" i="1"/>
  <c r="O1510" i="1"/>
  <c r="N1510" i="1"/>
  <c r="L1510" i="1"/>
  <c r="F1510" i="1" a="1"/>
  <c r="F1510" i="1" s="1"/>
  <c r="D1510" i="1" a="1"/>
  <c r="D1510" i="1" s="1"/>
  <c r="B1510" i="1"/>
  <c r="R1509" i="1"/>
  <c r="Q1509" i="1"/>
  <c r="P1509" i="1"/>
  <c r="O1509" i="1"/>
  <c r="N1509" i="1"/>
  <c r="L1509" i="1"/>
  <c r="F1509" i="1"/>
  <c r="F1509" i="1" a="1"/>
  <c r="D1509" i="1"/>
  <c r="D1509" i="1" a="1"/>
  <c r="B1509" i="1"/>
  <c r="R1508" i="1"/>
  <c r="Q1508" i="1"/>
  <c r="P1508" i="1"/>
  <c r="O1508" i="1"/>
  <c r="N1508" i="1"/>
  <c r="L1508" i="1"/>
  <c r="F1508" i="1" a="1"/>
  <c r="F1508" i="1" s="1"/>
  <c r="D1508" i="1" a="1"/>
  <c r="D1508" i="1" s="1"/>
  <c r="B1508" i="1"/>
  <c r="R1507" i="1"/>
  <c r="Q1507" i="1"/>
  <c r="P1507" i="1"/>
  <c r="O1507" i="1"/>
  <c r="N1507" i="1"/>
  <c r="L1507" i="1"/>
  <c r="F1507" i="1" a="1"/>
  <c r="F1507" i="1" s="1"/>
  <c r="D1507" i="1" a="1"/>
  <c r="D1507" i="1" s="1"/>
  <c r="B1507" i="1"/>
  <c r="R1506" i="1"/>
  <c r="Q1506" i="1"/>
  <c r="P1506" i="1"/>
  <c r="O1506" i="1"/>
  <c r="N1506" i="1"/>
  <c r="L1506" i="1"/>
  <c r="F1506" i="1" a="1"/>
  <c r="F1506" i="1" s="1"/>
  <c r="D1506" i="1"/>
  <c r="D1506" i="1" a="1"/>
  <c r="B1506" i="1"/>
  <c r="R1505" i="1"/>
  <c r="Q1505" i="1"/>
  <c r="P1505" i="1"/>
  <c r="O1505" i="1"/>
  <c r="N1505" i="1"/>
  <c r="L1505" i="1"/>
  <c r="F1505" i="1"/>
  <c r="F1505" i="1" a="1"/>
  <c r="D1505" i="1" a="1"/>
  <c r="D1505" i="1" s="1"/>
  <c r="B1505" i="1"/>
  <c r="R1504" i="1"/>
  <c r="Q1504" i="1"/>
  <c r="P1504" i="1"/>
  <c r="O1504" i="1"/>
  <c r="N1504" i="1"/>
  <c r="L1504" i="1"/>
  <c r="F1504" i="1"/>
  <c r="F1504" i="1" a="1"/>
  <c r="D1504" i="1"/>
  <c r="D1504" i="1" a="1"/>
  <c r="B1504" i="1"/>
  <c r="R1503" i="1"/>
  <c r="Q1503" i="1"/>
  <c r="P1503" i="1"/>
  <c r="O1503" i="1"/>
  <c r="N1503" i="1"/>
  <c r="L1503" i="1"/>
  <c r="F1503" i="1"/>
  <c r="F1503" i="1" a="1"/>
  <c r="D1503" i="1"/>
  <c r="D1503" i="1" a="1"/>
  <c r="B1503" i="1"/>
  <c r="R1502" i="1"/>
  <c r="Q1502" i="1"/>
  <c r="P1502" i="1"/>
  <c r="O1502" i="1"/>
  <c r="N1502" i="1"/>
  <c r="L1502" i="1"/>
  <c r="F1502" i="1" a="1"/>
  <c r="F1502" i="1" s="1"/>
  <c r="D1502" i="1"/>
  <c r="D1502" i="1" a="1"/>
  <c r="B1502" i="1"/>
  <c r="R1501" i="1"/>
  <c r="Q1501" i="1"/>
  <c r="P1501" i="1"/>
  <c r="O1501" i="1"/>
  <c r="N1501" i="1"/>
  <c r="L1501" i="1"/>
  <c r="F1501" i="1"/>
  <c r="F1501" i="1" a="1"/>
  <c r="D1501" i="1"/>
  <c r="D1501" i="1" a="1"/>
  <c r="B1501" i="1"/>
  <c r="R1500" i="1"/>
  <c r="Q1500" i="1"/>
  <c r="P1500" i="1"/>
  <c r="O1500" i="1"/>
  <c r="N1500" i="1"/>
  <c r="L1500" i="1"/>
  <c r="F1500" i="1" a="1"/>
  <c r="F1500" i="1" s="1"/>
  <c r="D1500" i="1" a="1"/>
  <c r="D1500" i="1" s="1"/>
  <c r="B1500" i="1"/>
  <c r="R1499" i="1"/>
  <c r="Q1499" i="1"/>
  <c r="P1499" i="1"/>
  <c r="O1499" i="1"/>
  <c r="N1499" i="1"/>
  <c r="L1499" i="1"/>
  <c r="F1499" i="1" a="1"/>
  <c r="F1499" i="1" s="1"/>
  <c r="D1499" i="1" a="1"/>
  <c r="D1499" i="1" s="1"/>
  <c r="B1499" i="1"/>
  <c r="R1498" i="1"/>
  <c r="Q1498" i="1"/>
  <c r="P1498" i="1"/>
  <c r="O1498" i="1"/>
  <c r="N1498" i="1"/>
  <c r="L1498" i="1"/>
  <c r="F1498" i="1" a="1"/>
  <c r="F1498" i="1" s="1"/>
  <c r="D1498" i="1"/>
  <c r="D1498" i="1" a="1"/>
  <c r="B1498" i="1"/>
  <c r="R1497" i="1"/>
  <c r="Q1497" i="1"/>
  <c r="P1497" i="1"/>
  <c r="O1497" i="1"/>
  <c r="N1497" i="1"/>
  <c r="L1497" i="1"/>
  <c r="F1497" i="1"/>
  <c r="F1497" i="1" a="1"/>
  <c r="D1497" i="1" a="1"/>
  <c r="D1497" i="1" s="1"/>
  <c r="B1497" i="1"/>
  <c r="R1496" i="1"/>
  <c r="Q1496" i="1"/>
  <c r="P1496" i="1"/>
  <c r="O1496" i="1"/>
  <c r="N1496" i="1"/>
  <c r="L1496" i="1"/>
  <c r="F1496" i="1"/>
  <c r="F1496" i="1" a="1"/>
  <c r="D1496" i="1"/>
  <c r="D1496" i="1" a="1"/>
  <c r="B1496" i="1"/>
  <c r="R1495" i="1"/>
  <c r="Q1495" i="1"/>
  <c r="P1495" i="1"/>
  <c r="O1495" i="1"/>
  <c r="N1495" i="1"/>
  <c r="L1495" i="1"/>
  <c r="F1495" i="1"/>
  <c r="F1495" i="1" a="1"/>
  <c r="D1495" i="1"/>
  <c r="D1495" i="1" a="1"/>
  <c r="B1495" i="1"/>
  <c r="R1494" i="1"/>
  <c r="Q1494" i="1"/>
  <c r="P1494" i="1"/>
  <c r="O1494" i="1"/>
  <c r="N1494" i="1"/>
  <c r="L1494" i="1"/>
  <c r="F1494" i="1" a="1"/>
  <c r="F1494" i="1" s="1"/>
  <c r="D1494" i="1"/>
  <c r="D1494" i="1" a="1"/>
  <c r="B1494" i="1"/>
  <c r="R1493" i="1"/>
  <c r="Q1493" i="1"/>
  <c r="P1493" i="1"/>
  <c r="O1493" i="1"/>
  <c r="N1493" i="1"/>
  <c r="L1493" i="1"/>
  <c r="F1493" i="1"/>
  <c r="F1493" i="1" a="1"/>
  <c r="D1493" i="1" a="1"/>
  <c r="D1493" i="1" s="1"/>
  <c r="B1493" i="1"/>
  <c r="R1492" i="1"/>
  <c r="Q1492" i="1"/>
  <c r="P1492" i="1"/>
  <c r="O1492" i="1"/>
  <c r="N1492" i="1"/>
  <c r="L1492" i="1"/>
  <c r="F1492" i="1" a="1"/>
  <c r="F1492" i="1" s="1"/>
  <c r="D1492" i="1" a="1"/>
  <c r="D1492" i="1" s="1"/>
  <c r="B1492" i="1"/>
  <c r="R1491" i="1"/>
  <c r="Q1491" i="1"/>
  <c r="P1491" i="1"/>
  <c r="O1491" i="1"/>
  <c r="N1491" i="1"/>
  <c r="L1491" i="1"/>
  <c r="F1491" i="1"/>
  <c r="F1491" i="1" a="1"/>
  <c r="D1491" i="1" a="1"/>
  <c r="D1491" i="1" s="1"/>
  <c r="B1491" i="1"/>
  <c r="R1490" i="1"/>
  <c r="Q1490" i="1"/>
  <c r="P1490" i="1"/>
  <c r="O1490" i="1"/>
  <c r="N1490" i="1"/>
  <c r="L1490" i="1"/>
  <c r="F1490" i="1" a="1"/>
  <c r="F1490" i="1" s="1"/>
  <c r="D1490" i="1" a="1"/>
  <c r="D1490" i="1" s="1"/>
  <c r="B1490" i="1"/>
  <c r="R1489" i="1"/>
  <c r="Q1489" i="1"/>
  <c r="P1489" i="1"/>
  <c r="O1489" i="1"/>
  <c r="N1489" i="1"/>
  <c r="L1489" i="1"/>
  <c r="F1489" i="1"/>
  <c r="F1489" i="1" a="1"/>
  <c r="D1489" i="1"/>
  <c r="D1489" i="1" a="1"/>
  <c r="B1489" i="1"/>
  <c r="R1488" i="1"/>
  <c r="Q1488" i="1"/>
  <c r="P1488" i="1"/>
  <c r="O1488" i="1"/>
  <c r="N1488" i="1"/>
  <c r="L1488" i="1"/>
  <c r="F1488" i="1"/>
  <c r="F1488" i="1" a="1"/>
  <c r="D1488" i="1"/>
  <c r="D1488" i="1" a="1"/>
  <c r="B1488" i="1"/>
  <c r="R1487" i="1"/>
  <c r="Q1487" i="1"/>
  <c r="P1487" i="1"/>
  <c r="O1487" i="1"/>
  <c r="N1487" i="1"/>
  <c r="L1487" i="1"/>
  <c r="F1487" i="1"/>
  <c r="F1487" i="1" a="1"/>
  <c r="D1487" i="1"/>
  <c r="D1487" i="1" a="1"/>
  <c r="B1487" i="1"/>
  <c r="R1486" i="1"/>
  <c r="Q1486" i="1"/>
  <c r="P1486" i="1"/>
  <c r="O1486" i="1"/>
  <c r="N1486" i="1"/>
  <c r="L1486" i="1"/>
  <c r="F1486" i="1" a="1"/>
  <c r="F1486" i="1" s="1"/>
  <c r="D1486" i="1" a="1"/>
  <c r="D1486" i="1" s="1"/>
  <c r="B1486" i="1"/>
  <c r="R1485" i="1"/>
  <c r="Q1485" i="1"/>
  <c r="P1485" i="1"/>
  <c r="O1485" i="1"/>
  <c r="N1485" i="1"/>
  <c r="L1485" i="1"/>
  <c r="F1485" i="1"/>
  <c r="F1485" i="1" a="1"/>
  <c r="D1485" i="1"/>
  <c r="D1485" i="1" a="1"/>
  <c r="B1485" i="1"/>
  <c r="R1484" i="1"/>
  <c r="Q1484" i="1"/>
  <c r="P1484" i="1"/>
  <c r="O1484" i="1"/>
  <c r="N1484" i="1"/>
  <c r="L1484" i="1"/>
  <c r="F1484" i="1"/>
  <c r="F1484" i="1" a="1"/>
  <c r="D1484" i="1"/>
  <c r="D1484" i="1" a="1"/>
  <c r="B1484" i="1"/>
  <c r="R1483" i="1"/>
  <c r="Q1483" i="1"/>
  <c r="P1483" i="1"/>
  <c r="O1483" i="1"/>
  <c r="N1483" i="1"/>
  <c r="L1483" i="1"/>
  <c r="F1483" i="1"/>
  <c r="F1483" i="1" a="1"/>
  <c r="D1483" i="1"/>
  <c r="D1483" i="1" a="1"/>
  <c r="B1483" i="1"/>
  <c r="R1482" i="1"/>
  <c r="Q1482" i="1"/>
  <c r="P1482" i="1"/>
  <c r="O1482" i="1"/>
  <c r="N1482" i="1"/>
  <c r="L1482" i="1"/>
  <c r="F1482" i="1" a="1"/>
  <c r="F1482" i="1" s="1"/>
  <c r="D1482" i="1" a="1"/>
  <c r="D1482" i="1" s="1"/>
  <c r="B1482" i="1"/>
  <c r="R1481" i="1"/>
  <c r="Q1481" i="1"/>
  <c r="P1481" i="1"/>
  <c r="O1481" i="1"/>
  <c r="N1481" i="1"/>
  <c r="L1481" i="1"/>
  <c r="F1481" i="1"/>
  <c r="F1481" i="1" a="1"/>
  <c r="D1481" i="1"/>
  <c r="D1481" i="1" a="1"/>
  <c r="B1481" i="1"/>
  <c r="R1480" i="1"/>
  <c r="Q1480" i="1"/>
  <c r="P1480" i="1"/>
  <c r="O1480" i="1"/>
  <c r="N1480" i="1"/>
  <c r="L1480" i="1"/>
  <c r="F1480" i="1"/>
  <c r="F1480" i="1" a="1"/>
  <c r="D1480" i="1"/>
  <c r="D1480" i="1" a="1"/>
  <c r="B1480" i="1"/>
  <c r="R1479" i="1"/>
  <c r="Q1479" i="1"/>
  <c r="P1479" i="1"/>
  <c r="O1479" i="1"/>
  <c r="N1479" i="1"/>
  <c r="L1479" i="1"/>
  <c r="F1479" i="1"/>
  <c r="F1479" i="1" a="1"/>
  <c r="D1479" i="1"/>
  <c r="D1479" i="1" a="1"/>
  <c r="B1479" i="1"/>
  <c r="R1478" i="1"/>
  <c r="Q1478" i="1"/>
  <c r="P1478" i="1"/>
  <c r="O1478" i="1"/>
  <c r="N1478" i="1"/>
  <c r="L1478" i="1"/>
  <c r="F1478" i="1" a="1"/>
  <c r="F1478" i="1" s="1"/>
  <c r="D1478" i="1" a="1"/>
  <c r="D1478" i="1" s="1"/>
  <c r="B1478" i="1"/>
  <c r="R1477" i="1"/>
  <c r="Q1477" i="1"/>
  <c r="P1477" i="1"/>
  <c r="O1477" i="1"/>
  <c r="N1477" i="1"/>
  <c r="L1477" i="1"/>
  <c r="F1477" i="1"/>
  <c r="F1477" i="1" a="1"/>
  <c r="D1477" i="1"/>
  <c r="D1477" i="1" a="1"/>
  <c r="B1477" i="1"/>
  <c r="R1476" i="1"/>
  <c r="Q1476" i="1"/>
  <c r="P1476" i="1"/>
  <c r="O1476" i="1"/>
  <c r="N1476" i="1"/>
  <c r="L1476" i="1"/>
  <c r="F1476" i="1"/>
  <c r="F1476" i="1" a="1"/>
  <c r="D1476" i="1"/>
  <c r="D1476" i="1" a="1"/>
  <c r="B1476" i="1"/>
  <c r="R1475" i="1"/>
  <c r="Q1475" i="1"/>
  <c r="P1475" i="1"/>
  <c r="O1475" i="1"/>
  <c r="N1475" i="1"/>
  <c r="L1475" i="1"/>
  <c r="F1475" i="1"/>
  <c r="F1475" i="1" a="1"/>
  <c r="D1475" i="1"/>
  <c r="D1475" i="1" a="1"/>
  <c r="B1475" i="1"/>
  <c r="R1474" i="1"/>
  <c r="Q1474" i="1"/>
  <c r="P1474" i="1"/>
  <c r="O1474" i="1"/>
  <c r="N1474" i="1"/>
  <c r="L1474" i="1"/>
  <c r="F1474" i="1" a="1"/>
  <c r="F1474" i="1" s="1"/>
  <c r="D1474" i="1" a="1"/>
  <c r="D1474" i="1" s="1"/>
  <c r="B1474" i="1"/>
  <c r="R1473" i="1"/>
  <c r="Q1473" i="1"/>
  <c r="P1473" i="1"/>
  <c r="O1473" i="1"/>
  <c r="N1473" i="1"/>
  <c r="L1473" i="1"/>
  <c r="F1473" i="1"/>
  <c r="F1473" i="1" a="1"/>
  <c r="D1473" i="1"/>
  <c r="D1473" i="1" a="1"/>
  <c r="B1473" i="1"/>
  <c r="R1472" i="1"/>
  <c r="Q1472" i="1"/>
  <c r="P1472" i="1"/>
  <c r="O1472" i="1"/>
  <c r="N1472" i="1"/>
  <c r="L1472" i="1"/>
  <c r="F1472" i="1"/>
  <c r="F1472" i="1" a="1"/>
  <c r="D1472" i="1"/>
  <c r="D1472" i="1" a="1"/>
  <c r="B1472" i="1"/>
  <c r="R1471" i="1"/>
  <c r="Q1471" i="1"/>
  <c r="P1471" i="1"/>
  <c r="O1471" i="1"/>
  <c r="N1471" i="1"/>
  <c r="L1471" i="1"/>
  <c r="F1471" i="1"/>
  <c r="F1471" i="1" a="1"/>
  <c r="D1471" i="1" a="1"/>
  <c r="D1471" i="1" s="1"/>
  <c r="B1471" i="1"/>
  <c r="R1470" i="1"/>
  <c r="Q1470" i="1"/>
  <c r="P1470" i="1"/>
  <c r="O1470" i="1"/>
  <c r="N1470" i="1"/>
  <c r="L1470" i="1"/>
  <c r="F1470" i="1" a="1"/>
  <c r="F1470" i="1" s="1"/>
  <c r="D1470" i="1" a="1"/>
  <c r="D1470" i="1" s="1"/>
  <c r="B1470" i="1"/>
  <c r="R1469" i="1"/>
  <c r="Q1469" i="1"/>
  <c r="P1469" i="1"/>
  <c r="O1469" i="1"/>
  <c r="N1469" i="1"/>
  <c r="L1469" i="1"/>
  <c r="F1469" i="1"/>
  <c r="F1469" i="1" a="1"/>
  <c r="D1469" i="1"/>
  <c r="D1469" i="1" a="1"/>
  <c r="B1469" i="1"/>
  <c r="R1468" i="1"/>
  <c r="Q1468" i="1"/>
  <c r="P1468" i="1"/>
  <c r="O1468" i="1"/>
  <c r="N1468" i="1"/>
  <c r="L1468" i="1"/>
  <c r="F1468" i="1"/>
  <c r="F1468" i="1" a="1"/>
  <c r="D1468" i="1" a="1"/>
  <c r="D1468" i="1" s="1"/>
  <c r="B1468" i="1"/>
  <c r="R1467" i="1"/>
  <c r="Q1467" i="1"/>
  <c r="P1467" i="1"/>
  <c r="O1467" i="1"/>
  <c r="N1467" i="1"/>
  <c r="L1467" i="1"/>
  <c r="F1467" i="1"/>
  <c r="F1467" i="1" a="1"/>
  <c r="D1467" i="1" a="1"/>
  <c r="D1467" i="1" s="1"/>
  <c r="B1467" i="1"/>
  <c r="R1466" i="1"/>
  <c r="Q1466" i="1"/>
  <c r="P1466" i="1"/>
  <c r="O1466" i="1"/>
  <c r="N1466" i="1"/>
  <c r="L1466" i="1"/>
  <c r="F1466" i="1" a="1"/>
  <c r="F1466" i="1" s="1"/>
  <c r="D1466" i="1" a="1"/>
  <c r="D1466" i="1" s="1"/>
  <c r="B1466" i="1"/>
  <c r="R1465" i="1"/>
  <c r="Q1465" i="1"/>
  <c r="P1465" i="1"/>
  <c r="O1465" i="1"/>
  <c r="N1465" i="1"/>
  <c r="L1465" i="1"/>
  <c r="F1465" i="1"/>
  <c r="F1465" i="1" a="1"/>
  <c r="D1465" i="1"/>
  <c r="D1465" i="1" a="1"/>
  <c r="B1465" i="1"/>
  <c r="R1464" i="1"/>
  <c r="Q1464" i="1"/>
  <c r="P1464" i="1"/>
  <c r="O1464" i="1"/>
  <c r="N1464" i="1"/>
  <c r="L1464" i="1"/>
  <c r="F1464" i="1"/>
  <c r="F1464" i="1" a="1"/>
  <c r="D1464" i="1" a="1"/>
  <c r="D1464" i="1" s="1"/>
  <c r="B1464" i="1"/>
  <c r="R1463" i="1"/>
  <c r="Q1463" i="1"/>
  <c r="P1463" i="1"/>
  <c r="O1463" i="1"/>
  <c r="N1463" i="1"/>
  <c r="L1463" i="1"/>
  <c r="F1463" i="1" a="1"/>
  <c r="F1463" i="1" s="1"/>
  <c r="D1463" i="1" a="1"/>
  <c r="D1463" i="1" s="1"/>
  <c r="B1463" i="1"/>
  <c r="R1462" i="1"/>
  <c r="Q1462" i="1"/>
  <c r="P1462" i="1"/>
  <c r="O1462" i="1"/>
  <c r="N1462" i="1"/>
  <c r="L1462" i="1"/>
  <c r="F1462" i="1" a="1"/>
  <c r="F1462" i="1" s="1"/>
  <c r="D1462" i="1" a="1"/>
  <c r="D1462" i="1" s="1"/>
  <c r="B1462" i="1"/>
  <c r="R1461" i="1"/>
  <c r="Q1461" i="1"/>
  <c r="P1461" i="1"/>
  <c r="O1461" i="1"/>
  <c r="N1461" i="1"/>
  <c r="L1461" i="1"/>
  <c r="F1461" i="1"/>
  <c r="F1461" i="1" a="1"/>
  <c r="D1461" i="1"/>
  <c r="D1461" i="1" a="1"/>
  <c r="B1461" i="1"/>
  <c r="R1460" i="1"/>
  <c r="Q1460" i="1"/>
  <c r="P1460" i="1"/>
  <c r="O1460" i="1"/>
  <c r="N1460" i="1"/>
  <c r="L1460" i="1"/>
  <c r="F1460" i="1"/>
  <c r="F1460" i="1" a="1"/>
  <c r="D1460" i="1" a="1"/>
  <c r="D1460" i="1" s="1"/>
  <c r="B1460" i="1"/>
  <c r="R1459" i="1"/>
  <c r="Q1459" i="1"/>
  <c r="P1459" i="1"/>
  <c r="O1459" i="1"/>
  <c r="N1459" i="1"/>
  <c r="L1459" i="1"/>
  <c r="F1459" i="1" a="1"/>
  <c r="F1459" i="1" s="1"/>
  <c r="D1459" i="1" a="1"/>
  <c r="D1459" i="1" s="1"/>
  <c r="B1459" i="1"/>
  <c r="R1458" i="1"/>
  <c r="Q1458" i="1"/>
  <c r="P1458" i="1"/>
  <c r="O1458" i="1"/>
  <c r="N1458" i="1"/>
  <c r="L1458" i="1"/>
  <c r="F1458" i="1" a="1"/>
  <c r="F1458" i="1" s="1"/>
  <c r="D1458" i="1" a="1"/>
  <c r="D1458" i="1" s="1"/>
  <c r="B1458" i="1"/>
  <c r="R1457" i="1"/>
  <c r="Q1457" i="1"/>
  <c r="P1457" i="1"/>
  <c r="O1457" i="1"/>
  <c r="N1457" i="1"/>
  <c r="L1457" i="1"/>
  <c r="F1457" i="1"/>
  <c r="F1457" i="1" a="1"/>
  <c r="D1457" i="1"/>
  <c r="D1457" i="1" a="1"/>
  <c r="B1457" i="1"/>
  <c r="R1456" i="1"/>
  <c r="Q1456" i="1"/>
  <c r="P1456" i="1"/>
  <c r="O1456" i="1"/>
  <c r="N1456" i="1"/>
  <c r="L1456" i="1"/>
  <c r="F1456" i="1"/>
  <c r="F1456" i="1" a="1"/>
  <c r="D1456" i="1" a="1"/>
  <c r="D1456" i="1" s="1"/>
  <c r="B1456" i="1"/>
  <c r="R1455" i="1"/>
  <c r="Q1455" i="1"/>
  <c r="P1455" i="1"/>
  <c r="O1455" i="1"/>
  <c r="N1455" i="1"/>
  <c r="L1455" i="1"/>
  <c r="F1455" i="1" a="1"/>
  <c r="F1455" i="1" s="1"/>
  <c r="D1455" i="1" a="1"/>
  <c r="D1455" i="1" s="1"/>
  <c r="B1455" i="1"/>
  <c r="R1454" i="1"/>
  <c r="Q1454" i="1"/>
  <c r="P1454" i="1"/>
  <c r="O1454" i="1"/>
  <c r="N1454" i="1"/>
  <c r="L1454" i="1"/>
  <c r="F1454" i="1" a="1"/>
  <c r="F1454" i="1" s="1"/>
  <c r="D1454" i="1" a="1"/>
  <c r="D1454" i="1" s="1"/>
  <c r="B1454" i="1"/>
  <c r="R1453" i="1"/>
  <c r="Q1453" i="1"/>
  <c r="P1453" i="1"/>
  <c r="O1453" i="1"/>
  <c r="N1453" i="1"/>
  <c r="L1453" i="1"/>
  <c r="F1453" i="1"/>
  <c r="F1453" i="1" a="1"/>
  <c r="D1453" i="1"/>
  <c r="D1453" i="1" a="1"/>
  <c r="B1453" i="1"/>
  <c r="R1452" i="1"/>
  <c r="Q1452" i="1"/>
  <c r="P1452" i="1"/>
  <c r="O1452" i="1"/>
  <c r="N1452" i="1"/>
  <c r="L1452" i="1"/>
  <c r="F1452" i="1"/>
  <c r="F1452" i="1" a="1"/>
  <c r="D1452" i="1" a="1"/>
  <c r="D1452" i="1" s="1"/>
  <c r="B1452" i="1"/>
  <c r="R1451" i="1"/>
  <c r="Q1451" i="1"/>
  <c r="P1451" i="1"/>
  <c r="O1451" i="1"/>
  <c r="N1451" i="1"/>
  <c r="L1451" i="1"/>
  <c r="F1451" i="1" a="1"/>
  <c r="F1451" i="1" s="1"/>
  <c r="D1451" i="1" a="1"/>
  <c r="D1451" i="1" s="1"/>
  <c r="B1451" i="1"/>
  <c r="R1450" i="1"/>
  <c r="Q1450" i="1"/>
  <c r="P1450" i="1"/>
  <c r="O1450" i="1"/>
  <c r="N1450" i="1"/>
  <c r="L1450" i="1"/>
  <c r="F1450" i="1" a="1"/>
  <c r="F1450" i="1" s="1"/>
  <c r="D1450" i="1" a="1"/>
  <c r="D1450" i="1" s="1"/>
  <c r="B1450" i="1"/>
  <c r="R1449" i="1"/>
  <c r="Q1449" i="1"/>
  <c r="P1449" i="1"/>
  <c r="O1449" i="1"/>
  <c r="N1449" i="1"/>
  <c r="L1449" i="1"/>
  <c r="F1449" i="1"/>
  <c r="F1449" i="1" a="1"/>
  <c r="D1449" i="1"/>
  <c r="D1449" i="1" a="1"/>
  <c r="B1449" i="1"/>
  <c r="R1448" i="1"/>
  <c r="Q1448" i="1"/>
  <c r="P1448" i="1"/>
  <c r="O1448" i="1"/>
  <c r="N1448" i="1"/>
  <c r="L1448" i="1"/>
  <c r="F1448" i="1"/>
  <c r="F1448" i="1" a="1"/>
  <c r="D1448" i="1" a="1"/>
  <c r="D1448" i="1" s="1"/>
  <c r="B1448" i="1"/>
  <c r="R1447" i="1"/>
  <c r="Q1447" i="1"/>
  <c r="P1447" i="1"/>
  <c r="O1447" i="1"/>
  <c r="N1447" i="1"/>
  <c r="L1447" i="1"/>
  <c r="F1447" i="1" a="1"/>
  <c r="F1447" i="1" s="1"/>
  <c r="D1447" i="1" a="1"/>
  <c r="D1447" i="1" s="1"/>
  <c r="B1447" i="1"/>
  <c r="R1446" i="1"/>
  <c r="Q1446" i="1"/>
  <c r="P1446" i="1"/>
  <c r="O1446" i="1"/>
  <c r="N1446" i="1"/>
  <c r="L1446" i="1"/>
  <c r="F1446" i="1" a="1"/>
  <c r="F1446" i="1" s="1"/>
  <c r="D1446" i="1" a="1"/>
  <c r="D1446" i="1" s="1"/>
  <c r="B1446" i="1"/>
  <c r="R1445" i="1"/>
  <c r="Q1445" i="1"/>
  <c r="P1445" i="1"/>
  <c r="O1445" i="1"/>
  <c r="N1445" i="1"/>
  <c r="L1445" i="1"/>
  <c r="F1445" i="1"/>
  <c r="F1445" i="1" a="1"/>
  <c r="D1445" i="1"/>
  <c r="D1445" i="1" a="1"/>
  <c r="B1445" i="1"/>
  <c r="R1444" i="1"/>
  <c r="Q1444" i="1"/>
  <c r="P1444" i="1"/>
  <c r="O1444" i="1"/>
  <c r="N1444" i="1"/>
  <c r="L1444" i="1"/>
  <c r="F1444" i="1"/>
  <c r="F1444" i="1" a="1"/>
  <c r="D1444" i="1" a="1"/>
  <c r="D1444" i="1" s="1"/>
  <c r="B1444" i="1"/>
  <c r="R1443" i="1"/>
  <c r="Q1443" i="1"/>
  <c r="P1443" i="1"/>
  <c r="O1443" i="1"/>
  <c r="N1443" i="1"/>
  <c r="L1443" i="1"/>
  <c r="F1443" i="1" a="1"/>
  <c r="F1443" i="1" s="1"/>
  <c r="D1443" i="1" a="1"/>
  <c r="D1443" i="1" s="1"/>
  <c r="B1443" i="1"/>
  <c r="R1442" i="1"/>
  <c r="Q1442" i="1"/>
  <c r="P1442" i="1"/>
  <c r="O1442" i="1"/>
  <c r="N1442" i="1"/>
  <c r="L1442" i="1"/>
  <c r="F1442" i="1" a="1"/>
  <c r="F1442" i="1" s="1"/>
  <c r="D1442" i="1" a="1"/>
  <c r="D1442" i="1" s="1"/>
  <c r="B1442" i="1"/>
  <c r="R1441" i="1"/>
  <c r="Q1441" i="1"/>
  <c r="P1441" i="1"/>
  <c r="O1441" i="1"/>
  <c r="N1441" i="1"/>
  <c r="L1441" i="1"/>
  <c r="F1441" i="1"/>
  <c r="F1441" i="1" a="1"/>
  <c r="D1441" i="1"/>
  <c r="D1441" i="1" a="1"/>
  <c r="B1441" i="1"/>
  <c r="R1440" i="1"/>
  <c r="Q1440" i="1"/>
  <c r="P1440" i="1"/>
  <c r="O1440" i="1"/>
  <c r="N1440" i="1"/>
  <c r="L1440" i="1"/>
  <c r="F1440" i="1"/>
  <c r="F1440" i="1" a="1"/>
  <c r="D1440" i="1" a="1"/>
  <c r="D1440" i="1" s="1"/>
  <c r="B1440" i="1"/>
  <c r="R1439" i="1"/>
  <c r="Q1439" i="1"/>
  <c r="P1439" i="1"/>
  <c r="O1439" i="1"/>
  <c r="N1439" i="1"/>
  <c r="L1439" i="1"/>
  <c r="F1439" i="1" a="1"/>
  <c r="F1439" i="1" s="1"/>
  <c r="D1439" i="1" a="1"/>
  <c r="D1439" i="1" s="1"/>
  <c r="B1439" i="1"/>
  <c r="R1438" i="1"/>
  <c r="Q1438" i="1"/>
  <c r="P1438" i="1"/>
  <c r="O1438" i="1"/>
  <c r="N1438" i="1"/>
  <c r="L1438" i="1"/>
  <c r="F1438" i="1" a="1"/>
  <c r="F1438" i="1" s="1"/>
  <c r="D1438" i="1" a="1"/>
  <c r="D1438" i="1" s="1"/>
  <c r="B1438" i="1"/>
  <c r="R1437" i="1"/>
  <c r="Q1437" i="1"/>
  <c r="P1437" i="1"/>
  <c r="O1437" i="1"/>
  <c r="N1437" i="1"/>
  <c r="L1437" i="1"/>
  <c r="F1437" i="1"/>
  <c r="F1437" i="1" a="1"/>
  <c r="D1437" i="1"/>
  <c r="D1437" i="1" a="1"/>
  <c r="B1437" i="1"/>
  <c r="R1436" i="1"/>
  <c r="Q1436" i="1"/>
  <c r="P1436" i="1"/>
  <c r="O1436" i="1"/>
  <c r="N1436" i="1"/>
  <c r="L1436" i="1"/>
  <c r="F1436" i="1"/>
  <c r="F1436" i="1" a="1"/>
  <c r="D1436" i="1" a="1"/>
  <c r="D1436" i="1" s="1"/>
  <c r="B1436" i="1"/>
  <c r="R1435" i="1"/>
  <c r="Q1435" i="1"/>
  <c r="P1435" i="1"/>
  <c r="O1435" i="1"/>
  <c r="N1435" i="1"/>
  <c r="L1435" i="1"/>
  <c r="F1435" i="1" a="1"/>
  <c r="F1435" i="1" s="1"/>
  <c r="D1435" i="1" a="1"/>
  <c r="D1435" i="1" s="1"/>
  <c r="B1435" i="1"/>
  <c r="R1434" i="1"/>
  <c r="Q1434" i="1"/>
  <c r="P1434" i="1"/>
  <c r="O1434" i="1"/>
  <c r="N1434" i="1"/>
  <c r="L1434" i="1"/>
  <c r="F1434" i="1" a="1"/>
  <c r="F1434" i="1" s="1"/>
  <c r="D1434" i="1" a="1"/>
  <c r="D1434" i="1" s="1"/>
  <c r="B1434" i="1"/>
  <c r="R1433" i="1"/>
  <c r="Q1433" i="1"/>
  <c r="P1433" i="1"/>
  <c r="O1433" i="1"/>
  <c r="N1433" i="1"/>
  <c r="L1433" i="1"/>
  <c r="F1433" i="1"/>
  <c r="F1433" i="1" a="1"/>
  <c r="D1433" i="1"/>
  <c r="D1433" i="1" a="1"/>
  <c r="B1433" i="1"/>
  <c r="R1432" i="1"/>
  <c r="Q1432" i="1"/>
  <c r="P1432" i="1"/>
  <c r="O1432" i="1"/>
  <c r="N1432" i="1"/>
  <c r="L1432" i="1"/>
  <c r="F1432" i="1"/>
  <c r="F1432" i="1" a="1"/>
  <c r="D1432" i="1" a="1"/>
  <c r="D1432" i="1" s="1"/>
  <c r="B1432" i="1"/>
  <c r="R1431" i="1"/>
  <c r="Q1431" i="1"/>
  <c r="P1431" i="1"/>
  <c r="O1431" i="1"/>
  <c r="N1431" i="1"/>
  <c r="L1431" i="1"/>
  <c r="F1431" i="1" a="1"/>
  <c r="F1431" i="1" s="1"/>
  <c r="D1431" i="1" a="1"/>
  <c r="D1431" i="1" s="1"/>
  <c r="B1431" i="1"/>
  <c r="R1430" i="1"/>
  <c r="Q1430" i="1"/>
  <c r="P1430" i="1"/>
  <c r="O1430" i="1"/>
  <c r="N1430" i="1"/>
  <c r="L1430" i="1"/>
  <c r="F1430" i="1" a="1"/>
  <c r="F1430" i="1" s="1"/>
  <c r="D1430" i="1" a="1"/>
  <c r="D1430" i="1" s="1"/>
  <c r="B1430" i="1"/>
  <c r="R1429" i="1"/>
  <c r="Q1429" i="1"/>
  <c r="P1429" i="1"/>
  <c r="O1429" i="1"/>
  <c r="N1429" i="1"/>
  <c r="L1429" i="1"/>
  <c r="F1429" i="1"/>
  <c r="F1429" i="1" a="1"/>
  <c r="D1429" i="1"/>
  <c r="D1429" i="1" a="1"/>
  <c r="B1429" i="1"/>
  <c r="R1428" i="1"/>
  <c r="Q1428" i="1"/>
  <c r="P1428" i="1"/>
  <c r="O1428" i="1"/>
  <c r="N1428" i="1"/>
  <c r="L1428" i="1"/>
  <c r="F1428" i="1"/>
  <c r="F1428" i="1" a="1"/>
  <c r="D1428" i="1" a="1"/>
  <c r="D1428" i="1" s="1"/>
  <c r="B1428" i="1"/>
  <c r="R1427" i="1"/>
  <c r="Q1427" i="1"/>
  <c r="P1427" i="1"/>
  <c r="O1427" i="1"/>
  <c r="N1427" i="1"/>
  <c r="L1427" i="1"/>
  <c r="F1427" i="1" a="1"/>
  <c r="F1427" i="1" s="1"/>
  <c r="D1427" i="1" a="1"/>
  <c r="D1427" i="1" s="1"/>
  <c r="B1427" i="1"/>
  <c r="R1426" i="1"/>
  <c r="Q1426" i="1"/>
  <c r="P1426" i="1"/>
  <c r="O1426" i="1"/>
  <c r="N1426" i="1"/>
  <c r="L1426" i="1"/>
  <c r="F1426" i="1" a="1"/>
  <c r="F1426" i="1" s="1"/>
  <c r="D1426" i="1" a="1"/>
  <c r="D1426" i="1" s="1"/>
  <c r="B1426" i="1"/>
  <c r="R1425" i="1"/>
  <c r="Q1425" i="1"/>
  <c r="P1425" i="1"/>
  <c r="O1425" i="1"/>
  <c r="N1425" i="1"/>
  <c r="L1425" i="1"/>
  <c r="F1425" i="1"/>
  <c r="F1425" i="1" a="1"/>
  <c r="D1425" i="1"/>
  <c r="D1425" i="1" a="1"/>
  <c r="B1425" i="1"/>
  <c r="R1424" i="1"/>
  <c r="Q1424" i="1"/>
  <c r="P1424" i="1"/>
  <c r="O1424" i="1"/>
  <c r="N1424" i="1"/>
  <c r="L1424" i="1"/>
  <c r="F1424" i="1"/>
  <c r="F1424" i="1" a="1"/>
  <c r="D1424" i="1" a="1"/>
  <c r="D1424" i="1" s="1"/>
  <c r="B1424" i="1"/>
  <c r="R1423" i="1"/>
  <c r="Q1423" i="1"/>
  <c r="P1423" i="1"/>
  <c r="O1423" i="1"/>
  <c r="N1423" i="1"/>
  <c r="L1423" i="1"/>
  <c r="F1423" i="1" a="1"/>
  <c r="F1423" i="1" s="1"/>
  <c r="D1423" i="1" a="1"/>
  <c r="D1423" i="1" s="1"/>
  <c r="B1423" i="1"/>
  <c r="R1422" i="1"/>
  <c r="Q1422" i="1"/>
  <c r="P1422" i="1"/>
  <c r="O1422" i="1"/>
  <c r="N1422" i="1"/>
  <c r="L1422" i="1"/>
  <c r="F1422" i="1" a="1"/>
  <c r="F1422" i="1" s="1"/>
  <c r="D1422" i="1" a="1"/>
  <c r="D1422" i="1" s="1"/>
  <c r="B1422" i="1"/>
  <c r="R1421" i="1"/>
  <c r="Q1421" i="1"/>
  <c r="P1421" i="1"/>
  <c r="O1421" i="1"/>
  <c r="N1421" i="1"/>
  <c r="L1421" i="1"/>
  <c r="F1421" i="1"/>
  <c r="F1421" i="1" a="1"/>
  <c r="D1421" i="1"/>
  <c r="D1421" i="1" a="1"/>
  <c r="B1421" i="1"/>
  <c r="R1420" i="1"/>
  <c r="Q1420" i="1"/>
  <c r="P1420" i="1"/>
  <c r="O1420" i="1"/>
  <c r="N1420" i="1"/>
  <c r="L1420" i="1"/>
  <c r="F1420" i="1"/>
  <c r="F1420" i="1" a="1"/>
  <c r="D1420" i="1" a="1"/>
  <c r="D1420" i="1" s="1"/>
  <c r="B1420" i="1"/>
  <c r="R1419" i="1"/>
  <c r="Q1419" i="1"/>
  <c r="P1419" i="1"/>
  <c r="O1419" i="1"/>
  <c r="N1419" i="1"/>
  <c r="L1419" i="1"/>
  <c r="F1419" i="1" a="1"/>
  <c r="F1419" i="1" s="1"/>
  <c r="D1419" i="1" a="1"/>
  <c r="D1419" i="1" s="1"/>
  <c r="B1419" i="1"/>
  <c r="R1418" i="1"/>
  <c r="Q1418" i="1"/>
  <c r="P1418" i="1"/>
  <c r="O1418" i="1"/>
  <c r="N1418" i="1"/>
  <c r="L1418" i="1"/>
  <c r="F1418" i="1" a="1"/>
  <c r="F1418" i="1" s="1"/>
  <c r="D1418" i="1" a="1"/>
  <c r="D1418" i="1" s="1"/>
  <c r="B1418" i="1"/>
  <c r="R1417" i="1"/>
  <c r="Q1417" i="1"/>
  <c r="P1417" i="1"/>
  <c r="O1417" i="1"/>
  <c r="N1417" i="1"/>
  <c r="L1417" i="1"/>
  <c r="F1417" i="1"/>
  <c r="F1417" i="1" a="1"/>
  <c r="D1417" i="1"/>
  <c r="D1417" i="1" a="1"/>
  <c r="B1417" i="1"/>
  <c r="R1416" i="1"/>
  <c r="Q1416" i="1"/>
  <c r="P1416" i="1"/>
  <c r="O1416" i="1"/>
  <c r="N1416" i="1"/>
  <c r="L1416" i="1"/>
  <c r="F1416" i="1"/>
  <c r="F1416" i="1" a="1"/>
  <c r="D1416" i="1" a="1"/>
  <c r="D1416" i="1" s="1"/>
  <c r="B1416" i="1"/>
  <c r="R1415" i="1"/>
  <c r="Q1415" i="1"/>
  <c r="P1415" i="1"/>
  <c r="O1415" i="1"/>
  <c r="N1415" i="1"/>
  <c r="L1415" i="1"/>
  <c r="F1415" i="1" a="1"/>
  <c r="F1415" i="1" s="1"/>
  <c r="D1415" i="1" a="1"/>
  <c r="D1415" i="1" s="1"/>
  <c r="B1415" i="1"/>
  <c r="R1414" i="1"/>
  <c r="Q1414" i="1"/>
  <c r="P1414" i="1"/>
  <c r="O1414" i="1"/>
  <c r="N1414" i="1"/>
  <c r="L1414" i="1"/>
  <c r="F1414" i="1" a="1"/>
  <c r="F1414" i="1" s="1"/>
  <c r="D1414" i="1" a="1"/>
  <c r="D1414" i="1" s="1"/>
  <c r="B1414" i="1"/>
  <c r="R1413" i="1"/>
  <c r="Q1413" i="1"/>
  <c r="P1413" i="1"/>
  <c r="O1413" i="1"/>
  <c r="N1413" i="1"/>
  <c r="L1413" i="1"/>
  <c r="F1413" i="1"/>
  <c r="F1413" i="1" a="1"/>
  <c r="D1413" i="1"/>
  <c r="D1413" i="1" a="1"/>
  <c r="B1413" i="1"/>
  <c r="R1412" i="1"/>
  <c r="Q1412" i="1"/>
  <c r="P1412" i="1"/>
  <c r="O1412" i="1"/>
  <c r="N1412" i="1"/>
  <c r="L1412" i="1"/>
  <c r="F1412" i="1"/>
  <c r="F1412" i="1" a="1"/>
  <c r="D1412" i="1" a="1"/>
  <c r="D1412" i="1" s="1"/>
  <c r="B1412" i="1"/>
  <c r="R1411" i="1"/>
  <c r="Q1411" i="1"/>
  <c r="P1411" i="1"/>
  <c r="O1411" i="1"/>
  <c r="N1411" i="1"/>
  <c r="L1411" i="1"/>
  <c r="F1411" i="1" a="1"/>
  <c r="F1411" i="1" s="1"/>
  <c r="D1411" i="1" a="1"/>
  <c r="D1411" i="1" s="1"/>
  <c r="B1411" i="1"/>
  <c r="R1410" i="1"/>
  <c r="Q1410" i="1"/>
  <c r="P1410" i="1"/>
  <c r="O1410" i="1"/>
  <c r="N1410" i="1"/>
  <c r="L1410" i="1"/>
  <c r="F1410" i="1" a="1"/>
  <c r="F1410" i="1" s="1"/>
  <c r="D1410" i="1" a="1"/>
  <c r="D1410" i="1" s="1"/>
  <c r="B1410" i="1"/>
  <c r="R1409" i="1"/>
  <c r="Q1409" i="1"/>
  <c r="P1409" i="1"/>
  <c r="O1409" i="1"/>
  <c r="N1409" i="1"/>
  <c r="L1409" i="1"/>
  <c r="F1409" i="1"/>
  <c r="F1409" i="1" a="1"/>
  <c r="D1409" i="1"/>
  <c r="D1409" i="1" a="1"/>
  <c r="B1409" i="1"/>
  <c r="R1408" i="1"/>
  <c r="Q1408" i="1"/>
  <c r="P1408" i="1"/>
  <c r="O1408" i="1"/>
  <c r="N1408" i="1"/>
  <c r="L1408" i="1"/>
  <c r="F1408" i="1"/>
  <c r="F1408" i="1" a="1"/>
  <c r="D1408" i="1" a="1"/>
  <c r="D1408" i="1" s="1"/>
  <c r="B1408" i="1"/>
  <c r="R1407" i="1"/>
  <c r="Q1407" i="1"/>
  <c r="P1407" i="1"/>
  <c r="O1407" i="1"/>
  <c r="N1407" i="1"/>
  <c r="L1407" i="1"/>
  <c r="F1407" i="1" a="1"/>
  <c r="F1407" i="1" s="1"/>
  <c r="D1407" i="1" a="1"/>
  <c r="D1407" i="1" s="1"/>
  <c r="B1407" i="1"/>
  <c r="R1406" i="1"/>
  <c r="Q1406" i="1"/>
  <c r="P1406" i="1"/>
  <c r="O1406" i="1"/>
  <c r="N1406" i="1"/>
  <c r="L1406" i="1"/>
  <c r="F1406" i="1" a="1"/>
  <c r="F1406" i="1" s="1"/>
  <c r="D1406" i="1" a="1"/>
  <c r="D1406" i="1" s="1"/>
  <c r="B1406" i="1"/>
  <c r="R1405" i="1"/>
  <c r="Q1405" i="1"/>
  <c r="P1405" i="1"/>
  <c r="O1405" i="1"/>
  <c r="N1405" i="1"/>
  <c r="L1405" i="1"/>
  <c r="F1405" i="1"/>
  <c r="F1405" i="1" a="1"/>
  <c r="D1405" i="1"/>
  <c r="D1405" i="1" a="1"/>
  <c r="B1405" i="1"/>
  <c r="R1404" i="1"/>
  <c r="Q1404" i="1"/>
  <c r="P1404" i="1"/>
  <c r="O1404" i="1"/>
  <c r="N1404" i="1"/>
  <c r="L1404" i="1"/>
  <c r="F1404" i="1"/>
  <c r="F1404" i="1" a="1"/>
  <c r="D1404" i="1" a="1"/>
  <c r="D1404" i="1" s="1"/>
  <c r="B1404" i="1"/>
  <c r="R1403" i="1"/>
  <c r="Q1403" i="1"/>
  <c r="P1403" i="1"/>
  <c r="O1403" i="1"/>
  <c r="N1403" i="1"/>
  <c r="L1403" i="1"/>
  <c r="F1403" i="1" a="1"/>
  <c r="F1403" i="1" s="1"/>
  <c r="D1403" i="1" a="1"/>
  <c r="D1403" i="1" s="1"/>
  <c r="B1403" i="1"/>
  <c r="R1402" i="1"/>
  <c r="Q1402" i="1"/>
  <c r="P1402" i="1"/>
  <c r="O1402" i="1"/>
  <c r="N1402" i="1"/>
  <c r="L1402" i="1"/>
  <c r="F1402" i="1" a="1"/>
  <c r="F1402" i="1" s="1"/>
  <c r="D1402" i="1" a="1"/>
  <c r="D1402" i="1" s="1"/>
  <c r="B1402" i="1"/>
  <c r="R1401" i="1"/>
  <c r="Q1401" i="1"/>
  <c r="P1401" i="1"/>
  <c r="O1401" i="1"/>
  <c r="N1401" i="1"/>
  <c r="L1401" i="1"/>
  <c r="F1401" i="1"/>
  <c r="F1401" i="1" a="1"/>
  <c r="D1401" i="1" a="1"/>
  <c r="D1401" i="1" s="1"/>
  <c r="B1401" i="1"/>
  <c r="R1400" i="1"/>
  <c r="Q1400" i="1"/>
  <c r="P1400" i="1"/>
  <c r="O1400" i="1"/>
  <c r="N1400" i="1"/>
  <c r="L1400" i="1"/>
  <c r="F1400" i="1"/>
  <c r="F1400" i="1" a="1"/>
  <c r="D1400" i="1" a="1"/>
  <c r="D1400" i="1" s="1"/>
  <c r="B1400" i="1"/>
  <c r="R1399" i="1"/>
  <c r="Q1399" i="1"/>
  <c r="P1399" i="1"/>
  <c r="O1399" i="1"/>
  <c r="N1399" i="1"/>
  <c r="L1399" i="1"/>
  <c r="F1399" i="1" a="1"/>
  <c r="F1399" i="1" s="1"/>
  <c r="D1399" i="1" a="1"/>
  <c r="D1399" i="1" s="1"/>
  <c r="B1399" i="1"/>
  <c r="R1398" i="1"/>
  <c r="Q1398" i="1"/>
  <c r="P1398" i="1"/>
  <c r="O1398" i="1"/>
  <c r="N1398" i="1"/>
  <c r="L1398" i="1"/>
  <c r="F1398" i="1" a="1"/>
  <c r="F1398" i="1" s="1"/>
  <c r="D1398" i="1" a="1"/>
  <c r="D1398" i="1" s="1"/>
  <c r="B1398" i="1"/>
  <c r="R1397" i="1"/>
  <c r="Q1397" i="1"/>
  <c r="P1397" i="1"/>
  <c r="O1397" i="1"/>
  <c r="N1397" i="1"/>
  <c r="L1397" i="1"/>
  <c r="F1397" i="1"/>
  <c r="F1397" i="1" a="1"/>
  <c r="D1397" i="1" a="1"/>
  <c r="D1397" i="1" s="1"/>
  <c r="B1397" i="1"/>
  <c r="R1396" i="1"/>
  <c r="Q1396" i="1"/>
  <c r="P1396" i="1"/>
  <c r="O1396" i="1"/>
  <c r="N1396" i="1"/>
  <c r="L1396" i="1"/>
  <c r="F1396" i="1"/>
  <c r="F1396" i="1" a="1"/>
  <c r="D1396" i="1" a="1"/>
  <c r="D1396" i="1" s="1"/>
  <c r="B1396" i="1"/>
  <c r="R1395" i="1"/>
  <c r="Q1395" i="1"/>
  <c r="P1395" i="1"/>
  <c r="O1395" i="1"/>
  <c r="N1395" i="1"/>
  <c r="L1395" i="1"/>
  <c r="F1395" i="1" a="1"/>
  <c r="F1395" i="1" s="1"/>
  <c r="D1395" i="1" a="1"/>
  <c r="D1395" i="1" s="1"/>
  <c r="B1395" i="1"/>
  <c r="R1394" i="1"/>
  <c r="Q1394" i="1"/>
  <c r="P1394" i="1"/>
  <c r="O1394" i="1"/>
  <c r="N1394" i="1"/>
  <c r="L1394" i="1"/>
  <c r="F1394" i="1" a="1"/>
  <c r="F1394" i="1" s="1"/>
  <c r="D1394" i="1" a="1"/>
  <c r="D1394" i="1" s="1"/>
  <c r="B1394" i="1"/>
  <c r="R1393" i="1"/>
  <c r="Q1393" i="1"/>
  <c r="P1393" i="1"/>
  <c r="O1393" i="1"/>
  <c r="N1393" i="1"/>
  <c r="L1393" i="1"/>
  <c r="F1393" i="1"/>
  <c r="F1393" i="1" a="1"/>
  <c r="D1393" i="1" a="1"/>
  <c r="D1393" i="1" s="1"/>
  <c r="B1393" i="1"/>
  <c r="R1392" i="1"/>
  <c r="Q1392" i="1"/>
  <c r="P1392" i="1"/>
  <c r="O1392" i="1"/>
  <c r="N1392" i="1"/>
  <c r="L1392" i="1"/>
  <c r="F1392" i="1"/>
  <c r="F1392" i="1" a="1"/>
  <c r="D1392" i="1" a="1"/>
  <c r="D1392" i="1" s="1"/>
  <c r="B1392" i="1"/>
  <c r="R1391" i="1"/>
  <c r="Q1391" i="1"/>
  <c r="P1391" i="1"/>
  <c r="O1391" i="1"/>
  <c r="N1391" i="1"/>
  <c r="L1391" i="1"/>
  <c r="F1391" i="1" a="1"/>
  <c r="F1391" i="1" s="1"/>
  <c r="D1391" i="1" a="1"/>
  <c r="D1391" i="1" s="1"/>
  <c r="B1391" i="1"/>
  <c r="R1390" i="1"/>
  <c r="Q1390" i="1"/>
  <c r="P1390" i="1"/>
  <c r="O1390" i="1"/>
  <c r="N1390" i="1"/>
  <c r="L1390" i="1"/>
  <c r="F1390" i="1" a="1"/>
  <c r="F1390" i="1" s="1"/>
  <c r="D1390" i="1" a="1"/>
  <c r="D1390" i="1" s="1"/>
  <c r="B1390" i="1"/>
  <c r="R1389" i="1"/>
  <c r="Q1389" i="1"/>
  <c r="P1389" i="1"/>
  <c r="O1389" i="1"/>
  <c r="N1389" i="1"/>
  <c r="L1389" i="1"/>
  <c r="F1389" i="1"/>
  <c r="F1389" i="1" a="1"/>
  <c r="D1389" i="1" a="1"/>
  <c r="D1389" i="1" s="1"/>
  <c r="B1389" i="1"/>
  <c r="R1388" i="1"/>
  <c r="Q1388" i="1"/>
  <c r="P1388" i="1"/>
  <c r="O1388" i="1"/>
  <c r="N1388" i="1"/>
  <c r="L1388" i="1"/>
  <c r="F1388" i="1"/>
  <c r="F1388" i="1" a="1"/>
  <c r="D1388" i="1" a="1"/>
  <c r="D1388" i="1" s="1"/>
  <c r="B1388" i="1"/>
  <c r="R1387" i="1"/>
  <c r="Q1387" i="1"/>
  <c r="P1387" i="1"/>
  <c r="O1387" i="1"/>
  <c r="N1387" i="1"/>
  <c r="L1387" i="1"/>
  <c r="F1387" i="1" a="1"/>
  <c r="F1387" i="1" s="1"/>
  <c r="D1387" i="1" a="1"/>
  <c r="D1387" i="1" s="1"/>
  <c r="B1387" i="1"/>
  <c r="R1386" i="1"/>
  <c r="Q1386" i="1"/>
  <c r="P1386" i="1"/>
  <c r="O1386" i="1"/>
  <c r="N1386" i="1"/>
  <c r="L1386" i="1"/>
  <c r="F1386" i="1" a="1"/>
  <c r="F1386" i="1" s="1"/>
  <c r="D1386" i="1" a="1"/>
  <c r="D1386" i="1" s="1"/>
  <c r="B1386" i="1"/>
  <c r="R1385" i="1"/>
  <c r="Q1385" i="1"/>
  <c r="P1385" i="1"/>
  <c r="O1385" i="1"/>
  <c r="N1385" i="1"/>
  <c r="L1385" i="1"/>
  <c r="F1385" i="1"/>
  <c r="F1385" i="1" a="1"/>
  <c r="D1385" i="1" a="1"/>
  <c r="D1385" i="1" s="1"/>
  <c r="B1385" i="1"/>
  <c r="R1384" i="1"/>
  <c r="Q1384" i="1"/>
  <c r="P1384" i="1"/>
  <c r="O1384" i="1"/>
  <c r="N1384" i="1"/>
  <c r="L1384" i="1"/>
  <c r="F1384" i="1"/>
  <c r="F1384" i="1" a="1"/>
  <c r="D1384" i="1" a="1"/>
  <c r="D1384" i="1" s="1"/>
  <c r="B1384" i="1"/>
  <c r="R1383" i="1"/>
  <c r="Q1383" i="1"/>
  <c r="P1383" i="1"/>
  <c r="O1383" i="1"/>
  <c r="N1383" i="1"/>
  <c r="L1383" i="1"/>
  <c r="F1383" i="1" a="1"/>
  <c r="F1383" i="1" s="1"/>
  <c r="D1383" i="1" a="1"/>
  <c r="D1383" i="1" s="1"/>
  <c r="B1383" i="1"/>
  <c r="R1382" i="1"/>
  <c r="Q1382" i="1"/>
  <c r="P1382" i="1"/>
  <c r="O1382" i="1"/>
  <c r="N1382" i="1"/>
  <c r="L1382" i="1"/>
  <c r="F1382" i="1" a="1"/>
  <c r="F1382" i="1" s="1"/>
  <c r="D1382" i="1" a="1"/>
  <c r="D1382" i="1" s="1"/>
  <c r="B1382" i="1"/>
  <c r="R1381" i="1"/>
  <c r="Q1381" i="1"/>
  <c r="P1381" i="1"/>
  <c r="O1381" i="1"/>
  <c r="N1381" i="1"/>
  <c r="L1381" i="1"/>
  <c r="F1381" i="1"/>
  <c r="F1381" i="1" a="1"/>
  <c r="D1381" i="1" a="1"/>
  <c r="D1381" i="1" s="1"/>
  <c r="B1381" i="1"/>
  <c r="R1380" i="1"/>
  <c r="Q1380" i="1"/>
  <c r="P1380" i="1"/>
  <c r="O1380" i="1"/>
  <c r="N1380" i="1"/>
  <c r="L1380" i="1"/>
  <c r="F1380" i="1"/>
  <c r="F1380" i="1" a="1"/>
  <c r="D1380" i="1" a="1"/>
  <c r="D1380" i="1" s="1"/>
  <c r="B1380" i="1"/>
  <c r="R1379" i="1"/>
  <c r="Q1379" i="1"/>
  <c r="P1379" i="1"/>
  <c r="O1379" i="1"/>
  <c r="N1379" i="1"/>
  <c r="L1379" i="1"/>
  <c r="F1379" i="1" a="1"/>
  <c r="F1379" i="1" s="1"/>
  <c r="D1379" i="1" a="1"/>
  <c r="D1379" i="1" s="1"/>
  <c r="B1379" i="1"/>
  <c r="R1378" i="1"/>
  <c r="Q1378" i="1"/>
  <c r="P1378" i="1"/>
  <c r="O1378" i="1"/>
  <c r="N1378" i="1"/>
  <c r="L1378" i="1"/>
  <c r="F1378" i="1" a="1"/>
  <c r="F1378" i="1" s="1"/>
  <c r="D1378" i="1" a="1"/>
  <c r="D1378" i="1" s="1"/>
  <c r="B1378" i="1"/>
  <c r="R1377" i="1"/>
  <c r="Q1377" i="1"/>
  <c r="P1377" i="1"/>
  <c r="O1377" i="1"/>
  <c r="N1377" i="1"/>
  <c r="L1377" i="1"/>
  <c r="F1377" i="1"/>
  <c r="F1377" i="1" a="1"/>
  <c r="D1377" i="1" a="1"/>
  <c r="D1377" i="1" s="1"/>
  <c r="B1377" i="1"/>
  <c r="R1376" i="1"/>
  <c r="Q1376" i="1"/>
  <c r="P1376" i="1"/>
  <c r="O1376" i="1"/>
  <c r="N1376" i="1"/>
  <c r="L1376" i="1"/>
  <c r="F1376" i="1"/>
  <c r="F1376" i="1" a="1"/>
  <c r="D1376" i="1" a="1"/>
  <c r="D1376" i="1" s="1"/>
  <c r="B1376" i="1"/>
  <c r="R1375" i="1"/>
  <c r="Q1375" i="1"/>
  <c r="P1375" i="1"/>
  <c r="O1375" i="1"/>
  <c r="N1375" i="1"/>
  <c r="L1375" i="1"/>
  <c r="F1375" i="1" a="1"/>
  <c r="F1375" i="1" s="1"/>
  <c r="D1375" i="1" a="1"/>
  <c r="D1375" i="1" s="1"/>
  <c r="B1375" i="1"/>
  <c r="R1374" i="1"/>
  <c r="Q1374" i="1"/>
  <c r="P1374" i="1"/>
  <c r="O1374" i="1"/>
  <c r="N1374" i="1"/>
  <c r="L1374" i="1"/>
  <c r="F1374" i="1" a="1"/>
  <c r="F1374" i="1" s="1"/>
  <c r="D1374" i="1"/>
  <c r="D1374" i="1" a="1"/>
  <c r="B1374" i="1"/>
  <c r="R1373" i="1"/>
  <c r="Q1373" i="1"/>
  <c r="P1373" i="1"/>
  <c r="O1373" i="1"/>
  <c r="N1373" i="1"/>
  <c r="L1373" i="1"/>
  <c r="F1373" i="1"/>
  <c r="F1373" i="1" a="1"/>
  <c r="D1373" i="1" a="1"/>
  <c r="D1373" i="1" s="1"/>
  <c r="B1373" i="1"/>
  <c r="R1372" i="1"/>
  <c r="Q1372" i="1"/>
  <c r="P1372" i="1"/>
  <c r="O1372" i="1"/>
  <c r="N1372" i="1"/>
  <c r="L1372" i="1"/>
  <c r="F1372" i="1"/>
  <c r="F1372" i="1" a="1"/>
  <c r="D1372" i="1" a="1"/>
  <c r="D1372" i="1" s="1"/>
  <c r="B1372" i="1"/>
  <c r="R1371" i="1"/>
  <c r="Q1371" i="1"/>
  <c r="P1371" i="1"/>
  <c r="O1371" i="1"/>
  <c r="N1371" i="1"/>
  <c r="L1371" i="1"/>
  <c r="F1371" i="1" a="1"/>
  <c r="F1371" i="1" s="1"/>
  <c r="D1371" i="1" a="1"/>
  <c r="D1371" i="1" s="1"/>
  <c r="B1371" i="1"/>
  <c r="R1370" i="1"/>
  <c r="Q1370" i="1"/>
  <c r="P1370" i="1"/>
  <c r="O1370" i="1"/>
  <c r="N1370" i="1"/>
  <c r="L1370" i="1"/>
  <c r="F1370" i="1" a="1"/>
  <c r="F1370" i="1" s="1"/>
  <c r="D1370" i="1" a="1"/>
  <c r="D1370" i="1" s="1"/>
  <c r="B1370" i="1"/>
  <c r="R1369" i="1"/>
  <c r="Q1369" i="1"/>
  <c r="P1369" i="1"/>
  <c r="O1369" i="1"/>
  <c r="N1369" i="1"/>
  <c r="L1369" i="1"/>
  <c r="F1369" i="1"/>
  <c r="F1369" i="1" a="1"/>
  <c r="D1369" i="1" a="1"/>
  <c r="D1369" i="1" s="1"/>
  <c r="B1369" i="1"/>
  <c r="R1368" i="1"/>
  <c r="Q1368" i="1"/>
  <c r="P1368" i="1"/>
  <c r="O1368" i="1"/>
  <c r="N1368" i="1"/>
  <c r="L1368" i="1"/>
  <c r="F1368" i="1"/>
  <c r="F1368" i="1" a="1"/>
  <c r="D1368" i="1"/>
  <c r="D1368" i="1" a="1"/>
  <c r="B1368" i="1"/>
  <c r="R1367" i="1"/>
  <c r="Q1367" i="1"/>
  <c r="P1367" i="1"/>
  <c r="O1367" i="1"/>
  <c r="N1367" i="1"/>
  <c r="L1367" i="1"/>
  <c r="F1367" i="1" a="1"/>
  <c r="F1367" i="1" s="1"/>
  <c r="D1367" i="1" a="1"/>
  <c r="D1367" i="1" s="1"/>
  <c r="B1367" i="1"/>
  <c r="R1366" i="1"/>
  <c r="Q1366" i="1"/>
  <c r="P1366" i="1"/>
  <c r="O1366" i="1"/>
  <c r="N1366" i="1"/>
  <c r="L1366" i="1"/>
  <c r="F1366" i="1" a="1"/>
  <c r="F1366" i="1" s="1"/>
  <c r="D1366" i="1" a="1"/>
  <c r="D1366" i="1" s="1"/>
  <c r="B1366" i="1"/>
  <c r="R1365" i="1"/>
  <c r="Q1365" i="1"/>
  <c r="P1365" i="1"/>
  <c r="O1365" i="1"/>
  <c r="N1365" i="1"/>
  <c r="L1365" i="1"/>
  <c r="F1365" i="1"/>
  <c r="F1365" i="1" a="1"/>
  <c r="D1365" i="1" a="1"/>
  <c r="D1365" i="1" s="1"/>
  <c r="B1365" i="1"/>
  <c r="R1364" i="1"/>
  <c r="Q1364" i="1"/>
  <c r="P1364" i="1"/>
  <c r="O1364" i="1"/>
  <c r="N1364" i="1"/>
  <c r="L1364" i="1"/>
  <c r="F1364" i="1"/>
  <c r="F1364" i="1" a="1"/>
  <c r="D1364" i="1"/>
  <c r="D1364" i="1" a="1"/>
  <c r="B1364" i="1"/>
  <c r="R1363" i="1"/>
  <c r="Q1363" i="1"/>
  <c r="P1363" i="1"/>
  <c r="O1363" i="1"/>
  <c r="N1363" i="1"/>
  <c r="L1363" i="1"/>
  <c r="F1363" i="1" a="1"/>
  <c r="F1363" i="1" s="1"/>
  <c r="D1363" i="1" a="1"/>
  <c r="D1363" i="1" s="1"/>
  <c r="B1363" i="1"/>
  <c r="R1362" i="1"/>
  <c r="Q1362" i="1"/>
  <c r="P1362" i="1"/>
  <c r="O1362" i="1"/>
  <c r="N1362" i="1"/>
  <c r="L1362" i="1"/>
  <c r="F1362" i="1" a="1"/>
  <c r="F1362" i="1" s="1"/>
  <c r="D1362" i="1" a="1"/>
  <c r="D1362" i="1" s="1"/>
  <c r="B1362" i="1"/>
  <c r="R1361" i="1"/>
  <c r="Q1361" i="1"/>
  <c r="P1361" i="1"/>
  <c r="O1361" i="1"/>
  <c r="N1361" i="1"/>
  <c r="L1361" i="1"/>
  <c r="F1361" i="1"/>
  <c r="F1361" i="1" a="1"/>
  <c r="D1361" i="1" a="1"/>
  <c r="D1361" i="1" s="1"/>
  <c r="B1361" i="1"/>
  <c r="R1360" i="1"/>
  <c r="Q1360" i="1"/>
  <c r="P1360" i="1"/>
  <c r="O1360" i="1"/>
  <c r="N1360" i="1"/>
  <c r="L1360" i="1"/>
  <c r="F1360" i="1" a="1"/>
  <c r="F1360" i="1" s="1"/>
  <c r="D1360" i="1" a="1"/>
  <c r="D1360" i="1" s="1"/>
  <c r="B1360" i="1"/>
  <c r="R1359" i="1"/>
  <c r="Q1359" i="1"/>
  <c r="P1359" i="1"/>
  <c r="O1359" i="1"/>
  <c r="N1359" i="1"/>
  <c r="L1359" i="1"/>
  <c r="F1359" i="1" a="1"/>
  <c r="F1359" i="1" s="1"/>
  <c r="D1359" i="1" a="1"/>
  <c r="D1359" i="1" s="1"/>
  <c r="B1359" i="1"/>
  <c r="R1358" i="1"/>
  <c r="Q1358" i="1"/>
  <c r="P1358" i="1"/>
  <c r="O1358" i="1"/>
  <c r="N1358" i="1"/>
  <c r="L1358" i="1"/>
  <c r="F1358" i="1"/>
  <c r="F1358" i="1" a="1"/>
  <c r="D1358" i="1"/>
  <c r="D1358" i="1" a="1"/>
  <c r="B1358" i="1"/>
  <c r="R1357" i="1"/>
  <c r="Q1357" i="1"/>
  <c r="P1357" i="1"/>
  <c r="O1357" i="1"/>
  <c r="N1357" i="1"/>
  <c r="L1357" i="1"/>
  <c r="F1357" i="1"/>
  <c r="F1357" i="1" a="1"/>
  <c r="D1357" i="1" a="1"/>
  <c r="D1357" i="1" s="1"/>
  <c r="B1357" i="1"/>
  <c r="R1356" i="1"/>
  <c r="Q1356" i="1"/>
  <c r="P1356" i="1"/>
  <c r="O1356" i="1"/>
  <c r="N1356" i="1"/>
  <c r="L1356" i="1"/>
  <c r="F1356" i="1" a="1"/>
  <c r="F1356" i="1" s="1"/>
  <c r="D1356" i="1"/>
  <c r="D1356" i="1" a="1"/>
  <c r="B1356" i="1"/>
  <c r="R1355" i="1"/>
  <c r="Q1355" i="1"/>
  <c r="P1355" i="1"/>
  <c r="O1355" i="1"/>
  <c r="N1355" i="1"/>
  <c r="L1355" i="1"/>
  <c r="F1355" i="1"/>
  <c r="F1355" i="1" a="1"/>
  <c r="D1355" i="1" a="1"/>
  <c r="D1355" i="1" s="1"/>
  <c r="B1355" i="1"/>
  <c r="R1354" i="1"/>
  <c r="Q1354" i="1"/>
  <c r="P1354" i="1"/>
  <c r="O1354" i="1"/>
  <c r="N1354" i="1"/>
  <c r="L1354" i="1"/>
  <c r="F1354" i="1" a="1"/>
  <c r="F1354" i="1" s="1"/>
  <c r="D1354" i="1"/>
  <c r="D1354" i="1" a="1"/>
  <c r="B1354" i="1"/>
  <c r="R1353" i="1"/>
  <c r="Q1353" i="1"/>
  <c r="P1353" i="1"/>
  <c r="O1353" i="1"/>
  <c r="N1353" i="1"/>
  <c r="L1353" i="1"/>
  <c r="F1353" i="1"/>
  <c r="F1353" i="1" a="1"/>
  <c r="D1353" i="1" a="1"/>
  <c r="D1353" i="1" s="1"/>
  <c r="B1353" i="1"/>
  <c r="R1352" i="1"/>
  <c r="Q1352" i="1"/>
  <c r="P1352" i="1"/>
  <c r="O1352" i="1"/>
  <c r="N1352" i="1"/>
  <c r="L1352" i="1"/>
  <c r="F1352" i="1" a="1"/>
  <c r="F1352" i="1" s="1"/>
  <c r="D1352" i="1" a="1"/>
  <c r="D1352" i="1" s="1"/>
  <c r="B1352" i="1"/>
  <c r="R1351" i="1"/>
  <c r="Q1351" i="1"/>
  <c r="P1351" i="1"/>
  <c r="O1351" i="1"/>
  <c r="N1351" i="1"/>
  <c r="L1351" i="1"/>
  <c r="F1351" i="1"/>
  <c r="F1351" i="1" a="1"/>
  <c r="D1351" i="1" a="1"/>
  <c r="D1351" i="1" s="1"/>
  <c r="B1351" i="1"/>
  <c r="R1350" i="1"/>
  <c r="Q1350" i="1"/>
  <c r="P1350" i="1"/>
  <c r="O1350" i="1"/>
  <c r="N1350" i="1"/>
  <c r="L1350" i="1"/>
  <c r="F1350" i="1"/>
  <c r="F1350" i="1" a="1"/>
  <c r="D1350" i="1" a="1"/>
  <c r="D1350" i="1" s="1"/>
  <c r="B1350" i="1"/>
  <c r="R1349" i="1"/>
  <c r="Q1349" i="1"/>
  <c r="P1349" i="1"/>
  <c r="O1349" i="1"/>
  <c r="N1349" i="1"/>
  <c r="L1349" i="1"/>
  <c r="F1349" i="1"/>
  <c r="F1349" i="1" a="1"/>
  <c r="D1349" i="1" a="1"/>
  <c r="D1349" i="1" s="1"/>
  <c r="B1349" i="1"/>
  <c r="R1348" i="1"/>
  <c r="Q1348" i="1"/>
  <c r="P1348" i="1"/>
  <c r="O1348" i="1"/>
  <c r="N1348" i="1"/>
  <c r="L1348" i="1"/>
  <c r="F1348" i="1"/>
  <c r="F1348" i="1" a="1"/>
  <c r="D1348" i="1"/>
  <c r="D1348" i="1" a="1"/>
  <c r="B1348" i="1"/>
  <c r="R1347" i="1"/>
  <c r="Q1347" i="1"/>
  <c r="P1347" i="1"/>
  <c r="O1347" i="1"/>
  <c r="N1347" i="1"/>
  <c r="L1347" i="1"/>
  <c r="F1347" i="1" a="1"/>
  <c r="F1347" i="1" s="1"/>
  <c r="D1347" i="1" a="1"/>
  <c r="D1347" i="1" s="1"/>
  <c r="B1347" i="1"/>
  <c r="R1346" i="1"/>
  <c r="Q1346" i="1"/>
  <c r="P1346" i="1"/>
  <c r="O1346" i="1"/>
  <c r="N1346" i="1"/>
  <c r="L1346" i="1"/>
  <c r="F1346" i="1" a="1"/>
  <c r="F1346" i="1" s="1"/>
  <c r="D1346" i="1" a="1"/>
  <c r="D1346" i="1" s="1"/>
  <c r="B1346" i="1"/>
  <c r="R1345" i="1"/>
  <c r="Q1345" i="1"/>
  <c r="P1345" i="1"/>
  <c r="O1345" i="1"/>
  <c r="N1345" i="1"/>
  <c r="L1345" i="1"/>
  <c r="F1345" i="1"/>
  <c r="F1345" i="1" a="1"/>
  <c r="D1345" i="1" a="1"/>
  <c r="D1345" i="1" s="1"/>
  <c r="B1345" i="1"/>
  <c r="R1344" i="1"/>
  <c r="Q1344" i="1"/>
  <c r="P1344" i="1"/>
  <c r="O1344" i="1"/>
  <c r="N1344" i="1"/>
  <c r="L1344" i="1"/>
  <c r="F1344" i="1" a="1"/>
  <c r="F1344" i="1" s="1"/>
  <c r="D1344" i="1"/>
  <c r="D1344" i="1" a="1"/>
  <c r="B1344" i="1"/>
  <c r="R1343" i="1"/>
  <c r="Q1343" i="1"/>
  <c r="P1343" i="1"/>
  <c r="O1343" i="1"/>
  <c r="N1343" i="1"/>
  <c r="L1343" i="1"/>
  <c r="F1343" i="1" a="1"/>
  <c r="F1343" i="1" s="1"/>
  <c r="D1343" i="1" a="1"/>
  <c r="D1343" i="1" s="1"/>
  <c r="B1343" i="1"/>
  <c r="R1342" i="1"/>
  <c r="Q1342" i="1"/>
  <c r="P1342" i="1"/>
  <c r="O1342" i="1"/>
  <c r="N1342" i="1"/>
  <c r="L1342" i="1"/>
  <c r="F1342" i="1" a="1"/>
  <c r="F1342" i="1" s="1"/>
  <c r="D1342" i="1" a="1"/>
  <c r="D1342" i="1" s="1"/>
  <c r="B1342" i="1"/>
  <c r="R1341" i="1"/>
  <c r="Q1341" i="1"/>
  <c r="P1341" i="1"/>
  <c r="O1341" i="1"/>
  <c r="N1341" i="1"/>
  <c r="L1341" i="1"/>
  <c r="F1341" i="1"/>
  <c r="F1341" i="1" a="1"/>
  <c r="D1341" i="1"/>
  <c r="D1341" i="1" a="1"/>
  <c r="B1341" i="1"/>
  <c r="R1340" i="1"/>
  <c r="Q1340" i="1"/>
  <c r="P1340" i="1"/>
  <c r="O1340" i="1"/>
  <c r="N1340" i="1"/>
  <c r="L1340" i="1"/>
  <c r="F1340" i="1" a="1"/>
  <c r="F1340" i="1" s="1"/>
  <c r="D1340" i="1" a="1"/>
  <c r="D1340" i="1" s="1"/>
  <c r="B1340" i="1"/>
  <c r="R1339" i="1"/>
  <c r="Q1339" i="1"/>
  <c r="P1339" i="1"/>
  <c r="O1339" i="1"/>
  <c r="N1339" i="1"/>
  <c r="L1339" i="1"/>
  <c r="F1339" i="1"/>
  <c r="F1339" i="1" a="1"/>
  <c r="D1339" i="1" a="1"/>
  <c r="D1339" i="1" s="1"/>
  <c r="B1339" i="1"/>
  <c r="R1338" i="1"/>
  <c r="Q1338" i="1"/>
  <c r="P1338" i="1"/>
  <c r="O1338" i="1"/>
  <c r="N1338" i="1"/>
  <c r="L1338" i="1"/>
  <c r="F1338" i="1"/>
  <c r="F1338" i="1" a="1"/>
  <c r="D1338" i="1" a="1"/>
  <c r="D1338" i="1" s="1"/>
  <c r="B1338" i="1"/>
  <c r="R1337" i="1"/>
  <c r="Q1337" i="1"/>
  <c r="P1337" i="1"/>
  <c r="O1337" i="1"/>
  <c r="N1337" i="1"/>
  <c r="L1337" i="1"/>
  <c r="F1337" i="1"/>
  <c r="F1337" i="1" a="1"/>
  <c r="D1337" i="1"/>
  <c r="D1337" i="1" a="1"/>
  <c r="B1337" i="1"/>
  <c r="R1336" i="1"/>
  <c r="Q1336" i="1"/>
  <c r="P1336" i="1"/>
  <c r="O1336" i="1"/>
  <c r="N1336" i="1"/>
  <c r="L1336" i="1"/>
  <c r="F1336" i="1" a="1"/>
  <c r="F1336" i="1" s="1"/>
  <c r="D1336" i="1" a="1"/>
  <c r="D1336" i="1" s="1"/>
  <c r="B1336" i="1"/>
  <c r="R1335" i="1"/>
  <c r="Q1335" i="1"/>
  <c r="P1335" i="1"/>
  <c r="O1335" i="1"/>
  <c r="N1335" i="1"/>
  <c r="L1335" i="1"/>
  <c r="F1335" i="1"/>
  <c r="F1335" i="1" a="1"/>
  <c r="D1335" i="1" a="1"/>
  <c r="D1335" i="1" s="1"/>
  <c r="B1335" i="1"/>
  <c r="R1334" i="1"/>
  <c r="Q1334" i="1"/>
  <c r="P1334" i="1"/>
  <c r="O1334" i="1"/>
  <c r="N1334" i="1"/>
  <c r="L1334" i="1"/>
  <c r="F1334" i="1"/>
  <c r="F1334" i="1" a="1"/>
  <c r="D1334" i="1"/>
  <c r="D1334" i="1" a="1"/>
  <c r="B1334" i="1"/>
  <c r="R1333" i="1"/>
  <c r="Q1333" i="1"/>
  <c r="P1333" i="1"/>
  <c r="O1333" i="1"/>
  <c r="N1333" i="1"/>
  <c r="L1333" i="1"/>
  <c r="F1333" i="1"/>
  <c r="F1333" i="1" a="1"/>
  <c r="D1333" i="1" a="1"/>
  <c r="D1333" i="1" s="1"/>
  <c r="B1333" i="1"/>
  <c r="R1332" i="1"/>
  <c r="Q1332" i="1"/>
  <c r="P1332" i="1"/>
  <c r="O1332" i="1"/>
  <c r="N1332" i="1"/>
  <c r="L1332" i="1"/>
  <c r="F1332" i="1"/>
  <c r="F1332" i="1" a="1"/>
  <c r="D1332" i="1" a="1"/>
  <c r="D1332" i="1" s="1"/>
  <c r="B1332" i="1"/>
  <c r="R1331" i="1"/>
  <c r="Q1331" i="1"/>
  <c r="P1331" i="1"/>
  <c r="O1331" i="1"/>
  <c r="N1331" i="1"/>
  <c r="L1331" i="1"/>
  <c r="F1331" i="1" a="1"/>
  <c r="F1331" i="1" s="1"/>
  <c r="D1331" i="1" a="1"/>
  <c r="D1331" i="1" s="1"/>
  <c r="B1331" i="1"/>
  <c r="R1330" i="1"/>
  <c r="Q1330" i="1"/>
  <c r="P1330" i="1"/>
  <c r="O1330" i="1"/>
  <c r="N1330" i="1"/>
  <c r="L1330" i="1"/>
  <c r="F1330" i="1" a="1"/>
  <c r="F1330" i="1" s="1"/>
  <c r="D1330" i="1"/>
  <c r="D1330" i="1" a="1"/>
  <c r="B1330" i="1"/>
  <c r="R1329" i="1"/>
  <c r="Q1329" i="1"/>
  <c r="P1329" i="1"/>
  <c r="O1329" i="1"/>
  <c r="N1329" i="1"/>
  <c r="L1329" i="1"/>
  <c r="F1329" i="1"/>
  <c r="F1329" i="1" a="1"/>
  <c r="D1329" i="1" a="1"/>
  <c r="D1329" i="1" s="1"/>
  <c r="B1329" i="1"/>
  <c r="R1328" i="1"/>
  <c r="Q1328" i="1"/>
  <c r="P1328" i="1"/>
  <c r="O1328" i="1"/>
  <c r="N1328" i="1"/>
  <c r="L1328" i="1"/>
  <c r="F1328" i="1"/>
  <c r="F1328" i="1" a="1"/>
  <c r="D1328" i="1"/>
  <c r="D1328" i="1" a="1"/>
  <c r="B1328" i="1"/>
  <c r="R1327" i="1"/>
  <c r="Q1327" i="1"/>
  <c r="P1327" i="1"/>
  <c r="O1327" i="1"/>
  <c r="N1327" i="1"/>
  <c r="L1327" i="1"/>
  <c r="F1327" i="1" a="1"/>
  <c r="F1327" i="1" s="1"/>
  <c r="D1327" i="1" a="1"/>
  <c r="D1327" i="1" s="1"/>
  <c r="B1327" i="1"/>
  <c r="R1326" i="1"/>
  <c r="Q1326" i="1"/>
  <c r="P1326" i="1"/>
  <c r="O1326" i="1"/>
  <c r="N1326" i="1"/>
  <c r="L1326" i="1"/>
  <c r="F1326" i="1" a="1"/>
  <c r="F1326" i="1" s="1"/>
  <c r="D1326" i="1" a="1"/>
  <c r="D1326" i="1" s="1"/>
  <c r="B1326" i="1"/>
  <c r="R1325" i="1"/>
  <c r="Q1325" i="1"/>
  <c r="P1325" i="1"/>
  <c r="O1325" i="1"/>
  <c r="N1325" i="1"/>
  <c r="L1325" i="1"/>
  <c r="F1325" i="1"/>
  <c r="F1325" i="1" a="1"/>
  <c r="D1325" i="1"/>
  <c r="D1325" i="1" a="1"/>
  <c r="B1325" i="1"/>
  <c r="R1324" i="1"/>
  <c r="Q1324" i="1"/>
  <c r="P1324" i="1"/>
  <c r="O1324" i="1"/>
  <c r="N1324" i="1"/>
  <c r="L1324" i="1"/>
  <c r="F1324" i="1" a="1"/>
  <c r="F1324" i="1" s="1"/>
  <c r="D1324" i="1"/>
  <c r="D1324" i="1" a="1"/>
  <c r="B1324" i="1"/>
  <c r="R1323" i="1"/>
  <c r="Q1323" i="1"/>
  <c r="P1323" i="1"/>
  <c r="O1323" i="1"/>
  <c r="N1323" i="1"/>
  <c r="L1323" i="1"/>
  <c r="F1323" i="1"/>
  <c r="F1323" i="1" a="1"/>
  <c r="D1323" i="1" a="1"/>
  <c r="D1323" i="1" s="1"/>
  <c r="B1323" i="1"/>
  <c r="R1322" i="1"/>
  <c r="Q1322" i="1"/>
  <c r="P1322" i="1"/>
  <c r="O1322" i="1"/>
  <c r="N1322" i="1"/>
  <c r="L1322" i="1"/>
  <c r="F1322" i="1"/>
  <c r="F1322" i="1" a="1"/>
  <c r="D1322" i="1" a="1"/>
  <c r="D1322" i="1" s="1"/>
  <c r="B1322" i="1"/>
  <c r="R1321" i="1"/>
  <c r="Q1321" i="1"/>
  <c r="P1321" i="1"/>
  <c r="O1321" i="1"/>
  <c r="N1321" i="1"/>
  <c r="L1321" i="1"/>
  <c r="F1321" i="1"/>
  <c r="F1321" i="1" a="1"/>
  <c r="D1321" i="1" a="1"/>
  <c r="D1321" i="1" s="1"/>
  <c r="B1321" i="1"/>
  <c r="R1320" i="1"/>
  <c r="Q1320" i="1"/>
  <c r="P1320" i="1"/>
  <c r="O1320" i="1"/>
  <c r="N1320" i="1"/>
  <c r="L1320" i="1"/>
  <c r="F1320" i="1" a="1"/>
  <c r="F1320" i="1" s="1"/>
  <c r="D1320" i="1" a="1"/>
  <c r="D1320" i="1" s="1"/>
  <c r="B1320" i="1"/>
  <c r="R1319" i="1"/>
  <c r="Q1319" i="1"/>
  <c r="P1319" i="1"/>
  <c r="O1319" i="1"/>
  <c r="N1319" i="1"/>
  <c r="L1319" i="1"/>
  <c r="F1319" i="1" a="1"/>
  <c r="F1319" i="1" s="1"/>
  <c r="D1319" i="1"/>
  <c r="D1319" i="1" a="1"/>
  <c r="B1319" i="1"/>
  <c r="R1318" i="1"/>
  <c r="Q1318" i="1"/>
  <c r="P1318" i="1"/>
  <c r="O1318" i="1"/>
  <c r="N1318" i="1"/>
  <c r="L1318" i="1"/>
  <c r="F1318" i="1" a="1"/>
  <c r="F1318" i="1" s="1"/>
  <c r="D1318" i="1" a="1"/>
  <c r="D1318" i="1" s="1"/>
  <c r="B1318" i="1"/>
  <c r="R1317" i="1"/>
  <c r="Q1317" i="1"/>
  <c r="P1317" i="1"/>
  <c r="O1317" i="1"/>
  <c r="N1317" i="1"/>
  <c r="L1317" i="1"/>
  <c r="F1317" i="1"/>
  <c r="F1317" i="1" a="1"/>
  <c r="D1317" i="1"/>
  <c r="D1317" i="1" a="1"/>
  <c r="B1317" i="1"/>
  <c r="R1316" i="1"/>
  <c r="Q1316" i="1"/>
  <c r="P1316" i="1"/>
  <c r="O1316" i="1"/>
  <c r="N1316" i="1"/>
  <c r="L1316" i="1"/>
  <c r="F1316" i="1" a="1"/>
  <c r="F1316" i="1" s="1"/>
  <c r="D1316" i="1" a="1"/>
  <c r="D1316" i="1" s="1"/>
  <c r="B1316" i="1"/>
  <c r="R1315" i="1"/>
  <c r="Q1315" i="1"/>
  <c r="P1315" i="1"/>
  <c r="O1315" i="1"/>
  <c r="N1315" i="1"/>
  <c r="L1315" i="1"/>
  <c r="F1315" i="1" a="1"/>
  <c r="F1315" i="1" s="1"/>
  <c r="D1315" i="1"/>
  <c r="D1315" i="1" a="1"/>
  <c r="B1315" i="1"/>
  <c r="R1314" i="1"/>
  <c r="Q1314" i="1"/>
  <c r="P1314" i="1"/>
  <c r="O1314" i="1"/>
  <c r="N1314" i="1"/>
  <c r="L1314" i="1"/>
  <c r="F1314" i="1" a="1"/>
  <c r="F1314" i="1" s="1"/>
  <c r="D1314" i="1" a="1"/>
  <c r="D1314" i="1" s="1"/>
  <c r="B1314" i="1"/>
  <c r="R1313" i="1"/>
  <c r="Q1313" i="1"/>
  <c r="P1313" i="1"/>
  <c r="O1313" i="1"/>
  <c r="N1313" i="1"/>
  <c r="L1313" i="1"/>
  <c r="F1313" i="1"/>
  <c r="F1313" i="1" a="1"/>
  <c r="D1313" i="1"/>
  <c r="D1313" i="1" a="1"/>
  <c r="B1313" i="1"/>
  <c r="R1312" i="1"/>
  <c r="Q1312" i="1"/>
  <c r="P1312" i="1"/>
  <c r="O1312" i="1"/>
  <c r="N1312" i="1"/>
  <c r="L1312" i="1"/>
  <c r="F1312" i="1" a="1"/>
  <c r="F1312" i="1" s="1"/>
  <c r="D1312" i="1" a="1"/>
  <c r="D1312" i="1" s="1"/>
  <c r="B1312" i="1"/>
  <c r="R1311" i="1"/>
  <c r="Q1311" i="1"/>
  <c r="P1311" i="1"/>
  <c r="O1311" i="1"/>
  <c r="N1311" i="1"/>
  <c r="L1311" i="1"/>
  <c r="F1311" i="1" a="1"/>
  <c r="F1311" i="1" s="1"/>
  <c r="D1311" i="1"/>
  <c r="D1311" i="1" a="1"/>
  <c r="B1311" i="1"/>
  <c r="R1310" i="1"/>
  <c r="Q1310" i="1"/>
  <c r="P1310" i="1"/>
  <c r="O1310" i="1"/>
  <c r="N1310" i="1"/>
  <c r="L1310" i="1"/>
  <c r="F1310" i="1" a="1"/>
  <c r="F1310" i="1" s="1"/>
  <c r="D1310" i="1" a="1"/>
  <c r="D1310" i="1" s="1"/>
  <c r="B1310" i="1"/>
  <c r="R1309" i="1"/>
  <c r="Q1309" i="1"/>
  <c r="P1309" i="1"/>
  <c r="O1309" i="1"/>
  <c r="N1309" i="1"/>
  <c r="L1309" i="1"/>
  <c r="F1309" i="1"/>
  <c r="F1309" i="1" a="1"/>
  <c r="D1309" i="1"/>
  <c r="D1309" i="1" a="1"/>
  <c r="B1309" i="1"/>
  <c r="R1308" i="1"/>
  <c r="Q1308" i="1"/>
  <c r="P1308" i="1"/>
  <c r="O1308" i="1"/>
  <c r="N1308" i="1"/>
  <c r="L1308" i="1"/>
  <c r="F1308" i="1" a="1"/>
  <c r="F1308" i="1" s="1"/>
  <c r="D1308" i="1" a="1"/>
  <c r="D1308" i="1" s="1"/>
  <c r="B1308" i="1"/>
  <c r="R1307" i="1"/>
  <c r="Q1307" i="1"/>
  <c r="P1307" i="1"/>
  <c r="O1307" i="1"/>
  <c r="N1307" i="1"/>
  <c r="L1307" i="1"/>
  <c r="F1307" i="1" a="1"/>
  <c r="F1307" i="1" s="1"/>
  <c r="D1307" i="1"/>
  <c r="D1307" i="1" a="1"/>
  <c r="B1307" i="1"/>
  <c r="R1306" i="1"/>
  <c r="Q1306" i="1"/>
  <c r="P1306" i="1"/>
  <c r="O1306" i="1"/>
  <c r="N1306" i="1"/>
  <c r="L1306" i="1"/>
  <c r="F1306" i="1" a="1"/>
  <c r="F1306" i="1" s="1"/>
  <c r="D1306" i="1" a="1"/>
  <c r="D1306" i="1" s="1"/>
  <c r="B1306" i="1"/>
  <c r="R1305" i="1"/>
  <c r="Q1305" i="1"/>
  <c r="P1305" i="1"/>
  <c r="O1305" i="1"/>
  <c r="N1305" i="1"/>
  <c r="L1305" i="1"/>
  <c r="F1305" i="1"/>
  <c r="F1305" i="1" a="1"/>
  <c r="D1305" i="1"/>
  <c r="D1305" i="1" a="1"/>
  <c r="B1305" i="1"/>
  <c r="R1304" i="1"/>
  <c r="Q1304" i="1"/>
  <c r="P1304" i="1"/>
  <c r="O1304" i="1"/>
  <c r="N1304" i="1"/>
  <c r="L1304" i="1"/>
  <c r="F1304" i="1" a="1"/>
  <c r="F1304" i="1" s="1"/>
  <c r="D1304" i="1" a="1"/>
  <c r="D1304" i="1" s="1"/>
  <c r="B1304" i="1"/>
  <c r="R1303" i="1"/>
  <c r="Q1303" i="1"/>
  <c r="P1303" i="1"/>
  <c r="O1303" i="1"/>
  <c r="N1303" i="1"/>
  <c r="L1303" i="1"/>
  <c r="F1303" i="1" a="1"/>
  <c r="F1303" i="1" s="1"/>
  <c r="D1303" i="1"/>
  <c r="D1303" i="1" a="1"/>
  <c r="B1303" i="1"/>
  <c r="R1302" i="1"/>
  <c r="Q1302" i="1"/>
  <c r="P1302" i="1"/>
  <c r="O1302" i="1"/>
  <c r="N1302" i="1"/>
  <c r="L1302" i="1"/>
  <c r="F1302" i="1" a="1"/>
  <c r="F1302" i="1" s="1"/>
  <c r="D1302" i="1" a="1"/>
  <c r="D1302" i="1" s="1"/>
  <c r="B1302" i="1"/>
  <c r="R1301" i="1"/>
  <c r="Q1301" i="1"/>
  <c r="P1301" i="1"/>
  <c r="O1301" i="1"/>
  <c r="N1301" i="1"/>
  <c r="L1301" i="1"/>
  <c r="F1301" i="1"/>
  <c r="F1301" i="1" a="1"/>
  <c r="D1301" i="1"/>
  <c r="D1301" i="1" a="1"/>
  <c r="B1301" i="1"/>
  <c r="R1300" i="1"/>
  <c r="Q1300" i="1"/>
  <c r="P1300" i="1"/>
  <c r="O1300" i="1"/>
  <c r="N1300" i="1"/>
  <c r="L1300" i="1"/>
  <c r="F1300" i="1" a="1"/>
  <c r="F1300" i="1" s="1"/>
  <c r="D1300" i="1" a="1"/>
  <c r="D1300" i="1" s="1"/>
  <c r="B1300" i="1"/>
  <c r="R1299" i="1"/>
  <c r="Q1299" i="1"/>
  <c r="P1299" i="1"/>
  <c r="O1299" i="1"/>
  <c r="N1299" i="1"/>
  <c r="L1299" i="1"/>
  <c r="F1299" i="1" a="1"/>
  <c r="F1299" i="1" s="1"/>
  <c r="D1299" i="1"/>
  <c r="D1299" i="1" a="1"/>
  <c r="B1299" i="1"/>
  <c r="R1298" i="1"/>
  <c r="Q1298" i="1"/>
  <c r="P1298" i="1"/>
  <c r="O1298" i="1"/>
  <c r="N1298" i="1"/>
  <c r="L1298" i="1"/>
  <c r="F1298" i="1" a="1"/>
  <c r="F1298" i="1" s="1"/>
  <c r="D1298" i="1" a="1"/>
  <c r="D1298" i="1" s="1"/>
  <c r="B1298" i="1"/>
  <c r="R1297" i="1"/>
  <c r="Q1297" i="1"/>
  <c r="P1297" i="1"/>
  <c r="O1297" i="1"/>
  <c r="N1297" i="1"/>
  <c r="L1297" i="1"/>
  <c r="F1297" i="1"/>
  <c r="F1297" i="1" a="1"/>
  <c r="D1297" i="1"/>
  <c r="D1297" i="1" a="1"/>
  <c r="B1297" i="1"/>
  <c r="R1296" i="1"/>
  <c r="Q1296" i="1"/>
  <c r="P1296" i="1"/>
  <c r="O1296" i="1"/>
  <c r="N1296" i="1"/>
  <c r="L1296" i="1"/>
  <c r="F1296" i="1" a="1"/>
  <c r="F1296" i="1" s="1"/>
  <c r="D1296" i="1" a="1"/>
  <c r="D1296" i="1" s="1"/>
  <c r="B1296" i="1"/>
  <c r="R1295" i="1"/>
  <c r="Q1295" i="1"/>
  <c r="P1295" i="1"/>
  <c r="O1295" i="1"/>
  <c r="N1295" i="1"/>
  <c r="L1295" i="1"/>
  <c r="F1295" i="1" a="1"/>
  <c r="F1295" i="1" s="1"/>
  <c r="D1295" i="1"/>
  <c r="D1295" i="1" a="1"/>
  <c r="B1295" i="1"/>
  <c r="R1294" i="1"/>
  <c r="Q1294" i="1"/>
  <c r="P1294" i="1"/>
  <c r="O1294" i="1"/>
  <c r="N1294" i="1"/>
  <c r="L1294" i="1"/>
  <c r="F1294" i="1" a="1"/>
  <c r="F1294" i="1" s="1"/>
  <c r="D1294" i="1" a="1"/>
  <c r="D1294" i="1" s="1"/>
  <c r="B1294" i="1"/>
  <c r="R1293" i="1"/>
  <c r="Q1293" i="1"/>
  <c r="P1293" i="1"/>
  <c r="O1293" i="1"/>
  <c r="N1293" i="1"/>
  <c r="L1293" i="1"/>
  <c r="F1293" i="1"/>
  <c r="F1293" i="1" a="1"/>
  <c r="D1293" i="1"/>
  <c r="D1293" i="1" a="1"/>
  <c r="B1293" i="1"/>
  <c r="R1292" i="1"/>
  <c r="Q1292" i="1"/>
  <c r="P1292" i="1"/>
  <c r="O1292" i="1"/>
  <c r="N1292" i="1"/>
  <c r="L1292" i="1"/>
  <c r="F1292" i="1" a="1"/>
  <c r="F1292" i="1" s="1"/>
  <c r="D1292" i="1" a="1"/>
  <c r="D1292" i="1" s="1"/>
  <c r="B1292" i="1"/>
  <c r="R1291" i="1"/>
  <c r="Q1291" i="1"/>
  <c r="P1291" i="1"/>
  <c r="O1291" i="1"/>
  <c r="N1291" i="1"/>
  <c r="L1291" i="1"/>
  <c r="F1291" i="1" a="1"/>
  <c r="F1291" i="1" s="1"/>
  <c r="D1291" i="1"/>
  <c r="D1291" i="1" a="1"/>
  <c r="B1291" i="1"/>
  <c r="R1290" i="1"/>
  <c r="Q1290" i="1"/>
  <c r="P1290" i="1"/>
  <c r="O1290" i="1"/>
  <c r="N1290" i="1"/>
  <c r="L1290" i="1"/>
  <c r="F1290" i="1" a="1"/>
  <c r="F1290" i="1" s="1"/>
  <c r="D1290" i="1" a="1"/>
  <c r="D1290" i="1" s="1"/>
  <c r="B1290" i="1"/>
  <c r="R1289" i="1"/>
  <c r="Q1289" i="1"/>
  <c r="P1289" i="1"/>
  <c r="O1289" i="1"/>
  <c r="N1289" i="1"/>
  <c r="L1289" i="1"/>
  <c r="F1289" i="1"/>
  <c r="F1289" i="1" a="1"/>
  <c r="D1289" i="1"/>
  <c r="D1289" i="1" a="1"/>
  <c r="B1289" i="1"/>
  <c r="R1288" i="1"/>
  <c r="Q1288" i="1"/>
  <c r="P1288" i="1"/>
  <c r="O1288" i="1"/>
  <c r="N1288" i="1"/>
  <c r="L1288" i="1"/>
  <c r="F1288" i="1" a="1"/>
  <c r="F1288" i="1" s="1"/>
  <c r="D1288" i="1" a="1"/>
  <c r="D1288" i="1" s="1"/>
  <c r="B1288" i="1"/>
  <c r="R1287" i="1"/>
  <c r="Q1287" i="1"/>
  <c r="P1287" i="1"/>
  <c r="O1287" i="1"/>
  <c r="N1287" i="1"/>
  <c r="L1287" i="1"/>
  <c r="F1287" i="1" a="1"/>
  <c r="F1287" i="1" s="1"/>
  <c r="D1287" i="1"/>
  <c r="D1287" i="1" a="1"/>
  <c r="B1287" i="1"/>
  <c r="R1286" i="1"/>
  <c r="Q1286" i="1"/>
  <c r="P1286" i="1"/>
  <c r="O1286" i="1"/>
  <c r="N1286" i="1"/>
  <c r="L1286" i="1"/>
  <c r="F1286" i="1" a="1"/>
  <c r="F1286" i="1" s="1"/>
  <c r="D1286" i="1" a="1"/>
  <c r="D1286" i="1" s="1"/>
  <c r="B1286" i="1"/>
  <c r="R1285" i="1"/>
  <c r="Q1285" i="1"/>
  <c r="P1285" i="1"/>
  <c r="O1285" i="1"/>
  <c r="N1285" i="1"/>
  <c r="L1285" i="1"/>
  <c r="F1285" i="1"/>
  <c r="F1285" i="1" a="1"/>
  <c r="D1285" i="1"/>
  <c r="D1285" i="1" a="1"/>
  <c r="B1285" i="1"/>
  <c r="R1284" i="1"/>
  <c r="Q1284" i="1"/>
  <c r="P1284" i="1"/>
  <c r="O1284" i="1"/>
  <c r="N1284" i="1"/>
  <c r="L1284" i="1"/>
  <c r="F1284" i="1" a="1"/>
  <c r="F1284" i="1" s="1"/>
  <c r="D1284" i="1" a="1"/>
  <c r="D1284" i="1" s="1"/>
  <c r="B1284" i="1"/>
  <c r="R1283" i="1"/>
  <c r="Q1283" i="1"/>
  <c r="P1283" i="1"/>
  <c r="O1283" i="1"/>
  <c r="N1283" i="1"/>
  <c r="L1283" i="1"/>
  <c r="F1283" i="1" a="1"/>
  <c r="F1283" i="1" s="1"/>
  <c r="D1283" i="1"/>
  <c r="D1283" i="1" a="1"/>
  <c r="B1283" i="1"/>
  <c r="R1282" i="1"/>
  <c r="Q1282" i="1"/>
  <c r="P1282" i="1"/>
  <c r="O1282" i="1"/>
  <c r="N1282" i="1"/>
  <c r="L1282" i="1"/>
  <c r="F1282" i="1" a="1"/>
  <c r="F1282" i="1" s="1"/>
  <c r="D1282" i="1" a="1"/>
  <c r="D1282" i="1" s="1"/>
  <c r="B1282" i="1"/>
  <c r="R1281" i="1"/>
  <c r="Q1281" i="1"/>
  <c r="P1281" i="1"/>
  <c r="O1281" i="1"/>
  <c r="N1281" i="1"/>
  <c r="L1281" i="1"/>
  <c r="F1281" i="1"/>
  <c r="F1281" i="1" a="1"/>
  <c r="D1281" i="1"/>
  <c r="D1281" i="1" a="1"/>
  <c r="B1281" i="1"/>
  <c r="R1280" i="1"/>
  <c r="Q1280" i="1"/>
  <c r="P1280" i="1"/>
  <c r="O1280" i="1"/>
  <c r="N1280" i="1"/>
  <c r="L1280" i="1"/>
  <c r="F1280" i="1" a="1"/>
  <c r="F1280" i="1" s="1"/>
  <c r="D1280" i="1" a="1"/>
  <c r="D1280" i="1" s="1"/>
  <c r="B1280" i="1"/>
  <c r="R1279" i="1"/>
  <c r="Q1279" i="1"/>
  <c r="P1279" i="1"/>
  <c r="O1279" i="1"/>
  <c r="N1279" i="1"/>
  <c r="L1279" i="1"/>
  <c r="F1279" i="1" a="1"/>
  <c r="F1279" i="1" s="1"/>
  <c r="D1279" i="1"/>
  <c r="D1279" i="1" a="1"/>
  <c r="B1279" i="1"/>
  <c r="R1278" i="1"/>
  <c r="Q1278" i="1"/>
  <c r="P1278" i="1"/>
  <c r="O1278" i="1"/>
  <c r="N1278" i="1"/>
  <c r="L1278" i="1"/>
  <c r="F1278" i="1" a="1"/>
  <c r="F1278" i="1" s="1"/>
  <c r="D1278" i="1" a="1"/>
  <c r="D1278" i="1" s="1"/>
  <c r="B1278" i="1"/>
  <c r="R1277" i="1"/>
  <c r="Q1277" i="1"/>
  <c r="P1277" i="1"/>
  <c r="O1277" i="1"/>
  <c r="N1277" i="1"/>
  <c r="L1277" i="1"/>
  <c r="F1277" i="1"/>
  <c r="F1277" i="1" a="1"/>
  <c r="D1277" i="1"/>
  <c r="D1277" i="1" a="1"/>
  <c r="B1277" i="1"/>
  <c r="R1276" i="1"/>
  <c r="Q1276" i="1"/>
  <c r="P1276" i="1"/>
  <c r="O1276" i="1"/>
  <c r="N1276" i="1"/>
  <c r="L1276" i="1"/>
  <c r="F1276" i="1" a="1"/>
  <c r="F1276" i="1" s="1"/>
  <c r="D1276" i="1" a="1"/>
  <c r="D1276" i="1" s="1"/>
  <c r="B1276" i="1"/>
  <c r="R1275" i="1"/>
  <c r="Q1275" i="1"/>
  <c r="P1275" i="1"/>
  <c r="O1275" i="1"/>
  <c r="N1275" i="1"/>
  <c r="L1275" i="1"/>
  <c r="F1275" i="1" a="1"/>
  <c r="F1275" i="1" s="1"/>
  <c r="D1275" i="1"/>
  <c r="D1275" i="1" a="1"/>
  <c r="B1275" i="1"/>
  <c r="R1274" i="1"/>
  <c r="Q1274" i="1"/>
  <c r="P1274" i="1"/>
  <c r="O1274" i="1"/>
  <c r="N1274" i="1"/>
  <c r="L1274" i="1"/>
  <c r="F1274" i="1" a="1"/>
  <c r="F1274" i="1" s="1"/>
  <c r="D1274" i="1" a="1"/>
  <c r="D1274" i="1" s="1"/>
  <c r="B1274" i="1"/>
  <c r="R1273" i="1"/>
  <c r="Q1273" i="1"/>
  <c r="P1273" i="1"/>
  <c r="O1273" i="1"/>
  <c r="N1273" i="1"/>
  <c r="L1273" i="1"/>
  <c r="F1273" i="1"/>
  <c r="F1273" i="1" a="1"/>
  <c r="D1273" i="1"/>
  <c r="D1273" i="1" a="1"/>
  <c r="B1273" i="1"/>
  <c r="R1272" i="1"/>
  <c r="Q1272" i="1"/>
  <c r="P1272" i="1"/>
  <c r="O1272" i="1"/>
  <c r="N1272" i="1"/>
  <c r="L1272" i="1"/>
  <c r="F1272" i="1" a="1"/>
  <c r="F1272" i="1" s="1"/>
  <c r="D1272" i="1" a="1"/>
  <c r="D1272" i="1" s="1"/>
  <c r="B1272" i="1"/>
  <c r="R1271" i="1"/>
  <c r="Q1271" i="1"/>
  <c r="P1271" i="1"/>
  <c r="O1271" i="1"/>
  <c r="N1271" i="1"/>
  <c r="L1271" i="1"/>
  <c r="F1271" i="1" a="1"/>
  <c r="F1271" i="1" s="1"/>
  <c r="D1271" i="1"/>
  <c r="D1271" i="1" a="1"/>
  <c r="B1271" i="1"/>
  <c r="R1270" i="1"/>
  <c r="Q1270" i="1"/>
  <c r="P1270" i="1"/>
  <c r="O1270" i="1"/>
  <c r="N1270" i="1"/>
  <c r="L1270" i="1"/>
  <c r="F1270" i="1" a="1"/>
  <c r="F1270" i="1" s="1"/>
  <c r="D1270" i="1" a="1"/>
  <c r="D1270" i="1" s="1"/>
  <c r="B1270" i="1"/>
  <c r="R1269" i="1"/>
  <c r="Q1269" i="1"/>
  <c r="P1269" i="1"/>
  <c r="O1269" i="1"/>
  <c r="N1269" i="1"/>
  <c r="L1269" i="1"/>
  <c r="F1269" i="1"/>
  <c r="F1269" i="1" a="1"/>
  <c r="D1269" i="1"/>
  <c r="D1269" i="1" a="1"/>
  <c r="B1269" i="1"/>
  <c r="R1268" i="1"/>
  <c r="Q1268" i="1"/>
  <c r="P1268" i="1"/>
  <c r="O1268" i="1"/>
  <c r="N1268" i="1"/>
  <c r="L1268" i="1"/>
  <c r="F1268" i="1" a="1"/>
  <c r="F1268" i="1" s="1"/>
  <c r="D1268" i="1" a="1"/>
  <c r="D1268" i="1" s="1"/>
  <c r="B1268" i="1"/>
  <c r="R1267" i="1"/>
  <c r="Q1267" i="1"/>
  <c r="P1267" i="1"/>
  <c r="O1267" i="1"/>
  <c r="N1267" i="1"/>
  <c r="L1267" i="1"/>
  <c r="F1267" i="1" a="1"/>
  <c r="F1267" i="1" s="1"/>
  <c r="D1267" i="1"/>
  <c r="D1267" i="1" a="1"/>
  <c r="B1267" i="1"/>
  <c r="R1266" i="1"/>
  <c r="Q1266" i="1"/>
  <c r="P1266" i="1"/>
  <c r="O1266" i="1"/>
  <c r="N1266" i="1"/>
  <c r="L1266" i="1"/>
  <c r="F1266" i="1" a="1"/>
  <c r="F1266" i="1" s="1"/>
  <c r="D1266" i="1" a="1"/>
  <c r="D1266" i="1" s="1"/>
  <c r="B1266" i="1"/>
  <c r="R1265" i="1"/>
  <c r="Q1265" i="1"/>
  <c r="P1265" i="1"/>
  <c r="O1265" i="1"/>
  <c r="N1265" i="1"/>
  <c r="L1265" i="1"/>
  <c r="F1265" i="1"/>
  <c r="F1265" i="1" a="1"/>
  <c r="D1265" i="1"/>
  <c r="D1265" i="1" a="1"/>
  <c r="B1265" i="1"/>
  <c r="R1264" i="1"/>
  <c r="Q1264" i="1"/>
  <c r="P1264" i="1"/>
  <c r="O1264" i="1"/>
  <c r="N1264" i="1"/>
  <c r="L1264" i="1"/>
  <c r="F1264" i="1" a="1"/>
  <c r="F1264" i="1" s="1"/>
  <c r="D1264" i="1" a="1"/>
  <c r="D1264" i="1" s="1"/>
  <c r="B1264" i="1"/>
  <c r="R1263" i="1"/>
  <c r="Q1263" i="1"/>
  <c r="P1263" i="1"/>
  <c r="O1263" i="1"/>
  <c r="N1263" i="1"/>
  <c r="L1263" i="1"/>
  <c r="F1263" i="1" a="1"/>
  <c r="F1263" i="1" s="1"/>
  <c r="D1263" i="1"/>
  <c r="D1263" i="1" a="1"/>
  <c r="B1263" i="1"/>
  <c r="R1262" i="1"/>
  <c r="Q1262" i="1"/>
  <c r="P1262" i="1"/>
  <c r="O1262" i="1"/>
  <c r="N1262" i="1"/>
  <c r="L1262" i="1"/>
  <c r="F1262" i="1" a="1"/>
  <c r="F1262" i="1" s="1"/>
  <c r="D1262" i="1" a="1"/>
  <c r="D1262" i="1" s="1"/>
  <c r="B1262" i="1"/>
  <c r="R1261" i="1"/>
  <c r="Q1261" i="1"/>
  <c r="P1261" i="1"/>
  <c r="O1261" i="1"/>
  <c r="N1261" i="1"/>
  <c r="L1261" i="1"/>
  <c r="F1261" i="1"/>
  <c r="F1261" i="1" a="1"/>
  <c r="D1261" i="1"/>
  <c r="D1261" i="1" a="1"/>
  <c r="B1261" i="1"/>
  <c r="R1260" i="1"/>
  <c r="Q1260" i="1"/>
  <c r="P1260" i="1"/>
  <c r="O1260" i="1"/>
  <c r="N1260" i="1"/>
  <c r="L1260" i="1"/>
  <c r="F1260" i="1" a="1"/>
  <c r="F1260" i="1" s="1"/>
  <c r="D1260" i="1" a="1"/>
  <c r="D1260" i="1" s="1"/>
  <c r="B1260" i="1"/>
  <c r="R1259" i="1"/>
  <c r="Q1259" i="1"/>
  <c r="P1259" i="1"/>
  <c r="O1259" i="1"/>
  <c r="N1259" i="1"/>
  <c r="L1259" i="1"/>
  <c r="F1259" i="1" a="1"/>
  <c r="F1259" i="1" s="1"/>
  <c r="D1259" i="1"/>
  <c r="D1259" i="1" a="1"/>
  <c r="B1259" i="1"/>
  <c r="R1258" i="1"/>
  <c r="Q1258" i="1"/>
  <c r="P1258" i="1"/>
  <c r="O1258" i="1"/>
  <c r="N1258" i="1"/>
  <c r="L1258" i="1"/>
  <c r="F1258" i="1" a="1"/>
  <c r="F1258" i="1" s="1"/>
  <c r="D1258" i="1" a="1"/>
  <c r="D1258" i="1" s="1"/>
  <c r="B1258" i="1"/>
  <c r="R1257" i="1"/>
  <c r="Q1257" i="1"/>
  <c r="P1257" i="1"/>
  <c r="O1257" i="1"/>
  <c r="N1257" i="1"/>
  <c r="L1257" i="1"/>
  <c r="F1257" i="1"/>
  <c r="F1257" i="1" a="1"/>
  <c r="D1257" i="1"/>
  <c r="D1257" i="1" a="1"/>
  <c r="B1257" i="1"/>
  <c r="R1256" i="1"/>
  <c r="Q1256" i="1"/>
  <c r="P1256" i="1"/>
  <c r="O1256" i="1"/>
  <c r="N1256" i="1"/>
  <c r="L1256" i="1"/>
  <c r="F1256" i="1" a="1"/>
  <c r="F1256" i="1" s="1"/>
  <c r="D1256" i="1" a="1"/>
  <c r="D1256" i="1" s="1"/>
  <c r="B1256" i="1"/>
  <c r="R1255" i="1"/>
  <c r="Q1255" i="1"/>
  <c r="P1255" i="1"/>
  <c r="O1255" i="1"/>
  <c r="N1255" i="1"/>
  <c r="L1255" i="1"/>
  <c r="F1255" i="1" a="1"/>
  <c r="F1255" i="1" s="1"/>
  <c r="D1255" i="1"/>
  <c r="D1255" i="1" a="1"/>
  <c r="B1255" i="1"/>
  <c r="R1254" i="1"/>
  <c r="Q1254" i="1"/>
  <c r="P1254" i="1"/>
  <c r="O1254" i="1"/>
  <c r="N1254" i="1"/>
  <c r="L1254" i="1"/>
  <c r="F1254" i="1" a="1"/>
  <c r="F1254" i="1" s="1"/>
  <c r="D1254" i="1" a="1"/>
  <c r="D1254" i="1" s="1"/>
  <c r="B1254" i="1"/>
  <c r="R1253" i="1"/>
  <c r="Q1253" i="1"/>
  <c r="P1253" i="1"/>
  <c r="O1253" i="1"/>
  <c r="N1253" i="1"/>
  <c r="L1253" i="1"/>
  <c r="F1253" i="1"/>
  <c r="F1253" i="1" a="1"/>
  <c r="D1253" i="1"/>
  <c r="D1253" i="1" a="1"/>
  <c r="B1253" i="1"/>
  <c r="R1252" i="1"/>
  <c r="Q1252" i="1"/>
  <c r="P1252" i="1"/>
  <c r="O1252" i="1"/>
  <c r="N1252" i="1"/>
  <c r="L1252" i="1"/>
  <c r="F1252" i="1" a="1"/>
  <c r="F1252" i="1" s="1"/>
  <c r="D1252" i="1" a="1"/>
  <c r="D1252" i="1" s="1"/>
  <c r="B1252" i="1"/>
  <c r="R1251" i="1"/>
  <c r="Q1251" i="1"/>
  <c r="P1251" i="1"/>
  <c r="O1251" i="1"/>
  <c r="N1251" i="1"/>
  <c r="L1251" i="1"/>
  <c r="F1251" i="1" a="1"/>
  <c r="F1251" i="1" s="1"/>
  <c r="D1251" i="1"/>
  <c r="D1251" i="1" a="1"/>
  <c r="B1251" i="1"/>
  <c r="R1250" i="1"/>
  <c r="Q1250" i="1"/>
  <c r="P1250" i="1"/>
  <c r="O1250" i="1"/>
  <c r="N1250" i="1"/>
  <c r="L1250" i="1"/>
  <c r="F1250" i="1" a="1"/>
  <c r="F1250" i="1" s="1"/>
  <c r="D1250" i="1" a="1"/>
  <c r="D1250" i="1" s="1"/>
  <c r="B1250" i="1"/>
  <c r="R1249" i="1"/>
  <c r="Q1249" i="1"/>
  <c r="P1249" i="1"/>
  <c r="O1249" i="1"/>
  <c r="N1249" i="1"/>
  <c r="L1249" i="1"/>
  <c r="F1249" i="1"/>
  <c r="F1249" i="1" a="1"/>
  <c r="D1249" i="1"/>
  <c r="D1249" i="1" a="1"/>
  <c r="B1249" i="1"/>
  <c r="R1248" i="1"/>
  <c r="Q1248" i="1"/>
  <c r="P1248" i="1"/>
  <c r="O1248" i="1"/>
  <c r="N1248" i="1"/>
  <c r="L1248" i="1"/>
  <c r="F1248" i="1" a="1"/>
  <c r="F1248" i="1" s="1"/>
  <c r="D1248" i="1" a="1"/>
  <c r="D1248" i="1" s="1"/>
  <c r="B1248" i="1"/>
  <c r="R1247" i="1"/>
  <c r="Q1247" i="1"/>
  <c r="P1247" i="1"/>
  <c r="O1247" i="1"/>
  <c r="N1247" i="1"/>
  <c r="L1247" i="1"/>
  <c r="F1247" i="1" a="1"/>
  <c r="F1247" i="1" s="1"/>
  <c r="D1247" i="1"/>
  <c r="D1247" i="1" a="1"/>
  <c r="B1247" i="1"/>
  <c r="R1246" i="1"/>
  <c r="Q1246" i="1"/>
  <c r="P1246" i="1"/>
  <c r="O1246" i="1"/>
  <c r="N1246" i="1"/>
  <c r="L1246" i="1"/>
  <c r="F1246" i="1" a="1"/>
  <c r="F1246" i="1" s="1"/>
  <c r="D1246" i="1" a="1"/>
  <c r="D1246" i="1" s="1"/>
  <c r="B1246" i="1"/>
  <c r="R1245" i="1"/>
  <c r="Q1245" i="1"/>
  <c r="P1245" i="1"/>
  <c r="O1245" i="1"/>
  <c r="N1245" i="1"/>
  <c r="L1245" i="1"/>
  <c r="F1245" i="1"/>
  <c r="F1245" i="1" a="1"/>
  <c r="D1245" i="1"/>
  <c r="D1245" i="1" a="1"/>
  <c r="B1245" i="1"/>
  <c r="R1244" i="1"/>
  <c r="Q1244" i="1"/>
  <c r="P1244" i="1"/>
  <c r="O1244" i="1"/>
  <c r="N1244" i="1"/>
  <c r="L1244" i="1"/>
  <c r="F1244" i="1" a="1"/>
  <c r="F1244" i="1" s="1"/>
  <c r="D1244" i="1" a="1"/>
  <c r="D1244" i="1" s="1"/>
  <c r="B1244" i="1"/>
  <c r="R1243" i="1"/>
  <c r="Q1243" i="1"/>
  <c r="P1243" i="1"/>
  <c r="O1243" i="1"/>
  <c r="N1243" i="1"/>
  <c r="L1243" i="1"/>
  <c r="F1243" i="1" a="1"/>
  <c r="F1243" i="1" s="1"/>
  <c r="D1243" i="1"/>
  <c r="D1243" i="1" a="1"/>
  <c r="B1243" i="1"/>
  <c r="R1242" i="1"/>
  <c r="Q1242" i="1"/>
  <c r="P1242" i="1"/>
  <c r="O1242" i="1"/>
  <c r="N1242" i="1"/>
  <c r="L1242" i="1"/>
  <c r="F1242" i="1" a="1"/>
  <c r="F1242" i="1" s="1"/>
  <c r="D1242" i="1" a="1"/>
  <c r="D1242" i="1" s="1"/>
  <c r="B1242" i="1"/>
  <c r="R1241" i="1"/>
  <c r="Q1241" i="1"/>
  <c r="P1241" i="1"/>
  <c r="O1241" i="1"/>
  <c r="N1241" i="1"/>
  <c r="L1241" i="1"/>
  <c r="F1241" i="1"/>
  <c r="F1241" i="1" a="1"/>
  <c r="D1241" i="1"/>
  <c r="D1241" i="1" a="1"/>
  <c r="B1241" i="1"/>
  <c r="R1240" i="1"/>
  <c r="Q1240" i="1"/>
  <c r="P1240" i="1"/>
  <c r="O1240" i="1"/>
  <c r="N1240" i="1"/>
  <c r="L1240" i="1"/>
  <c r="F1240" i="1" a="1"/>
  <c r="F1240" i="1" s="1"/>
  <c r="D1240" i="1" a="1"/>
  <c r="D1240" i="1" s="1"/>
  <c r="B1240" i="1"/>
  <c r="R1239" i="1"/>
  <c r="Q1239" i="1"/>
  <c r="P1239" i="1"/>
  <c r="O1239" i="1"/>
  <c r="N1239" i="1"/>
  <c r="L1239" i="1"/>
  <c r="F1239" i="1" a="1"/>
  <c r="F1239" i="1" s="1"/>
  <c r="D1239" i="1"/>
  <c r="D1239" i="1" a="1"/>
  <c r="B1239" i="1"/>
  <c r="R1238" i="1"/>
  <c r="Q1238" i="1"/>
  <c r="P1238" i="1"/>
  <c r="O1238" i="1"/>
  <c r="N1238" i="1"/>
  <c r="L1238" i="1"/>
  <c r="F1238" i="1" a="1"/>
  <c r="F1238" i="1" s="1"/>
  <c r="D1238" i="1" a="1"/>
  <c r="D1238" i="1" s="1"/>
  <c r="B1238" i="1"/>
  <c r="R1237" i="1"/>
  <c r="Q1237" i="1"/>
  <c r="P1237" i="1"/>
  <c r="O1237" i="1"/>
  <c r="N1237" i="1"/>
  <c r="L1237" i="1"/>
  <c r="F1237" i="1"/>
  <c r="F1237" i="1" a="1"/>
  <c r="D1237" i="1"/>
  <c r="D1237" i="1" a="1"/>
  <c r="B1237" i="1"/>
  <c r="R1236" i="1"/>
  <c r="Q1236" i="1"/>
  <c r="P1236" i="1"/>
  <c r="O1236" i="1"/>
  <c r="N1236" i="1"/>
  <c r="L1236" i="1"/>
  <c r="F1236" i="1" a="1"/>
  <c r="F1236" i="1" s="1"/>
  <c r="D1236" i="1" a="1"/>
  <c r="D1236" i="1" s="1"/>
  <c r="B1236" i="1"/>
  <c r="R1235" i="1"/>
  <c r="Q1235" i="1"/>
  <c r="P1235" i="1"/>
  <c r="O1235" i="1"/>
  <c r="N1235" i="1"/>
  <c r="L1235" i="1"/>
  <c r="F1235" i="1" a="1"/>
  <c r="F1235" i="1" s="1"/>
  <c r="D1235" i="1"/>
  <c r="D1235" i="1" a="1"/>
  <c r="B1235" i="1"/>
  <c r="R1234" i="1"/>
  <c r="Q1234" i="1"/>
  <c r="P1234" i="1"/>
  <c r="O1234" i="1"/>
  <c r="N1234" i="1"/>
  <c r="L1234" i="1"/>
  <c r="F1234" i="1" a="1"/>
  <c r="F1234" i="1" s="1"/>
  <c r="D1234" i="1" a="1"/>
  <c r="D1234" i="1" s="1"/>
  <c r="B1234" i="1"/>
  <c r="R1233" i="1"/>
  <c r="Q1233" i="1"/>
  <c r="P1233" i="1"/>
  <c r="O1233" i="1"/>
  <c r="N1233" i="1"/>
  <c r="L1233" i="1"/>
  <c r="F1233" i="1"/>
  <c r="F1233" i="1" a="1"/>
  <c r="D1233" i="1"/>
  <c r="D1233" i="1" a="1"/>
  <c r="B1233" i="1"/>
  <c r="R1232" i="1"/>
  <c r="Q1232" i="1"/>
  <c r="P1232" i="1"/>
  <c r="O1232" i="1"/>
  <c r="N1232" i="1"/>
  <c r="L1232" i="1"/>
  <c r="F1232" i="1" a="1"/>
  <c r="F1232" i="1" s="1"/>
  <c r="D1232" i="1" a="1"/>
  <c r="D1232" i="1" s="1"/>
  <c r="B1232" i="1"/>
  <c r="R1231" i="1"/>
  <c r="Q1231" i="1"/>
  <c r="P1231" i="1"/>
  <c r="O1231" i="1"/>
  <c r="N1231" i="1"/>
  <c r="L1231" i="1"/>
  <c r="F1231" i="1" a="1"/>
  <c r="F1231" i="1" s="1"/>
  <c r="D1231" i="1"/>
  <c r="D1231" i="1" a="1"/>
  <c r="B1231" i="1"/>
  <c r="R1230" i="1"/>
  <c r="Q1230" i="1"/>
  <c r="P1230" i="1"/>
  <c r="O1230" i="1"/>
  <c r="N1230" i="1"/>
  <c r="L1230" i="1"/>
  <c r="F1230" i="1" a="1"/>
  <c r="F1230" i="1" s="1"/>
  <c r="D1230" i="1" a="1"/>
  <c r="D1230" i="1" s="1"/>
  <c r="B1230" i="1"/>
  <c r="R1229" i="1"/>
  <c r="Q1229" i="1"/>
  <c r="P1229" i="1"/>
  <c r="O1229" i="1"/>
  <c r="N1229" i="1"/>
  <c r="L1229" i="1"/>
  <c r="F1229" i="1"/>
  <c r="F1229" i="1" a="1"/>
  <c r="D1229" i="1"/>
  <c r="D1229" i="1" a="1"/>
  <c r="B1229" i="1"/>
  <c r="R1228" i="1"/>
  <c r="Q1228" i="1"/>
  <c r="P1228" i="1"/>
  <c r="O1228" i="1"/>
  <c r="N1228" i="1"/>
  <c r="L1228" i="1"/>
  <c r="F1228" i="1" a="1"/>
  <c r="F1228" i="1" s="1"/>
  <c r="D1228" i="1" a="1"/>
  <c r="D1228" i="1" s="1"/>
  <c r="B1228" i="1"/>
  <c r="R1227" i="1"/>
  <c r="Q1227" i="1"/>
  <c r="P1227" i="1"/>
  <c r="O1227" i="1"/>
  <c r="N1227" i="1"/>
  <c r="L1227" i="1"/>
  <c r="F1227" i="1" a="1"/>
  <c r="F1227" i="1" s="1"/>
  <c r="D1227" i="1"/>
  <c r="D1227" i="1" a="1"/>
  <c r="B1227" i="1"/>
  <c r="R1226" i="1"/>
  <c r="Q1226" i="1"/>
  <c r="P1226" i="1"/>
  <c r="O1226" i="1"/>
  <c r="N1226" i="1"/>
  <c r="L1226" i="1"/>
  <c r="F1226" i="1" a="1"/>
  <c r="F1226" i="1" s="1"/>
  <c r="D1226" i="1" a="1"/>
  <c r="D1226" i="1" s="1"/>
  <c r="B1226" i="1"/>
  <c r="R1225" i="1"/>
  <c r="Q1225" i="1"/>
  <c r="P1225" i="1"/>
  <c r="O1225" i="1"/>
  <c r="N1225" i="1"/>
  <c r="L1225" i="1"/>
  <c r="F1225" i="1"/>
  <c r="F1225" i="1" a="1"/>
  <c r="D1225" i="1"/>
  <c r="D1225" i="1" a="1"/>
  <c r="B1225" i="1"/>
  <c r="R1224" i="1"/>
  <c r="Q1224" i="1"/>
  <c r="P1224" i="1"/>
  <c r="O1224" i="1"/>
  <c r="N1224" i="1"/>
  <c r="L1224" i="1"/>
  <c r="F1224" i="1" a="1"/>
  <c r="F1224" i="1" s="1"/>
  <c r="D1224" i="1" a="1"/>
  <c r="D1224" i="1" s="1"/>
  <c r="B1224" i="1"/>
  <c r="R1223" i="1"/>
  <c r="Q1223" i="1"/>
  <c r="P1223" i="1"/>
  <c r="O1223" i="1"/>
  <c r="N1223" i="1"/>
  <c r="L1223" i="1"/>
  <c r="F1223" i="1" a="1"/>
  <c r="F1223" i="1" s="1"/>
  <c r="D1223" i="1"/>
  <c r="D1223" i="1" a="1"/>
  <c r="B1223" i="1"/>
  <c r="R1222" i="1"/>
  <c r="Q1222" i="1"/>
  <c r="P1222" i="1"/>
  <c r="O1222" i="1"/>
  <c r="N1222" i="1"/>
  <c r="L1222" i="1"/>
  <c r="F1222" i="1" a="1"/>
  <c r="F1222" i="1" s="1"/>
  <c r="D1222" i="1" a="1"/>
  <c r="D1222" i="1" s="1"/>
  <c r="B1222" i="1"/>
  <c r="R1221" i="1"/>
  <c r="Q1221" i="1"/>
  <c r="P1221" i="1"/>
  <c r="O1221" i="1"/>
  <c r="N1221" i="1"/>
  <c r="L1221" i="1"/>
  <c r="F1221" i="1"/>
  <c r="F1221" i="1" a="1"/>
  <c r="D1221" i="1"/>
  <c r="D1221" i="1" a="1"/>
  <c r="B1221" i="1"/>
  <c r="R1220" i="1"/>
  <c r="Q1220" i="1"/>
  <c r="P1220" i="1"/>
  <c r="O1220" i="1"/>
  <c r="N1220" i="1"/>
  <c r="L1220" i="1"/>
  <c r="F1220" i="1" a="1"/>
  <c r="F1220" i="1" s="1"/>
  <c r="D1220" i="1" a="1"/>
  <c r="D1220" i="1" s="1"/>
  <c r="B1220" i="1"/>
  <c r="R1219" i="1"/>
  <c r="Q1219" i="1"/>
  <c r="P1219" i="1"/>
  <c r="O1219" i="1"/>
  <c r="N1219" i="1"/>
  <c r="L1219" i="1"/>
  <c r="F1219" i="1" a="1"/>
  <c r="F1219" i="1" s="1"/>
  <c r="D1219" i="1"/>
  <c r="D1219" i="1" a="1"/>
  <c r="B1219" i="1"/>
  <c r="R1218" i="1"/>
  <c r="Q1218" i="1"/>
  <c r="P1218" i="1"/>
  <c r="O1218" i="1"/>
  <c r="N1218" i="1"/>
  <c r="L1218" i="1"/>
  <c r="F1218" i="1" a="1"/>
  <c r="F1218" i="1" s="1"/>
  <c r="D1218" i="1" a="1"/>
  <c r="D1218" i="1" s="1"/>
  <c r="B1218" i="1"/>
  <c r="R1217" i="1"/>
  <c r="Q1217" i="1"/>
  <c r="P1217" i="1"/>
  <c r="O1217" i="1"/>
  <c r="N1217" i="1"/>
  <c r="L1217" i="1"/>
  <c r="F1217" i="1"/>
  <c r="F1217" i="1" a="1"/>
  <c r="D1217" i="1"/>
  <c r="D1217" i="1" a="1"/>
  <c r="B1217" i="1"/>
  <c r="R1216" i="1"/>
  <c r="Q1216" i="1"/>
  <c r="P1216" i="1"/>
  <c r="O1216" i="1"/>
  <c r="N1216" i="1"/>
  <c r="L1216" i="1"/>
  <c r="F1216" i="1" a="1"/>
  <c r="F1216" i="1" s="1"/>
  <c r="D1216" i="1" a="1"/>
  <c r="D1216" i="1" s="1"/>
  <c r="B1216" i="1"/>
  <c r="R1215" i="1"/>
  <c r="Q1215" i="1"/>
  <c r="P1215" i="1"/>
  <c r="O1215" i="1"/>
  <c r="N1215" i="1"/>
  <c r="L1215" i="1"/>
  <c r="F1215" i="1" a="1"/>
  <c r="F1215" i="1" s="1"/>
  <c r="D1215" i="1"/>
  <c r="D1215" i="1" a="1"/>
  <c r="B1215" i="1"/>
  <c r="R1214" i="1"/>
  <c r="Q1214" i="1"/>
  <c r="P1214" i="1"/>
  <c r="O1214" i="1"/>
  <c r="N1214" i="1"/>
  <c r="L1214" i="1"/>
  <c r="F1214" i="1" a="1"/>
  <c r="F1214" i="1" s="1"/>
  <c r="D1214" i="1" a="1"/>
  <c r="D1214" i="1" s="1"/>
  <c r="B1214" i="1"/>
  <c r="R1213" i="1"/>
  <c r="Q1213" i="1"/>
  <c r="P1213" i="1"/>
  <c r="O1213" i="1"/>
  <c r="N1213" i="1"/>
  <c r="L1213" i="1"/>
  <c r="F1213" i="1"/>
  <c r="F1213" i="1" a="1"/>
  <c r="D1213" i="1"/>
  <c r="D1213" i="1" a="1"/>
  <c r="B1213" i="1"/>
  <c r="R1212" i="1"/>
  <c r="Q1212" i="1"/>
  <c r="P1212" i="1"/>
  <c r="O1212" i="1"/>
  <c r="N1212" i="1"/>
  <c r="L1212" i="1"/>
  <c r="F1212" i="1" a="1"/>
  <c r="F1212" i="1" s="1"/>
  <c r="D1212" i="1" a="1"/>
  <c r="D1212" i="1" s="1"/>
  <c r="B1212" i="1"/>
  <c r="R1211" i="1"/>
  <c r="Q1211" i="1"/>
  <c r="P1211" i="1"/>
  <c r="O1211" i="1"/>
  <c r="N1211" i="1"/>
  <c r="L1211" i="1"/>
  <c r="F1211" i="1"/>
  <c r="F1211" i="1" a="1"/>
  <c r="D1211" i="1" a="1"/>
  <c r="D1211" i="1" s="1"/>
  <c r="B1211" i="1"/>
  <c r="R1210" i="1"/>
  <c r="Q1210" i="1"/>
  <c r="P1210" i="1"/>
  <c r="O1210" i="1"/>
  <c r="N1210" i="1"/>
  <c r="L1210" i="1"/>
  <c r="F1210" i="1" a="1"/>
  <c r="F1210" i="1" s="1"/>
  <c r="D1210" i="1" a="1"/>
  <c r="D1210" i="1" s="1"/>
  <c r="B1210" i="1"/>
  <c r="R1209" i="1"/>
  <c r="Q1209" i="1"/>
  <c r="P1209" i="1"/>
  <c r="O1209" i="1"/>
  <c r="N1209" i="1"/>
  <c r="L1209" i="1"/>
  <c r="F1209" i="1"/>
  <c r="F1209" i="1" a="1"/>
  <c r="D1209" i="1"/>
  <c r="D1209" i="1" a="1"/>
  <c r="B1209" i="1"/>
  <c r="R1208" i="1"/>
  <c r="Q1208" i="1"/>
  <c r="P1208" i="1"/>
  <c r="O1208" i="1"/>
  <c r="N1208" i="1"/>
  <c r="L1208" i="1"/>
  <c r="F1208" i="1" a="1"/>
  <c r="F1208" i="1" s="1"/>
  <c r="D1208" i="1" a="1"/>
  <c r="D1208" i="1" s="1"/>
  <c r="B1208" i="1"/>
  <c r="R1207" i="1"/>
  <c r="Q1207" i="1"/>
  <c r="P1207" i="1"/>
  <c r="O1207" i="1"/>
  <c r="N1207" i="1"/>
  <c r="L1207" i="1"/>
  <c r="F1207" i="1"/>
  <c r="F1207" i="1" a="1"/>
  <c r="D1207" i="1"/>
  <c r="D1207" i="1" a="1"/>
  <c r="B1207" i="1"/>
  <c r="R1206" i="1"/>
  <c r="Q1206" i="1"/>
  <c r="P1206" i="1"/>
  <c r="O1206" i="1"/>
  <c r="N1206" i="1"/>
  <c r="L1206" i="1"/>
  <c r="F1206" i="1" a="1"/>
  <c r="F1206" i="1" s="1"/>
  <c r="D1206" i="1" a="1"/>
  <c r="D1206" i="1" s="1"/>
  <c r="B1206" i="1"/>
  <c r="R1205" i="1"/>
  <c r="Q1205" i="1"/>
  <c r="P1205" i="1"/>
  <c r="O1205" i="1"/>
  <c r="N1205" i="1"/>
  <c r="L1205" i="1"/>
  <c r="F1205" i="1"/>
  <c r="F1205" i="1" a="1"/>
  <c r="D1205" i="1" a="1"/>
  <c r="D1205" i="1" s="1"/>
  <c r="B1205" i="1"/>
  <c r="R1204" i="1"/>
  <c r="Q1204" i="1"/>
  <c r="P1204" i="1"/>
  <c r="O1204" i="1"/>
  <c r="N1204" i="1"/>
  <c r="L1204" i="1"/>
  <c r="F1204" i="1" a="1"/>
  <c r="F1204" i="1" s="1"/>
  <c r="D1204" i="1" a="1"/>
  <c r="D1204" i="1" s="1"/>
  <c r="B1204" i="1"/>
  <c r="R1203" i="1"/>
  <c r="Q1203" i="1"/>
  <c r="P1203" i="1"/>
  <c r="O1203" i="1"/>
  <c r="N1203" i="1"/>
  <c r="L1203" i="1"/>
  <c r="F1203" i="1"/>
  <c r="F1203" i="1" a="1"/>
  <c r="D1203" i="1"/>
  <c r="D1203" i="1" a="1"/>
  <c r="B1203" i="1"/>
  <c r="R1202" i="1"/>
  <c r="Q1202" i="1"/>
  <c r="P1202" i="1"/>
  <c r="O1202" i="1"/>
  <c r="N1202" i="1"/>
  <c r="L1202" i="1"/>
  <c r="F1202" i="1" a="1"/>
  <c r="F1202" i="1" s="1"/>
  <c r="D1202" i="1" a="1"/>
  <c r="D1202" i="1" s="1"/>
  <c r="B1202" i="1"/>
  <c r="R1201" i="1"/>
  <c r="Q1201" i="1"/>
  <c r="P1201" i="1"/>
  <c r="O1201" i="1"/>
  <c r="N1201" i="1"/>
  <c r="L1201" i="1"/>
  <c r="F1201" i="1"/>
  <c r="F1201" i="1" a="1"/>
  <c r="D1201" i="1" a="1"/>
  <c r="D1201" i="1" s="1"/>
  <c r="B1201" i="1"/>
  <c r="R1200" i="1"/>
  <c r="Q1200" i="1"/>
  <c r="P1200" i="1"/>
  <c r="O1200" i="1"/>
  <c r="N1200" i="1"/>
  <c r="L1200" i="1"/>
  <c r="F1200" i="1" a="1"/>
  <c r="F1200" i="1" s="1"/>
  <c r="D1200" i="1" a="1"/>
  <c r="D1200" i="1" s="1"/>
  <c r="B1200" i="1"/>
  <c r="R1199" i="1"/>
  <c r="Q1199" i="1"/>
  <c r="P1199" i="1"/>
  <c r="O1199" i="1"/>
  <c r="N1199" i="1"/>
  <c r="L1199" i="1"/>
  <c r="F1199" i="1"/>
  <c r="F1199" i="1" a="1"/>
  <c r="D1199" i="1"/>
  <c r="D1199" i="1" a="1"/>
  <c r="B1199" i="1"/>
  <c r="R1198" i="1"/>
  <c r="Q1198" i="1"/>
  <c r="P1198" i="1"/>
  <c r="O1198" i="1"/>
  <c r="N1198" i="1"/>
  <c r="L1198" i="1"/>
  <c r="F1198" i="1" a="1"/>
  <c r="F1198" i="1" s="1"/>
  <c r="D1198" i="1" a="1"/>
  <c r="D1198" i="1" s="1"/>
  <c r="B1198" i="1"/>
  <c r="R1197" i="1"/>
  <c r="Q1197" i="1"/>
  <c r="P1197" i="1"/>
  <c r="O1197" i="1"/>
  <c r="N1197" i="1"/>
  <c r="L1197" i="1"/>
  <c r="F1197" i="1"/>
  <c r="F1197" i="1" a="1"/>
  <c r="D1197" i="1" a="1"/>
  <c r="D1197" i="1" s="1"/>
  <c r="B1197" i="1"/>
  <c r="R1196" i="1"/>
  <c r="Q1196" i="1"/>
  <c r="P1196" i="1"/>
  <c r="O1196" i="1"/>
  <c r="N1196" i="1"/>
  <c r="L1196" i="1"/>
  <c r="F1196" i="1" a="1"/>
  <c r="F1196" i="1" s="1"/>
  <c r="D1196" i="1" a="1"/>
  <c r="D1196" i="1" s="1"/>
  <c r="B1196" i="1"/>
  <c r="R1195" i="1"/>
  <c r="Q1195" i="1"/>
  <c r="P1195" i="1"/>
  <c r="O1195" i="1"/>
  <c r="N1195" i="1"/>
  <c r="L1195" i="1"/>
  <c r="F1195" i="1" a="1"/>
  <c r="F1195" i="1" s="1"/>
  <c r="D1195" i="1"/>
  <c r="D1195" i="1" a="1"/>
  <c r="B1195" i="1"/>
  <c r="R1194" i="1"/>
  <c r="Q1194" i="1"/>
  <c r="P1194" i="1"/>
  <c r="O1194" i="1"/>
  <c r="N1194" i="1"/>
  <c r="L1194" i="1"/>
  <c r="F1194" i="1" a="1"/>
  <c r="F1194" i="1" s="1"/>
  <c r="D1194" i="1" a="1"/>
  <c r="D1194" i="1" s="1"/>
  <c r="B1194" i="1"/>
  <c r="R1193" i="1"/>
  <c r="Q1193" i="1"/>
  <c r="P1193" i="1"/>
  <c r="O1193" i="1"/>
  <c r="N1193" i="1"/>
  <c r="L1193" i="1"/>
  <c r="F1193" i="1"/>
  <c r="F1193" i="1" a="1"/>
  <c r="D1193" i="1" a="1"/>
  <c r="D1193" i="1" s="1"/>
  <c r="B1193" i="1"/>
  <c r="R1192" i="1"/>
  <c r="Q1192" i="1"/>
  <c r="P1192" i="1"/>
  <c r="O1192" i="1"/>
  <c r="N1192" i="1"/>
  <c r="L1192" i="1"/>
  <c r="F1192" i="1" a="1"/>
  <c r="F1192" i="1" s="1"/>
  <c r="D1192" i="1" a="1"/>
  <c r="D1192" i="1" s="1"/>
  <c r="B1192" i="1"/>
  <c r="R1191" i="1"/>
  <c r="Q1191" i="1"/>
  <c r="P1191" i="1"/>
  <c r="O1191" i="1"/>
  <c r="N1191" i="1"/>
  <c r="L1191" i="1"/>
  <c r="F1191" i="1" a="1"/>
  <c r="F1191" i="1" s="1"/>
  <c r="D1191" i="1"/>
  <c r="D1191" i="1" a="1"/>
  <c r="B1191" i="1"/>
  <c r="R1190" i="1"/>
  <c r="Q1190" i="1"/>
  <c r="P1190" i="1"/>
  <c r="O1190" i="1"/>
  <c r="N1190" i="1"/>
  <c r="L1190" i="1"/>
  <c r="F1190" i="1" a="1"/>
  <c r="F1190" i="1" s="1"/>
  <c r="D1190" i="1" a="1"/>
  <c r="D1190" i="1" s="1"/>
  <c r="B1190" i="1"/>
  <c r="R1189" i="1"/>
  <c r="Q1189" i="1"/>
  <c r="P1189" i="1"/>
  <c r="O1189" i="1"/>
  <c r="N1189" i="1"/>
  <c r="L1189" i="1"/>
  <c r="F1189" i="1"/>
  <c r="F1189" i="1" a="1"/>
  <c r="D1189" i="1" a="1"/>
  <c r="D1189" i="1" s="1"/>
  <c r="B1189" i="1"/>
  <c r="R1188" i="1"/>
  <c r="Q1188" i="1"/>
  <c r="P1188" i="1"/>
  <c r="O1188" i="1"/>
  <c r="N1188" i="1"/>
  <c r="L1188" i="1"/>
  <c r="F1188" i="1" a="1"/>
  <c r="F1188" i="1" s="1"/>
  <c r="D1188" i="1" a="1"/>
  <c r="D1188" i="1" s="1"/>
  <c r="B1188" i="1"/>
  <c r="R1187" i="1"/>
  <c r="Q1187" i="1"/>
  <c r="P1187" i="1"/>
  <c r="O1187" i="1"/>
  <c r="N1187" i="1"/>
  <c r="L1187" i="1"/>
  <c r="F1187" i="1"/>
  <c r="F1187" i="1" a="1"/>
  <c r="D1187" i="1"/>
  <c r="D1187" i="1" a="1"/>
  <c r="B1187" i="1"/>
  <c r="R1186" i="1"/>
  <c r="Q1186" i="1"/>
  <c r="P1186" i="1"/>
  <c r="O1186" i="1"/>
  <c r="N1186" i="1"/>
  <c r="L1186" i="1"/>
  <c r="F1186" i="1" a="1"/>
  <c r="F1186" i="1" s="1"/>
  <c r="D1186" i="1" a="1"/>
  <c r="D1186" i="1" s="1"/>
  <c r="B1186" i="1"/>
  <c r="R1185" i="1"/>
  <c r="Q1185" i="1"/>
  <c r="P1185" i="1"/>
  <c r="O1185" i="1"/>
  <c r="N1185" i="1"/>
  <c r="L1185" i="1"/>
  <c r="F1185" i="1"/>
  <c r="F1185" i="1" a="1"/>
  <c r="D1185" i="1"/>
  <c r="D1185" i="1" a="1"/>
  <c r="B1185" i="1"/>
  <c r="R1184" i="1"/>
  <c r="Q1184" i="1"/>
  <c r="P1184" i="1"/>
  <c r="O1184" i="1"/>
  <c r="N1184" i="1"/>
  <c r="L1184" i="1"/>
  <c r="F1184" i="1" a="1"/>
  <c r="F1184" i="1" s="1"/>
  <c r="D1184" i="1" a="1"/>
  <c r="D1184" i="1" s="1"/>
  <c r="B1184" i="1"/>
  <c r="R1183" i="1"/>
  <c r="Q1183" i="1"/>
  <c r="P1183" i="1"/>
  <c r="O1183" i="1"/>
  <c r="N1183" i="1"/>
  <c r="L1183" i="1"/>
  <c r="F1183" i="1"/>
  <c r="F1183" i="1" a="1"/>
  <c r="D1183" i="1" a="1"/>
  <c r="D1183" i="1" s="1"/>
  <c r="B1183" i="1"/>
  <c r="R1182" i="1"/>
  <c r="Q1182" i="1"/>
  <c r="P1182" i="1"/>
  <c r="O1182" i="1"/>
  <c r="N1182" i="1"/>
  <c r="L1182" i="1"/>
  <c r="F1182" i="1" a="1"/>
  <c r="F1182" i="1" s="1"/>
  <c r="D1182" i="1" a="1"/>
  <c r="D1182" i="1" s="1"/>
  <c r="B1182" i="1"/>
  <c r="R1181" i="1"/>
  <c r="Q1181" i="1"/>
  <c r="P1181" i="1"/>
  <c r="O1181" i="1"/>
  <c r="N1181" i="1"/>
  <c r="L1181" i="1"/>
  <c r="F1181" i="1"/>
  <c r="F1181" i="1" a="1"/>
  <c r="D1181" i="1" a="1"/>
  <c r="D1181" i="1" s="1"/>
  <c r="B1181" i="1"/>
  <c r="R1180" i="1"/>
  <c r="Q1180" i="1"/>
  <c r="P1180" i="1"/>
  <c r="O1180" i="1"/>
  <c r="N1180" i="1"/>
  <c r="L1180" i="1"/>
  <c r="F1180" i="1" a="1"/>
  <c r="F1180" i="1" s="1"/>
  <c r="D1180" i="1" a="1"/>
  <c r="D1180" i="1" s="1"/>
  <c r="B1180" i="1"/>
  <c r="R1179" i="1"/>
  <c r="Q1179" i="1"/>
  <c r="P1179" i="1"/>
  <c r="O1179" i="1"/>
  <c r="N1179" i="1"/>
  <c r="L1179" i="1"/>
  <c r="F1179" i="1"/>
  <c r="F1179" i="1" a="1"/>
  <c r="D1179" i="1" a="1"/>
  <c r="D1179" i="1" s="1"/>
  <c r="B1179" i="1"/>
  <c r="R1178" i="1"/>
  <c r="Q1178" i="1"/>
  <c r="P1178" i="1"/>
  <c r="O1178" i="1"/>
  <c r="N1178" i="1"/>
  <c r="L1178" i="1"/>
  <c r="F1178" i="1" a="1"/>
  <c r="F1178" i="1" s="1"/>
  <c r="D1178" i="1" a="1"/>
  <c r="D1178" i="1" s="1"/>
  <c r="B1178" i="1"/>
  <c r="R1177" i="1"/>
  <c r="Q1177" i="1"/>
  <c r="P1177" i="1"/>
  <c r="O1177" i="1"/>
  <c r="N1177" i="1"/>
  <c r="L1177" i="1"/>
  <c r="F1177" i="1"/>
  <c r="F1177" i="1" a="1"/>
  <c r="D1177" i="1" a="1"/>
  <c r="D1177" i="1" s="1"/>
  <c r="B1177" i="1"/>
  <c r="R1176" i="1"/>
  <c r="Q1176" i="1"/>
  <c r="P1176" i="1"/>
  <c r="O1176" i="1"/>
  <c r="N1176" i="1"/>
  <c r="L1176" i="1"/>
  <c r="F1176" i="1" a="1"/>
  <c r="F1176" i="1" s="1"/>
  <c r="D1176" i="1" a="1"/>
  <c r="D1176" i="1" s="1"/>
  <c r="B1176" i="1"/>
  <c r="R1175" i="1"/>
  <c r="Q1175" i="1"/>
  <c r="P1175" i="1"/>
  <c r="O1175" i="1"/>
  <c r="N1175" i="1"/>
  <c r="L1175" i="1"/>
  <c r="F1175" i="1"/>
  <c r="F1175" i="1" a="1"/>
  <c r="D1175" i="1"/>
  <c r="D1175" i="1" a="1"/>
  <c r="B1175" i="1"/>
  <c r="R1174" i="1"/>
  <c r="Q1174" i="1"/>
  <c r="P1174" i="1"/>
  <c r="O1174" i="1"/>
  <c r="N1174" i="1"/>
  <c r="L1174" i="1"/>
  <c r="F1174" i="1" a="1"/>
  <c r="F1174" i="1" s="1"/>
  <c r="D1174" i="1" a="1"/>
  <c r="D1174" i="1" s="1"/>
  <c r="B1174" i="1"/>
  <c r="R1173" i="1"/>
  <c r="Q1173" i="1"/>
  <c r="P1173" i="1"/>
  <c r="O1173" i="1"/>
  <c r="N1173" i="1"/>
  <c r="L1173" i="1"/>
  <c r="F1173" i="1"/>
  <c r="F1173" i="1" a="1"/>
  <c r="D1173" i="1" a="1"/>
  <c r="D1173" i="1" s="1"/>
  <c r="B1173" i="1"/>
  <c r="R1172" i="1"/>
  <c r="Q1172" i="1"/>
  <c r="P1172" i="1"/>
  <c r="O1172" i="1"/>
  <c r="N1172" i="1"/>
  <c r="L1172" i="1"/>
  <c r="F1172" i="1" a="1"/>
  <c r="F1172" i="1" s="1"/>
  <c r="D1172" i="1" a="1"/>
  <c r="D1172" i="1" s="1"/>
  <c r="B1172" i="1"/>
  <c r="R1171" i="1"/>
  <c r="Q1171" i="1"/>
  <c r="P1171" i="1"/>
  <c r="O1171" i="1"/>
  <c r="N1171" i="1"/>
  <c r="L1171" i="1"/>
  <c r="F1171" i="1"/>
  <c r="F1171" i="1" a="1"/>
  <c r="D1171" i="1"/>
  <c r="D1171" i="1" a="1"/>
  <c r="B1171" i="1"/>
  <c r="R1170" i="1"/>
  <c r="Q1170" i="1"/>
  <c r="P1170" i="1"/>
  <c r="O1170" i="1"/>
  <c r="N1170" i="1"/>
  <c r="L1170" i="1"/>
  <c r="F1170" i="1" a="1"/>
  <c r="F1170" i="1" s="1"/>
  <c r="D1170" i="1" a="1"/>
  <c r="D1170" i="1" s="1"/>
  <c r="B1170" i="1"/>
  <c r="R1169" i="1"/>
  <c r="Q1169" i="1"/>
  <c r="P1169" i="1"/>
  <c r="O1169" i="1"/>
  <c r="N1169" i="1"/>
  <c r="L1169" i="1"/>
  <c r="F1169" i="1"/>
  <c r="F1169" i="1" a="1"/>
  <c r="D1169" i="1" a="1"/>
  <c r="D1169" i="1" s="1"/>
  <c r="B1169" i="1"/>
  <c r="R1168" i="1"/>
  <c r="Q1168" i="1"/>
  <c r="P1168" i="1"/>
  <c r="O1168" i="1"/>
  <c r="N1168" i="1"/>
  <c r="L1168" i="1"/>
  <c r="F1168" i="1" a="1"/>
  <c r="F1168" i="1" s="1"/>
  <c r="D1168" i="1" a="1"/>
  <c r="D1168" i="1" s="1"/>
  <c r="B1168" i="1"/>
  <c r="R1167" i="1"/>
  <c r="Q1167" i="1"/>
  <c r="P1167" i="1"/>
  <c r="O1167" i="1"/>
  <c r="N1167" i="1"/>
  <c r="L1167" i="1"/>
  <c r="F1167" i="1"/>
  <c r="F1167" i="1" a="1"/>
  <c r="D1167" i="1"/>
  <c r="D1167" i="1" a="1"/>
  <c r="B1167" i="1"/>
  <c r="R1166" i="1"/>
  <c r="Q1166" i="1"/>
  <c r="P1166" i="1"/>
  <c r="O1166" i="1"/>
  <c r="N1166" i="1"/>
  <c r="L1166" i="1"/>
  <c r="F1166" i="1" a="1"/>
  <c r="F1166" i="1" s="1"/>
  <c r="D1166" i="1" a="1"/>
  <c r="D1166" i="1" s="1"/>
  <c r="B1166" i="1"/>
  <c r="R1165" i="1"/>
  <c r="Q1165" i="1"/>
  <c r="P1165" i="1"/>
  <c r="O1165" i="1"/>
  <c r="N1165" i="1"/>
  <c r="L1165" i="1"/>
  <c r="F1165" i="1"/>
  <c r="F1165" i="1" a="1"/>
  <c r="D1165" i="1" a="1"/>
  <c r="D1165" i="1" s="1"/>
  <c r="B1165" i="1"/>
  <c r="R1164" i="1"/>
  <c r="Q1164" i="1"/>
  <c r="P1164" i="1"/>
  <c r="O1164" i="1"/>
  <c r="N1164" i="1"/>
  <c r="L1164" i="1"/>
  <c r="F1164" i="1" a="1"/>
  <c r="F1164" i="1" s="1"/>
  <c r="D1164" i="1" a="1"/>
  <c r="D1164" i="1" s="1"/>
  <c r="B1164" i="1"/>
  <c r="R1163" i="1"/>
  <c r="Q1163" i="1"/>
  <c r="P1163" i="1"/>
  <c r="O1163" i="1"/>
  <c r="N1163" i="1"/>
  <c r="L1163" i="1"/>
  <c r="F1163" i="1" a="1"/>
  <c r="F1163" i="1" s="1"/>
  <c r="D1163" i="1" a="1"/>
  <c r="D1163" i="1" s="1"/>
  <c r="B1163" i="1"/>
  <c r="R1162" i="1"/>
  <c r="Q1162" i="1"/>
  <c r="P1162" i="1"/>
  <c r="O1162" i="1"/>
  <c r="N1162" i="1"/>
  <c r="L1162" i="1"/>
  <c r="F1162" i="1" a="1"/>
  <c r="F1162" i="1" s="1"/>
  <c r="D1162" i="1" a="1"/>
  <c r="D1162" i="1" s="1"/>
  <c r="B1162" i="1"/>
  <c r="R1161" i="1"/>
  <c r="Q1161" i="1"/>
  <c r="P1161" i="1"/>
  <c r="O1161" i="1"/>
  <c r="N1161" i="1"/>
  <c r="L1161" i="1"/>
  <c r="F1161" i="1"/>
  <c r="F1161" i="1" a="1"/>
  <c r="D1161" i="1" a="1"/>
  <c r="D1161" i="1" s="1"/>
  <c r="B1161" i="1"/>
  <c r="R1160" i="1"/>
  <c r="Q1160" i="1"/>
  <c r="P1160" i="1"/>
  <c r="O1160" i="1"/>
  <c r="N1160" i="1"/>
  <c r="L1160" i="1"/>
  <c r="F1160" i="1" a="1"/>
  <c r="F1160" i="1" s="1"/>
  <c r="D1160" i="1" a="1"/>
  <c r="D1160" i="1" s="1"/>
  <c r="B1160" i="1"/>
  <c r="R1159" i="1"/>
  <c r="Q1159" i="1"/>
  <c r="P1159" i="1"/>
  <c r="O1159" i="1"/>
  <c r="N1159" i="1"/>
  <c r="L1159" i="1"/>
  <c r="F1159" i="1" a="1"/>
  <c r="F1159" i="1" s="1"/>
  <c r="D1159" i="1" a="1"/>
  <c r="D1159" i="1" s="1"/>
  <c r="B1159" i="1"/>
  <c r="R1158" i="1"/>
  <c r="Q1158" i="1"/>
  <c r="P1158" i="1"/>
  <c r="O1158" i="1"/>
  <c r="N1158" i="1"/>
  <c r="L1158" i="1"/>
  <c r="F1158" i="1"/>
  <c r="F1158" i="1" a="1"/>
  <c r="D1158" i="1" a="1"/>
  <c r="D1158" i="1" s="1"/>
  <c r="B1158" i="1"/>
  <c r="R1157" i="1"/>
  <c r="Q1157" i="1"/>
  <c r="P1157" i="1"/>
  <c r="O1157" i="1"/>
  <c r="N1157" i="1"/>
  <c r="L1157" i="1"/>
  <c r="F1157" i="1"/>
  <c r="F1157" i="1" a="1"/>
  <c r="D1157" i="1" a="1"/>
  <c r="D1157" i="1" s="1"/>
  <c r="B1157" i="1"/>
  <c r="R1156" i="1"/>
  <c r="Q1156" i="1"/>
  <c r="P1156" i="1"/>
  <c r="O1156" i="1"/>
  <c r="N1156" i="1"/>
  <c r="L1156" i="1"/>
  <c r="F1156" i="1" a="1"/>
  <c r="F1156" i="1" s="1"/>
  <c r="D1156" i="1" a="1"/>
  <c r="D1156" i="1" s="1"/>
  <c r="B1156" i="1"/>
  <c r="R1155" i="1"/>
  <c r="Q1155" i="1"/>
  <c r="P1155" i="1"/>
  <c r="O1155" i="1"/>
  <c r="N1155" i="1"/>
  <c r="L1155" i="1"/>
  <c r="F1155" i="1" a="1"/>
  <c r="F1155" i="1" s="1"/>
  <c r="D1155" i="1" a="1"/>
  <c r="D1155" i="1" s="1"/>
  <c r="B1155" i="1"/>
  <c r="R1154" i="1"/>
  <c r="Q1154" i="1"/>
  <c r="P1154" i="1"/>
  <c r="O1154" i="1"/>
  <c r="N1154" i="1"/>
  <c r="L1154" i="1"/>
  <c r="F1154" i="1"/>
  <c r="F1154" i="1" a="1"/>
  <c r="D1154" i="1" a="1"/>
  <c r="D1154" i="1" s="1"/>
  <c r="B1154" i="1"/>
  <c r="R1153" i="1"/>
  <c r="Q1153" i="1"/>
  <c r="P1153" i="1"/>
  <c r="O1153" i="1"/>
  <c r="N1153" i="1"/>
  <c r="L1153" i="1"/>
  <c r="F1153" i="1"/>
  <c r="F1153" i="1" a="1"/>
  <c r="D1153" i="1" a="1"/>
  <c r="D1153" i="1" s="1"/>
  <c r="B1153" i="1"/>
  <c r="R1152" i="1"/>
  <c r="Q1152" i="1"/>
  <c r="P1152" i="1"/>
  <c r="O1152" i="1"/>
  <c r="N1152" i="1"/>
  <c r="L1152" i="1"/>
  <c r="F1152" i="1" a="1"/>
  <c r="F1152" i="1" s="1"/>
  <c r="D1152" i="1" a="1"/>
  <c r="D1152" i="1" s="1"/>
  <c r="B1152" i="1"/>
  <c r="R1151" i="1"/>
  <c r="Q1151" i="1"/>
  <c r="P1151" i="1"/>
  <c r="O1151" i="1"/>
  <c r="N1151" i="1"/>
  <c r="L1151" i="1"/>
  <c r="F1151" i="1" a="1"/>
  <c r="F1151" i="1" s="1"/>
  <c r="D1151" i="1" a="1"/>
  <c r="D1151" i="1" s="1"/>
  <c r="B1151" i="1"/>
  <c r="R1150" i="1"/>
  <c r="Q1150" i="1"/>
  <c r="P1150" i="1"/>
  <c r="O1150" i="1"/>
  <c r="N1150" i="1"/>
  <c r="L1150" i="1"/>
  <c r="F1150" i="1"/>
  <c r="F1150" i="1" a="1"/>
  <c r="D1150" i="1" a="1"/>
  <c r="D1150" i="1" s="1"/>
  <c r="B1150" i="1"/>
  <c r="R1149" i="1"/>
  <c r="Q1149" i="1"/>
  <c r="P1149" i="1"/>
  <c r="O1149" i="1"/>
  <c r="N1149" i="1"/>
  <c r="L1149" i="1"/>
  <c r="F1149" i="1"/>
  <c r="F1149" i="1" a="1"/>
  <c r="D1149" i="1" a="1"/>
  <c r="D1149" i="1" s="1"/>
  <c r="B1149" i="1"/>
  <c r="R1148" i="1"/>
  <c r="Q1148" i="1"/>
  <c r="P1148" i="1"/>
  <c r="O1148" i="1"/>
  <c r="N1148" i="1"/>
  <c r="L1148" i="1"/>
  <c r="F1148" i="1" a="1"/>
  <c r="F1148" i="1" s="1"/>
  <c r="D1148" i="1" a="1"/>
  <c r="D1148" i="1" s="1"/>
  <c r="B1148" i="1"/>
  <c r="R1147" i="1"/>
  <c r="Q1147" i="1"/>
  <c r="P1147" i="1"/>
  <c r="O1147" i="1"/>
  <c r="N1147" i="1"/>
  <c r="L1147" i="1"/>
  <c r="F1147" i="1" a="1"/>
  <c r="F1147" i="1" s="1"/>
  <c r="D1147" i="1" a="1"/>
  <c r="D1147" i="1" s="1"/>
  <c r="B1147" i="1"/>
  <c r="R1146" i="1"/>
  <c r="Q1146" i="1"/>
  <c r="P1146" i="1"/>
  <c r="O1146" i="1"/>
  <c r="N1146" i="1"/>
  <c r="L1146" i="1"/>
  <c r="F1146" i="1" a="1"/>
  <c r="F1146" i="1" s="1"/>
  <c r="D1146" i="1" a="1"/>
  <c r="D1146" i="1" s="1"/>
  <c r="B1146" i="1"/>
  <c r="R1145" i="1"/>
  <c r="Q1145" i="1"/>
  <c r="P1145" i="1"/>
  <c r="O1145" i="1"/>
  <c r="N1145" i="1"/>
  <c r="L1145" i="1"/>
  <c r="F1145" i="1"/>
  <c r="F1145" i="1" a="1"/>
  <c r="D1145" i="1" a="1"/>
  <c r="D1145" i="1" s="1"/>
  <c r="B1145" i="1"/>
  <c r="R1144" i="1"/>
  <c r="Q1144" i="1"/>
  <c r="P1144" i="1"/>
  <c r="O1144" i="1"/>
  <c r="N1144" i="1"/>
  <c r="L1144" i="1"/>
  <c r="F1144" i="1" a="1"/>
  <c r="F1144" i="1" s="1"/>
  <c r="D1144" i="1" a="1"/>
  <c r="D1144" i="1" s="1"/>
  <c r="B1144" i="1"/>
  <c r="R1143" i="1"/>
  <c r="Q1143" i="1"/>
  <c r="P1143" i="1"/>
  <c r="O1143" i="1"/>
  <c r="N1143" i="1"/>
  <c r="L1143" i="1"/>
  <c r="F1143" i="1" a="1"/>
  <c r="F1143" i="1" s="1"/>
  <c r="D1143" i="1" a="1"/>
  <c r="D1143" i="1" s="1"/>
  <c r="B1143" i="1"/>
  <c r="R1142" i="1"/>
  <c r="Q1142" i="1"/>
  <c r="P1142" i="1"/>
  <c r="O1142" i="1"/>
  <c r="N1142" i="1"/>
  <c r="L1142" i="1"/>
  <c r="F1142" i="1" a="1"/>
  <c r="F1142" i="1" s="1"/>
  <c r="D1142" i="1" a="1"/>
  <c r="D1142" i="1" s="1"/>
  <c r="B1142" i="1"/>
  <c r="R1141" i="1"/>
  <c r="Q1141" i="1"/>
  <c r="P1141" i="1"/>
  <c r="O1141" i="1"/>
  <c r="N1141" i="1"/>
  <c r="L1141" i="1"/>
  <c r="F1141" i="1"/>
  <c r="F1141" i="1" a="1"/>
  <c r="D1141" i="1" a="1"/>
  <c r="D1141" i="1" s="1"/>
  <c r="B1141" i="1"/>
  <c r="R1140" i="1"/>
  <c r="Q1140" i="1"/>
  <c r="P1140" i="1"/>
  <c r="O1140" i="1"/>
  <c r="N1140" i="1"/>
  <c r="L1140" i="1"/>
  <c r="F1140" i="1" a="1"/>
  <c r="F1140" i="1" s="1"/>
  <c r="D1140" i="1" a="1"/>
  <c r="D1140" i="1" s="1"/>
  <c r="B1140" i="1"/>
  <c r="R1139" i="1"/>
  <c r="Q1139" i="1"/>
  <c r="P1139" i="1"/>
  <c r="O1139" i="1"/>
  <c r="N1139" i="1"/>
  <c r="L1139" i="1"/>
  <c r="F1139" i="1" a="1"/>
  <c r="F1139" i="1" s="1"/>
  <c r="D1139" i="1" a="1"/>
  <c r="D1139" i="1" s="1"/>
  <c r="B1139" i="1"/>
  <c r="R1138" i="1"/>
  <c r="Q1138" i="1"/>
  <c r="P1138" i="1"/>
  <c r="O1138" i="1"/>
  <c r="N1138" i="1"/>
  <c r="L1138" i="1"/>
  <c r="F1138" i="1" a="1"/>
  <c r="F1138" i="1" s="1"/>
  <c r="D1138" i="1" a="1"/>
  <c r="D1138" i="1" s="1"/>
  <c r="B1138" i="1"/>
  <c r="R1137" i="1"/>
  <c r="Q1137" i="1"/>
  <c r="P1137" i="1"/>
  <c r="O1137" i="1"/>
  <c r="N1137" i="1"/>
  <c r="L1137" i="1"/>
  <c r="F1137" i="1"/>
  <c r="F1137" i="1" a="1"/>
  <c r="D1137" i="1" a="1"/>
  <c r="D1137" i="1" s="1"/>
  <c r="B1137" i="1"/>
  <c r="R1136" i="1"/>
  <c r="Q1136" i="1"/>
  <c r="P1136" i="1"/>
  <c r="O1136" i="1"/>
  <c r="N1136" i="1"/>
  <c r="L1136" i="1"/>
  <c r="F1136" i="1" a="1"/>
  <c r="F1136" i="1" s="1"/>
  <c r="D1136" i="1" a="1"/>
  <c r="D1136" i="1" s="1"/>
  <c r="B1136" i="1"/>
  <c r="R1135" i="1"/>
  <c r="Q1135" i="1"/>
  <c r="P1135" i="1"/>
  <c r="O1135" i="1"/>
  <c r="N1135" i="1"/>
  <c r="L1135" i="1"/>
  <c r="F1135" i="1" a="1"/>
  <c r="F1135" i="1" s="1"/>
  <c r="D1135" i="1" a="1"/>
  <c r="D1135" i="1" s="1"/>
  <c r="B1135" i="1"/>
  <c r="R1134" i="1"/>
  <c r="Q1134" i="1"/>
  <c r="P1134" i="1"/>
  <c r="O1134" i="1"/>
  <c r="N1134" i="1"/>
  <c r="L1134" i="1"/>
  <c r="F1134" i="1" a="1"/>
  <c r="F1134" i="1" s="1"/>
  <c r="D1134" i="1" a="1"/>
  <c r="D1134" i="1" s="1"/>
  <c r="B1134" i="1"/>
  <c r="R1133" i="1"/>
  <c r="Q1133" i="1"/>
  <c r="P1133" i="1"/>
  <c r="O1133" i="1"/>
  <c r="N1133" i="1"/>
  <c r="L1133" i="1"/>
  <c r="F1133" i="1"/>
  <c r="F1133" i="1" a="1"/>
  <c r="D1133" i="1" a="1"/>
  <c r="D1133" i="1" s="1"/>
  <c r="B1133" i="1"/>
  <c r="R1132" i="1"/>
  <c r="Q1132" i="1"/>
  <c r="P1132" i="1"/>
  <c r="O1132" i="1"/>
  <c r="N1132" i="1"/>
  <c r="L1132" i="1"/>
  <c r="F1132" i="1" a="1"/>
  <c r="F1132" i="1" s="1"/>
  <c r="D1132" i="1" a="1"/>
  <c r="D1132" i="1" s="1"/>
  <c r="B1132" i="1"/>
  <c r="R1131" i="1"/>
  <c r="Q1131" i="1"/>
  <c r="P1131" i="1"/>
  <c r="O1131" i="1"/>
  <c r="N1131" i="1"/>
  <c r="L1131" i="1"/>
  <c r="F1131" i="1" a="1"/>
  <c r="F1131" i="1" s="1"/>
  <c r="D1131" i="1" a="1"/>
  <c r="D1131" i="1" s="1"/>
  <c r="B1131" i="1"/>
  <c r="R1130" i="1"/>
  <c r="Q1130" i="1"/>
  <c r="P1130" i="1"/>
  <c r="O1130" i="1"/>
  <c r="N1130" i="1"/>
  <c r="L1130" i="1"/>
  <c r="F1130" i="1" a="1"/>
  <c r="F1130" i="1" s="1"/>
  <c r="D1130" i="1" a="1"/>
  <c r="D1130" i="1" s="1"/>
  <c r="B1130" i="1"/>
  <c r="R1129" i="1"/>
  <c r="Q1129" i="1"/>
  <c r="P1129" i="1"/>
  <c r="O1129" i="1"/>
  <c r="N1129" i="1"/>
  <c r="L1129" i="1"/>
  <c r="F1129" i="1"/>
  <c r="F1129" i="1" a="1"/>
  <c r="D1129" i="1" a="1"/>
  <c r="D1129" i="1" s="1"/>
  <c r="B1129" i="1"/>
  <c r="R1128" i="1"/>
  <c r="Q1128" i="1"/>
  <c r="P1128" i="1"/>
  <c r="O1128" i="1"/>
  <c r="N1128" i="1"/>
  <c r="L1128" i="1"/>
  <c r="F1128" i="1" a="1"/>
  <c r="F1128" i="1" s="1"/>
  <c r="D1128" i="1" a="1"/>
  <c r="D1128" i="1" s="1"/>
  <c r="B1128" i="1"/>
  <c r="R1127" i="1"/>
  <c r="Q1127" i="1"/>
  <c r="P1127" i="1"/>
  <c r="O1127" i="1"/>
  <c r="N1127" i="1"/>
  <c r="L1127" i="1"/>
  <c r="F1127" i="1" a="1"/>
  <c r="F1127" i="1" s="1"/>
  <c r="D1127" i="1" a="1"/>
  <c r="D1127" i="1" s="1"/>
  <c r="B1127" i="1"/>
  <c r="R1126" i="1"/>
  <c r="Q1126" i="1"/>
  <c r="P1126" i="1"/>
  <c r="O1126" i="1"/>
  <c r="N1126" i="1"/>
  <c r="L1126" i="1"/>
  <c r="F1126" i="1" a="1"/>
  <c r="F1126" i="1" s="1"/>
  <c r="D1126" i="1" a="1"/>
  <c r="D1126" i="1" s="1"/>
  <c r="B1126" i="1"/>
  <c r="R1125" i="1"/>
  <c r="Q1125" i="1"/>
  <c r="P1125" i="1"/>
  <c r="O1125" i="1"/>
  <c r="N1125" i="1"/>
  <c r="L1125" i="1"/>
  <c r="F1125" i="1"/>
  <c r="F1125" i="1" a="1"/>
  <c r="D1125" i="1" a="1"/>
  <c r="D1125" i="1" s="1"/>
  <c r="B1125" i="1"/>
  <c r="R1124" i="1"/>
  <c r="Q1124" i="1"/>
  <c r="P1124" i="1"/>
  <c r="O1124" i="1"/>
  <c r="N1124" i="1"/>
  <c r="L1124" i="1"/>
  <c r="F1124" i="1" a="1"/>
  <c r="F1124" i="1" s="1"/>
  <c r="D1124" i="1" a="1"/>
  <c r="D1124" i="1" s="1"/>
  <c r="B1124" i="1"/>
  <c r="R1123" i="1"/>
  <c r="Q1123" i="1"/>
  <c r="P1123" i="1"/>
  <c r="O1123" i="1"/>
  <c r="N1123" i="1"/>
  <c r="L1123" i="1"/>
  <c r="F1123" i="1" a="1"/>
  <c r="F1123" i="1" s="1"/>
  <c r="D1123" i="1" a="1"/>
  <c r="D1123" i="1" s="1"/>
  <c r="B1123" i="1"/>
  <c r="R1122" i="1"/>
  <c r="Q1122" i="1"/>
  <c r="P1122" i="1"/>
  <c r="O1122" i="1"/>
  <c r="N1122" i="1"/>
  <c r="L1122" i="1"/>
  <c r="F1122" i="1" a="1"/>
  <c r="F1122" i="1" s="1"/>
  <c r="D1122" i="1" a="1"/>
  <c r="D1122" i="1" s="1"/>
  <c r="B1122" i="1"/>
  <c r="R1121" i="1"/>
  <c r="Q1121" i="1"/>
  <c r="P1121" i="1"/>
  <c r="O1121" i="1"/>
  <c r="N1121" i="1"/>
  <c r="L1121" i="1"/>
  <c r="F1121" i="1"/>
  <c r="F1121" i="1" a="1"/>
  <c r="D1121" i="1" a="1"/>
  <c r="D1121" i="1" s="1"/>
  <c r="B1121" i="1"/>
  <c r="R1120" i="1"/>
  <c r="Q1120" i="1"/>
  <c r="P1120" i="1"/>
  <c r="O1120" i="1"/>
  <c r="N1120" i="1"/>
  <c r="L1120" i="1"/>
  <c r="F1120" i="1" a="1"/>
  <c r="F1120" i="1" s="1"/>
  <c r="D1120" i="1" a="1"/>
  <c r="D1120" i="1" s="1"/>
  <c r="B1120" i="1"/>
  <c r="R1119" i="1"/>
  <c r="Q1119" i="1"/>
  <c r="P1119" i="1"/>
  <c r="O1119" i="1"/>
  <c r="N1119" i="1"/>
  <c r="L1119" i="1"/>
  <c r="F1119" i="1" a="1"/>
  <c r="F1119" i="1" s="1"/>
  <c r="D1119" i="1" a="1"/>
  <c r="D1119" i="1" s="1"/>
  <c r="B1119" i="1"/>
  <c r="R1118" i="1"/>
  <c r="Q1118" i="1"/>
  <c r="P1118" i="1"/>
  <c r="O1118" i="1"/>
  <c r="N1118" i="1"/>
  <c r="L1118" i="1"/>
  <c r="F1118" i="1" a="1"/>
  <c r="F1118" i="1" s="1"/>
  <c r="D1118" i="1" a="1"/>
  <c r="D1118" i="1" s="1"/>
  <c r="B1118" i="1"/>
  <c r="R1117" i="1"/>
  <c r="Q1117" i="1"/>
  <c r="P1117" i="1"/>
  <c r="O1117" i="1"/>
  <c r="N1117" i="1"/>
  <c r="L1117" i="1"/>
  <c r="F1117" i="1"/>
  <c r="F1117" i="1" a="1"/>
  <c r="D1117" i="1" a="1"/>
  <c r="D1117" i="1" s="1"/>
  <c r="B1117" i="1"/>
  <c r="R1116" i="1"/>
  <c r="Q1116" i="1"/>
  <c r="P1116" i="1"/>
  <c r="O1116" i="1"/>
  <c r="N1116" i="1"/>
  <c r="L1116" i="1"/>
  <c r="F1116" i="1" a="1"/>
  <c r="F1116" i="1" s="1"/>
  <c r="D1116" i="1" a="1"/>
  <c r="D1116" i="1" s="1"/>
  <c r="B1116" i="1"/>
  <c r="R1115" i="1"/>
  <c r="Q1115" i="1"/>
  <c r="P1115" i="1"/>
  <c r="O1115" i="1"/>
  <c r="N1115" i="1"/>
  <c r="L1115" i="1"/>
  <c r="F1115" i="1" a="1"/>
  <c r="F1115" i="1" s="1"/>
  <c r="D1115" i="1" a="1"/>
  <c r="D1115" i="1" s="1"/>
  <c r="B1115" i="1"/>
  <c r="R1114" i="1"/>
  <c r="Q1114" i="1"/>
  <c r="P1114" i="1"/>
  <c r="O1114" i="1"/>
  <c r="N1114" i="1"/>
  <c r="L1114" i="1"/>
  <c r="F1114" i="1" a="1"/>
  <c r="F1114" i="1" s="1"/>
  <c r="D1114" i="1" a="1"/>
  <c r="D1114" i="1" s="1"/>
  <c r="B1114" i="1"/>
  <c r="R1113" i="1"/>
  <c r="Q1113" i="1"/>
  <c r="P1113" i="1"/>
  <c r="O1113" i="1"/>
  <c r="N1113" i="1"/>
  <c r="L1113" i="1"/>
  <c r="F1113" i="1"/>
  <c r="F1113" i="1" a="1"/>
  <c r="D1113" i="1" a="1"/>
  <c r="D1113" i="1" s="1"/>
  <c r="B1113" i="1"/>
  <c r="R1112" i="1"/>
  <c r="Q1112" i="1"/>
  <c r="P1112" i="1"/>
  <c r="O1112" i="1"/>
  <c r="N1112" i="1"/>
  <c r="L1112" i="1"/>
  <c r="F1112" i="1" a="1"/>
  <c r="F1112" i="1" s="1"/>
  <c r="D1112" i="1" a="1"/>
  <c r="D1112" i="1" s="1"/>
  <c r="B1112" i="1"/>
  <c r="R1111" i="1"/>
  <c r="Q1111" i="1"/>
  <c r="P1111" i="1"/>
  <c r="O1111" i="1"/>
  <c r="N1111" i="1"/>
  <c r="L1111" i="1"/>
  <c r="F1111" i="1" a="1"/>
  <c r="F1111" i="1" s="1"/>
  <c r="D1111" i="1" a="1"/>
  <c r="D1111" i="1" s="1"/>
  <c r="B1111" i="1"/>
  <c r="R1110" i="1"/>
  <c r="Q1110" i="1"/>
  <c r="P1110" i="1"/>
  <c r="O1110" i="1"/>
  <c r="N1110" i="1"/>
  <c r="L1110" i="1"/>
  <c r="F1110" i="1" a="1"/>
  <c r="F1110" i="1" s="1"/>
  <c r="D1110" i="1" a="1"/>
  <c r="D1110" i="1" s="1"/>
  <c r="B1110" i="1"/>
  <c r="R1109" i="1"/>
  <c r="Q1109" i="1"/>
  <c r="P1109" i="1"/>
  <c r="O1109" i="1"/>
  <c r="N1109" i="1"/>
  <c r="L1109" i="1"/>
  <c r="F1109" i="1"/>
  <c r="F1109" i="1" a="1"/>
  <c r="D1109" i="1" a="1"/>
  <c r="D1109" i="1" s="1"/>
  <c r="B1109" i="1"/>
  <c r="R1108" i="1"/>
  <c r="Q1108" i="1"/>
  <c r="P1108" i="1"/>
  <c r="O1108" i="1"/>
  <c r="N1108" i="1"/>
  <c r="L1108" i="1"/>
  <c r="F1108" i="1" a="1"/>
  <c r="F1108" i="1" s="1"/>
  <c r="D1108" i="1" a="1"/>
  <c r="D1108" i="1" s="1"/>
  <c r="B1108" i="1"/>
  <c r="R1107" i="1"/>
  <c r="Q1107" i="1"/>
  <c r="P1107" i="1"/>
  <c r="O1107" i="1"/>
  <c r="N1107" i="1"/>
  <c r="L1107" i="1"/>
  <c r="F1107" i="1" a="1"/>
  <c r="F1107" i="1" s="1"/>
  <c r="D1107" i="1" a="1"/>
  <c r="D1107" i="1" s="1"/>
  <c r="B1107" i="1"/>
  <c r="R1106" i="1"/>
  <c r="Q1106" i="1"/>
  <c r="P1106" i="1"/>
  <c r="O1106" i="1"/>
  <c r="N1106" i="1"/>
  <c r="L1106" i="1"/>
  <c r="F1106" i="1" a="1"/>
  <c r="F1106" i="1" s="1"/>
  <c r="D1106" i="1" a="1"/>
  <c r="D1106" i="1" s="1"/>
  <c r="B1106" i="1"/>
  <c r="R1105" i="1"/>
  <c r="Q1105" i="1"/>
  <c r="P1105" i="1"/>
  <c r="O1105" i="1"/>
  <c r="N1105" i="1"/>
  <c r="L1105" i="1"/>
  <c r="F1105" i="1"/>
  <c r="F1105" i="1" a="1"/>
  <c r="D1105" i="1" a="1"/>
  <c r="D1105" i="1" s="1"/>
  <c r="B1105" i="1"/>
  <c r="R1104" i="1"/>
  <c r="Q1104" i="1"/>
  <c r="P1104" i="1"/>
  <c r="O1104" i="1"/>
  <c r="N1104" i="1"/>
  <c r="L1104" i="1"/>
  <c r="F1104" i="1" a="1"/>
  <c r="F1104" i="1" s="1"/>
  <c r="D1104" i="1" a="1"/>
  <c r="D1104" i="1" s="1"/>
  <c r="B1104" i="1"/>
  <c r="R1103" i="1"/>
  <c r="Q1103" i="1"/>
  <c r="P1103" i="1"/>
  <c r="O1103" i="1"/>
  <c r="N1103" i="1"/>
  <c r="L1103" i="1"/>
  <c r="F1103" i="1" a="1"/>
  <c r="F1103" i="1" s="1"/>
  <c r="D1103" i="1" a="1"/>
  <c r="D1103" i="1" s="1"/>
  <c r="B1103" i="1"/>
  <c r="R1102" i="1"/>
  <c r="Q1102" i="1"/>
  <c r="P1102" i="1"/>
  <c r="O1102" i="1"/>
  <c r="N1102" i="1"/>
  <c r="L1102" i="1"/>
  <c r="F1102" i="1" a="1"/>
  <c r="F1102" i="1" s="1"/>
  <c r="D1102" i="1" a="1"/>
  <c r="D1102" i="1" s="1"/>
  <c r="B1102" i="1"/>
  <c r="R1101" i="1"/>
  <c r="Q1101" i="1"/>
  <c r="P1101" i="1"/>
  <c r="O1101" i="1"/>
  <c r="N1101" i="1"/>
  <c r="L1101" i="1"/>
  <c r="F1101" i="1"/>
  <c r="F1101" i="1" a="1"/>
  <c r="D1101" i="1" a="1"/>
  <c r="D1101" i="1" s="1"/>
  <c r="B1101" i="1"/>
  <c r="R1100" i="1"/>
  <c r="Q1100" i="1"/>
  <c r="P1100" i="1"/>
  <c r="O1100" i="1"/>
  <c r="N1100" i="1"/>
  <c r="L1100" i="1"/>
  <c r="F1100" i="1" a="1"/>
  <c r="F1100" i="1" s="1"/>
  <c r="D1100" i="1" a="1"/>
  <c r="D1100" i="1" s="1"/>
  <c r="B1100" i="1"/>
  <c r="R1099" i="1"/>
  <c r="Q1099" i="1"/>
  <c r="P1099" i="1"/>
  <c r="O1099" i="1"/>
  <c r="N1099" i="1"/>
  <c r="L1099" i="1"/>
  <c r="F1099" i="1" a="1"/>
  <c r="F1099" i="1" s="1"/>
  <c r="D1099" i="1" a="1"/>
  <c r="D1099" i="1" s="1"/>
  <c r="B1099" i="1"/>
  <c r="R1098" i="1"/>
  <c r="Q1098" i="1"/>
  <c r="P1098" i="1"/>
  <c r="O1098" i="1"/>
  <c r="N1098" i="1"/>
  <c r="L1098" i="1"/>
  <c r="F1098" i="1" a="1"/>
  <c r="F1098" i="1" s="1"/>
  <c r="D1098" i="1" a="1"/>
  <c r="D1098" i="1" s="1"/>
  <c r="B1098" i="1"/>
  <c r="R1097" i="1"/>
  <c r="Q1097" i="1"/>
  <c r="P1097" i="1"/>
  <c r="O1097" i="1"/>
  <c r="N1097" i="1"/>
  <c r="L1097" i="1"/>
  <c r="F1097" i="1"/>
  <c r="F1097" i="1" a="1"/>
  <c r="D1097" i="1" a="1"/>
  <c r="D1097" i="1" s="1"/>
  <c r="B1097" i="1"/>
  <c r="R1096" i="1"/>
  <c r="Q1096" i="1"/>
  <c r="P1096" i="1"/>
  <c r="O1096" i="1"/>
  <c r="N1096" i="1"/>
  <c r="L1096" i="1"/>
  <c r="F1096" i="1" a="1"/>
  <c r="F1096" i="1" s="1"/>
  <c r="D1096" i="1" a="1"/>
  <c r="D1096" i="1" s="1"/>
  <c r="B1096" i="1"/>
  <c r="R1095" i="1"/>
  <c r="Q1095" i="1"/>
  <c r="P1095" i="1"/>
  <c r="O1095" i="1"/>
  <c r="N1095" i="1"/>
  <c r="L1095" i="1"/>
  <c r="F1095" i="1" a="1"/>
  <c r="F1095" i="1" s="1"/>
  <c r="D1095" i="1" a="1"/>
  <c r="D1095" i="1" s="1"/>
  <c r="B1095" i="1"/>
  <c r="R1094" i="1"/>
  <c r="Q1094" i="1"/>
  <c r="P1094" i="1"/>
  <c r="O1094" i="1"/>
  <c r="N1094" i="1"/>
  <c r="L1094" i="1"/>
  <c r="F1094" i="1" a="1"/>
  <c r="F1094" i="1" s="1"/>
  <c r="D1094" i="1" a="1"/>
  <c r="D1094" i="1" s="1"/>
  <c r="B1094" i="1"/>
  <c r="R1093" i="1"/>
  <c r="Q1093" i="1"/>
  <c r="P1093" i="1"/>
  <c r="O1093" i="1"/>
  <c r="N1093" i="1"/>
  <c r="L1093" i="1"/>
  <c r="F1093" i="1"/>
  <c r="F1093" i="1" a="1"/>
  <c r="D1093" i="1" a="1"/>
  <c r="D1093" i="1" s="1"/>
  <c r="B1093" i="1"/>
  <c r="R1092" i="1"/>
  <c r="Q1092" i="1"/>
  <c r="P1092" i="1"/>
  <c r="O1092" i="1"/>
  <c r="N1092" i="1"/>
  <c r="L1092" i="1"/>
  <c r="F1092" i="1" a="1"/>
  <c r="F1092" i="1" s="1"/>
  <c r="D1092" i="1" a="1"/>
  <c r="D1092" i="1" s="1"/>
  <c r="B1092" i="1"/>
  <c r="R1091" i="1"/>
  <c r="Q1091" i="1"/>
  <c r="P1091" i="1"/>
  <c r="O1091" i="1"/>
  <c r="N1091" i="1"/>
  <c r="L1091" i="1"/>
  <c r="F1091" i="1" a="1"/>
  <c r="F1091" i="1" s="1"/>
  <c r="D1091" i="1" a="1"/>
  <c r="D1091" i="1" s="1"/>
  <c r="B1091" i="1"/>
  <c r="R1090" i="1"/>
  <c r="Q1090" i="1"/>
  <c r="P1090" i="1"/>
  <c r="O1090" i="1"/>
  <c r="N1090" i="1"/>
  <c r="L1090" i="1"/>
  <c r="F1090" i="1" a="1"/>
  <c r="F1090" i="1" s="1"/>
  <c r="D1090" i="1" a="1"/>
  <c r="D1090" i="1" s="1"/>
  <c r="B1090" i="1"/>
  <c r="R1089" i="1"/>
  <c r="Q1089" i="1"/>
  <c r="P1089" i="1"/>
  <c r="O1089" i="1"/>
  <c r="N1089" i="1"/>
  <c r="L1089" i="1"/>
  <c r="F1089" i="1"/>
  <c r="F1089" i="1" a="1"/>
  <c r="D1089" i="1" a="1"/>
  <c r="D1089" i="1" s="1"/>
  <c r="B1089" i="1"/>
  <c r="R1088" i="1"/>
  <c r="Q1088" i="1"/>
  <c r="P1088" i="1"/>
  <c r="O1088" i="1"/>
  <c r="N1088" i="1"/>
  <c r="L1088" i="1"/>
  <c r="F1088" i="1" a="1"/>
  <c r="F1088" i="1" s="1"/>
  <c r="D1088" i="1" a="1"/>
  <c r="D1088" i="1" s="1"/>
  <c r="B1088" i="1"/>
  <c r="R1087" i="1"/>
  <c r="Q1087" i="1"/>
  <c r="P1087" i="1"/>
  <c r="O1087" i="1"/>
  <c r="N1087" i="1"/>
  <c r="L1087" i="1"/>
  <c r="F1087" i="1" a="1"/>
  <c r="F1087" i="1" s="1"/>
  <c r="D1087" i="1" a="1"/>
  <c r="D1087" i="1" s="1"/>
  <c r="B1087" i="1"/>
  <c r="R1086" i="1"/>
  <c r="Q1086" i="1"/>
  <c r="P1086" i="1"/>
  <c r="O1086" i="1"/>
  <c r="N1086" i="1"/>
  <c r="L1086" i="1"/>
  <c r="F1086" i="1" a="1"/>
  <c r="F1086" i="1" s="1"/>
  <c r="D1086" i="1" a="1"/>
  <c r="D1086" i="1" s="1"/>
  <c r="B1086" i="1"/>
  <c r="R1085" i="1"/>
  <c r="Q1085" i="1"/>
  <c r="P1085" i="1"/>
  <c r="O1085" i="1"/>
  <c r="N1085" i="1"/>
  <c r="L1085" i="1"/>
  <c r="F1085" i="1"/>
  <c r="F1085" i="1" a="1"/>
  <c r="D1085" i="1" a="1"/>
  <c r="D1085" i="1" s="1"/>
  <c r="B1085" i="1"/>
  <c r="R1084" i="1"/>
  <c r="Q1084" i="1"/>
  <c r="P1084" i="1"/>
  <c r="O1084" i="1"/>
  <c r="N1084" i="1"/>
  <c r="L1084" i="1"/>
  <c r="F1084" i="1" a="1"/>
  <c r="F1084" i="1" s="1"/>
  <c r="D1084" i="1" a="1"/>
  <c r="D1084" i="1" s="1"/>
  <c r="B1084" i="1"/>
  <c r="R1083" i="1"/>
  <c r="Q1083" i="1"/>
  <c r="P1083" i="1"/>
  <c r="O1083" i="1"/>
  <c r="N1083" i="1"/>
  <c r="L1083" i="1"/>
  <c r="F1083" i="1" a="1"/>
  <c r="F1083" i="1" s="1"/>
  <c r="D1083" i="1" a="1"/>
  <c r="D1083" i="1" s="1"/>
  <c r="B1083" i="1"/>
  <c r="R1082" i="1"/>
  <c r="Q1082" i="1"/>
  <c r="P1082" i="1"/>
  <c r="O1082" i="1"/>
  <c r="N1082" i="1"/>
  <c r="L1082" i="1"/>
  <c r="F1082" i="1" a="1"/>
  <c r="F1082" i="1" s="1"/>
  <c r="D1082" i="1" a="1"/>
  <c r="D1082" i="1" s="1"/>
  <c r="B1082" i="1"/>
  <c r="R1081" i="1"/>
  <c r="Q1081" i="1"/>
  <c r="P1081" i="1"/>
  <c r="O1081" i="1"/>
  <c r="N1081" i="1"/>
  <c r="L1081" i="1"/>
  <c r="F1081" i="1"/>
  <c r="F1081" i="1" a="1"/>
  <c r="D1081" i="1" a="1"/>
  <c r="D1081" i="1" s="1"/>
  <c r="B1081" i="1"/>
  <c r="R1080" i="1"/>
  <c r="Q1080" i="1"/>
  <c r="P1080" i="1"/>
  <c r="O1080" i="1"/>
  <c r="N1080" i="1"/>
  <c r="L1080" i="1"/>
  <c r="F1080" i="1" a="1"/>
  <c r="F1080" i="1" s="1"/>
  <c r="D1080" i="1" a="1"/>
  <c r="D1080" i="1" s="1"/>
  <c r="B1080" i="1"/>
  <c r="R1079" i="1"/>
  <c r="Q1079" i="1"/>
  <c r="P1079" i="1"/>
  <c r="O1079" i="1"/>
  <c r="N1079" i="1"/>
  <c r="L1079" i="1"/>
  <c r="F1079" i="1" a="1"/>
  <c r="F1079" i="1" s="1"/>
  <c r="D1079" i="1" a="1"/>
  <c r="D1079" i="1" s="1"/>
  <c r="B1079" i="1"/>
  <c r="R1078" i="1"/>
  <c r="Q1078" i="1"/>
  <c r="P1078" i="1"/>
  <c r="O1078" i="1"/>
  <c r="N1078" i="1"/>
  <c r="L1078" i="1"/>
  <c r="F1078" i="1"/>
  <c r="F1078" i="1" a="1"/>
  <c r="D1078" i="1" a="1"/>
  <c r="D1078" i="1" s="1"/>
  <c r="B1078" i="1"/>
  <c r="R1077" i="1"/>
  <c r="Q1077" i="1"/>
  <c r="P1077" i="1"/>
  <c r="O1077" i="1"/>
  <c r="N1077" i="1"/>
  <c r="L1077" i="1"/>
  <c r="F1077" i="1"/>
  <c r="F1077" i="1" a="1"/>
  <c r="D1077" i="1" a="1"/>
  <c r="D1077" i="1" s="1"/>
  <c r="B1077" i="1"/>
  <c r="R1076" i="1"/>
  <c r="Q1076" i="1"/>
  <c r="P1076" i="1"/>
  <c r="O1076" i="1"/>
  <c r="N1076" i="1"/>
  <c r="L1076" i="1"/>
  <c r="F1076" i="1" a="1"/>
  <c r="F1076" i="1" s="1"/>
  <c r="D1076" i="1" a="1"/>
  <c r="D1076" i="1" s="1"/>
  <c r="B1076" i="1"/>
  <c r="R1075" i="1"/>
  <c r="Q1075" i="1"/>
  <c r="P1075" i="1"/>
  <c r="O1075" i="1"/>
  <c r="N1075" i="1"/>
  <c r="L1075" i="1"/>
  <c r="F1075" i="1" a="1"/>
  <c r="F1075" i="1" s="1"/>
  <c r="D1075" i="1" a="1"/>
  <c r="D1075" i="1" s="1"/>
  <c r="B1075" i="1"/>
  <c r="R1074" i="1"/>
  <c r="Q1074" i="1"/>
  <c r="P1074" i="1"/>
  <c r="O1074" i="1"/>
  <c r="N1074" i="1"/>
  <c r="L1074" i="1"/>
  <c r="F1074" i="1" a="1"/>
  <c r="F1074" i="1" s="1"/>
  <c r="D1074" i="1" a="1"/>
  <c r="D1074" i="1" s="1"/>
  <c r="B1074" i="1"/>
  <c r="R1073" i="1"/>
  <c r="Q1073" i="1"/>
  <c r="P1073" i="1"/>
  <c r="O1073" i="1"/>
  <c r="N1073" i="1"/>
  <c r="L1073" i="1"/>
  <c r="F1073" i="1"/>
  <c r="F1073" i="1" a="1"/>
  <c r="D1073" i="1" a="1"/>
  <c r="D1073" i="1" s="1"/>
  <c r="B1073" i="1"/>
  <c r="R1072" i="1"/>
  <c r="Q1072" i="1"/>
  <c r="P1072" i="1"/>
  <c r="O1072" i="1"/>
  <c r="N1072" i="1"/>
  <c r="L1072" i="1"/>
  <c r="F1072" i="1" a="1"/>
  <c r="F1072" i="1" s="1"/>
  <c r="D1072" i="1" a="1"/>
  <c r="D1072" i="1" s="1"/>
  <c r="B1072" i="1"/>
  <c r="R1071" i="1"/>
  <c r="Q1071" i="1"/>
  <c r="P1071" i="1"/>
  <c r="O1071" i="1"/>
  <c r="N1071" i="1"/>
  <c r="L1071" i="1"/>
  <c r="F1071" i="1" a="1"/>
  <c r="F1071" i="1" s="1"/>
  <c r="D1071" i="1" a="1"/>
  <c r="D1071" i="1" s="1"/>
  <c r="B1071" i="1"/>
  <c r="R1070" i="1"/>
  <c r="Q1070" i="1"/>
  <c r="P1070" i="1"/>
  <c r="O1070" i="1"/>
  <c r="N1070" i="1"/>
  <c r="L1070" i="1"/>
  <c r="F1070" i="1" a="1"/>
  <c r="F1070" i="1" s="1"/>
  <c r="D1070" i="1" a="1"/>
  <c r="D1070" i="1" s="1"/>
  <c r="B1070" i="1"/>
  <c r="R1069" i="1"/>
  <c r="Q1069" i="1"/>
  <c r="P1069" i="1"/>
  <c r="O1069" i="1"/>
  <c r="N1069" i="1"/>
  <c r="L1069" i="1"/>
  <c r="F1069" i="1"/>
  <c r="F1069" i="1" a="1"/>
  <c r="D1069" i="1"/>
  <c r="D1069" i="1" a="1"/>
  <c r="B1069" i="1"/>
  <c r="R1068" i="1"/>
  <c r="Q1068" i="1"/>
  <c r="P1068" i="1"/>
  <c r="O1068" i="1"/>
  <c r="N1068" i="1"/>
  <c r="L1068" i="1"/>
  <c r="F1068" i="1" a="1"/>
  <c r="F1068" i="1" s="1"/>
  <c r="D1068" i="1" a="1"/>
  <c r="D1068" i="1" s="1"/>
  <c r="B1068" i="1"/>
  <c r="R1067" i="1"/>
  <c r="Q1067" i="1"/>
  <c r="P1067" i="1"/>
  <c r="O1067" i="1"/>
  <c r="N1067" i="1"/>
  <c r="L1067" i="1"/>
  <c r="F1067" i="1" a="1"/>
  <c r="F1067" i="1" s="1"/>
  <c r="D1067" i="1" a="1"/>
  <c r="D1067" i="1" s="1"/>
  <c r="B1067" i="1"/>
  <c r="R1066" i="1"/>
  <c r="Q1066" i="1"/>
  <c r="P1066" i="1"/>
  <c r="O1066" i="1"/>
  <c r="N1066" i="1"/>
  <c r="L1066" i="1"/>
  <c r="F1066" i="1" a="1"/>
  <c r="F1066" i="1" s="1"/>
  <c r="D1066" i="1" a="1"/>
  <c r="D1066" i="1" s="1"/>
  <c r="B1066" i="1"/>
  <c r="R1065" i="1"/>
  <c r="Q1065" i="1"/>
  <c r="P1065" i="1"/>
  <c r="O1065" i="1"/>
  <c r="N1065" i="1"/>
  <c r="L1065" i="1"/>
  <c r="F1065" i="1"/>
  <c r="F1065" i="1" a="1"/>
  <c r="D1065" i="1" a="1"/>
  <c r="D1065" i="1" s="1"/>
  <c r="B1065" i="1"/>
  <c r="R1064" i="1"/>
  <c r="Q1064" i="1"/>
  <c r="P1064" i="1"/>
  <c r="O1064" i="1"/>
  <c r="N1064" i="1"/>
  <c r="L1064" i="1"/>
  <c r="F1064" i="1" a="1"/>
  <c r="F1064" i="1" s="1"/>
  <c r="D1064" i="1" a="1"/>
  <c r="D1064" i="1" s="1"/>
  <c r="B1064" i="1"/>
  <c r="R1063" i="1"/>
  <c r="Q1063" i="1"/>
  <c r="P1063" i="1"/>
  <c r="O1063" i="1"/>
  <c r="N1063" i="1"/>
  <c r="L1063" i="1"/>
  <c r="F1063" i="1" a="1"/>
  <c r="F1063" i="1" s="1"/>
  <c r="D1063" i="1" a="1"/>
  <c r="D1063" i="1" s="1"/>
  <c r="B1063" i="1"/>
  <c r="R1062" i="1"/>
  <c r="Q1062" i="1"/>
  <c r="P1062" i="1"/>
  <c r="O1062" i="1"/>
  <c r="N1062" i="1"/>
  <c r="L1062" i="1"/>
  <c r="F1062" i="1" a="1"/>
  <c r="F1062" i="1" s="1"/>
  <c r="D1062" i="1" a="1"/>
  <c r="D1062" i="1" s="1"/>
  <c r="B1062" i="1"/>
  <c r="R1061" i="1"/>
  <c r="Q1061" i="1"/>
  <c r="P1061" i="1"/>
  <c r="O1061" i="1"/>
  <c r="N1061" i="1"/>
  <c r="L1061" i="1"/>
  <c r="F1061" i="1"/>
  <c r="F1061" i="1" a="1"/>
  <c r="D1061" i="1"/>
  <c r="D1061" i="1" a="1"/>
  <c r="B1061" i="1"/>
  <c r="R1060" i="1"/>
  <c r="Q1060" i="1"/>
  <c r="P1060" i="1"/>
  <c r="O1060" i="1"/>
  <c r="N1060" i="1"/>
  <c r="L1060" i="1"/>
  <c r="F1060" i="1" a="1"/>
  <c r="F1060" i="1" s="1"/>
  <c r="D1060" i="1" a="1"/>
  <c r="D1060" i="1" s="1"/>
  <c r="B1060" i="1"/>
  <c r="R1059" i="1"/>
  <c r="Q1059" i="1"/>
  <c r="P1059" i="1"/>
  <c r="O1059" i="1"/>
  <c r="N1059" i="1"/>
  <c r="L1059" i="1"/>
  <c r="F1059" i="1" a="1"/>
  <c r="F1059" i="1" s="1"/>
  <c r="D1059" i="1"/>
  <c r="D1059" i="1" a="1"/>
  <c r="B1059" i="1"/>
  <c r="R1058" i="1"/>
  <c r="Q1058" i="1"/>
  <c r="P1058" i="1"/>
  <c r="O1058" i="1"/>
  <c r="N1058" i="1"/>
  <c r="L1058" i="1"/>
  <c r="F1058" i="1"/>
  <c r="F1058" i="1" a="1"/>
  <c r="D1058" i="1" a="1"/>
  <c r="D1058" i="1" s="1"/>
  <c r="B1058" i="1"/>
  <c r="R1057" i="1"/>
  <c r="Q1057" i="1"/>
  <c r="P1057" i="1"/>
  <c r="O1057" i="1"/>
  <c r="N1057" i="1"/>
  <c r="L1057" i="1"/>
  <c r="F1057" i="1"/>
  <c r="F1057" i="1" a="1"/>
  <c r="D1057" i="1"/>
  <c r="D1057" i="1" a="1"/>
  <c r="B1057" i="1"/>
  <c r="R1056" i="1"/>
  <c r="Q1056" i="1"/>
  <c r="P1056" i="1"/>
  <c r="O1056" i="1"/>
  <c r="N1056" i="1"/>
  <c r="L1056" i="1"/>
  <c r="F1056" i="1" a="1"/>
  <c r="F1056" i="1" s="1"/>
  <c r="D1056" i="1" a="1"/>
  <c r="D1056" i="1" s="1"/>
  <c r="B1056" i="1"/>
  <c r="R1055" i="1"/>
  <c r="Q1055" i="1"/>
  <c r="P1055" i="1"/>
  <c r="O1055" i="1"/>
  <c r="N1055" i="1"/>
  <c r="L1055" i="1"/>
  <c r="F1055" i="1" a="1"/>
  <c r="F1055" i="1" s="1"/>
  <c r="D1055" i="1"/>
  <c r="D1055" i="1" a="1"/>
  <c r="B1055" i="1"/>
  <c r="R1054" i="1"/>
  <c r="Q1054" i="1"/>
  <c r="P1054" i="1"/>
  <c r="O1054" i="1"/>
  <c r="N1054" i="1"/>
  <c r="L1054" i="1"/>
  <c r="F1054" i="1"/>
  <c r="F1054" i="1" a="1"/>
  <c r="D1054" i="1" a="1"/>
  <c r="D1054" i="1" s="1"/>
  <c r="B1054" i="1"/>
  <c r="R1053" i="1"/>
  <c r="Q1053" i="1"/>
  <c r="P1053" i="1"/>
  <c r="O1053" i="1"/>
  <c r="N1053" i="1"/>
  <c r="L1053" i="1"/>
  <c r="F1053" i="1"/>
  <c r="F1053" i="1" a="1"/>
  <c r="D1053" i="1"/>
  <c r="D1053" i="1" a="1"/>
  <c r="B1053" i="1"/>
  <c r="R1052" i="1"/>
  <c r="Q1052" i="1"/>
  <c r="P1052" i="1"/>
  <c r="O1052" i="1"/>
  <c r="N1052" i="1"/>
  <c r="L1052" i="1"/>
  <c r="F1052" i="1" a="1"/>
  <c r="F1052" i="1" s="1"/>
  <c r="D1052" i="1" a="1"/>
  <c r="D1052" i="1" s="1"/>
  <c r="B1052" i="1"/>
  <c r="R1051" i="1"/>
  <c r="Q1051" i="1"/>
  <c r="P1051" i="1"/>
  <c r="O1051" i="1"/>
  <c r="N1051" i="1"/>
  <c r="L1051" i="1"/>
  <c r="F1051" i="1" a="1"/>
  <c r="F1051" i="1" s="1"/>
  <c r="D1051" i="1"/>
  <c r="D1051" i="1" a="1"/>
  <c r="B1051" i="1"/>
  <c r="R1050" i="1"/>
  <c r="Q1050" i="1"/>
  <c r="P1050" i="1"/>
  <c r="O1050" i="1"/>
  <c r="N1050" i="1"/>
  <c r="L1050" i="1"/>
  <c r="F1050" i="1"/>
  <c r="F1050" i="1" a="1"/>
  <c r="D1050" i="1" a="1"/>
  <c r="D1050" i="1" s="1"/>
  <c r="B1050" i="1"/>
  <c r="R1049" i="1"/>
  <c r="Q1049" i="1"/>
  <c r="P1049" i="1"/>
  <c r="O1049" i="1"/>
  <c r="N1049" i="1"/>
  <c r="L1049" i="1"/>
  <c r="F1049" i="1"/>
  <c r="F1049" i="1" a="1"/>
  <c r="D1049" i="1"/>
  <c r="D1049" i="1" a="1"/>
  <c r="B1049" i="1"/>
  <c r="R1048" i="1"/>
  <c r="Q1048" i="1"/>
  <c r="P1048" i="1"/>
  <c r="O1048" i="1"/>
  <c r="N1048" i="1"/>
  <c r="L1048" i="1"/>
  <c r="F1048" i="1" a="1"/>
  <c r="F1048" i="1" s="1"/>
  <c r="D1048" i="1" a="1"/>
  <c r="D1048" i="1" s="1"/>
  <c r="B1048" i="1"/>
  <c r="R1047" i="1"/>
  <c r="Q1047" i="1"/>
  <c r="P1047" i="1"/>
  <c r="O1047" i="1"/>
  <c r="N1047" i="1"/>
  <c r="L1047" i="1"/>
  <c r="F1047" i="1" a="1"/>
  <c r="F1047" i="1" s="1"/>
  <c r="D1047" i="1"/>
  <c r="D1047" i="1" a="1"/>
  <c r="B1047" i="1"/>
  <c r="R1046" i="1"/>
  <c r="Q1046" i="1"/>
  <c r="P1046" i="1"/>
  <c r="O1046" i="1"/>
  <c r="N1046" i="1"/>
  <c r="L1046" i="1"/>
  <c r="F1046" i="1" a="1"/>
  <c r="F1046" i="1" s="1"/>
  <c r="D1046" i="1" a="1"/>
  <c r="D1046" i="1" s="1"/>
  <c r="B1046" i="1"/>
  <c r="R1045" i="1"/>
  <c r="Q1045" i="1"/>
  <c r="P1045" i="1"/>
  <c r="O1045" i="1"/>
  <c r="N1045" i="1"/>
  <c r="L1045" i="1"/>
  <c r="F1045" i="1"/>
  <c r="F1045" i="1" a="1"/>
  <c r="D1045" i="1"/>
  <c r="D1045" i="1" a="1"/>
  <c r="B1045" i="1"/>
  <c r="R1044" i="1"/>
  <c r="Q1044" i="1"/>
  <c r="P1044" i="1"/>
  <c r="O1044" i="1"/>
  <c r="N1044" i="1"/>
  <c r="L1044" i="1"/>
  <c r="F1044" i="1" a="1"/>
  <c r="F1044" i="1" s="1"/>
  <c r="D1044" i="1" a="1"/>
  <c r="D1044" i="1" s="1"/>
  <c r="B1044" i="1"/>
  <c r="R1043" i="1"/>
  <c r="Q1043" i="1"/>
  <c r="P1043" i="1"/>
  <c r="O1043" i="1"/>
  <c r="N1043" i="1"/>
  <c r="L1043" i="1"/>
  <c r="F1043" i="1" a="1"/>
  <c r="F1043" i="1" s="1"/>
  <c r="D1043" i="1" a="1"/>
  <c r="D1043" i="1" s="1"/>
  <c r="B1043" i="1"/>
  <c r="R1042" i="1"/>
  <c r="Q1042" i="1"/>
  <c r="P1042" i="1"/>
  <c r="O1042" i="1"/>
  <c r="N1042" i="1"/>
  <c r="L1042" i="1"/>
  <c r="F1042" i="1" a="1"/>
  <c r="F1042" i="1" s="1"/>
  <c r="D1042" i="1" a="1"/>
  <c r="D1042" i="1" s="1"/>
  <c r="B1042" i="1"/>
  <c r="R1041" i="1"/>
  <c r="Q1041" i="1"/>
  <c r="P1041" i="1"/>
  <c r="O1041" i="1"/>
  <c r="N1041" i="1"/>
  <c r="L1041" i="1"/>
  <c r="F1041" i="1"/>
  <c r="F1041" i="1" a="1"/>
  <c r="D1041" i="1"/>
  <c r="D1041" i="1" a="1"/>
  <c r="B1041" i="1"/>
  <c r="R1040" i="1"/>
  <c r="Q1040" i="1"/>
  <c r="P1040" i="1"/>
  <c r="O1040" i="1"/>
  <c r="N1040" i="1"/>
  <c r="L1040" i="1"/>
  <c r="F1040" i="1" a="1"/>
  <c r="F1040" i="1" s="1"/>
  <c r="D1040" i="1" a="1"/>
  <c r="D1040" i="1" s="1"/>
  <c r="B1040" i="1"/>
  <c r="R1039" i="1"/>
  <c r="Q1039" i="1"/>
  <c r="P1039" i="1"/>
  <c r="O1039" i="1"/>
  <c r="N1039" i="1"/>
  <c r="L1039" i="1"/>
  <c r="F1039" i="1" a="1"/>
  <c r="F1039" i="1" s="1"/>
  <c r="D1039" i="1"/>
  <c r="D1039" i="1" a="1"/>
  <c r="B1039" i="1"/>
  <c r="R1038" i="1"/>
  <c r="Q1038" i="1"/>
  <c r="P1038" i="1"/>
  <c r="O1038" i="1"/>
  <c r="N1038" i="1"/>
  <c r="L1038" i="1"/>
  <c r="F1038" i="1"/>
  <c r="F1038" i="1" a="1"/>
  <c r="D1038" i="1" a="1"/>
  <c r="D1038" i="1" s="1"/>
  <c r="B1038" i="1"/>
  <c r="R1037" i="1"/>
  <c r="Q1037" i="1"/>
  <c r="P1037" i="1"/>
  <c r="O1037" i="1"/>
  <c r="N1037" i="1"/>
  <c r="L1037" i="1"/>
  <c r="F1037" i="1"/>
  <c r="F1037" i="1" a="1"/>
  <c r="D1037" i="1" a="1"/>
  <c r="D1037" i="1" s="1"/>
  <c r="B1037" i="1"/>
  <c r="R1036" i="1"/>
  <c r="Q1036" i="1"/>
  <c r="P1036" i="1"/>
  <c r="O1036" i="1"/>
  <c r="N1036" i="1"/>
  <c r="L1036" i="1"/>
  <c r="F1036" i="1"/>
  <c r="F1036" i="1" a="1"/>
  <c r="D1036" i="1" a="1"/>
  <c r="D1036" i="1" s="1"/>
  <c r="B1036" i="1"/>
  <c r="R1035" i="1"/>
  <c r="Q1035" i="1"/>
  <c r="P1035" i="1"/>
  <c r="O1035" i="1"/>
  <c r="N1035" i="1"/>
  <c r="L1035" i="1"/>
  <c r="F1035" i="1" a="1"/>
  <c r="F1035" i="1" s="1"/>
  <c r="D1035" i="1"/>
  <c r="D1035" i="1" a="1"/>
  <c r="B1035" i="1"/>
  <c r="R1034" i="1"/>
  <c r="Q1034" i="1"/>
  <c r="P1034" i="1"/>
  <c r="O1034" i="1"/>
  <c r="N1034" i="1"/>
  <c r="L1034" i="1"/>
  <c r="F1034" i="1" a="1"/>
  <c r="F1034" i="1" s="1"/>
  <c r="D1034" i="1" a="1"/>
  <c r="D1034" i="1" s="1"/>
  <c r="B1034" i="1"/>
  <c r="R1033" i="1"/>
  <c r="Q1033" i="1"/>
  <c r="P1033" i="1"/>
  <c r="O1033" i="1"/>
  <c r="N1033" i="1"/>
  <c r="L1033" i="1"/>
  <c r="F1033" i="1"/>
  <c r="F1033" i="1" a="1"/>
  <c r="D1033" i="1"/>
  <c r="D1033" i="1" a="1"/>
  <c r="B1033" i="1"/>
  <c r="R1032" i="1"/>
  <c r="Q1032" i="1"/>
  <c r="P1032" i="1"/>
  <c r="O1032" i="1"/>
  <c r="N1032" i="1"/>
  <c r="L1032" i="1"/>
  <c r="F1032" i="1"/>
  <c r="F1032" i="1" a="1"/>
  <c r="D1032" i="1" a="1"/>
  <c r="D1032" i="1" s="1"/>
  <c r="B1032" i="1"/>
  <c r="R1031" i="1"/>
  <c r="Q1031" i="1"/>
  <c r="P1031" i="1"/>
  <c r="O1031" i="1"/>
  <c r="N1031" i="1"/>
  <c r="L1031" i="1"/>
  <c r="F1031" i="1" a="1"/>
  <c r="F1031" i="1" s="1"/>
  <c r="D1031" i="1" a="1"/>
  <c r="D1031" i="1" s="1"/>
  <c r="B1031" i="1"/>
  <c r="R1030" i="1"/>
  <c r="Q1030" i="1"/>
  <c r="P1030" i="1"/>
  <c r="O1030" i="1"/>
  <c r="N1030" i="1"/>
  <c r="L1030" i="1"/>
  <c r="F1030" i="1"/>
  <c r="F1030" i="1" a="1"/>
  <c r="D1030" i="1" a="1"/>
  <c r="D1030" i="1" s="1"/>
  <c r="B1030" i="1"/>
  <c r="R1029" i="1"/>
  <c r="Q1029" i="1"/>
  <c r="P1029" i="1"/>
  <c r="O1029" i="1"/>
  <c r="N1029" i="1"/>
  <c r="L1029" i="1"/>
  <c r="F1029" i="1"/>
  <c r="F1029" i="1" a="1"/>
  <c r="D1029" i="1" a="1"/>
  <c r="D1029" i="1" s="1"/>
  <c r="B1029" i="1"/>
  <c r="R1028" i="1"/>
  <c r="Q1028" i="1"/>
  <c r="P1028" i="1"/>
  <c r="O1028" i="1"/>
  <c r="N1028" i="1"/>
  <c r="L1028" i="1"/>
  <c r="F1028" i="1" a="1"/>
  <c r="F1028" i="1" s="1"/>
  <c r="D1028" i="1" a="1"/>
  <c r="D1028" i="1" s="1"/>
  <c r="B1028" i="1"/>
  <c r="R1027" i="1"/>
  <c r="Q1027" i="1"/>
  <c r="P1027" i="1"/>
  <c r="O1027" i="1"/>
  <c r="N1027" i="1"/>
  <c r="L1027" i="1"/>
  <c r="F1027" i="1"/>
  <c r="F1027" i="1" a="1"/>
  <c r="D1027" i="1" a="1"/>
  <c r="D1027" i="1" s="1"/>
  <c r="B1027" i="1"/>
  <c r="R1026" i="1"/>
  <c r="Q1026" i="1"/>
  <c r="P1026" i="1"/>
  <c r="O1026" i="1"/>
  <c r="N1026" i="1"/>
  <c r="L1026" i="1"/>
  <c r="F1026" i="1" a="1"/>
  <c r="F1026" i="1" s="1"/>
  <c r="D1026" i="1" a="1"/>
  <c r="D1026" i="1" s="1"/>
  <c r="B1026" i="1"/>
  <c r="R1025" i="1"/>
  <c r="Q1025" i="1"/>
  <c r="P1025" i="1"/>
  <c r="O1025" i="1"/>
  <c r="N1025" i="1"/>
  <c r="L1025" i="1"/>
  <c r="F1025" i="1"/>
  <c r="F1025" i="1" a="1"/>
  <c r="D1025" i="1" a="1"/>
  <c r="D1025" i="1" s="1"/>
  <c r="B1025" i="1"/>
  <c r="R1024" i="1"/>
  <c r="Q1024" i="1"/>
  <c r="P1024" i="1"/>
  <c r="O1024" i="1"/>
  <c r="N1024" i="1"/>
  <c r="L1024" i="1"/>
  <c r="F1024" i="1" a="1"/>
  <c r="F1024" i="1" s="1"/>
  <c r="D1024" i="1" a="1"/>
  <c r="D1024" i="1" s="1"/>
  <c r="B1024" i="1"/>
  <c r="R1023" i="1"/>
  <c r="Q1023" i="1"/>
  <c r="P1023" i="1"/>
  <c r="O1023" i="1"/>
  <c r="N1023" i="1"/>
  <c r="L1023" i="1"/>
  <c r="F1023" i="1" a="1"/>
  <c r="F1023" i="1" s="1"/>
  <c r="D1023" i="1" a="1"/>
  <c r="D1023" i="1" s="1"/>
  <c r="B1023" i="1"/>
  <c r="R1022" i="1"/>
  <c r="Q1022" i="1"/>
  <c r="P1022" i="1"/>
  <c r="O1022" i="1"/>
  <c r="N1022" i="1"/>
  <c r="L1022" i="1"/>
  <c r="F1022" i="1" a="1"/>
  <c r="F1022" i="1" s="1"/>
  <c r="D1022" i="1" a="1"/>
  <c r="D1022" i="1" s="1"/>
  <c r="B1022" i="1"/>
  <c r="R1021" i="1"/>
  <c r="Q1021" i="1"/>
  <c r="P1021" i="1"/>
  <c r="O1021" i="1"/>
  <c r="N1021" i="1"/>
  <c r="L1021" i="1"/>
  <c r="F1021" i="1"/>
  <c r="F1021" i="1" a="1"/>
  <c r="D1021" i="1" a="1"/>
  <c r="D1021" i="1" s="1"/>
  <c r="B1021" i="1"/>
  <c r="R1020" i="1"/>
  <c r="Q1020" i="1"/>
  <c r="P1020" i="1"/>
  <c r="O1020" i="1"/>
  <c r="N1020" i="1"/>
  <c r="L1020" i="1"/>
  <c r="F1020" i="1" a="1"/>
  <c r="F1020" i="1" s="1"/>
  <c r="D1020" i="1" a="1"/>
  <c r="D1020" i="1" s="1"/>
  <c r="B1020" i="1"/>
  <c r="R1019" i="1"/>
  <c r="Q1019" i="1"/>
  <c r="P1019" i="1"/>
  <c r="O1019" i="1"/>
  <c r="N1019" i="1"/>
  <c r="L1019" i="1"/>
  <c r="F1019" i="1" a="1"/>
  <c r="F1019" i="1" s="1"/>
  <c r="D1019" i="1"/>
  <c r="D1019" i="1" a="1"/>
  <c r="B1019" i="1"/>
  <c r="R1018" i="1"/>
  <c r="Q1018" i="1"/>
  <c r="P1018" i="1"/>
  <c r="O1018" i="1"/>
  <c r="N1018" i="1"/>
  <c r="L1018" i="1"/>
  <c r="F1018" i="1" a="1"/>
  <c r="F1018" i="1" s="1"/>
  <c r="D1018" i="1" a="1"/>
  <c r="D1018" i="1" s="1"/>
  <c r="B1018" i="1"/>
  <c r="R1017" i="1"/>
  <c r="Q1017" i="1"/>
  <c r="P1017" i="1"/>
  <c r="O1017" i="1"/>
  <c r="N1017" i="1"/>
  <c r="L1017" i="1"/>
  <c r="F1017" i="1"/>
  <c r="F1017" i="1" a="1"/>
  <c r="D1017" i="1" a="1"/>
  <c r="D1017" i="1" s="1"/>
  <c r="B1017" i="1"/>
  <c r="R1016" i="1"/>
  <c r="Q1016" i="1"/>
  <c r="P1016" i="1"/>
  <c r="O1016" i="1"/>
  <c r="N1016" i="1"/>
  <c r="L1016" i="1"/>
  <c r="F1016" i="1" a="1"/>
  <c r="F1016" i="1" s="1"/>
  <c r="D1016" i="1" a="1"/>
  <c r="D1016" i="1" s="1"/>
  <c r="B1016" i="1"/>
  <c r="R1015" i="1"/>
  <c r="Q1015" i="1"/>
  <c r="P1015" i="1"/>
  <c r="O1015" i="1"/>
  <c r="N1015" i="1"/>
  <c r="L1015" i="1"/>
  <c r="F1015" i="1" a="1"/>
  <c r="F1015" i="1" s="1"/>
  <c r="D1015" i="1" a="1"/>
  <c r="D1015" i="1" s="1"/>
  <c r="B1015" i="1"/>
  <c r="R1014" i="1"/>
  <c r="Q1014" i="1"/>
  <c r="P1014" i="1"/>
  <c r="O1014" i="1"/>
  <c r="N1014" i="1"/>
  <c r="L1014" i="1"/>
  <c r="F1014" i="1" a="1"/>
  <c r="F1014" i="1" s="1"/>
  <c r="D1014" i="1" a="1"/>
  <c r="D1014" i="1" s="1"/>
  <c r="B1014" i="1"/>
  <c r="R1013" i="1"/>
  <c r="Q1013" i="1"/>
  <c r="P1013" i="1"/>
  <c r="O1013" i="1"/>
  <c r="N1013" i="1"/>
  <c r="L1013" i="1"/>
  <c r="F1013" i="1"/>
  <c r="F1013" i="1" a="1"/>
  <c r="D1013" i="1" a="1"/>
  <c r="D1013" i="1" s="1"/>
  <c r="B1013" i="1"/>
  <c r="R1012" i="1"/>
  <c r="Q1012" i="1"/>
  <c r="P1012" i="1"/>
  <c r="O1012" i="1"/>
  <c r="N1012" i="1"/>
  <c r="L1012" i="1"/>
  <c r="F1012" i="1" a="1"/>
  <c r="F1012" i="1" s="1"/>
  <c r="D1012" i="1" a="1"/>
  <c r="D1012" i="1" s="1"/>
  <c r="B1012" i="1"/>
  <c r="R1011" i="1"/>
  <c r="Q1011" i="1"/>
  <c r="P1011" i="1"/>
  <c r="O1011" i="1"/>
  <c r="N1011" i="1"/>
  <c r="L1011" i="1"/>
  <c r="F1011" i="1" a="1"/>
  <c r="F1011" i="1" s="1"/>
  <c r="D1011" i="1" a="1"/>
  <c r="D1011" i="1" s="1"/>
  <c r="B1011" i="1"/>
  <c r="R1010" i="1"/>
  <c r="Q1010" i="1"/>
  <c r="P1010" i="1"/>
  <c r="O1010" i="1"/>
  <c r="N1010" i="1"/>
  <c r="L1010" i="1"/>
  <c r="F1010" i="1" a="1"/>
  <c r="F1010" i="1" s="1"/>
  <c r="D1010" i="1" a="1"/>
  <c r="D1010" i="1" s="1"/>
  <c r="B1010" i="1"/>
  <c r="R1009" i="1"/>
  <c r="Q1009" i="1"/>
  <c r="P1009" i="1"/>
  <c r="O1009" i="1"/>
  <c r="N1009" i="1"/>
  <c r="L1009" i="1"/>
  <c r="F1009" i="1"/>
  <c r="F1009" i="1" a="1"/>
  <c r="D1009" i="1" a="1"/>
  <c r="D1009" i="1" s="1"/>
  <c r="B1009" i="1"/>
  <c r="R1008" i="1"/>
  <c r="Q1008" i="1"/>
  <c r="P1008" i="1"/>
  <c r="O1008" i="1"/>
  <c r="N1008" i="1"/>
  <c r="L1008" i="1"/>
  <c r="F1008" i="1" a="1"/>
  <c r="F1008" i="1" s="1"/>
  <c r="D1008" i="1" a="1"/>
  <c r="D1008" i="1" s="1"/>
  <c r="B1008" i="1"/>
  <c r="R1007" i="1"/>
  <c r="Q1007" i="1"/>
  <c r="P1007" i="1"/>
  <c r="O1007" i="1"/>
  <c r="N1007" i="1"/>
  <c r="L1007" i="1"/>
  <c r="F1007" i="1" a="1"/>
  <c r="F1007" i="1" s="1"/>
  <c r="D1007" i="1" a="1"/>
  <c r="D1007" i="1" s="1"/>
  <c r="B1007" i="1"/>
  <c r="R1006" i="1"/>
  <c r="Q1006" i="1"/>
  <c r="P1006" i="1"/>
  <c r="O1006" i="1"/>
  <c r="N1006" i="1"/>
  <c r="L1006" i="1"/>
  <c r="F1006" i="1" a="1"/>
  <c r="F1006" i="1" s="1"/>
  <c r="D1006" i="1" a="1"/>
  <c r="D1006" i="1" s="1"/>
  <c r="B1006" i="1"/>
  <c r="R1005" i="1"/>
  <c r="Q1005" i="1"/>
  <c r="P1005" i="1"/>
  <c r="O1005" i="1"/>
  <c r="N1005" i="1"/>
  <c r="L1005" i="1"/>
  <c r="F1005" i="1"/>
  <c r="F1005" i="1" a="1"/>
  <c r="D1005" i="1" a="1"/>
  <c r="D1005" i="1" s="1"/>
  <c r="B1005" i="1"/>
  <c r="R1004" i="1"/>
  <c r="Q1004" i="1"/>
  <c r="P1004" i="1"/>
  <c r="O1004" i="1"/>
  <c r="N1004" i="1"/>
  <c r="L1004" i="1"/>
  <c r="F1004" i="1" a="1"/>
  <c r="F1004" i="1" s="1"/>
  <c r="D1004" i="1" a="1"/>
  <c r="D1004" i="1" s="1"/>
  <c r="B1004" i="1"/>
  <c r="R1003" i="1"/>
  <c r="Q1003" i="1"/>
  <c r="P1003" i="1"/>
  <c r="O1003" i="1"/>
  <c r="N1003" i="1"/>
  <c r="L1003" i="1"/>
  <c r="F1003" i="1" a="1"/>
  <c r="F1003" i="1" s="1"/>
  <c r="D1003" i="1" a="1"/>
  <c r="D1003" i="1" s="1"/>
  <c r="B1003" i="1"/>
  <c r="R1002" i="1"/>
  <c r="Q1002" i="1"/>
  <c r="P1002" i="1"/>
  <c r="O1002" i="1"/>
  <c r="N1002" i="1"/>
  <c r="L1002" i="1"/>
  <c r="F1002" i="1" a="1"/>
  <c r="F1002" i="1" s="1"/>
  <c r="D1002" i="1" a="1"/>
  <c r="D1002" i="1" s="1"/>
  <c r="B1002" i="1"/>
  <c r="R1001" i="1"/>
  <c r="Q1001" i="1"/>
  <c r="P1001" i="1"/>
  <c r="O1001" i="1"/>
  <c r="N1001" i="1"/>
  <c r="L1001" i="1"/>
  <c r="F1001" i="1"/>
  <c r="F1001" i="1" a="1"/>
  <c r="D1001" i="1" a="1"/>
  <c r="D1001" i="1" s="1"/>
  <c r="B1001" i="1"/>
  <c r="R1000" i="1"/>
  <c r="Q1000" i="1"/>
  <c r="P1000" i="1"/>
  <c r="O1000" i="1"/>
  <c r="N1000" i="1"/>
  <c r="L1000" i="1"/>
  <c r="F1000" i="1" a="1"/>
  <c r="F1000" i="1" s="1"/>
  <c r="D1000" i="1" a="1"/>
  <c r="D1000" i="1" s="1"/>
  <c r="B1000" i="1"/>
  <c r="R999" i="1"/>
  <c r="Q999" i="1"/>
  <c r="P999" i="1"/>
  <c r="O999" i="1"/>
  <c r="N999" i="1"/>
  <c r="L999" i="1"/>
  <c r="F999" i="1"/>
  <c r="F999" i="1" a="1"/>
  <c r="D999" i="1" a="1"/>
  <c r="D999" i="1" s="1"/>
  <c r="B999" i="1"/>
  <c r="R998" i="1"/>
  <c r="Q998" i="1"/>
  <c r="P998" i="1"/>
  <c r="O998" i="1"/>
  <c r="N998" i="1"/>
  <c r="L998" i="1"/>
  <c r="F998" i="1"/>
  <c r="F998" i="1" a="1"/>
  <c r="D998" i="1" a="1"/>
  <c r="D998" i="1" s="1"/>
  <c r="B998" i="1"/>
  <c r="R997" i="1"/>
  <c r="Q997" i="1"/>
  <c r="P997" i="1"/>
  <c r="O997" i="1"/>
  <c r="N997" i="1"/>
  <c r="L997" i="1"/>
  <c r="F997" i="1"/>
  <c r="F997" i="1" a="1"/>
  <c r="D997" i="1"/>
  <c r="D997" i="1" a="1"/>
  <c r="B997" i="1"/>
  <c r="R996" i="1"/>
  <c r="Q996" i="1"/>
  <c r="P996" i="1"/>
  <c r="O996" i="1"/>
  <c r="N996" i="1"/>
  <c r="L996" i="1"/>
  <c r="F996" i="1" a="1"/>
  <c r="F996" i="1" s="1"/>
  <c r="D996" i="1" a="1"/>
  <c r="D996" i="1" s="1"/>
  <c r="B996" i="1"/>
  <c r="R995" i="1"/>
  <c r="Q995" i="1"/>
  <c r="P995" i="1"/>
  <c r="O995" i="1"/>
  <c r="N995" i="1"/>
  <c r="L995" i="1"/>
  <c r="F995" i="1"/>
  <c r="F995" i="1" a="1"/>
  <c r="D995" i="1"/>
  <c r="D995" i="1" a="1"/>
  <c r="B995" i="1"/>
  <c r="R994" i="1"/>
  <c r="Q994" i="1"/>
  <c r="P994" i="1"/>
  <c r="O994" i="1"/>
  <c r="N994" i="1"/>
  <c r="L994" i="1"/>
  <c r="F994" i="1"/>
  <c r="F994" i="1" a="1"/>
  <c r="D994" i="1" a="1"/>
  <c r="D994" i="1" s="1"/>
  <c r="B994" i="1"/>
  <c r="R993" i="1"/>
  <c r="Q993" i="1"/>
  <c r="P993" i="1"/>
  <c r="O993" i="1"/>
  <c r="N993" i="1"/>
  <c r="L993" i="1"/>
  <c r="F993" i="1"/>
  <c r="F993" i="1" a="1"/>
  <c r="D993" i="1"/>
  <c r="D993" i="1" a="1"/>
  <c r="B993" i="1"/>
  <c r="R992" i="1"/>
  <c r="Q992" i="1"/>
  <c r="P992" i="1"/>
  <c r="O992" i="1"/>
  <c r="N992" i="1"/>
  <c r="L992" i="1"/>
  <c r="F992" i="1" a="1"/>
  <c r="F992" i="1" s="1"/>
  <c r="D992" i="1" a="1"/>
  <c r="D992" i="1" s="1"/>
  <c r="B992" i="1"/>
  <c r="R991" i="1"/>
  <c r="Q991" i="1"/>
  <c r="P991" i="1"/>
  <c r="O991" i="1"/>
  <c r="N991" i="1"/>
  <c r="L991" i="1"/>
  <c r="F991" i="1"/>
  <c r="F991" i="1" a="1"/>
  <c r="D991" i="1"/>
  <c r="D991" i="1" a="1"/>
  <c r="B991" i="1"/>
  <c r="R990" i="1"/>
  <c r="Q990" i="1"/>
  <c r="P990" i="1"/>
  <c r="O990" i="1"/>
  <c r="N990" i="1"/>
  <c r="L990" i="1"/>
  <c r="F990" i="1"/>
  <c r="F990" i="1" a="1"/>
  <c r="D990" i="1" a="1"/>
  <c r="D990" i="1" s="1"/>
  <c r="B990" i="1"/>
  <c r="R989" i="1"/>
  <c r="Q989" i="1"/>
  <c r="P989" i="1"/>
  <c r="O989" i="1"/>
  <c r="N989" i="1"/>
  <c r="L989" i="1"/>
  <c r="F989" i="1" a="1"/>
  <c r="F989" i="1" s="1"/>
  <c r="D989" i="1"/>
  <c r="D989" i="1" a="1"/>
  <c r="B989" i="1"/>
  <c r="R988" i="1"/>
  <c r="Q988" i="1"/>
  <c r="P988" i="1"/>
  <c r="O988" i="1"/>
  <c r="N988" i="1"/>
  <c r="L988" i="1"/>
  <c r="F988" i="1" a="1"/>
  <c r="F988" i="1" s="1"/>
  <c r="D988" i="1" a="1"/>
  <c r="D988" i="1" s="1"/>
  <c r="B988" i="1"/>
  <c r="R987" i="1"/>
  <c r="Q987" i="1"/>
  <c r="P987" i="1"/>
  <c r="O987" i="1"/>
  <c r="N987" i="1"/>
  <c r="L987" i="1"/>
  <c r="F987" i="1"/>
  <c r="F987" i="1" a="1"/>
  <c r="D987" i="1"/>
  <c r="D987" i="1" a="1"/>
  <c r="B987" i="1"/>
  <c r="R986" i="1"/>
  <c r="Q986" i="1"/>
  <c r="P986" i="1"/>
  <c r="O986" i="1"/>
  <c r="N986" i="1"/>
  <c r="L986" i="1"/>
  <c r="F986" i="1"/>
  <c r="F986" i="1" a="1"/>
  <c r="D986" i="1"/>
  <c r="D986" i="1" a="1"/>
  <c r="B986" i="1"/>
  <c r="R985" i="1"/>
  <c r="Q985" i="1"/>
  <c r="P985" i="1"/>
  <c r="O985" i="1"/>
  <c r="N985" i="1"/>
  <c r="L985" i="1"/>
  <c r="F985" i="1" a="1"/>
  <c r="F985" i="1" s="1"/>
  <c r="D985" i="1"/>
  <c r="D985" i="1" a="1"/>
  <c r="B985" i="1"/>
  <c r="R984" i="1"/>
  <c r="Q984" i="1"/>
  <c r="P984" i="1"/>
  <c r="O984" i="1"/>
  <c r="N984" i="1"/>
  <c r="L984" i="1"/>
  <c r="F984" i="1" a="1"/>
  <c r="F984" i="1" s="1"/>
  <c r="D984" i="1" a="1"/>
  <c r="D984" i="1" s="1"/>
  <c r="B984" i="1"/>
  <c r="R983" i="1"/>
  <c r="Q983" i="1"/>
  <c r="P983" i="1"/>
  <c r="O983" i="1"/>
  <c r="N983" i="1"/>
  <c r="L983" i="1"/>
  <c r="F983" i="1"/>
  <c r="F983" i="1" a="1"/>
  <c r="D983" i="1" a="1"/>
  <c r="D983" i="1" s="1"/>
  <c r="B983" i="1"/>
  <c r="R982" i="1"/>
  <c r="Q982" i="1"/>
  <c r="P982" i="1"/>
  <c r="O982" i="1"/>
  <c r="N982" i="1"/>
  <c r="L982" i="1"/>
  <c r="F982" i="1"/>
  <c r="F982" i="1" a="1"/>
  <c r="D982" i="1"/>
  <c r="D982" i="1" a="1"/>
  <c r="B982" i="1"/>
  <c r="R981" i="1"/>
  <c r="Q981" i="1"/>
  <c r="P981" i="1"/>
  <c r="O981" i="1"/>
  <c r="N981" i="1"/>
  <c r="L981" i="1"/>
  <c r="F981" i="1" a="1"/>
  <c r="F981" i="1" s="1"/>
  <c r="D981" i="1"/>
  <c r="D981" i="1" a="1"/>
  <c r="B981" i="1"/>
  <c r="R980" i="1"/>
  <c r="Q980" i="1"/>
  <c r="P980" i="1"/>
  <c r="O980" i="1"/>
  <c r="N980" i="1"/>
  <c r="L980" i="1"/>
  <c r="F980" i="1" a="1"/>
  <c r="F980" i="1" s="1"/>
  <c r="D980" i="1" a="1"/>
  <c r="D980" i="1" s="1"/>
  <c r="B980" i="1"/>
  <c r="R979" i="1"/>
  <c r="Q979" i="1"/>
  <c r="P979" i="1"/>
  <c r="O979" i="1"/>
  <c r="N979" i="1"/>
  <c r="L979" i="1"/>
  <c r="F979" i="1"/>
  <c r="F979" i="1" a="1"/>
  <c r="D979" i="1"/>
  <c r="D979" i="1" a="1"/>
  <c r="B979" i="1"/>
  <c r="R978" i="1"/>
  <c r="Q978" i="1"/>
  <c r="P978" i="1"/>
  <c r="O978" i="1"/>
  <c r="N978" i="1"/>
  <c r="L978" i="1"/>
  <c r="F978" i="1"/>
  <c r="F978" i="1" a="1"/>
  <c r="D978" i="1"/>
  <c r="D978" i="1" a="1"/>
  <c r="B978" i="1"/>
  <c r="R977" i="1"/>
  <c r="Q977" i="1"/>
  <c r="P977" i="1"/>
  <c r="O977" i="1"/>
  <c r="N977" i="1"/>
  <c r="L977" i="1"/>
  <c r="F977" i="1" a="1"/>
  <c r="F977" i="1" s="1"/>
  <c r="D977" i="1"/>
  <c r="D977" i="1" a="1"/>
  <c r="B977" i="1"/>
  <c r="R976" i="1"/>
  <c r="Q976" i="1"/>
  <c r="P976" i="1"/>
  <c r="O976" i="1"/>
  <c r="N976" i="1"/>
  <c r="L976" i="1"/>
  <c r="F976" i="1" a="1"/>
  <c r="F976" i="1" s="1"/>
  <c r="D976" i="1" a="1"/>
  <c r="D976" i="1" s="1"/>
  <c r="B976" i="1"/>
  <c r="R975" i="1"/>
  <c r="Q975" i="1"/>
  <c r="P975" i="1"/>
  <c r="O975" i="1"/>
  <c r="N975" i="1"/>
  <c r="L975" i="1"/>
  <c r="F975" i="1"/>
  <c r="F975" i="1" a="1"/>
  <c r="D975" i="1" a="1"/>
  <c r="D975" i="1" s="1"/>
  <c r="B975" i="1"/>
  <c r="R974" i="1"/>
  <c r="Q974" i="1"/>
  <c r="P974" i="1"/>
  <c r="O974" i="1"/>
  <c r="N974" i="1"/>
  <c r="L974" i="1"/>
  <c r="F974" i="1"/>
  <c r="F974" i="1" a="1"/>
  <c r="D974" i="1"/>
  <c r="D974" i="1" a="1"/>
  <c r="B974" i="1"/>
  <c r="R973" i="1"/>
  <c r="Q973" i="1"/>
  <c r="P973" i="1"/>
  <c r="O973" i="1"/>
  <c r="N973" i="1"/>
  <c r="L973" i="1"/>
  <c r="F973" i="1"/>
  <c r="F973" i="1" a="1"/>
  <c r="D973" i="1"/>
  <c r="D973" i="1" a="1"/>
  <c r="B973" i="1"/>
  <c r="R972" i="1"/>
  <c r="Q972" i="1"/>
  <c r="P972" i="1"/>
  <c r="O972" i="1"/>
  <c r="N972" i="1"/>
  <c r="L972" i="1"/>
  <c r="F972" i="1" a="1"/>
  <c r="F972" i="1" s="1"/>
  <c r="D972" i="1" a="1"/>
  <c r="D972" i="1" s="1"/>
  <c r="B972" i="1"/>
  <c r="R971" i="1"/>
  <c r="Q971" i="1"/>
  <c r="P971" i="1"/>
  <c r="O971" i="1"/>
  <c r="N971" i="1"/>
  <c r="L971" i="1"/>
  <c r="F971" i="1"/>
  <c r="F971" i="1" a="1"/>
  <c r="D971" i="1"/>
  <c r="D971" i="1" a="1"/>
  <c r="B971" i="1"/>
  <c r="R970" i="1"/>
  <c r="Q970" i="1"/>
  <c r="P970" i="1"/>
  <c r="O970" i="1"/>
  <c r="N970" i="1"/>
  <c r="L970" i="1"/>
  <c r="F970" i="1"/>
  <c r="F970" i="1" a="1"/>
  <c r="D970" i="1"/>
  <c r="D970" i="1" a="1"/>
  <c r="B970" i="1"/>
  <c r="R969" i="1"/>
  <c r="Q969" i="1"/>
  <c r="P969" i="1"/>
  <c r="O969" i="1"/>
  <c r="N969" i="1"/>
  <c r="L969" i="1"/>
  <c r="F969" i="1" a="1"/>
  <c r="F969" i="1" s="1"/>
  <c r="D969" i="1"/>
  <c r="D969" i="1" a="1"/>
  <c r="B969" i="1"/>
  <c r="R968" i="1"/>
  <c r="Q968" i="1"/>
  <c r="P968" i="1"/>
  <c r="O968" i="1"/>
  <c r="N968" i="1"/>
  <c r="L968" i="1"/>
  <c r="F968" i="1" a="1"/>
  <c r="F968" i="1" s="1"/>
  <c r="D968" i="1" a="1"/>
  <c r="D968" i="1" s="1"/>
  <c r="B968" i="1"/>
  <c r="R967" i="1"/>
  <c r="Q967" i="1"/>
  <c r="P967" i="1"/>
  <c r="O967" i="1"/>
  <c r="N967" i="1"/>
  <c r="L967" i="1"/>
  <c r="F967" i="1"/>
  <c r="F967" i="1" a="1"/>
  <c r="D967" i="1" a="1"/>
  <c r="D967" i="1" s="1"/>
  <c r="B967" i="1"/>
  <c r="R966" i="1"/>
  <c r="Q966" i="1"/>
  <c r="P966" i="1"/>
  <c r="O966" i="1"/>
  <c r="N966" i="1"/>
  <c r="L966" i="1"/>
  <c r="F966" i="1"/>
  <c r="F966" i="1" a="1"/>
  <c r="D966" i="1" a="1"/>
  <c r="D966" i="1" s="1"/>
  <c r="B966" i="1"/>
  <c r="R965" i="1"/>
  <c r="Q965" i="1"/>
  <c r="P965" i="1"/>
  <c r="O965" i="1"/>
  <c r="N965" i="1"/>
  <c r="L965" i="1"/>
  <c r="F965" i="1"/>
  <c r="F965" i="1" a="1"/>
  <c r="D965" i="1"/>
  <c r="D965" i="1" a="1"/>
  <c r="B965" i="1"/>
  <c r="R964" i="1"/>
  <c r="Q964" i="1"/>
  <c r="P964" i="1"/>
  <c r="O964" i="1"/>
  <c r="N964" i="1"/>
  <c r="L964" i="1"/>
  <c r="F964" i="1" a="1"/>
  <c r="F964" i="1" s="1"/>
  <c r="D964" i="1" a="1"/>
  <c r="D964" i="1" s="1"/>
  <c r="B964" i="1"/>
  <c r="R963" i="1"/>
  <c r="Q963" i="1"/>
  <c r="P963" i="1"/>
  <c r="O963" i="1"/>
  <c r="N963" i="1"/>
  <c r="L963" i="1"/>
  <c r="F963" i="1"/>
  <c r="F963" i="1" a="1"/>
  <c r="D963" i="1"/>
  <c r="D963" i="1" a="1"/>
  <c r="B963" i="1"/>
  <c r="R962" i="1"/>
  <c r="Q962" i="1"/>
  <c r="P962" i="1"/>
  <c r="O962" i="1"/>
  <c r="N962" i="1"/>
  <c r="L962" i="1"/>
  <c r="F962" i="1"/>
  <c r="F962" i="1" a="1"/>
  <c r="D962" i="1"/>
  <c r="D962" i="1" a="1"/>
  <c r="B962" i="1"/>
  <c r="R961" i="1"/>
  <c r="Q961" i="1"/>
  <c r="P961" i="1"/>
  <c r="O961" i="1"/>
  <c r="N961" i="1"/>
  <c r="L961" i="1"/>
  <c r="F961" i="1" a="1"/>
  <c r="F961" i="1" s="1"/>
  <c r="D961" i="1"/>
  <c r="D961" i="1" a="1"/>
  <c r="B961" i="1"/>
  <c r="R960" i="1"/>
  <c r="Q960" i="1"/>
  <c r="P960" i="1"/>
  <c r="O960" i="1"/>
  <c r="N960" i="1"/>
  <c r="L960" i="1"/>
  <c r="F960" i="1" a="1"/>
  <c r="F960" i="1" s="1"/>
  <c r="D960" i="1" a="1"/>
  <c r="D960" i="1" s="1"/>
  <c r="B960" i="1"/>
  <c r="R959" i="1"/>
  <c r="Q959" i="1"/>
  <c r="P959" i="1"/>
  <c r="O959" i="1"/>
  <c r="N959" i="1"/>
  <c r="L959" i="1"/>
  <c r="F959" i="1"/>
  <c r="F959" i="1" a="1"/>
  <c r="D959" i="1" a="1"/>
  <c r="D959" i="1" s="1"/>
  <c r="B959" i="1"/>
  <c r="R958" i="1"/>
  <c r="Q958" i="1"/>
  <c r="P958" i="1"/>
  <c r="O958" i="1"/>
  <c r="N958" i="1"/>
  <c r="L958" i="1"/>
  <c r="F958" i="1"/>
  <c r="F958" i="1" a="1"/>
  <c r="D958" i="1" a="1"/>
  <c r="D958" i="1" s="1"/>
  <c r="B958" i="1"/>
  <c r="R957" i="1"/>
  <c r="Q957" i="1"/>
  <c r="P957" i="1"/>
  <c r="O957" i="1"/>
  <c r="N957" i="1"/>
  <c r="L957" i="1"/>
  <c r="F957" i="1"/>
  <c r="F957" i="1" a="1"/>
  <c r="D957" i="1"/>
  <c r="D957" i="1" a="1"/>
  <c r="B957" i="1"/>
  <c r="R956" i="1"/>
  <c r="Q956" i="1"/>
  <c r="P956" i="1"/>
  <c r="O956" i="1"/>
  <c r="N956" i="1"/>
  <c r="L956" i="1"/>
  <c r="F956" i="1" a="1"/>
  <c r="F956" i="1" s="1"/>
  <c r="D956" i="1" a="1"/>
  <c r="D956" i="1" s="1"/>
  <c r="B956" i="1"/>
  <c r="R955" i="1"/>
  <c r="Q955" i="1"/>
  <c r="P955" i="1"/>
  <c r="O955" i="1"/>
  <c r="N955" i="1"/>
  <c r="L955" i="1"/>
  <c r="F955" i="1"/>
  <c r="F955" i="1" a="1"/>
  <c r="D955" i="1"/>
  <c r="D955" i="1" a="1"/>
  <c r="B955" i="1"/>
  <c r="R954" i="1"/>
  <c r="Q954" i="1"/>
  <c r="P954" i="1"/>
  <c r="O954" i="1"/>
  <c r="N954" i="1"/>
  <c r="L954" i="1"/>
  <c r="F954" i="1"/>
  <c r="F954" i="1" a="1"/>
  <c r="D954" i="1"/>
  <c r="D954" i="1" a="1"/>
  <c r="B954" i="1"/>
  <c r="R953" i="1"/>
  <c r="Q953" i="1"/>
  <c r="P953" i="1"/>
  <c r="O953" i="1"/>
  <c r="N953" i="1"/>
  <c r="L953" i="1"/>
  <c r="F953" i="1" a="1"/>
  <c r="F953" i="1" s="1"/>
  <c r="D953" i="1"/>
  <c r="D953" i="1" a="1"/>
  <c r="B953" i="1"/>
  <c r="R952" i="1"/>
  <c r="Q952" i="1"/>
  <c r="P952" i="1"/>
  <c r="O952" i="1"/>
  <c r="N952" i="1"/>
  <c r="L952" i="1"/>
  <c r="F952" i="1" a="1"/>
  <c r="F952" i="1" s="1"/>
  <c r="D952" i="1" a="1"/>
  <c r="D952" i="1" s="1"/>
  <c r="B952" i="1"/>
  <c r="R951" i="1"/>
  <c r="Q951" i="1"/>
  <c r="P951" i="1"/>
  <c r="O951" i="1"/>
  <c r="N951" i="1"/>
  <c r="L951" i="1"/>
  <c r="F951" i="1"/>
  <c r="F951" i="1" a="1"/>
  <c r="D951" i="1" a="1"/>
  <c r="D951" i="1" s="1"/>
  <c r="B951" i="1"/>
  <c r="R950" i="1"/>
  <c r="Q950" i="1"/>
  <c r="P950" i="1"/>
  <c r="O950" i="1"/>
  <c r="N950" i="1"/>
  <c r="L950" i="1"/>
  <c r="F950" i="1"/>
  <c r="F950" i="1" a="1"/>
  <c r="D950" i="1" a="1"/>
  <c r="D950" i="1" s="1"/>
  <c r="B950" i="1"/>
  <c r="R949" i="1"/>
  <c r="Q949" i="1"/>
  <c r="P949" i="1"/>
  <c r="O949" i="1"/>
  <c r="N949" i="1"/>
  <c r="L949" i="1"/>
  <c r="F949" i="1" a="1"/>
  <c r="F949" i="1" s="1"/>
  <c r="D949" i="1"/>
  <c r="D949" i="1" a="1"/>
  <c r="B949" i="1"/>
  <c r="R948" i="1"/>
  <c r="Q948" i="1"/>
  <c r="P948" i="1"/>
  <c r="O948" i="1"/>
  <c r="N948" i="1"/>
  <c r="L948" i="1"/>
  <c r="F948" i="1" a="1"/>
  <c r="F948" i="1" s="1"/>
  <c r="D948" i="1" a="1"/>
  <c r="D948" i="1" s="1"/>
  <c r="B948" i="1"/>
  <c r="R947" i="1"/>
  <c r="Q947" i="1"/>
  <c r="P947" i="1"/>
  <c r="O947" i="1"/>
  <c r="N947" i="1"/>
  <c r="L947" i="1"/>
  <c r="F947" i="1"/>
  <c r="F947" i="1" a="1"/>
  <c r="D947" i="1" a="1"/>
  <c r="D947" i="1" s="1"/>
  <c r="B947" i="1"/>
  <c r="R946" i="1"/>
  <c r="Q946" i="1"/>
  <c r="P946" i="1"/>
  <c r="O946" i="1"/>
  <c r="N946" i="1"/>
  <c r="L946" i="1"/>
  <c r="F946" i="1"/>
  <c r="F946" i="1" a="1"/>
  <c r="D946" i="1"/>
  <c r="D946" i="1" a="1"/>
  <c r="B946" i="1"/>
  <c r="R945" i="1"/>
  <c r="Q945" i="1"/>
  <c r="P945" i="1"/>
  <c r="O945" i="1"/>
  <c r="N945" i="1"/>
  <c r="L945" i="1"/>
  <c r="F945" i="1" a="1"/>
  <c r="F945" i="1" s="1"/>
  <c r="D945" i="1"/>
  <c r="D945" i="1" a="1"/>
  <c r="B945" i="1"/>
  <c r="R944" i="1"/>
  <c r="Q944" i="1"/>
  <c r="P944" i="1"/>
  <c r="O944" i="1"/>
  <c r="N944" i="1"/>
  <c r="L944" i="1"/>
  <c r="F944" i="1" a="1"/>
  <c r="F944" i="1" s="1"/>
  <c r="D944" i="1" a="1"/>
  <c r="D944" i="1" s="1"/>
  <c r="B944" i="1"/>
  <c r="R943" i="1"/>
  <c r="Q943" i="1"/>
  <c r="P943" i="1"/>
  <c r="O943" i="1"/>
  <c r="N943" i="1"/>
  <c r="L943" i="1"/>
  <c r="F943" i="1"/>
  <c r="F943" i="1" a="1"/>
  <c r="D943" i="1" a="1"/>
  <c r="D943" i="1" s="1"/>
  <c r="B943" i="1"/>
  <c r="R942" i="1"/>
  <c r="Q942" i="1"/>
  <c r="P942" i="1"/>
  <c r="O942" i="1"/>
  <c r="N942" i="1"/>
  <c r="L942" i="1"/>
  <c r="F942" i="1"/>
  <c r="F942" i="1" a="1"/>
  <c r="D942" i="1" a="1"/>
  <c r="D942" i="1" s="1"/>
  <c r="B942" i="1"/>
  <c r="R941" i="1"/>
  <c r="Q941" i="1"/>
  <c r="P941" i="1"/>
  <c r="O941" i="1"/>
  <c r="N941" i="1"/>
  <c r="L941" i="1"/>
  <c r="F941" i="1"/>
  <c r="F941" i="1" a="1"/>
  <c r="D941" i="1"/>
  <c r="D941" i="1" a="1"/>
  <c r="B941" i="1"/>
  <c r="R940" i="1"/>
  <c r="Q940" i="1"/>
  <c r="P940" i="1"/>
  <c r="O940" i="1"/>
  <c r="N940" i="1"/>
  <c r="L940" i="1"/>
  <c r="F940" i="1" a="1"/>
  <c r="F940" i="1" s="1"/>
  <c r="D940" i="1" a="1"/>
  <c r="D940" i="1" s="1"/>
  <c r="B940" i="1"/>
  <c r="R939" i="1"/>
  <c r="Q939" i="1"/>
  <c r="P939" i="1"/>
  <c r="O939" i="1"/>
  <c r="N939" i="1"/>
  <c r="L939" i="1"/>
  <c r="F939" i="1"/>
  <c r="F939" i="1" a="1"/>
  <c r="D939" i="1"/>
  <c r="D939" i="1" a="1"/>
  <c r="B939" i="1"/>
  <c r="R938" i="1"/>
  <c r="Q938" i="1"/>
  <c r="P938" i="1"/>
  <c r="O938" i="1"/>
  <c r="N938" i="1"/>
  <c r="L938" i="1"/>
  <c r="F938" i="1"/>
  <c r="F938" i="1" a="1"/>
  <c r="D938" i="1"/>
  <c r="D938" i="1" a="1"/>
  <c r="B938" i="1"/>
  <c r="R937" i="1"/>
  <c r="Q937" i="1"/>
  <c r="P937" i="1"/>
  <c r="O937" i="1"/>
  <c r="N937" i="1"/>
  <c r="L937" i="1"/>
  <c r="F937" i="1" a="1"/>
  <c r="F937" i="1" s="1"/>
  <c r="D937" i="1"/>
  <c r="D937" i="1" a="1"/>
  <c r="B937" i="1"/>
  <c r="R936" i="1"/>
  <c r="Q936" i="1"/>
  <c r="P936" i="1"/>
  <c r="O936" i="1"/>
  <c r="N936" i="1"/>
  <c r="L936" i="1"/>
  <c r="F936" i="1" a="1"/>
  <c r="F936" i="1" s="1"/>
  <c r="D936" i="1" a="1"/>
  <c r="D936" i="1" s="1"/>
  <c r="B936" i="1"/>
  <c r="R935" i="1"/>
  <c r="Q935" i="1"/>
  <c r="P935" i="1"/>
  <c r="O935" i="1"/>
  <c r="N935" i="1"/>
  <c r="L935" i="1"/>
  <c r="F935" i="1"/>
  <c r="F935" i="1" a="1"/>
  <c r="D935" i="1" a="1"/>
  <c r="D935" i="1" s="1"/>
  <c r="B935" i="1"/>
  <c r="R934" i="1"/>
  <c r="Q934" i="1"/>
  <c r="P934" i="1"/>
  <c r="O934" i="1"/>
  <c r="N934" i="1"/>
  <c r="L934" i="1"/>
  <c r="F934" i="1"/>
  <c r="F934" i="1" a="1"/>
  <c r="D934" i="1" a="1"/>
  <c r="D934" i="1" s="1"/>
  <c r="B934" i="1"/>
  <c r="R933" i="1"/>
  <c r="Q933" i="1"/>
  <c r="P933" i="1"/>
  <c r="O933" i="1"/>
  <c r="N933" i="1"/>
  <c r="L933" i="1"/>
  <c r="F933" i="1"/>
  <c r="F933" i="1" a="1"/>
  <c r="D933" i="1"/>
  <c r="D933" i="1" a="1"/>
  <c r="B933" i="1"/>
  <c r="R932" i="1"/>
  <c r="Q932" i="1"/>
  <c r="P932" i="1"/>
  <c r="O932" i="1"/>
  <c r="N932" i="1"/>
  <c r="L932" i="1"/>
  <c r="F932" i="1" a="1"/>
  <c r="F932" i="1" s="1"/>
  <c r="D932" i="1" a="1"/>
  <c r="D932" i="1" s="1"/>
  <c r="B932" i="1"/>
  <c r="R931" i="1"/>
  <c r="Q931" i="1"/>
  <c r="P931" i="1"/>
  <c r="O931" i="1"/>
  <c r="N931" i="1"/>
  <c r="L931" i="1"/>
  <c r="F931" i="1"/>
  <c r="F931" i="1" a="1"/>
  <c r="D931" i="1"/>
  <c r="D931" i="1" a="1"/>
  <c r="B931" i="1"/>
  <c r="R930" i="1"/>
  <c r="Q930" i="1"/>
  <c r="P930" i="1"/>
  <c r="O930" i="1"/>
  <c r="N930" i="1"/>
  <c r="L930" i="1"/>
  <c r="F930" i="1"/>
  <c r="F930" i="1" a="1"/>
  <c r="D930" i="1" a="1"/>
  <c r="D930" i="1" s="1"/>
  <c r="B930" i="1"/>
  <c r="R929" i="1"/>
  <c r="Q929" i="1"/>
  <c r="P929" i="1"/>
  <c r="O929" i="1"/>
  <c r="N929" i="1"/>
  <c r="L929" i="1"/>
  <c r="F929" i="1" a="1"/>
  <c r="F929" i="1" s="1"/>
  <c r="D929" i="1" a="1"/>
  <c r="D929" i="1" s="1"/>
  <c r="B929" i="1"/>
  <c r="R928" i="1"/>
  <c r="Q928" i="1"/>
  <c r="P928" i="1"/>
  <c r="O928" i="1"/>
  <c r="N928" i="1"/>
  <c r="L928" i="1"/>
  <c r="F928" i="1" a="1"/>
  <c r="F928" i="1" s="1"/>
  <c r="D928" i="1" a="1"/>
  <c r="D928" i="1" s="1"/>
  <c r="B928" i="1"/>
  <c r="R927" i="1"/>
  <c r="Q927" i="1"/>
  <c r="P927" i="1"/>
  <c r="O927" i="1"/>
  <c r="N927" i="1"/>
  <c r="L927" i="1"/>
  <c r="F927" i="1"/>
  <c r="F927" i="1" a="1"/>
  <c r="D927" i="1"/>
  <c r="D927" i="1" a="1"/>
  <c r="B927" i="1"/>
  <c r="R926" i="1"/>
  <c r="Q926" i="1"/>
  <c r="P926" i="1"/>
  <c r="O926" i="1"/>
  <c r="N926" i="1"/>
  <c r="L926" i="1"/>
  <c r="F926" i="1" a="1"/>
  <c r="F926" i="1" s="1"/>
  <c r="D926" i="1" a="1"/>
  <c r="D926" i="1" s="1"/>
  <c r="B926" i="1"/>
  <c r="R925" i="1"/>
  <c r="Q925" i="1"/>
  <c r="P925" i="1"/>
  <c r="O925" i="1"/>
  <c r="N925" i="1"/>
  <c r="L925" i="1"/>
  <c r="F925" i="1" a="1"/>
  <c r="F925" i="1" s="1"/>
  <c r="D925" i="1" a="1"/>
  <c r="D925" i="1" s="1"/>
  <c r="B925" i="1"/>
  <c r="R924" i="1"/>
  <c r="Q924" i="1"/>
  <c r="P924" i="1"/>
  <c r="O924" i="1"/>
  <c r="N924" i="1"/>
  <c r="L924" i="1"/>
  <c r="F924" i="1" a="1"/>
  <c r="F924" i="1" s="1"/>
  <c r="D924" i="1" a="1"/>
  <c r="D924" i="1" s="1"/>
  <c r="B924" i="1"/>
  <c r="R923" i="1"/>
  <c r="Q923" i="1"/>
  <c r="P923" i="1"/>
  <c r="O923" i="1"/>
  <c r="N923" i="1"/>
  <c r="L923" i="1"/>
  <c r="F923" i="1"/>
  <c r="F923" i="1" a="1"/>
  <c r="D923" i="1"/>
  <c r="D923" i="1" a="1"/>
  <c r="B923" i="1"/>
  <c r="R922" i="1"/>
  <c r="Q922" i="1"/>
  <c r="P922" i="1"/>
  <c r="O922" i="1"/>
  <c r="N922" i="1"/>
  <c r="L922" i="1"/>
  <c r="F922" i="1" a="1"/>
  <c r="F922" i="1" s="1"/>
  <c r="D922" i="1"/>
  <c r="D922" i="1" a="1"/>
  <c r="B922" i="1"/>
  <c r="R921" i="1"/>
  <c r="Q921" i="1"/>
  <c r="P921" i="1"/>
  <c r="O921" i="1"/>
  <c r="N921" i="1"/>
  <c r="L921" i="1"/>
  <c r="F921" i="1" a="1"/>
  <c r="F921" i="1" s="1"/>
  <c r="D921" i="1" a="1"/>
  <c r="D921" i="1" s="1"/>
  <c r="B921" i="1"/>
  <c r="R920" i="1"/>
  <c r="Q920" i="1"/>
  <c r="P920" i="1"/>
  <c r="O920" i="1"/>
  <c r="N920" i="1"/>
  <c r="L920" i="1"/>
  <c r="F920" i="1" a="1"/>
  <c r="F920" i="1" s="1"/>
  <c r="D920" i="1" a="1"/>
  <c r="D920" i="1" s="1"/>
  <c r="B920" i="1"/>
  <c r="R919" i="1"/>
  <c r="Q919" i="1"/>
  <c r="P919" i="1"/>
  <c r="O919" i="1"/>
  <c r="N919" i="1"/>
  <c r="L919" i="1"/>
  <c r="F919" i="1"/>
  <c r="F919" i="1" a="1"/>
  <c r="D919" i="1" a="1"/>
  <c r="D919" i="1" s="1"/>
  <c r="B919" i="1"/>
  <c r="R918" i="1"/>
  <c r="Q918" i="1"/>
  <c r="P918" i="1"/>
  <c r="O918" i="1"/>
  <c r="N918" i="1"/>
  <c r="L918" i="1"/>
  <c r="F918" i="1" a="1"/>
  <c r="F918" i="1" s="1"/>
  <c r="D918" i="1"/>
  <c r="D918" i="1" a="1"/>
  <c r="B918" i="1"/>
  <c r="R917" i="1"/>
  <c r="Q917" i="1"/>
  <c r="P917" i="1"/>
  <c r="O917" i="1"/>
  <c r="N917" i="1"/>
  <c r="L917" i="1"/>
  <c r="F917" i="1" a="1"/>
  <c r="F917" i="1" s="1"/>
  <c r="D917" i="1"/>
  <c r="D917" i="1" a="1"/>
  <c r="B917" i="1"/>
  <c r="R916" i="1"/>
  <c r="Q916" i="1"/>
  <c r="P916" i="1"/>
  <c r="O916" i="1"/>
  <c r="N916" i="1"/>
  <c r="L916" i="1"/>
  <c r="F916" i="1" a="1"/>
  <c r="F916" i="1" s="1"/>
  <c r="D916" i="1" a="1"/>
  <c r="D916" i="1" s="1"/>
  <c r="B916" i="1"/>
  <c r="R915" i="1"/>
  <c r="Q915" i="1"/>
  <c r="P915" i="1"/>
  <c r="O915" i="1"/>
  <c r="N915" i="1"/>
  <c r="L915" i="1"/>
  <c r="F915" i="1"/>
  <c r="F915" i="1" a="1"/>
  <c r="D915" i="1" a="1"/>
  <c r="D915" i="1" s="1"/>
  <c r="B915" i="1"/>
  <c r="R914" i="1"/>
  <c r="Q914" i="1"/>
  <c r="P914" i="1"/>
  <c r="O914" i="1"/>
  <c r="N914" i="1"/>
  <c r="L914" i="1"/>
  <c r="F914" i="1"/>
  <c r="F914" i="1" a="1"/>
  <c r="D914" i="1"/>
  <c r="D914" i="1" a="1"/>
  <c r="B914" i="1"/>
  <c r="R913" i="1"/>
  <c r="Q913" i="1"/>
  <c r="P913" i="1"/>
  <c r="O913" i="1"/>
  <c r="N913" i="1"/>
  <c r="L913" i="1"/>
  <c r="F913" i="1" a="1"/>
  <c r="F913" i="1" s="1"/>
  <c r="D913" i="1" a="1"/>
  <c r="D913" i="1" s="1"/>
  <c r="B913" i="1"/>
  <c r="R912" i="1"/>
  <c r="Q912" i="1"/>
  <c r="P912" i="1"/>
  <c r="O912" i="1"/>
  <c r="N912" i="1"/>
  <c r="L912" i="1"/>
  <c r="F912" i="1" a="1"/>
  <c r="F912" i="1" s="1"/>
  <c r="D912" i="1" a="1"/>
  <c r="D912" i="1" s="1"/>
  <c r="B912" i="1"/>
  <c r="R911" i="1"/>
  <c r="Q911" i="1"/>
  <c r="P911" i="1"/>
  <c r="O911" i="1"/>
  <c r="N911" i="1"/>
  <c r="L911" i="1"/>
  <c r="F911" i="1"/>
  <c r="F911" i="1" a="1"/>
  <c r="D911" i="1" a="1"/>
  <c r="D911" i="1" s="1"/>
  <c r="B911" i="1"/>
  <c r="R910" i="1"/>
  <c r="Q910" i="1"/>
  <c r="P910" i="1"/>
  <c r="O910" i="1"/>
  <c r="N910" i="1"/>
  <c r="L910" i="1"/>
  <c r="F910" i="1" a="1"/>
  <c r="F910" i="1" s="1"/>
  <c r="D910" i="1"/>
  <c r="D910" i="1" a="1"/>
  <c r="B910" i="1"/>
  <c r="R909" i="1"/>
  <c r="Q909" i="1"/>
  <c r="P909" i="1"/>
  <c r="O909" i="1"/>
  <c r="N909" i="1"/>
  <c r="L909" i="1"/>
  <c r="F909" i="1"/>
  <c r="F909" i="1" a="1"/>
  <c r="D909" i="1"/>
  <c r="D909" i="1" a="1"/>
  <c r="B909" i="1"/>
  <c r="R908" i="1"/>
  <c r="Q908" i="1"/>
  <c r="P908" i="1"/>
  <c r="O908" i="1"/>
  <c r="N908" i="1"/>
  <c r="L908" i="1"/>
  <c r="F908" i="1" a="1"/>
  <c r="F908" i="1" s="1"/>
  <c r="D908" i="1" a="1"/>
  <c r="D908" i="1" s="1"/>
  <c r="B908" i="1"/>
  <c r="R907" i="1"/>
  <c r="Q907" i="1"/>
  <c r="P907" i="1"/>
  <c r="O907" i="1"/>
  <c r="N907" i="1"/>
  <c r="L907" i="1"/>
  <c r="F907" i="1" a="1"/>
  <c r="F907" i="1" s="1"/>
  <c r="D907" i="1"/>
  <c r="D907" i="1" a="1"/>
  <c r="B907" i="1"/>
  <c r="R906" i="1"/>
  <c r="Q906" i="1"/>
  <c r="P906" i="1"/>
  <c r="O906" i="1"/>
  <c r="N906" i="1"/>
  <c r="L906" i="1"/>
  <c r="F906" i="1"/>
  <c r="F906" i="1" a="1"/>
  <c r="D906" i="1"/>
  <c r="D906" i="1" a="1"/>
  <c r="B906" i="1"/>
  <c r="R905" i="1"/>
  <c r="Q905" i="1"/>
  <c r="P905" i="1"/>
  <c r="O905" i="1"/>
  <c r="N905" i="1"/>
  <c r="L905" i="1"/>
  <c r="F905" i="1" a="1"/>
  <c r="F905" i="1" s="1"/>
  <c r="D905" i="1" a="1"/>
  <c r="D905" i="1" s="1"/>
  <c r="B905" i="1"/>
  <c r="R904" i="1"/>
  <c r="Q904" i="1"/>
  <c r="P904" i="1"/>
  <c r="O904" i="1"/>
  <c r="N904" i="1"/>
  <c r="L904" i="1"/>
  <c r="F904" i="1" a="1"/>
  <c r="F904" i="1" s="1"/>
  <c r="D904" i="1" a="1"/>
  <c r="D904" i="1" s="1"/>
  <c r="B904" i="1"/>
  <c r="R903" i="1"/>
  <c r="Q903" i="1"/>
  <c r="P903" i="1"/>
  <c r="O903" i="1"/>
  <c r="N903" i="1"/>
  <c r="L903" i="1"/>
  <c r="F903" i="1" a="1"/>
  <c r="F903" i="1" s="1"/>
  <c r="D903" i="1" a="1"/>
  <c r="D903" i="1" s="1"/>
  <c r="B903" i="1"/>
  <c r="R902" i="1"/>
  <c r="Q902" i="1"/>
  <c r="P902" i="1"/>
  <c r="O902" i="1"/>
  <c r="N902" i="1"/>
  <c r="L902" i="1"/>
  <c r="F902" i="1" a="1"/>
  <c r="F902" i="1" s="1"/>
  <c r="D902" i="1" a="1"/>
  <c r="D902" i="1" s="1"/>
  <c r="B902" i="1"/>
  <c r="R901" i="1"/>
  <c r="Q901" i="1"/>
  <c r="P901" i="1"/>
  <c r="O901" i="1"/>
  <c r="N901" i="1"/>
  <c r="L901" i="1"/>
  <c r="F901" i="1"/>
  <c r="F901" i="1" a="1"/>
  <c r="D901" i="1" a="1"/>
  <c r="D901" i="1" s="1"/>
  <c r="B901" i="1"/>
  <c r="R900" i="1"/>
  <c r="Q900" i="1"/>
  <c r="P900" i="1"/>
  <c r="O900" i="1"/>
  <c r="N900" i="1"/>
  <c r="L900" i="1"/>
  <c r="F900" i="1" a="1"/>
  <c r="F900" i="1" s="1"/>
  <c r="D900" i="1" a="1"/>
  <c r="D900" i="1" s="1"/>
  <c r="B900" i="1"/>
  <c r="R899" i="1"/>
  <c r="Q899" i="1"/>
  <c r="P899" i="1"/>
  <c r="O899" i="1"/>
  <c r="N899" i="1"/>
  <c r="L899" i="1"/>
  <c r="F899" i="1"/>
  <c r="F899" i="1" a="1"/>
  <c r="D899" i="1"/>
  <c r="D899" i="1" a="1"/>
  <c r="B899" i="1"/>
  <c r="R898" i="1"/>
  <c r="Q898" i="1"/>
  <c r="P898" i="1"/>
  <c r="O898" i="1"/>
  <c r="N898" i="1"/>
  <c r="L898" i="1"/>
  <c r="F898" i="1" a="1"/>
  <c r="F898" i="1" s="1"/>
  <c r="D898" i="1"/>
  <c r="D898" i="1" a="1"/>
  <c r="B898" i="1"/>
  <c r="R897" i="1"/>
  <c r="Q897" i="1"/>
  <c r="P897" i="1"/>
  <c r="O897" i="1"/>
  <c r="N897" i="1"/>
  <c r="L897" i="1"/>
  <c r="F897" i="1"/>
  <c r="F897" i="1" a="1"/>
  <c r="D897" i="1" a="1"/>
  <c r="D897" i="1" s="1"/>
  <c r="B897" i="1"/>
  <c r="R896" i="1"/>
  <c r="Q896" i="1"/>
  <c r="P896" i="1"/>
  <c r="O896" i="1"/>
  <c r="N896" i="1"/>
  <c r="L896" i="1"/>
  <c r="F896" i="1" a="1"/>
  <c r="F896" i="1" s="1"/>
  <c r="D896" i="1" a="1"/>
  <c r="D896" i="1" s="1"/>
  <c r="B896" i="1"/>
  <c r="R895" i="1"/>
  <c r="Q895" i="1"/>
  <c r="P895" i="1"/>
  <c r="O895" i="1"/>
  <c r="N895" i="1"/>
  <c r="L895" i="1"/>
  <c r="F895" i="1"/>
  <c r="F895" i="1" a="1"/>
  <c r="D895" i="1"/>
  <c r="D895" i="1" a="1"/>
  <c r="B895" i="1"/>
  <c r="R894" i="1"/>
  <c r="Q894" i="1"/>
  <c r="P894" i="1"/>
  <c r="O894" i="1"/>
  <c r="N894" i="1"/>
  <c r="L894" i="1"/>
  <c r="F894" i="1"/>
  <c r="F894" i="1" a="1"/>
  <c r="D894" i="1" a="1"/>
  <c r="D894" i="1" s="1"/>
  <c r="B894" i="1"/>
  <c r="R893" i="1"/>
  <c r="Q893" i="1"/>
  <c r="P893" i="1"/>
  <c r="O893" i="1"/>
  <c r="N893" i="1"/>
  <c r="L893" i="1"/>
  <c r="F893" i="1" a="1"/>
  <c r="F893" i="1" s="1"/>
  <c r="D893" i="1"/>
  <c r="D893" i="1" a="1"/>
  <c r="B893" i="1"/>
  <c r="R892" i="1"/>
  <c r="Q892" i="1"/>
  <c r="P892" i="1"/>
  <c r="O892" i="1"/>
  <c r="N892" i="1"/>
  <c r="L892" i="1"/>
  <c r="F892" i="1" a="1"/>
  <c r="F892" i="1" s="1"/>
  <c r="D892" i="1" a="1"/>
  <c r="D892" i="1" s="1"/>
  <c r="B892" i="1"/>
  <c r="R891" i="1"/>
  <c r="Q891" i="1"/>
  <c r="P891" i="1"/>
  <c r="O891" i="1"/>
  <c r="N891" i="1"/>
  <c r="L891" i="1"/>
  <c r="F891" i="1" a="1"/>
  <c r="F891" i="1" s="1"/>
  <c r="D891" i="1"/>
  <c r="D891" i="1" a="1"/>
  <c r="B891" i="1"/>
  <c r="R890" i="1"/>
  <c r="Q890" i="1"/>
  <c r="P890" i="1"/>
  <c r="O890" i="1"/>
  <c r="N890" i="1"/>
  <c r="L890" i="1"/>
  <c r="F890" i="1"/>
  <c r="F890" i="1" a="1"/>
  <c r="D890" i="1"/>
  <c r="D890" i="1" a="1"/>
  <c r="B890" i="1"/>
  <c r="R889" i="1"/>
  <c r="Q889" i="1"/>
  <c r="P889" i="1"/>
  <c r="O889" i="1"/>
  <c r="N889" i="1"/>
  <c r="L889" i="1"/>
  <c r="F889" i="1" a="1"/>
  <c r="F889" i="1" s="1"/>
  <c r="D889" i="1" a="1"/>
  <c r="D889" i="1" s="1"/>
  <c r="B889" i="1"/>
  <c r="R888" i="1"/>
  <c r="Q888" i="1"/>
  <c r="P888" i="1"/>
  <c r="O888" i="1"/>
  <c r="N888" i="1"/>
  <c r="L888" i="1"/>
  <c r="F888" i="1" a="1"/>
  <c r="F888" i="1" s="1"/>
  <c r="D888" i="1" a="1"/>
  <c r="D888" i="1" s="1"/>
  <c r="B888" i="1"/>
  <c r="R887" i="1"/>
  <c r="Q887" i="1"/>
  <c r="P887" i="1"/>
  <c r="O887" i="1"/>
  <c r="N887" i="1"/>
  <c r="L887" i="1"/>
  <c r="F887" i="1"/>
  <c r="F887" i="1" a="1"/>
  <c r="D887" i="1" a="1"/>
  <c r="D887" i="1" s="1"/>
  <c r="B887" i="1"/>
  <c r="R886" i="1"/>
  <c r="Q886" i="1"/>
  <c r="P886" i="1"/>
  <c r="O886" i="1"/>
  <c r="N886" i="1"/>
  <c r="L886" i="1"/>
  <c r="F886" i="1" a="1"/>
  <c r="F886" i="1" s="1"/>
  <c r="D886" i="1"/>
  <c r="D886" i="1" a="1"/>
  <c r="B886" i="1"/>
  <c r="R885" i="1"/>
  <c r="Q885" i="1"/>
  <c r="P885" i="1"/>
  <c r="O885" i="1"/>
  <c r="N885" i="1"/>
  <c r="L885" i="1"/>
  <c r="F885" i="1" a="1"/>
  <c r="F885" i="1" s="1"/>
  <c r="D885" i="1" a="1"/>
  <c r="D885" i="1" s="1"/>
  <c r="B885" i="1"/>
  <c r="R884" i="1"/>
  <c r="Q884" i="1"/>
  <c r="P884" i="1"/>
  <c r="O884" i="1"/>
  <c r="N884" i="1"/>
  <c r="L884" i="1"/>
  <c r="F884" i="1" a="1"/>
  <c r="F884" i="1" s="1"/>
  <c r="D884" i="1" a="1"/>
  <c r="D884" i="1" s="1"/>
  <c r="B884" i="1"/>
  <c r="R883" i="1"/>
  <c r="Q883" i="1"/>
  <c r="P883" i="1"/>
  <c r="O883" i="1"/>
  <c r="N883" i="1"/>
  <c r="L883" i="1"/>
  <c r="F883" i="1"/>
  <c r="F883" i="1" a="1"/>
  <c r="D883" i="1"/>
  <c r="D883" i="1" a="1"/>
  <c r="B883" i="1"/>
  <c r="R882" i="1"/>
  <c r="Q882" i="1"/>
  <c r="P882" i="1"/>
  <c r="O882" i="1"/>
  <c r="N882" i="1"/>
  <c r="L882" i="1"/>
  <c r="F882" i="1"/>
  <c r="F882" i="1" a="1"/>
  <c r="D882" i="1" a="1"/>
  <c r="D882" i="1" s="1"/>
  <c r="B882" i="1"/>
  <c r="R881" i="1"/>
  <c r="Q881" i="1"/>
  <c r="P881" i="1"/>
  <c r="O881" i="1"/>
  <c r="N881" i="1"/>
  <c r="L881" i="1"/>
  <c r="F881" i="1" a="1"/>
  <c r="F881" i="1" s="1"/>
  <c r="D881" i="1" a="1"/>
  <c r="D881" i="1" s="1"/>
  <c r="B881" i="1"/>
  <c r="R880" i="1"/>
  <c r="Q880" i="1"/>
  <c r="P880" i="1"/>
  <c r="O880" i="1"/>
  <c r="N880" i="1"/>
  <c r="L880" i="1"/>
  <c r="F880" i="1" a="1"/>
  <c r="F880" i="1" s="1"/>
  <c r="D880" i="1" a="1"/>
  <c r="D880" i="1" s="1"/>
  <c r="B880" i="1"/>
  <c r="R879" i="1"/>
  <c r="Q879" i="1"/>
  <c r="P879" i="1"/>
  <c r="O879" i="1"/>
  <c r="N879" i="1"/>
  <c r="L879" i="1"/>
  <c r="F879" i="1" a="1"/>
  <c r="F879" i="1" s="1"/>
  <c r="D879" i="1"/>
  <c r="D879" i="1" a="1"/>
  <c r="B879" i="1"/>
  <c r="R878" i="1"/>
  <c r="Q878" i="1"/>
  <c r="P878" i="1"/>
  <c r="O878" i="1"/>
  <c r="N878" i="1"/>
  <c r="L878" i="1"/>
  <c r="F878" i="1"/>
  <c r="F878" i="1" a="1"/>
  <c r="D878" i="1"/>
  <c r="D878" i="1" a="1"/>
  <c r="B878" i="1"/>
  <c r="R877" i="1"/>
  <c r="Q877" i="1"/>
  <c r="P877" i="1"/>
  <c r="O877" i="1"/>
  <c r="N877" i="1"/>
  <c r="L877" i="1"/>
  <c r="F877" i="1" a="1"/>
  <c r="F877" i="1" s="1"/>
  <c r="D877" i="1" a="1"/>
  <c r="D877" i="1" s="1"/>
  <c r="B877" i="1"/>
  <c r="R876" i="1"/>
  <c r="Q876" i="1"/>
  <c r="P876" i="1"/>
  <c r="O876" i="1"/>
  <c r="N876" i="1"/>
  <c r="L876" i="1"/>
  <c r="F876" i="1" a="1"/>
  <c r="F876" i="1" s="1"/>
  <c r="D876" i="1" a="1"/>
  <c r="D876" i="1" s="1"/>
  <c r="B876" i="1"/>
  <c r="R875" i="1"/>
  <c r="Q875" i="1"/>
  <c r="P875" i="1"/>
  <c r="O875" i="1"/>
  <c r="N875" i="1"/>
  <c r="L875" i="1"/>
  <c r="F875" i="1"/>
  <c r="F875" i="1" a="1"/>
  <c r="D875" i="1" a="1"/>
  <c r="D875" i="1" s="1"/>
  <c r="B875" i="1"/>
  <c r="R874" i="1"/>
  <c r="Q874" i="1"/>
  <c r="P874" i="1"/>
  <c r="O874" i="1"/>
  <c r="N874" i="1"/>
  <c r="L874" i="1"/>
  <c r="F874" i="1"/>
  <c r="F874" i="1" a="1"/>
  <c r="D874" i="1"/>
  <c r="D874" i="1" a="1"/>
  <c r="B874" i="1"/>
  <c r="R873" i="1"/>
  <c r="Q873" i="1"/>
  <c r="P873" i="1"/>
  <c r="O873" i="1"/>
  <c r="N873" i="1"/>
  <c r="L873" i="1"/>
  <c r="F873" i="1" a="1"/>
  <c r="F873" i="1" s="1"/>
  <c r="D873" i="1" a="1"/>
  <c r="D873" i="1" s="1"/>
  <c r="B873" i="1"/>
  <c r="R872" i="1"/>
  <c r="Q872" i="1"/>
  <c r="P872" i="1"/>
  <c r="O872" i="1"/>
  <c r="N872" i="1"/>
  <c r="L872" i="1"/>
  <c r="F872" i="1"/>
  <c r="F872" i="1" a="1"/>
  <c r="D872" i="1" a="1"/>
  <c r="D872" i="1" s="1"/>
  <c r="B872" i="1"/>
  <c r="R871" i="1"/>
  <c r="Q871" i="1"/>
  <c r="P871" i="1"/>
  <c r="O871" i="1"/>
  <c r="N871" i="1"/>
  <c r="L871" i="1"/>
  <c r="F871" i="1"/>
  <c r="F871" i="1" a="1"/>
  <c r="D871" i="1"/>
  <c r="D871" i="1" a="1"/>
  <c r="B871" i="1"/>
  <c r="R870" i="1"/>
  <c r="Q870" i="1"/>
  <c r="P870" i="1"/>
  <c r="O870" i="1"/>
  <c r="N870" i="1"/>
  <c r="L870" i="1"/>
  <c r="F870" i="1"/>
  <c r="F870" i="1" a="1"/>
  <c r="D870" i="1"/>
  <c r="D870" i="1" a="1"/>
  <c r="B870" i="1"/>
  <c r="R869" i="1"/>
  <c r="Q869" i="1"/>
  <c r="P869" i="1"/>
  <c r="O869" i="1"/>
  <c r="N869" i="1"/>
  <c r="L869" i="1"/>
  <c r="F869" i="1" a="1"/>
  <c r="F869" i="1" s="1"/>
  <c r="D869" i="1" a="1"/>
  <c r="D869" i="1" s="1"/>
  <c r="B869" i="1"/>
  <c r="R868" i="1"/>
  <c r="Q868" i="1"/>
  <c r="P868" i="1"/>
  <c r="O868" i="1"/>
  <c r="N868" i="1"/>
  <c r="L868" i="1"/>
  <c r="F868" i="1" a="1"/>
  <c r="F868" i="1" s="1"/>
  <c r="D868" i="1" a="1"/>
  <c r="D868" i="1" s="1"/>
  <c r="B868" i="1"/>
  <c r="R867" i="1"/>
  <c r="Q867" i="1"/>
  <c r="P867" i="1"/>
  <c r="O867" i="1"/>
  <c r="N867" i="1"/>
  <c r="L867" i="1"/>
  <c r="F867" i="1"/>
  <c r="F867" i="1" a="1"/>
  <c r="D867" i="1"/>
  <c r="D867" i="1" a="1"/>
  <c r="B867" i="1"/>
  <c r="R866" i="1"/>
  <c r="Q866" i="1"/>
  <c r="P866" i="1"/>
  <c r="O866" i="1"/>
  <c r="N866" i="1"/>
  <c r="L866" i="1"/>
  <c r="F866" i="1" a="1"/>
  <c r="F866" i="1" s="1"/>
  <c r="D866" i="1" a="1"/>
  <c r="D866" i="1" s="1"/>
  <c r="B866" i="1"/>
  <c r="R865" i="1"/>
  <c r="Q865" i="1"/>
  <c r="P865" i="1"/>
  <c r="O865" i="1"/>
  <c r="N865" i="1"/>
  <c r="L865" i="1"/>
  <c r="F865" i="1"/>
  <c r="F865" i="1" a="1"/>
  <c r="D865" i="1" a="1"/>
  <c r="D865" i="1" s="1"/>
  <c r="B865" i="1"/>
  <c r="R864" i="1"/>
  <c r="Q864" i="1"/>
  <c r="P864" i="1"/>
  <c r="O864" i="1"/>
  <c r="N864" i="1"/>
  <c r="L864" i="1"/>
  <c r="F864" i="1" a="1"/>
  <c r="F864" i="1" s="1"/>
  <c r="D864" i="1" a="1"/>
  <c r="D864" i="1" s="1"/>
  <c r="B864" i="1"/>
  <c r="R863" i="1"/>
  <c r="Q863" i="1"/>
  <c r="P863" i="1"/>
  <c r="O863" i="1"/>
  <c r="N863" i="1"/>
  <c r="L863" i="1"/>
  <c r="F863" i="1" a="1"/>
  <c r="F863" i="1" s="1"/>
  <c r="D863" i="1"/>
  <c r="D863" i="1" a="1"/>
  <c r="B863" i="1"/>
  <c r="R862" i="1"/>
  <c r="Q862" i="1"/>
  <c r="P862" i="1"/>
  <c r="O862" i="1"/>
  <c r="N862" i="1"/>
  <c r="L862" i="1"/>
  <c r="F862" i="1"/>
  <c r="F862" i="1" a="1"/>
  <c r="D862" i="1" a="1"/>
  <c r="D862" i="1" s="1"/>
  <c r="B862" i="1"/>
  <c r="R861" i="1"/>
  <c r="Q861" i="1"/>
  <c r="P861" i="1"/>
  <c r="O861" i="1"/>
  <c r="N861" i="1"/>
  <c r="L861" i="1"/>
  <c r="F861" i="1" a="1"/>
  <c r="F861" i="1" s="1"/>
  <c r="D861" i="1"/>
  <c r="D861" i="1" a="1"/>
  <c r="B861" i="1"/>
  <c r="R860" i="1"/>
  <c r="Q860" i="1"/>
  <c r="P860" i="1"/>
  <c r="O860" i="1"/>
  <c r="N860" i="1"/>
  <c r="L860" i="1"/>
  <c r="F860" i="1" a="1"/>
  <c r="F860" i="1" s="1"/>
  <c r="D860" i="1" a="1"/>
  <c r="D860" i="1" s="1"/>
  <c r="B860" i="1"/>
  <c r="R859" i="1"/>
  <c r="Q859" i="1"/>
  <c r="P859" i="1"/>
  <c r="O859" i="1"/>
  <c r="N859" i="1"/>
  <c r="L859" i="1"/>
  <c r="F859" i="1" a="1"/>
  <c r="F859" i="1" s="1"/>
  <c r="D859" i="1" a="1"/>
  <c r="D859" i="1" s="1"/>
  <c r="B859" i="1"/>
  <c r="R858" i="1"/>
  <c r="Q858" i="1"/>
  <c r="P858" i="1"/>
  <c r="O858" i="1"/>
  <c r="N858" i="1"/>
  <c r="L858" i="1"/>
  <c r="F858" i="1"/>
  <c r="F858" i="1" a="1"/>
  <c r="D858" i="1"/>
  <c r="D858" i="1" a="1"/>
  <c r="B858" i="1"/>
  <c r="R857" i="1"/>
  <c r="Q857" i="1"/>
  <c r="P857" i="1"/>
  <c r="O857" i="1"/>
  <c r="N857" i="1"/>
  <c r="L857" i="1"/>
  <c r="F857" i="1" a="1"/>
  <c r="F857" i="1" s="1"/>
  <c r="D857" i="1" a="1"/>
  <c r="D857" i="1" s="1"/>
  <c r="B857" i="1"/>
  <c r="R856" i="1"/>
  <c r="Q856" i="1"/>
  <c r="P856" i="1"/>
  <c r="O856" i="1"/>
  <c r="N856" i="1"/>
  <c r="L856" i="1"/>
  <c r="F856" i="1" a="1"/>
  <c r="F856" i="1" s="1"/>
  <c r="D856" i="1" a="1"/>
  <c r="D856" i="1" s="1"/>
  <c r="B856" i="1"/>
  <c r="R855" i="1"/>
  <c r="Q855" i="1"/>
  <c r="P855" i="1"/>
  <c r="O855" i="1"/>
  <c r="N855" i="1"/>
  <c r="L855" i="1"/>
  <c r="F855" i="1"/>
  <c r="F855" i="1" a="1"/>
  <c r="D855" i="1" a="1"/>
  <c r="D855" i="1" s="1"/>
  <c r="B855" i="1"/>
  <c r="R854" i="1"/>
  <c r="Q854" i="1"/>
  <c r="P854" i="1"/>
  <c r="O854" i="1"/>
  <c r="N854" i="1"/>
  <c r="L854" i="1"/>
  <c r="F854" i="1" a="1"/>
  <c r="F854" i="1" s="1"/>
  <c r="D854" i="1"/>
  <c r="D854" i="1" a="1"/>
  <c r="B854" i="1"/>
  <c r="R853" i="1"/>
  <c r="Q853" i="1"/>
  <c r="P853" i="1"/>
  <c r="O853" i="1"/>
  <c r="N853" i="1"/>
  <c r="L853" i="1"/>
  <c r="F853" i="1" a="1"/>
  <c r="F853" i="1" s="1"/>
  <c r="D853" i="1" a="1"/>
  <c r="D853" i="1" s="1"/>
  <c r="B853" i="1"/>
  <c r="R852" i="1"/>
  <c r="Q852" i="1"/>
  <c r="P852" i="1"/>
  <c r="O852" i="1"/>
  <c r="N852" i="1"/>
  <c r="L852" i="1"/>
  <c r="F852" i="1"/>
  <c r="F852" i="1" a="1"/>
  <c r="D852" i="1" a="1"/>
  <c r="D852" i="1" s="1"/>
  <c r="B852" i="1"/>
  <c r="R851" i="1"/>
  <c r="Q851" i="1"/>
  <c r="P851" i="1"/>
  <c r="O851" i="1"/>
  <c r="N851" i="1"/>
  <c r="L851" i="1"/>
  <c r="F851" i="1"/>
  <c r="F851" i="1" a="1"/>
  <c r="D851" i="1"/>
  <c r="D851" i="1" a="1"/>
  <c r="B851" i="1"/>
  <c r="R850" i="1"/>
  <c r="Q850" i="1"/>
  <c r="P850" i="1"/>
  <c r="O850" i="1"/>
  <c r="N850" i="1"/>
  <c r="L850" i="1"/>
  <c r="F850" i="1"/>
  <c r="F850" i="1" a="1"/>
  <c r="D850" i="1" a="1"/>
  <c r="D850" i="1" s="1"/>
  <c r="B850" i="1"/>
  <c r="R849" i="1"/>
  <c r="Q849" i="1"/>
  <c r="P849" i="1"/>
  <c r="O849" i="1"/>
  <c r="N849" i="1"/>
  <c r="L849" i="1"/>
  <c r="F849" i="1" a="1"/>
  <c r="F849" i="1" s="1"/>
  <c r="D849" i="1" a="1"/>
  <c r="D849" i="1" s="1"/>
  <c r="B849" i="1"/>
  <c r="R848" i="1"/>
  <c r="Q848" i="1"/>
  <c r="P848" i="1"/>
  <c r="O848" i="1"/>
  <c r="N848" i="1"/>
  <c r="L848" i="1"/>
  <c r="F848" i="1" a="1"/>
  <c r="F848" i="1" s="1"/>
  <c r="D848" i="1"/>
  <c r="D848" i="1" a="1"/>
  <c r="B848" i="1"/>
  <c r="R847" i="1"/>
  <c r="Q847" i="1"/>
  <c r="P847" i="1"/>
  <c r="O847" i="1"/>
  <c r="N847" i="1"/>
  <c r="L847" i="1"/>
  <c r="F847" i="1"/>
  <c r="F847" i="1" a="1"/>
  <c r="D847" i="1" a="1"/>
  <c r="D847" i="1" s="1"/>
  <c r="B847" i="1"/>
  <c r="R846" i="1"/>
  <c r="Q846" i="1"/>
  <c r="P846" i="1"/>
  <c r="O846" i="1"/>
  <c r="N846" i="1"/>
  <c r="L846" i="1"/>
  <c r="F846" i="1" a="1"/>
  <c r="F846" i="1" s="1"/>
  <c r="D846" i="1" a="1"/>
  <c r="D846" i="1" s="1"/>
  <c r="B846" i="1"/>
  <c r="R845" i="1"/>
  <c r="Q845" i="1"/>
  <c r="P845" i="1"/>
  <c r="O845" i="1"/>
  <c r="N845" i="1"/>
  <c r="L845" i="1"/>
  <c r="F845" i="1" a="1"/>
  <c r="F845" i="1" s="1"/>
  <c r="D845" i="1" a="1"/>
  <c r="D845" i="1" s="1"/>
  <c r="B845" i="1"/>
  <c r="R844" i="1"/>
  <c r="Q844" i="1"/>
  <c r="P844" i="1"/>
  <c r="O844" i="1"/>
  <c r="N844" i="1"/>
  <c r="L844" i="1"/>
  <c r="F844" i="1" a="1"/>
  <c r="F844" i="1" s="1"/>
  <c r="D844" i="1" a="1"/>
  <c r="D844" i="1" s="1"/>
  <c r="B844" i="1"/>
  <c r="R843" i="1"/>
  <c r="Q843" i="1"/>
  <c r="P843" i="1"/>
  <c r="O843" i="1"/>
  <c r="N843" i="1"/>
  <c r="L843" i="1"/>
  <c r="F843" i="1"/>
  <c r="F843" i="1" a="1"/>
  <c r="D843" i="1" a="1"/>
  <c r="D843" i="1" s="1"/>
  <c r="B843" i="1"/>
  <c r="R842" i="1"/>
  <c r="Q842" i="1"/>
  <c r="P842" i="1"/>
  <c r="O842" i="1"/>
  <c r="N842" i="1"/>
  <c r="L842" i="1"/>
  <c r="F842" i="1" a="1"/>
  <c r="F842" i="1" s="1"/>
  <c r="D842" i="1" a="1"/>
  <c r="D842" i="1" s="1"/>
  <c r="B842" i="1"/>
  <c r="R841" i="1"/>
  <c r="Q841" i="1"/>
  <c r="P841" i="1"/>
  <c r="O841" i="1"/>
  <c r="N841" i="1"/>
  <c r="L841" i="1"/>
  <c r="F841" i="1" a="1"/>
  <c r="F841" i="1" s="1"/>
  <c r="D841" i="1" a="1"/>
  <c r="D841" i="1" s="1"/>
  <c r="B841" i="1"/>
  <c r="R840" i="1"/>
  <c r="Q840" i="1"/>
  <c r="P840" i="1"/>
  <c r="O840" i="1"/>
  <c r="N840" i="1"/>
  <c r="L840" i="1"/>
  <c r="F840" i="1" a="1"/>
  <c r="F840" i="1" s="1"/>
  <c r="D840" i="1" a="1"/>
  <c r="D840" i="1" s="1"/>
  <c r="B840" i="1"/>
  <c r="R839" i="1"/>
  <c r="Q839" i="1"/>
  <c r="P839" i="1"/>
  <c r="O839" i="1"/>
  <c r="N839" i="1"/>
  <c r="L839" i="1"/>
  <c r="F839" i="1"/>
  <c r="F839" i="1" a="1"/>
  <c r="D839" i="1" a="1"/>
  <c r="D839" i="1" s="1"/>
  <c r="B839" i="1"/>
  <c r="R838" i="1"/>
  <c r="Q838" i="1"/>
  <c r="P838" i="1"/>
  <c r="O838" i="1"/>
  <c r="N838" i="1"/>
  <c r="L838" i="1"/>
  <c r="F838" i="1" a="1"/>
  <c r="F838" i="1" s="1"/>
  <c r="D838" i="1" a="1"/>
  <c r="D838" i="1" s="1"/>
  <c r="B838" i="1"/>
  <c r="R837" i="1"/>
  <c r="Q837" i="1"/>
  <c r="P837" i="1"/>
  <c r="O837" i="1"/>
  <c r="N837" i="1"/>
  <c r="L837" i="1"/>
  <c r="F837" i="1" a="1"/>
  <c r="F837" i="1" s="1"/>
  <c r="D837" i="1" a="1"/>
  <c r="D837" i="1" s="1"/>
  <c r="B837" i="1"/>
  <c r="R836" i="1"/>
  <c r="Q836" i="1"/>
  <c r="P836" i="1"/>
  <c r="O836" i="1"/>
  <c r="N836" i="1"/>
  <c r="L836" i="1"/>
  <c r="F836" i="1" a="1"/>
  <c r="F836" i="1" s="1"/>
  <c r="D836" i="1" a="1"/>
  <c r="D836" i="1" s="1"/>
  <c r="B836" i="1"/>
  <c r="R835" i="1"/>
  <c r="Q835" i="1"/>
  <c r="P835" i="1"/>
  <c r="O835" i="1"/>
  <c r="N835" i="1"/>
  <c r="L835" i="1"/>
  <c r="F835" i="1"/>
  <c r="F835" i="1" a="1"/>
  <c r="D835" i="1" a="1"/>
  <c r="D835" i="1" s="1"/>
  <c r="B835" i="1"/>
  <c r="R834" i="1"/>
  <c r="Q834" i="1"/>
  <c r="P834" i="1"/>
  <c r="O834" i="1"/>
  <c r="N834" i="1"/>
  <c r="L834" i="1"/>
  <c r="F834" i="1" a="1"/>
  <c r="F834" i="1" s="1"/>
  <c r="D834" i="1" a="1"/>
  <c r="D834" i="1" s="1"/>
  <c r="B834" i="1"/>
  <c r="R833" i="1"/>
  <c r="Q833" i="1"/>
  <c r="P833" i="1"/>
  <c r="O833" i="1"/>
  <c r="N833" i="1"/>
  <c r="L833" i="1"/>
  <c r="F833" i="1" a="1"/>
  <c r="F833" i="1" s="1"/>
  <c r="D833" i="1" a="1"/>
  <c r="D833" i="1" s="1"/>
  <c r="B833" i="1"/>
  <c r="R832" i="1"/>
  <c r="Q832" i="1"/>
  <c r="P832" i="1"/>
  <c r="O832" i="1"/>
  <c r="N832" i="1"/>
  <c r="L832" i="1"/>
  <c r="F832" i="1" a="1"/>
  <c r="F832" i="1" s="1"/>
  <c r="D832" i="1" a="1"/>
  <c r="D832" i="1" s="1"/>
  <c r="B832" i="1"/>
  <c r="R831" i="1"/>
  <c r="Q831" i="1"/>
  <c r="P831" i="1"/>
  <c r="O831" i="1"/>
  <c r="N831" i="1"/>
  <c r="L831" i="1"/>
  <c r="F831" i="1"/>
  <c r="F831" i="1" a="1"/>
  <c r="D831" i="1" a="1"/>
  <c r="D831" i="1" s="1"/>
  <c r="B831" i="1"/>
  <c r="R830" i="1"/>
  <c r="Q830" i="1"/>
  <c r="P830" i="1"/>
  <c r="O830" i="1"/>
  <c r="N830" i="1"/>
  <c r="L830" i="1"/>
  <c r="F830" i="1" a="1"/>
  <c r="F830" i="1" s="1"/>
  <c r="D830" i="1" a="1"/>
  <c r="D830" i="1" s="1"/>
  <c r="B830" i="1"/>
  <c r="R829" i="1"/>
  <c r="Q829" i="1"/>
  <c r="P829" i="1"/>
  <c r="O829" i="1"/>
  <c r="N829" i="1"/>
  <c r="L829" i="1"/>
  <c r="F829" i="1" a="1"/>
  <c r="F829" i="1" s="1"/>
  <c r="D829" i="1" a="1"/>
  <c r="D829" i="1" s="1"/>
  <c r="B829" i="1"/>
  <c r="R828" i="1"/>
  <c r="Q828" i="1"/>
  <c r="P828" i="1"/>
  <c r="O828" i="1"/>
  <c r="N828" i="1"/>
  <c r="L828" i="1"/>
  <c r="F828" i="1" a="1"/>
  <c r="F828" i="1" s="1"/>
  <c r="D828" i="1" a="1"/>
  <c r="D828" i="1" s="1"/>
  <c r="B828" i="1"/>
  <c r="R827" i="1"/>
  <c r="Q827" i="1"/>
  <c r="P827" i="1"/>
  <c r="O827" i="1"/>
  <c r="N827" i="1"/>
  <c r="L827" i="1"/>
  <c r="F827" i="1"/>
  <c r="F827" i="1" a="1"/>
  <c r="D827" i="1" a="1"/>
  <c r="D827" i="1" s="1"/>
  <c r="B827" i="1"/>
  <c r="R826" i="1"/>
  <c r="Q826" i="1"/>
  <c r="P826" i="1"/>
  <c r="O826" i="1"/>
  <c r="N826" i="1"/>
  <c r="L826" i="1"/>
  <c r="F826" i="1" a="1"/>
  <c r="F826" i="1" s="1"/>
  <c r="D826" i="1" a="1"/>
  <c r="D826" i="1" s="1"/>
  <c r="B826" i="1"/>
  <c r="R825" i="1"/>
  <c r="Q825" i="1"/>
  <c r="P825" i="1"/>
  <c r="O825" i="1"/>
  <c r="N825" i="1"/>
  <c r="L825" i="1"/>
  <c r="F825" i="1" a="1"/>
  <c r="F825" i="1" s="1"/>
  <c r="D825" i="1" a="1"/>
  <c r="D825" i="1" s="1"/>
  <c r="B825" i="1"/>
  <c r="R824" i="1"/>
  <c r="Q824" i="1"/>
  <c r="P824" i="1"/>
  <c r="O824" i="1"/>
  <c r="N824" i="1"/>
  <c r="L824" i="1"/>
  <c r="F824" i="1" a="1"/>
  <c r="F824" i="1" s="1"/>
  <c r="D824" i="1" a="1"/>
  <c r="D824" i="1" s="1"/>
  <c r="B824" i="1"/>
  <c r="R823" i="1"/>
  <c r="Q823" i="1"/>
  <c r="P823" i="1"/>
  <c r="O823" i="1"/>
  <c r="N823" i="1"/>
  <c r="L823" i="1"/>
  <c r="F823" i="1" a="1"/>
  <c r="F823" i="1" s="1"/>
  <c r="D823" i="1" a="1"/>
  <c r="D823" i="1" s="1"/>
  <c r="B823" i="1"/>
  <c r="R822" i="1"/>
  <c r="Q822" i="1"/>
  <c r="P822" i="1"/>
  <c r="O822" i="1"/>
  <c r="N822" i="1"/>
  <c r="L822" i="1"/>
  <c r="F822" i="1" a="1"/>
  <c r="F822" i="1" s="1"/>
  <c r="D822" i="1" a="1"/>
  <c r="D822" i="1" s="1"/>
  <c r="B822" i="1"/>
  <c r="R821" i="1"/>
  <c r="Q821" i="1"/>
  <c r="P821" i="1"/>
  <c r="O821" i="1"/>
  <c r="N821" i="1"/>
  <c r="L821" i="1"/>
  <c r="F821" i="1" a="1"/>
  <c r="F821" i="1" s="1"/>
  <c r="D821" i="1" a="1"/>
  <c r="D821" i="1" s="1"/>
  <c r="B821" i="1"/>
  <c r="R820" i="1"/>
  <c r="Q820" i="1"/>
  <c r="P820" i="1"/>
  <c r="O820" i="1"/>
  <c r="N820" i="1"/>
  <c r="L820" i="1"/>
  <c r="F820" i="1" a="1"/>
  <c r="F820" i="1" s="1"/>
  <c r="D820" i="1" a="1"/>
  <c r="D820" i="1" s="1"/>
  <c r="B820" i="1"/>
  <c r="R819" i="1"/>
  <c r="Q819" i="1"/>
  <c r="P819" i="1"/>
  <c r="O819" i="1"/>
  <c r="N819" i="1"/>
  <c r="L819" i="1"/>
  <c r="F819" i="1" a="1"/>
  <c r="F819" i="1" s="1"/>
  <c r="D819" i="1" a="1"/>
  <c r="D819" i="1" s="1"/>
  <c r="B819" i="1"/>
  <c r="R818" i="1"/>
  <c r="Q818" i="1"/>
  <c r="P818" i="1"/>
  <c r="O818" i="1"/>
  <c r="N818" i="1"/>
  <c r="L818" i="1"/>
  <c r="F818" i="1" a="1"/>
  <c r="F818" i="1" s="1"/>
  <c r="D818" i="1" a="1"/>
  <c r="D818" i="1" s="1"/>
  <c r="B818" i="1"/>
  <c r="R817" i="1"/>
  <c r="Q817" i="1"/>
  <c r="P817" i="1"/>
  <c r="O817" i="1"/>
  <c r="N817" i="1"/>
  <c r="L817" i="1"/>
  <c r="F817" i="1" a="1"/>
  <c r="F817" i="1" s="1"/>
  <c r="D817" i="1" a="1"/>
  <c r="D817" i="1" s="1"/>
  <c r="B817" i="1"/>
  <c r="R816" i="1"/>
  <c r="Q816" i="1"/>
  <c r="P816" i="1"/>
  <c r="O816" i="1"/>
  <c r="N816" i="1"/>
  <c r="L816" i="1"/>
  <c r="F816" i="1" a="1"/>
  <c r="F816" i="1" s="1"/>
  <c r="D816" i="1" a="1"/>
  <c r="D816" i="1" s="1"/>
  <c r="B816" i="1"/>
  <c r="R815" i="1"/>
  <c r="Q815" i="1"/>
  <c r="P815" i="1"/>
  <c r="O815" i="1"/>
  <c r="N815" i="1"/>
  <c r="L815" i="1"/>
  <c r="F815" i="1" a="1"/>
  <c r="F815" i="1" s="1"/>
  <c r="D815" i="1" a="1"/>
  <c r="D815" i="1" s="1"/>
  <c r="B815" i="1"/>
  <c r="R814" i="1"/>
  <c r="Q814" i="1"/>
  <c r="P814" i="1"/>
  <c r="O814" i="1"/>
  <c r="N814" i="1"/>
  <c r="L814" i="1"/>
  <c r="F814" i="1" a="1"/>
  <c r="F814" i="1" s="1"/>
  <c r="D814" i="1" a="1"/>
  <c r="D814" i="1" s="1"/>
  <c r="B814" i="1"/>
  <c r="R813" i="1"/>
  <c r="Q813" i="1"/>
  <c r="P813" i="1"/>
  <c r="O813" i="1"/>
  <c r="N813" i="1"/>
  <c r="L813" i="1"/>
  <c r="F813" i="1" a="1"/>
  <c r="F813" i="1" s="1"/>
  <c r="D813" i="1" a="1"/>
  <c r="D813" i="1" s="1"/>
  <c r="B813" i="1"/>
  <c r="R812" i="1"/>
  <c r="Q812" i="1"/>
  <c r="P812" i="1"/>
  <c r="O812" i="1"/>
  <c r="N812" i="1"/>
  <c r="L812" i="1"/>
  <c r="F812" i="1" a="1"/>
  <c r="F812" i="1" s="1"/>
  <c r="D812" i="1" a="1"/>
  <c r="D812" i="1" s="1"/>
  <c r="B812" i="1"/>
  <c r="R811" i="1"/>
  <c r="Q811" i="1"/>
  <c r="P811" i="1"/>
  <c r="O811" i="1"/>
  <c r="N811" i="1"/>
  <c r="L811" i="1"/>
  <c r="F811" i="1" a="1"/>
  <c r="F811" i="1" s="1"/>
  <c r="D811" i="1" a="1"/>
  <c r="D811" i="1" s="1"/>
  <c r="B811" i="1"/>
  <c r="R810" i="1"/>
  <c r="Q810" i="1"/>
  <c r="P810" i="1"/>
  <c r="O810" i="1"/>
  <c r="N810" i="1"/>
  <c r="L810" i="1"/>
  <c r="F810" i="1" a="1"/>
  <c r="F810" i="1" s="1"/>
  <c r="D810" i="1" a="1"/>
  <c r="D810" i="1" s="1"/>
  <c r="B810" i="1"/>
  <c r="R809" i="1"/>
  <c r="Q809" i="1"/>
  <c r="P809" i="1"/>
  <c r="O809" i="1"/>
  <c r="N809" i="1"/>
  <c r="L809" i="1"/>
  <c r="F809" i="1" a="1"/>
  <c r="F809" i="1" s="1"/>
  <c r="D809" i="1" a="1"/>
  <c r="D809" i="1" s="1"/>
  <c r="B809" i="1"/>
  <c r="R808" i="1"/>
  <c r="Q808" i="1"/>
  <c r="P808" i="1"/>
  <c r="O808" i="1"/>
  <c r="N808" i="1"/>
  <c r="L808" i="1"/>
  <c r="F808" i="1" a="1"/>
  <c r="F808" i="1" s="1"/>
  <c r="D808" i="1" a="1"/>
  <c r="D808" i="1" s="1"/>
  <c r="B808" i="1"/>
  <c r="R807" i="1"/>
  <c r="Q807" i="1"/>
  <c r="P807" i="1"/>
  <c r="O807" i="1"/>
  <c r="N807" i="1"/>
  <c r="L807" i="1"/>
  <c r="F807" i="1" a="1"/>
  <c r="F807" i="1" s="1"/>
  <c r="D807" i="1" a="1"/>
  <c r="D807" i="1" s="1"/>
  <c r="B807" i="1"/>
  <c r="R806" i="1"/>
  <c r="Q806" i="1"/>
  <c r="P806" i="1"/>
  <c r="O806" i="1"/>
  <c r="N806" i="1"/>
  <c r="L806" i="1"/>
  <c r="F806" i="1" a="1"/>
  <c r="F806" i="1" s="1"/>
  <c r="D806" i="1" a="1"/>
  <c r="D806" i="1" s="1"/>
  <c r="B806" i="1"/>
  <c r="R805" i="1"/>
  <c r="Q805" i="1"/>
  <c r="P805" i="1"/>
  <c r="O805" i="1"/>
  <c r="N805" i="1"/>
  <c r="L805" i="1"/>
  <c r="F805" i="1" a="1"/>
  <c r="F805" i="1" s="1"/>
  <c r="D805" i="1" a="1"/>
  <c r="D805" i="1" s="1"/>
  <c r="B805" i="1"/>
  <c r="R804" i="1"/>
  <c r="Q804" i="1"/>
  <c r="P804" i="1"/>
  <c r="O804" i="1"/>
  <c r="N804" i="1"/>
  <c r="L804" i="1"/>
  <c r="F804" i="1" a="1"/>
  <c r="F804" i="1" s="1"/>
  <c r="D804" i="1" a="1"/>
  <c r="D804" i="1" s="1"/>
  <c r="B804" i="1"/>
  <c r="R803" i="1"/>
  <c r="Q803" i="1"/>
  <c r="P803" i="1"/>
  <c r="O803" i="1"/>
  <c r="N803" i="1"/>
  <c r="L803" i="1"/>
  <c r="F803" i="1" a="1"/>
  <c r="F803" i="1" s="1"/>
  <c r="D803" i="1" a="1"/>
  <c r="D803" i="1" s="1"/>
  <c r="B803" i="1"/>
  <c r="R802" i="1"/>
  <c r="Q802" i="1"/>
  <c r="P802" i="1"/>
  <c r="O802" i="1"/>
  <c r="N802" i="1"/>
  <c r="L802" i="1"/>
  <c r="F802" i="1" a="1"/>
  <c r="F802" i="1" s="1"/>
  <c r="D802" i="1" a="1"/>
  <c r="D802" i="1" s="1"/>
  <c r="B802" i="1"/>
  <c r="R801" i="1"/>
  <c r="Q801" i="1"/>
  <c r="P801" i="1"/>
  <c r="O801" i="1"/>
  <c r="N801" i="1"/>
  <c r="L801" i="1"/>
  <c r="F801" i="1" a="1"/>
  <c r="F801" i="1" s="1"/>
  <c r="D801" i="1" a="1"/>
  <c r="D801" i="1" s="1"/>
  <c r="B801" i="1"/>
  <c r="R800" i="1"/>
  <c r="Q800" i="1"/>
  <c r="P800" i="1"/>
  <c r="O800" i="1"/>
  <c r="N800" i="1"/>
  <c r="L800" i="1"/>
  <c r="F800" i="1" a="1"/>
  <c r="F800" i="1" s="1"/>
  <c r="D800" i="1" a="1"/>
  <c r="D800" i="1" s="1"/>
  <c r="B800" i="1"/>
  <c r="R799" i="1"/>
  <c r="Q799" i="1"/>
  <c r="P799" i="1"/>
  <c r="O799" i="1"/>
  <c r="N799" i="1"/>
  <c r="L799" i="1"/>
  <c r="F799" i="1" a="1"/>
  <c r="F799" i="1" s="1"/>
  <c r="D799" i="1" a="1"/>
  <c r="D799" i="1" s="1"/>
  <c r="B799" i="1"/>
  <c r="R798" i="1"/>
  <c r="Q798" i="1"/>
  <c r="P798" i="1"/>
  <c r="O798" i="1"/>
  <c r="N798" i="1"/>
  <c r="L798" i="1"/>
  <c r="F798" i="1" a="1"/>
  <c r="F798" i="1" s="1"/>
  <c r="D798" i="1" a="1"/>
  <c r="D798" i="1" s="1"/>
  <c r="B798" i="1"/>
  <c r="R797" i="1"/>
  <c r="Q797" i="1"/>
  <c r="P797" i="1"/>
  <c r="O797" i="1"/>
  <c r="N797" i="1"/>
  <c r="L797" i="1"/>
  <c r="F797" i="1" a="1"/>
  <c r="F797" i="1" s="1"/>
  <c r="D797" i="1" a="1"/>
  <c r="D797" i="1" s="1"/>
  <c r="B797" i="1"/>
  <c r="R796" i="1"/>
  <c r="Q796" i="1"/>
  <c r="P796" i="1"/>
  <c r="O796" i="1"/>
  <c r="N796" i="1"/>
  <c r="L796" i="1"/>
  <c r="F796" i="1" a="1"/>
  <c r="F796" i="1" s="1"/>
  <c r="D796" i="1" a="1"/>
  <c r="D796" i="1" s="1"/>
  <c r="B796" i="1"/>
  <c r="R795" i="1"/>
  <c r="Q795" i="1"/>
  <c r="P795" i="1"/>
  <c r="O795" i="1"/>
  <c r="N795" i="1"/>
  <c r="L795" i="1"/>
  <c r="F795" i="1" a="1"/>
  <c r="F795" i="1" s="1"/>
  <c r="D795" i="1" a="1"/>
  <c r="D795" i="1" s="1"/>
  <c r="B795" i="1"/>
  <c r="R794" i="1"/>
  <c r="Q794" i="1"/>
  <c r="P794" i="1"/>
  <c r="O794" i="1"/>
  <c r="N794" i="1"/>
  <c r="L794" i="1"/>
  <c r="F794" i="1" a="1"/>
  <c r="F794" i="1" s="1"/>
  <c r="D794" i="1" a="1"/>
  <c r="D794" i="1" s="1"/>
  <c r="B794" i="1"/>
  <c r="R793" i="1"/>
  <c r="Q793" i="1"/>
  <c r="P793" i="1"/>
  <c r="O793" i="1"/>
  <c r="N793" i="1"/>
  <c r="L793" i="1"/>
  <c r="F793" i="1" a="1"/>
  <c r="F793" i="1" s="1"/>
  <c r="D793" i="1" a="1"/>
  <c r="D793" i="1" s="1"/>
  <c r="B793" i="1"/>
  <c r="R792" i="1"/>
  <c r="Q792" i="1"/>
  <c r="P792" i="1"/>
  <c r="O792" i="1"/>
  <c r="N792" i="1"/>
  <c r="L792" i="1"/>
  <c r="F792" i="1" a="1"/>
  <c r="F792" i="1" s="1"/>
  <c r="D792" i="1" a="1"/>
  <c r="D792" i="1" s="1"/>
  <c r="B792" i="1"/>
  <c r="R791" i="1"/>
  <c r="Q791" i="1"/>
  <c r="P791" i="1"/>
  <c r="O791" i="1"/>
  <c r="N791" i="1"/>
  <c r="L791" i="1"/>
  <c r="F791" i="1" a="1"/>
  <c r="F791" i="1" s="1"/>
  <c r="D791" i="1" a="1"/>
  <c r="D791" i="1" s="1"/>
  <c r="B791" i="1"/>
  <c r="R790" i="1"/>
  <c r="Q790" i="1"/>
  <c r="P790" i="1"/>
  <c r="O790" i="1"/>
  <c r="N790" i="1"/>
  <c r="L790" i="1"/>
  <c r="F790" i="1" a="1"/>
  <c r="F790" i="1" s="1"/>
  <c r="D790" i="1" a="1"/>
  <c r="D790" i="1" s="1"/>
  <c r="B790" i="1"/>
  <c r="R789" i="1"/>
  <c r="Q789" i="1"/>
  <c r="P789" i="1"/>
  <c r="O789" i="1"/>
  <c r="N789" i="1"/>
  <c r="L789" i="1"/>
  <c r="F789" i="1" a="1"/>
  <c r="F789" i="1" s="1"/>
  <c r="D789" i="1" a="1"/>
  <c r="D789" i="1" s="1"/>
  <c r="B789" i="1"/>
  <c r="R788" i="1"/>
  <c r="Q788" i="1"/>
  <c r="P788" i="1"/>
  <c r="O788" i="1"/>
  <c r="N788" i="1"/>
  <c r="L788" i="1"/>
  <c r="F788" i="1" a="1"/>
  <c r="F788" i="1" s="1"/>
  <c r="D788" i="1" a="1"/>
  <c r="D788" i="1" s="1"/>
  <c r="B788" i="1"/>
  <c r="R787" i="1"/>
  <c r="Q787" i="1"/>
  <c r="P787" i="1"/>
  <c r="O787" i="1"/>
  <c r="N787" i="1"/>
  <c r="L787" i="1"/>
  <c r="F787" i="1" a="1"/>
  <c r="F787" i="1" s="1"/>
  <c r="D787" i="1" a="1"/>
  <c r="D787" i="1" s="1"/>
  <c r="B787" i="1"/>
  <c r="R786" i="1"/>
  <c r="Q786" i="1"/>
  <c r="P786" i="1"/>
  <c r="O786" i="1"/>
  <c r="N786" i="1"/>
  <c r="L786" i="1"/>
  <c r="F786" i="1" a="1"/>
  <c r="F786" i="1" s="1"/>
  <c r="D786" i="1" a="1"/>
  <c r="D786" i="1" s="1"/>
  <c r="B786" i="1"/>
  <c r="R785" i="1"/>
  <c r="Q785" i="1"/>
  <c r="P785" i="1"/>
  <c r="O785" i="1"/>
  <c r="N785" i="1"/>
  <c r="L785" i="1"/>
  <c r="F785" i="1" a="1"/>
  <c r="F785" i="1" s="1"/>
  <c r="D785" i="1" a="1"/>
  <c r="D785" i="1" s="1"/>
  <c r="B785" i="1"/>
  <c r="R784" i="1"/>
  <c r="Q784" i="1"/>
  <c r="P784" i="1"/>
  <c r="O784" i="1"/>
  <c r="N784" i="1"/>
  <c r="L784" i="1"/>
  <c r="F784" i="1" a="1"/>
  <c r="F784" i="1" s="1"/>
  <c r="D784" i="1" a="1"/>
  <c r="D784" i="1" s="1"/>
  <c r="B784" i="1"/>
  <c r="R783" i="1"/>
  <c r="Q783" i="1"/>
  <c r="P783" i="1"/>
  <c r="O783" i="1"/>
  <c r="N783" i="1"/>
  <c r="L783" i="1"/>
  <c r="F783" i="1" a="1"/>
  <c r="F783" i="1" s="1"/>
  <c r="D783" i="1" a="1"/>
  <c r="D783" i="1" s="1"/>
  <c r="B783" i="1"/>
  <c r="R782" i="1"/>
  <c r="Q782" i="1"/>
  <c r="P782" i="1"/>
  <c r="O782" i="1"/>
  <c r="N782" i="1"/>
  <c r="L782" i="1"/>
  <c r="F782" i="1" a="1"/>
  <c r="F782" i="1" s="1"/>
  <c r="D782" i="1" a="1"/>
  <c r="D782" i="1" s="1"/>
  <c r="B782" i="1"/>
  <c r="R781" i="1"/>
  <c r="Q781" i="1"/>
  <c r="P781" i="1"/>
  <c r="O781" i="1"/>
  <c r="N781" i="1"/>
  <c r="L781" i="1"/>
  <c r="F781" i="1" a="1"/>
  <c r="F781" i="1" s="1"/>
  <c r="D781" i="1" a="1"/>
  <c r="D781" i="1" s="1"/>
  <c r="B781" i="1"/>
  <c r="R780" i="1"/>
  <c r="Q780" i="1"/>
  <c r="P780" i="1"/>
  <c r="O780" i="1"/>
  <c r="N780" i="1"/>
  <c r="L780" i="1"/>
  <c r="F780" i="1" a="1"/>
  <c r="F780" i="1" s="1"/>
  <c r="D780" i="1" a="1"/>
  <c r="D780" i="1" s="1"/>
  <c r="B780" i="1"/>
  <c r="R779" i="1"/>
  <c r="Q779" i="1"/>
  <c r="P779" i="1"/>
  <c r="O779" i="1"/>
  <c r="N779" i="1"/>
  <c r="L779" i="1"/>
  <c r="F779" i="1" a="1"/>
  <c r="F779" i="1" s="1"/>
  <c r="D779" i="1" a="1"/>
  <c r="D779" i="1" s="1"/>
  <c r="B779" i="1"/>
  <c r="R778" i="1"/>
  <c r="Q778" i="1"/>
  <c r="P778" i="1"/>
  <c r="O778" i="1"/>
  <c r="N778" i="1"/>
  <c r="L778" i="1"/>
  <c r="F778" i="1" a="1"/>
  <c r="F778" i="1" s="1"/>
  <c r="D778" i="1" a="1"/>
  <c r="D778" i="1" s="1"/>
  <c r="B778" i="1"/>
  <c r="R777" i="1"/>
  <c r="Q777" i="1"/>
  <c r="P777" i="1"/>
  <c r="O777" i="1"/>
  <c r="N777" i="1"/>
  <c r="L777" i="1"/>
  <c r="F777" i="1" a="1"/>
  <c r="F777" i="1" s="1"/>
  <c r="D777" i="1" a="1"/>
  <c r="D777" i="1" s="1"/>
  <c r="B777" i="1"/>
  <c r="R776" i="1"/>
  <c r="Q776" i="1"/>
  <c r="P776" i="1"/>
  <c r="O776" i="1"/>
  <c r="N776" i="1"/>
  <c r="L776" i="1"/>
  <c r="F776" i="1" a="1"/>
  <c r="F776" i="1" s="1"/>
  <c r="D776" i="1" a="1"/>
  <c r="D776" i="1" s="1"/>
  <c r="B776" i="1"/>
  <c r="R775" i="1"/>
  <c r="Q775" i="1"/>
  <c r="P775" i="1"/>
  <c r="O775" i="1"/>
  <c r="N775" i="1"/>
  <c r="L775" i="1"/>
  <c r="F775" i="1" a="1"/>
  <c r="F775" i="1" s="1"/>
  <c r="D775" i="1" a="1"/>
  <c r="D775" i="1" s="1"/>
  <c r="B775" i="1"/>
  <c r="R774" i="1"/>
  <c r="Q774" i="1"/>
  <c r="P774" i="1"/>
  <c r="O774" i="1"/>
  <c r="N774" i="1"/>
  <c r="L774" i="1"/>
  <c r="F774" i="1" a="1"/>
  <c r="F774" i="1" s="1"/>
  <c r="D774" i="1" a="1"/>
  <c r="D774" i="1" s="1"/>
  <c r="B774" i="1"/>
  <c r="R773" i="1"/>
  <c r="Q773" i="1"/>
  <c r="P773" i="1"/>
  <c r="O773" i="1"/>
  <c r="N773" i="1"/>
  <c r="L773" i="1"/>
  <c r="F773" i="1" a="1"/>
  <c r="F773" i="1" s="1"/>
  <c r="D773" i="1" a="1"/>
  <c r="D773" i="1" s="1"/>
  <c r="B773" i="1"/>
  <c r="R772" i="1"/>
  <c r="Q772" i="1"/>
  <c r="P772" i="1"/>
  <c r="O772" i="1"/>
  <c r="N772" i="1"/>
  <c r="L772" i="1"/>
  <c r="F772" i="1" a="1"/>
  <c r="F772" i="1" s="1"/>
  <c r="D772" i="1" a="1"/>
  <c r="D772" i="1" s="1"/>
  <c r="B772" i="1"/>
  <c r="R771" i="1"/>
  <c r="Q771" i="1"/>
  <c r="P771" i="1"/>
  <c r="O771" i="1"/>
  <c r="N771" i="1"/>
  <c r="L771" i="1"/>
  <c r="F771" i="1" a="1"/>
  <c r="F771" i="1" s="1"/>
  <c r="D771" i="1" a="1"/>
  <c r="D771" i="1" s="1"/>
  <c r="B771" i="1"/>
  <c r="R770" i="1"/>
  <c r="Q770" i="1"/>
  <c r="P770" i="1"/>
  <c r="O770" i="1"/>
  <c r="N770" i="1"/>
  <c r="L770" i="1"/>
  <c r="F770" i="1" a="1"/>
  <c r="F770" i="1" s="1"/>
  <c r="D770" i="1" a="1"/>
  <c r="D770" i="1" s="1"/>
  <c r="B770" i="1"/>
  <c r="R769" i="1"/>
  <c r="Q769" i="1"/>
  <c r="P769" i="1"/>
  <c r="O769" i="1"/>
  <c r="N769" i="1"/>
  <c r="L769" i="1"/>
  <c r="F769" i="1" a="1"/>
  <c r="F769" i="1" s="1"/>
  <c r="D769" i="1" a="1"/>
  <c r="D769" i="1" s="1"/>
  <c r="B769" i="1"/>
  <c r="R768" i="1"/>
  <c r="Q768" i="1"/>
  <c r="P768" i="1"/>
  <c r="O768" i="1"/>
  <c r="N768" i="1"/>
  <c r="L768" i="1"/>
  <c r="F768" i="1" a="1"/>
  <c r="F768" i="1" s="1"/>
  <c r="D768" i="1" a="1"/>
  <c r="D768" i="1" s="1"/>
  <c r="B768" i="1"/>
  <c r="R767" i="1"/>
  <c r="Q767" i="1"/>
  <c r="P767" i="1"/>
  <c r="O767" i="1"/>
  <c r="N767" i="1"/>
  <c r="L767" i="1"/>
  <c r="F767" i="1" a="1"/>
  <c r="F767" i="1" s="1"/>
  <c r="D767" i="1" a="1"/>
  <c r="D767" i="1" s="1"/>
  <c r="B767" i="1"/>
  <c r="R766" i="1"/>
  <c r="Q766" i="1"/>
  <c r="P766" i="1"/>
  <c r="O766" i="1"/>
  <c r="N766" i="1"/>
  <c r="L766" i="1"/>
  <c r="F766" i="1" a="1"/>
  <c r="F766" i="1" s="1"/>
  <c r="D766" i="1" a="1"/>
  <c r="D766" i="1" s="1"/>
  <c r="B766" i="1"/>
  <c r="R765" i="1"/>
  <c r="Q765" i="1"/>
  <c r="P765" i="1"/>
  <c r="O765" i="1"/>
  <c r="N765" i="1"/>
  <c r="L765" i="1"/>
  <c r="F765" i="1" a="1"/>
  <c r="F765" i="1" s="1"/>
  <c r="D765" i="1" a="1"/>
  <c r="D765" i="1" s="1"/>
  <c r="B765" i="1"/>
  <c r="R764" i="1"/>
  <c r="Q764" i="1"/>
  <c r="P764" i="1"/>
  <c r="O764" i="1"/>
  <c r="N764" i="1"/>
  <c r="L764" i="1"/>
  <c r="F764" i="1" a="1"/>
  <c r="F764" i="1" s="1"/>
  <c r="D764" i="1" a="1"/>
  <c r="D764" i="1" s="1"/>
  <c r="B764" i="1"/>
  <c r="R763" i="1"/>
  <c r="Q763" i="1"/>
  <c r="P763" i="1"/>
  <c r="O763" i="1"/>
  <c r="N763" i="1"/>
  <c r="L763" i="1"/>
  <c r="F763" i="1" a="1"/>
  <c r="F763" i="1" s="1"/>
  <c r="D763" i="1" a="1"/>
  <c r="D763" i="1" s="1"/>
  <c r="B763" i="1"/>
  <c r="R762" i="1"/>
  <c r="Q762" i="1"/>
  <c r="P762" i="1"/>
  <c r="O762" i="1"/>
  <c r="N762" i="1"/>
  <c r="L762" i="1"/>
  <c r="F762" i="1" a="1"/>
  <c r="F762" i="1" s="1"/>
  <c r="D762" i="1" a="1"/>
  <c r="D762" i="1" s="1"/>
  <c r="B762" i="1"/>
  <c r="R761" i="1"/>
  <c r="Q761" i="1"/>
  <c r="P761" i="1"/>
  <c r="O761" i="1"/>
  <c r="N761" i="1"/>
  <c r="L761" i="1"/>
  <c r="F761" i="1" a="1"/>
  <c r="F761" i="1" s="1"/>
  <c r="D761" i="1" a="1"/>
  <c r="D761" i="1" s="1"/>
  <c r="B761" i="1"/>
  <c r="R760" i="1"/>
  <c r="Q760" i="1"/>
  <c r="P760" i="1"/>
  <c r="O760" i="1"/>
  <c r="N760" i="1"/>
  <c r="L760" i="1"/>
  <c r="F760" i="1" a="1"/>
  <c r="F760" i="1" s="1"/>
  <c r="D760" i="1" a="1"/>
  <c r="D760" i="1" s="1"/>
  <c r="B760" i="1"/>
  <c r="R759" i="1"/>
  <c r="Q759" i="1"/>
  <c r="P759" i="1"/>
  <c r="O759" i="1"/>
  <c r="N759" i="1"/>
  <c r="L759" i="1"/>
  <c r="F759" i="1" a="1"/>
  <c r="F759" i="1" s="1"/>
  <c r="D759" i="1" a="1"/>
  <c r="D759" i="1" s="1"/>
  <c r="B759" i="1"/>
  <c r="R758" i="1"/>
  <c r="Q758" i="1"/>
  <c r="P758" i="1"/>
  <c r="O758" i="1"/>
  <c r="N758" i="1"/>
  <c r="L758" i="1"/>
  <c r="F758" i="1" a="1"/>
  <c r="F758" i="1" s="1"/>
  <c r="D758" i="1" a="1"/>
  <c r="D758" i="1" s="1"/>
  <c r="B758" i="1"/>
  <c r="R757" i="1"/>
  <c r="Q757" i="1"/>
  <c r="P757" i="1"/>
  <c r="O757" i="1"/>
  <c r="N757" i="1"/>
  <c r="L757" i="1"/>
  <c r="F757" i="1" a="1"/>
  <c r="F757" i="1" s="1"/>
  <c r="D757" i="1" a="1"/>
  <c r="D757" i="1" s="1"/>
  <c r="B757" i="1"/>
  <c r="R756" i="1"/>
  <c r="Q756" i="1"/>
  <c r="P756" i="1"/>
  <c r="O756" i="1"/>
  <c r="N756" i="1"/>
  <c r="L756" i="1"/>
  <c r="F756" i="1" a="1"/>
  <c r="F756" i="1" s="1"/>
  <c r="D756" i="1" a="1"/>
  <c r="D756" i="1" s="1"/>
  <c r="B756" i="1"/>
  <c r="R755" i="1"/>
  <c r="Q755" i="1"/>
  <c r="P755" i="1"/>
  <c r="O755" i="1"/>
  <c r="N755" i="1"/>
  <c r="L755" i="1"/>
  <c r="F755" i="1" a="1"/>
  <c r="F755" i="1" s="1"/>
  <c r="D755" i="1" a="1"/>
  <c r="D755" i="1" s="1"/>
  <c r="B755" i="1"/>
  <c r="R754" i="1"/>
  <c r="Q754" i="1"/>
  <c r="P754" i="1"/>
  <c r="O754" i="1"/>
  <c r="N754" i="1"/>
  <c r="L754" i="1"/>
  <c r="F754" i="1" a="1"/>
  <c r="F754" i="1" s="1"/>
  <c r="D754" i="1" a="1"/>
  <c r="D754" i="1" s="1"/>
  <c r="B754" i="1"/>
  <c r="R753" i="1"/>
  <c r="Q753" i="1"/>
  <c r="P753" i="1"/>
  <c r="O753" i="1"/>
  <c r="N753" i="1"/>
  <c r="L753" i="1"/>
  <c r="F753" i="1" a="1"/>
  <c r="F753" i="1" s="1"/>
  <c r="D753" i="1" a="1"/>
  <c r="D753" i="1" s="1"/>
  <c r="B753" i="1"/>
  <c r="R752" i="1"/>
  <c r="Q752" i="1"/>
  <c r="P752" i="1"/>
  <c r="O752" i="1"/>
  <c r="N752" i="1"/>
  <c r="L752" i="1"/>
  <c r="F752" i="1" a="1"/>
  <c r="F752" i="1" s="1"/>
  <c r="D752" i="1" a="1"/>
  <c r="D752" i="1" s="1"/>
  <c r="B752" i="1"/>
  <c r="R751" i="1"/>
  <c r="Q751" i="1"/>
  <c r="P751" i="1"/>
  <c r="O751" i="1"/>
  <c r="N751" i="1"/>
  <c r="L751" i="1"/>
  <c r="F751" i="1" a="1"/>
  <c r="F751" i="1" s="1"/>
  <c r="D751" i="1" a="1"/>
  <c r="D751" i="1" s="1"/>
  <c r="B751" i="1"/>
  <c r="R750" i="1"/>
  <c r="Q750" i="1"/>
  <c r="P750" i="1"/>
  <c r="O750" i="1"/>
  <c r="N750" i="1"/>
  <c r="L750" i="1"/>
  <c r="F750" i="1" a="1"/>
  <c r="F750" i="1" s="1"/>
  <c r="D750" i="1" a="1"/>
  <c r="D750" i="1" s="1"/>
  <c r="B750" i="1"/>
  <c r="R749" i="1"/>
  <c r="Q749" i="1"/>
  <c r="P749" i="1"/>
  <c r="O749" i="1"/>
  <c r="N749" i="1"/>
  <c r="L749" i="1"/>
  <c r="F749" i="1" a="1"/>
  <c r="F749" i="1" s="1"/>
  <c r="D749" i="1" a="1"/>
  <c r="D749" i="1" s="1"/>
  <c r="B749" i="1"/>
  <c r="R748" i="1"/>
  <c r="Q748" i="1"/>
  <c r="P748" i="1"/>
  <c r="O748" i="1"/>
  <c r="N748" i="1"/>
  <c r="L748" i="1"/>
  <c r="F748" i="1" a="1"/>
  <c r="F748" i="1" s="1"/>
  <c r="D748" i="1" a="1"/>
  <c r="D748" i="1" s="1"/>
  <c r="B748" i="1"/>
  <c r="R747" i="1"/>
  <c r="Q747" i="1"/>
  <c r="P747" i="1"/>
  <c r="O747" i="1"/>
  <c r="N747" i="1"/>
  <c r="L747" i="1"/>
  <c r="F747" i="1" a="1"/>
  <c r="F747" i="1" s="1"/>
  <c r="D747" i="1" a="1"/>
  <c r="D747" i="1" s="1"/>
  <c r="B747" i="1"/>
  <c r="R746" i="1"/>
  <c r="Q746" i="1"/>
  <c r="P746" i="1"/>
  <c r="O746" i="1"/>
  <c r="N746" i="1"/>
  <c r="L746" i="1"/>
  <c r="F746" i="1" a="1"/>
  <c r="F746" i="1" s="1"/>
  <c r="D746" i="1" a="1"/>
  <c r="D746" i="1" s="1"/>
  <c r="B746" i="1"/>
  <c r="R745" i="1"/>
  <c r="Q745" i="1"/>
  <c r="P745" i="1"/>
  <c r="O745" i="1"/>
  <c r="N745" i="1"/>
  <c r="L745" i="1"/>
  <c r="F745" i="1" a="1"/>
  <c r="F745" i="1" s="1"/>
  <c r="D745" i="1" a="1"/>
  <c r="D745" i="1" s="1"/>
  <c r="B745" i="1"/>
  <c r="R744" i="1"/>
  <c r="Q744" i="1"/>
  <c r="P744" i="1"/>
  <c r="O744" i="1"/>
  <c r="N744" i="1"/>
  <c r="L744" i="1"/>
  <c r="F744" i="1" a="1"/>
  <c r="F744" i="1" s="1"/>
  <c r="D744" i="1" a="1"/>
  <c r="D744" i="1" s="1"/>
  <c r="B744" i="1"/>
  <c r="R743" i="1"/>
  <c r="Q743" i="1"/>
  <c r="P743" i="1"/>
  <c r="O743" i="1"/>
  <c r="N743" i="1"/>
  <c r="L743" i="1"/>
  <c r="F743" i="1" a="1"/>
  <c r="F743" i="1" s="1"/>
  <c r="D743" i="1" a="1"/>
  <c r="D743" i="1" s="1"/>
  <c r="B743" i="1"/>
  <c r="R742" i="1"/>
  <c r="Q742" i="1"/>
  <c r="P742" i="1"/>
  <c r="O742" i="1"/>
  <c r="N742" i="1"/>
  <c r="L742" i="1"/>
  <c r="F742" i="1" a="1"/>
  <c r="F742" i="1" s="1"/>
  <c r="D742" i="1" a="1"/>
  <c r="D742" i="1" s="1"/>
  <c r="B742" i="1"/>
  <c r="R741" i="1"/>
  <c r="Q741" i="1"/>
  <c r="P741" i="1"/>
  <c r="O741" i="1"/>
  <c r="N741" i="1"/>
  <c r="L741" i="1"/>
  <c r="F741" i="1" a="1"/>
  <c r="F741" i="1" s="1"/>
  <c r="D741" i="1" a="1"/>
  <c r="D741" i="1" s="1"/>
  <c r="B741" i="1"/>
  <c r="R740" i="1"/>
  <c r="Q740" i="1"/>
  <c r="P740" i="1"/>
  <c r="O740" i="1"/>
  <c r="N740" i="1"/>
  <c r="L740" i="1"/>
  <c r="F740" i="1" a="1"/>
  <c r="F740" i="1" s="1"/>
  <c r="D740" i="1" a="1"/>
  <c r="D740" i="1" s="1"/>
  <c r="B740" i="1"/>
  <c r="R739" i="1"/>
  <c r="Q739" i="1"/>
  <c r="P739" i="1"/>
  <c r="O739" i="1"/>
  <c r="N739" i="1"/>
  <c r="L739" i="1"/>
  <c r="F739" i="1" a="1"/>
  <c r="F739" i="1" s="1"/>
  <c r="D739" i="1" a="1"/>
  <c r="D739" i="1" s="1"/>
  <c r="B739" i="1"/>
  <c r="R738" i="1"/>
  <c r="Q738" i="1"/>
  <c r="P738" i="1"/>
  <c r="O738" i="1"/>
  <c r="N738" i="1"/>
  <c r="L738" i="1"/>
  <c r="F738" i="1" a="1"/>
  <c r="F738" i="1" s="1"/>
  <c r="D738" i="1" a="1"/>
  <c r="D738" i="1" s="1"/>
  <c r="B738" i="1"/>
  <c r="R737" i="1"/>
  <c r="Q737" i="1"/>
  <c r="P737" i="1"/>
  <c r="O737" i="1"/>
  <c r="N737" i="1"/>
  <c r="L737" i="1"/>
  <c r="F737" i="1" a="1"/>
  <c r="F737" i="1" s="1"/>
  <c r="D737" i="1" a="1"/>
  <c r="D737" i="1" s="1"/>
  <c r="B737" i="1"/>
  <c r="R736" i="1"/>
  <c r="Q736" i="1"/>
  <c r="P736" i="1"/>
  <c r="O736" i="1"/>
  <c r="N736" i="1"/>
  <c r="L736" i="1"/>
  <c r="F736" i="1" a="1"/>
  <c r="F736" i="1" s="1"/>
  <c r="D736" i="1" a="1"/>
  <c r="D736" i="1" s="1"/>
  <c r="B736" i="1"/>
  <c r="R735" i="1"/>
  <c r="Q735" i="1"/>
  <c r="P735" i="1"/>
  <c r="O735" i="1"/>
  <c r="N735" i="1"/>
  <c r="L735" i="1"/>
  <c r="F735" i="1" a="1"/>
  <c r="F735" i="1" s="1"/>
  <c r="D735" i="1" a="1"/>
  <c r="D735" i="1" s="1"/>
  <c r="B735" i="1"/>
  <c r="R734" i="1"/>
  <c r="Q734" i="1"/>
  <c r="P734" i="1"/>
  <c r="O734" i="1"/>
  <c r="N734" i="1"/>
  <c r="L734" i="1"/>
  <c r="F734" i="1" a="1"/>
  <c r="F734" i="1" s="1"/>
  <c r="D734" i="1" a="1"/>
  <c r="D734" i="1" s="1"/>
  <c r="B734" i="1"/>
  <c r="R733" i="1"/>
  <c r="Q733" i="1"/>
  <c r="P733" i="1"/>
  <c r="O733" i="1"/>
  <c r="N733" i="1"/>
  <c r="L733" i="1"/>
  <c r="F733" i="1" a="1"/>
  <c r="F733" i="1" s="1"/>
  <c r="D733" i="1" a="1"/>
  <c r="D733" i="1" s="1"/>
  <c r="B733" i="1"/>
  <c r="R732" i="1"/>
  <c r="Q732" i="1"/>
  <c r="P732" i="1"/>
  <c r="O732" i="1"/>
  <c r="N732" i="1"/>
  <c r="L732" i="1"/>
  <c r="F732" i="1" a="1"/>
  <c r="F732" i="1" s="1"/>
  <c r="D732" i="1" a="1"/>
  <c r="D732" i="1" s="1"/>
  <c r="B732" i="1"/>
  <c r="R731" i="1"/>
  <c r="Q731" i="1"/>
  <c r="P731" i="1"/>
  <c r="O731" i="1"/>
  <c r="N731" i="1"/>
  <c r="L731" i="1"/>
  <c r="F731" i="1" a="1"/>
  <c r="F731" i="1" s="1"/>
  <c r="D731" i="1" a="1"/>
  <c r="D731" i="1" s="1"/>
  <c r="B731" i="1"/>
  <c r="R730" i="1"/>
  <c r="Q730" i="1"/>
  <c r="P730" i="1"/>
  <c r="O730" i="1"/>
  <c r="N730" i="1"/>
  <c r="L730" i="1"/>
  <c r="F730" i="1" a="1"/>
  <c r="F730" i="1" s="1"/>
  <c r="D730" i="1" a="1"/>
  <c r="D730" i="1" s="1"/>
  <c r="B730" i="1"/>
  <c r="R729" i="1"/>
  <c r="Q729" i="1"/>
  <c r="P729" i="1"/>
  <c r="O729" i="1"/>
  <c r="N729" i="1"/>
  <c r="L729" i="1"/>
  <c r="F729" i="1" a="1"/>
  <c r="F729" i="1" s="1"/>
  <c r="D729" i="1" a="1"/>
  <c r="D729" i="1" s="1"/>
  <c r="B729" i="1"/>
  <c r="R728" i="1"/>
  <c r="Q728" i="1"/>
  <c r="P728" i="1"/>
  <c r="O728" i="1"/>
  <c r="N728" i="1"/>
  <c r="L728" i="1"/>
  <c r="F728" i="1" a="1"/>
  <c r="F728" i="1" s="1"/>
  <c r="D728" i="1" a="1"/>
  <c r="D728" i="1" s="1"/>
  <c r="B728" i="1"/>
  <c r="R727" i="1"/>
  <c r="Q727" i="1"/>
  <c r="P727" i="1"/>
  <c r="O727" i="1"/>
  <c r="N727" i="1"/>
  <c r="L727" i="1"/>
  <c r="F727" i="1" a="1"/>
  <c r="F727" i="1" s="1"/>
  <c r="D727" i="1" a="1"/>
  <c r="D727" i="1" s="1"/>
  <c r="B727" i="1"/>
  <c r="R726" i="1"/>
  <c r="Q726" i="1"/>
  <c r="P726" i="1"/>
  <c r="O726" i="1"/>
  <c r="N726" i="1"/>
  <c r="L726" i="1"/>
  <c r="F726" i="1" a="1"/>
  <c r="F726" i="1" s="1"/>
  <c r="D726" i="1" a="1"/>
  <c r="D726" i="1" s="1"/>
  <c r="B726" i="1"/>
  <c r="R725" i="1"/>
  <c r="Q725" i="1"/>
  <c r="P725" i="1"/>
  <c r="O725" i="1"/>
  <c r="N725" i="1"/>
  <c r="L725" i="1"/>
  <c r="F725" i="1" a="1"/>
  <c r="F725" i="1" s="1"/>
  <c r="D725" i="1" a="1"/>
  <c r="D725" i="1" s="1"/>
  <c r="B725" i="1"/>
  <c r="R724" i="1"/>
  <c r="Q724" i="1"/>
  <c r="P724" i="1"/>
  <c r="O724" i="1"/>
  <c r="N724" i="1"/>
  <c r="L724" i="1"/>
  <c r="F724" i="1" a="1"/>
  <c r="F724" i="1" s="1"/>
  <c r="D724" i="1" a="1"/>
  <c r="D724" i="1" s="1"/>
  <c r="B724" i="1"/>
  <c r="R723" i="1"/>
  <c r="Q723" i="1"/>
  <c r="P723" i="1"/>
  <c r="O723" i="1"/>
  <c r="N723" i="1"/>
  <c r="L723" i="1"/>
  <c r="F723" i="1" a="1"/>
  <c r="F723" i="1" s="1"/>
  <c r="D723" i="1" a="1"/>
  <c r="D723" i="1" s="1"/>
  <c r="B723" i="1"/>
  <c r="R722" i="1"/>
  <c r="Q722" i="1"/>
  <c r="P722" i="1"/>
  <c r="O722" i="1"/>
  <c r="N722" i="1"/>
  <c r="L722" i="1"/>
  <c r="F722" i="1" a="1"/>
  <c r="F722" i="1" s="1"/>
  <c r="D722" i="1" a="1"/>
  <c r="D722" i="1" s="1"/>
  <c r="B722" i="1"/>
  <c r="R721" i="1"/>
  <c r="Q721" i="1"/>
  <c r="P721" i="1"/>
  <c r="O721" i="1"/>
  <c r="N721" i="1"/>
  <c r="L721" i="1"/>
  <c r="F721" i="1" a="1"/>
  <c r="F721" i="1" s="1"/>
  <c r="D721" i="1" a="1"/>
  <c r="D721" i="1" s="1"/>
  <c r="B721" i="1"/>
  <c r="R720" i="1"/>
  <c r="Q720" i="1"/>
  <c r="P720" i="1"/>
  <c r="O720" i="1"/>
  <c r="N720" i="1"/>
  <c r="L720" i="1"/>
  <c r="F720" i="1" a="1"/>
  <c r="F720" i="1" s="1"/>
  <c r="D720" i="1" a="1"/>
  <c r="D720" i="1" s="1"/>
  <c r="B720" i="1"/>
  <c r="R719" i="1"/>
  <c r="Q719" i="1"/>
  <c r="P719" i="1"/>
  <c r="O719" i="1"/>
  <c r="N719" i="1"/>
  <c r="L719" i="1"/>
  <c r="F719" i="1" a="1"/>
  <c r="F719" i="1" s="1"/>
  <c r="D719" i="1" a="1"/>
  <c r="D719" i="1" s="1"/>
  <c r="B719" i="1"/>
  <c r="R718" i="1"/>
  <c r="Q718" i="1"/>
  <c r="P718" i="1"/>
  <c r="O718" i="1"/>
  <c r="N718" i="1"/>
  <c r="L718" i="1"/>
  <c r="F718" i="1" a="1"/>
  <c r="F718" i="1" s="1"/>
  <c r="D718" i="1" a="1"/>
  <c r="D718" i="1" s="1"/>
  <c r="B718" i="1"/>
  <c r="R717" i="1"/>
  <c r="Q717" i="1"/>
  <c r="P717" i="1"/>
  <c r="O717" i="1"/>
  <c r="N717" i="1"/>
  <c r="L717" i="1"/>
  <c r="F717" i="1" a="1"/>
  <c r="F717" i="1" s="1"/>
  <c r="D717" i="1" a="1"/>
  <c r="D717" i="1" s="1"/>
  <c r="B717" i="1"/>
  <c r="R716" i="1"/>
  <c r="Q716" i="1"/>
  <c r="P716" i="1"/>
  <c r="O716" i="1"/>
  <c r="N716" i="1"/>
  <c r="L716" i="1"/>
  <c r="F716" i="1" a="1"/>
  <c r="F716" i="1" s="1"/>
  <c r="D716" i="1" a="1"/>
  <c r="D716" i="1" s="1"/>
  <c r="B716" i="1"/>
  <c r="R715" i="1"/>
  <c r="Q715" i="1"/>
  <c r="P715" i="1"/>
  <c r="O715" i="1"/>
  <c r="N715" i="1"/>
  <c r="L715" i="1"/>
  <c r="F715" i="1" a="1"/>
  <c r="F715" i="1" s="1"/>
  <c r="D715" i="1" a="1"/>
  <c r="D715" i="1" s="1"/>
  <c r="B715" i="1"/>
  <c r="R714" i="1"/>
  <c r="Q714" i="1"/>
  <c r="P714" i="1"/>
  <c r="O714" i="1"/>
  <c r="N714" i="1"/>
  <c r="L714" i="1"/>
  <c r="F714" i="1" a="1"/>
  <c r="F714" i="1" s="1"/>
  <c r="D714" i="1" a="1"/>
  <c r="D714" i="1" s="1"/>
  <c r="B714" i="1"/>
  <c r="R713" i="1"/>
  <c r="Q713" i="1"/>
  <c r="P713" i="1"/>
  <c r="O713" i="1"/>
  <c r="N713" i="1"/>
  <c r="L713" i="1"/>
  <c r="F713" i="1" a="1"/>
  <c r="F713" i="1" s="1"/>
  <c r="D713" i="1" a="1"/>
  <c r="D713" i="1" s="1"/>
  <c r="B713" i="1"/>
  <c r="R712" i="1"/>
  <c r="Q712" i="1"/>
  <c r="P712" i="1"/>
  <c r="O712" i="1"/>
  <c r="N712" i="1"/>
  <c r="L712" i="1"/>
  <c r="F712" i="1" a="1"/>
  <c r="F712" i="1" s="1"/>
  <c r="D712" i="1"/>
  <c r="D712" i="1" a="1"/>
  <c r="B712" i="1"/>
  <c r="R711" i="1"/>
  <c r="Q711" i="1"/>
  <c r="P711" i="1"/>
  <c r="O711" i="1"/>
  <c r="N711" i="1"/>
  <c r="L711" i="1"/>
  <c r="F711" i="1" a="1"/>
  <c r="F711" i="1" s="1"/>
  <c r="D711" i="1" a="1"/>
  <c r="D711" i="1" s="1"/>
  <c r="B711" i="1"/>
  <c r="R710" i="1"/>
  <c r="Q710" i="1"/>
  <c r="P710" i="1"/>
  <c r="O710" i="1"/>
  <c r="N710" i="1"/>
  <c r="L710" i="1"/>
  <c r="F710" i="1" a="1"/>
  <c r="F710" i="1" s="1"/>
  <c r="D710" i="1" a="1"/>
  <c r="D710" i="1" s="1"/>
  <c r="B710" i="1"/>
  <c r="R709" i="1"/>
  <c r="Q709" i="1"/>
  <c r="P709" i="1"/>
  <c r="O709" i="1"/>
  <c r="N709" i="1"/>
  <c r="L709" i="1"/>
  <c r="F709" i="1" a="1"/>
  <c r="F709" i="1" s="1"/>
  <c r="D709" i="1"/>
  <c r="D709" i="1" a="1"/>
  <c r="B709" i="1"/>
  <c r="R708" i="1"/>
  <c r="Q708" i="1"/>
  <c r="P708" i="1"/>
  <c r="O708" i="1"/>
  <c r="N708" i="1"/>
  <c r="L708" i="1"/>
  <c r="F708" i="1" a="1"/>
  <c r="F708" i="1" s="1"/>
  <c r="D708" i="1"/>
  <c r="D708" i="1" a="1"/>
  <c r="B708" i="1"/>
  <c r="R707" i="1"/>
  <c r="Q707" i="1"/>
  <c r="P707" i="1"/>
  <c r="O707" i="1"/>
  <c r="N707" i="1"/>
  <c r="L707" i="1"/>
  <c r="F707" i="1"/>
  <c r="F707" i="1" a="1"/>
  <c r="D707" i="1" a="1"/>
  <c r="D707" i="1" s="1"/>
  <c r="B707" i="1"/>
  <c r="R706" i="1"/>
  <c r="Q706" i="1"/>
  <c r="P706" i="1"/>
  <c r="O706" i="1"/>
  <c r="N706" i="1"/>
  <c r="L706" i="1"/>
  <c r="F706" i="1" a="1"/>
  <c r="F706" i="1" s="1"/>
  <c r="D706" i="1" a="1"/>
  <c r="D706" i="1" s="1"/>
  <c r="B706" i="1"/>
  <c r="R705" i="1"/>
  <c r="Q705" i="1"/>
  <c r="P705" i="1"/>
  <c r="O705" i="1"/>
  <c r="N705" i="1"/>
  <c r="L705" i="1"/>
  <c r="F705" i="1" a="1"/>
  <c r="F705" i="1" s="1"/>
  <c r="D705" i="1" a="1"/>
  <c r="D705" i="1" s="1"/>
  <c r="B705" i="1"/>
  <c r="R704" i="1"/>
  <c r="Q704" i="1"/>
  <c r="P704" i="1"/>
  <c r="O704" i="1"/>
  <c r="N704" i="1"/>
  <c r="L704" i="1"/>
  <c r="F704" i="1" a="1"/>
  <c r="F704" i="1" s="1"/>
  <c r="D704" i="1" a="1"/>
  <c r="D704" i="1" s="1"/>
  <c r="B704" i="1"/>
  <c r="R703" i="1"/>
  <c r="Q703" i="1"/>
  <c r="P703" i="1"/>
  <c r="O703" i="1"/>
  <c r="N703" i="1"/>
  <c r="L703" i="1"/>
  <c r="F703" i="1"/>
  <c r="F703" i="1" a="1"/>
  <c r="D703" i="1" a="1"/>
  <c r="D703" i="1" s="1"/>
  <c r="B703" i="1"/>
  <c r="R702" i="1"/>
  <c r="Q702" i="1"/>
  <c r="P702" i="1"/>
  <c r="O702" i="1"/>
  <c r="N702" i="1"/>
  <c r="L702" i="1"/>
  <c r="F702" i="1" a="1"/>
  <c r="F702" i="1" s="1"/>
  <c r="D702" i="1" a="1"/>
  <c r="D702" i="1" s="1"/>
  <c r="B702" i="1"/>
  <c r="R701" i="1"/>
  <c r="Q701" i="1"/>
  <c r="P701" i="1"/>
  <c r="O701" i="1"/>
  <c r="N701" i="1"/>
  <c r="L701" i="1"/>
  <c r="F701" i="1"/>
  <c r="F701" i="1" a="1"/>
  <c r="D701" i="1" a="1"/>
  <c r="D701" i="1" s="1"/>
  <c r="B701" i="1"/>
  <c r="R700" i="1"/>
  <c r="Q700" i="1"/>
  <c r="P700" i="1"/>
  <c r="O700" i="1"/>
  <c r="N700" i="1"/>
  <c r="L700" i="1"/>
  <c r="F700" i="1" a="1"/>
  <c r="F700" i="1" s="1"/>
  <c r="D700" i="1" a="1"/>
  <c r="D700" i="1" s="1"/>
  <c r="B700" i="1"/>
  <c r="R699" i="1"/>
  <c r="Q699" i="1"/>
  <c r="P699" i="1"/>
  <c r="O699" i="1"/>
  <c r="N699" i="1"/>
  <c r="L699" i="1"/>
  <c r="F699" i="1"/>
  <c r="F699" i="1" a="1"/>
  <c r="D699" i="1" a="1"/>
  <c r="D699" i="1" s="1"/>
  <c r="B699" i="1"/>
  <c r="R698" i="1"/>
  <c r="Q698" i="1"/>
  <c r="P698" i="1"/>
  <c r="O698" i="1"/>
  <c r="N698" i="1"/>
  <c r="L698" i="1"/>
  <c r="F698" i="1" a="1"/>
  <c r="F698" i="1" s="1"/>
  <c r="D698" i="1" a="1"/>
  <c r="D698" i="1" s="1"/>
  <c r="B698" i="1"/>
  <c r="R697" i="1"/>
  <c r="Q697" i="1"/>
  <c r="P697" i="1"/>
  <c r="O697" i="1"/>
  <c r="N697" i="1"/>
  <c r="L697" i="1"/>
  <c r="F697" i="1" a="1"/>
  <c r="F697" i="1" s="1"/>
  <c r="D697" i="1" a="1"/>
  <c r="D697" i="1" s="1"/>
  <c r="B697" i="1"/>
  <c r="R696" i="1"/>
  <c r="Q696" i="1"/>
  <c r="P696" i="1"/>
  <c r="O696" i="1"/>
  <c r="N696" i="1"/>
  <c r="L696" i="1"/>
  <c r="F696" i="1" a="1"/>
  <c r="F696" i="1" s="1"/>
  <c r="D696" i="1" a="1"/>
  <c r="D696" i="1" s="1"/>
  <c r="B696" i="1"/>
  <c r="R695" i="1"/>
  <c r="Q695" i="1"/>
  <c r="P695" i="1"/>
  <c r="O695" i="1"/>
  <c r="N695" i="1"/>
  <c r="L695" i="1"/>
  <c r="F695" i="1" a="1"/>
  <c r="F695" i="1" s="1"/>
  <c r="D695" i="1" a="1"/>
  <c r="D695" i="1" s="1"/>
  <c r="B695" i="1"/>
  <c r="R694" i="1"/>
  <c r="Q694" i="1"/>
  <c r="P694" i="1"/>
  <c r="O694" i="1"/>
  <c r="N694" i="1"/>
  <c r="L694" i="1"/>
  <c r="F694" i="1" a="1"/>
  <c r="F694" i="1" s="1"/>
  <c r="D694" i="1" a="1"/>
  <c r="D694" i="1" s="1"/>
  <c r="B694" i="1"/>
  <c r="R693" i="1"/>
  <c r="Q693" i="1"/>
  <c r="P693" i="1"/>
  <c r="O693" i="1"/>
  <c r="N693" i="1"/>
  <c r="L693" i="1"/>
  <c r="F693" i="1" a="1"/>
  <c r="F693" i="1" s="1"/>
  <c r="D693" i="1" a="1"/>
  <c r="D693" i="1" s="1"/>
  <c r="B693" i="1"/>
  <c r="R692" i="1"/>
  <c r="Q692" i="1"/>
  <c r="P692" i="1"/>
  <c r="O692" i="1"/>
  <c r="N692" i="1"/>
  <c r="L692" i="1"/>
  <c r="F692" i="1" a="1"/>
  <c r="F692" i="1" s="1"/>
  <c r="D692" i="1" a="1"/>
  <c r="D692" i="1" s="1"/>
  <c r="B692" i="1"/>
  <c r="R691" i="1"/>
  <c r="Q691" i="1"/>
  <c r="P691" i="1"/>
  <c r="O691" i="1"/>
  <c r="N691" i="1"/>
  <c r="L691" i="1"/>
  <c r="F691" i="1"/>
  <c r="F691" i="1" a="1"/>
  <c r="D691" i="1" a="1"/>
  <c r="D691" i="1" s="1"/>
  <c r="B691" i="1"/>
  <c r="R690" i="1"/>
  <c r="Q690" i="1"/>
  <c r="P690" i="1"/>
  <c r="O690" i="1"/>
  <c r="N690" i="1"/>
  <c r="L690" i="1"/>
  <c r="F690" i="1" a="1"/>
  <c r="F690" i="1" s="1"/>
  <c r="D690" i="1" a="1"/>
  <c r="D690" i="1" s="1"/>
  <c r="B690" i="1"/>
  <c r="R689" i="1"/>
  <c r="Q689" i="1"/>
  <c r="P689" i="1"/>
  <c r="O689" i="1"/>
  <c r="N689" i="1"/>
  <c r="L689" i="1"/>
  <c r="F689" i="1"/>
  <c r="F689" i="1" a="1"/>
  <c r="D689" i="1" a="1"/>
  <c r="D689" i="1" s="1"/>
  <c r="B689" i="1"/>
  <c r="R688" i="1"/>
  <c r="Q688" i="1"/>
  <c r="P688" i="1"/>
  <c r="O688" i="1"/>
  <c r="N688" i="1"/>
  <c r="L688" i="1"/>
  <c r="F688" i="1" a="1"/>
  <c r="F688" i="1" s="1"/>
  <c r="D688" i="1" a="1"/>
  <c r="D688" i="1" s="1"/>
  <c r="B688" i="1"/>
  <c r="R687" i="1"/>
  <c r="Q687" i="1"/>
  <c r="P687" i="1"/>
  <c r="O687" i="1"/>
  <c r="N687" i="1"/>
  <c r="L687" i="1"/>
  <c r="F687" i="1"/>
  <c r="F687" i="1" a="1"/>
  <c r="D687" i="1" a="1"/>
  <c r="D687" i="1" s="1"/>
  <c r="B687" i="1"/>
  <c r="R686" i="1"/>
  <c r="Q686" i="1"/>
  <c r="P686" i="1"/>
  <c r="O686" i="1"/>
  <c r="N686" i="1"/>
  <c r="L686" i="1"/>
  <c r="F686" i="1" a="1"/>
  <c r="F686" i="1" s="1"/>
  <c r="D686" i="1" a="1"/>
  <c r="D686" i="1" s="1"/>
  <c r="B686" i="1"/>
  <c r="R685" i="1"/>
  <c r="Q685" i="1"/>
  <c r="P685" i="1"/>
  <c r="O685" i="1"/>
  <c r="N685" i="1"/>
  <c r="L685" i="1"/>
  <c r="F685" i="1" a="1"/>
  <c r="F685" i="1" s="1"/>
  <c r="D685" i="1" a="1"/>
  <c r="D685" i="1" s="1"/>
  <c r="B685" i="1"/>
  <c r="R684" i="1"/>
  <c r="Q684" i="1"/>
  <c r="P684" i="1"/>
  <c r="O684" i="1"/>
  <c r="N684" i="1"/>
  <c r="L684" i="1"/>
  <c r="F684" i="1" a="1"/>
  <c r="F684" i="1" s="1"/>
  <c r="D684" i="1" a="1"/>
  <c r="D684" i="1" s="1"/>
  <c r="B684" i="1"/>
  <c r="R683" i="1"/>
  <c r="Q683" i="1"/>
  <c r="P683" i="1"/>
  <c r="O683" i="1"/>
  <c r="N683" i="1"/>
  <c r="L683" i="1"/>
  <c r="F683" i="1" a="1"/>
  <c r="F683" i="1" s="1"/>
  <c r="D683" i="1" a="1"/>
  <c r="D683" i="1" s="1"/>
  <c r="B683" i="1"/>
  <c r="R682" i="1"/>
  <c r="Q682" i="1"/>
  <c r="P682" i="1"/>
  <c r="O682" i="1"/>
  <c r="N682" i="1"/>
  <c r="L682" i="1"/>
  <c r="F682" i="1" a="1"/>
  <c r="F682" i="1" s="1"/>
  <c r="D682" i="1" a="1"/>
  <c r="D682" i="1" s="1"/>
  <c r="B682" i="1"/>
  <c r="R681" i="1"/>
  <c r="Q681" i="1"/>
  <c r="P681" i="1"/>
  <c r="O681" i="1"/>
  <c r="N681" i="1"/>
  <c r="L681" i="1"/>
  <c r="F681" i="1" a="1"/>
  <c r="F681" i="1" s="1"/>
  <c r="D681" i="1" a="1"/>
  <c r="D681" i="1" s="1"/>
  <c r="B681" i="1"/>
  <c r="R680" i="1"/>
  <c r="Q680" i="1"/>
  <c r="P680" i="1"/>
  <c r="O680" i="1"/>
  <c r="N680" i="1"/>
  <c r="L680" i="1"/>
  <c r="F680" i="1" a="1"/>
  <c r="F680" i="1" s="1"/>
  <c r="D680" i="1"/>
  <c r="D680" i="1" a="1"/>
  <c r="B680" i="1"/>
  <c r="R679" i="1"/>
  <c r="Q679" i="1"/>
  <c r="P679" i="1"/>
  <c r="O679" i="1"/>
  <c r="N679" i="1"/>
  <c r="L679" i="1"/>
  <c r="F679" i="1"/>
  <c r="F679" i="1" a="1"/>
  <c r="D679" i="1"/>
  <c r="D679" i="1" a="1"/>
  <c r="B679" i="1"/>
  <c r="R678" i="1"/>
  <c r="Q678" i="1"/>
  <c r="P678" i="1"/>
  <c r="O678" i="1"/>
  <c r="N678" i="1"/>
  <c r="L678" i="1"/>
  <c r="F678" i="1"/>
  <c r="F678" i="1" a="1"/>
  <c r="D678" i="1" a="1"/>
  <c r="D678" i="1" s="1"/>
  <c r="B678" i="1"/>
  <c r="R677" i="1"/>
  <c r="Q677" i="1"/>
  <c r="P677" i="1"/>
  <c r="O677" i="1"/>
  <c r="N677" i="1"/>
  <c r="L677" i="1"/>
  <c r="F677" i="1"/>
  <c r="F677" i="1" a="1"/>
  <c r="D677" i="1"/>
  <c r="D677" i="1" a="1"/>
  <c r="B677" i="1"/>
  <c r="R676" i="1"/>
  <c r="Q676" i="1"/>
  <c r="P676" i="1"/>
  <c r="O676" i="1"/>
  <c r="N676" i="1"/>
  <c r="L676" i="1"/>
  <c r="F676" i="1" a="1"/>
  <c r="F676" i="1" s="1"/>
  <c r="D676" i="1"/>
  <c r="D676" i="1" a="1"/>
  <c r="B676" i="1"/>
  <c r="R675" i="1"/>
  <c r="Q675" i="1"/>
  <c r="P675" i="1"/>
  <c r="O675" i="1"/>
  <c r="N675" i="1"/>
  <c r="L675" i="1"/>
  <c r="F675" i="1"/>
  <c r="F675" i="1" a="1"/>
  <c r="D675" i="1"/>
  <c r="D675" i="1" a="1"/>
  <c r="B675" i="1"/>
  <c r="R674" i="1"/>
  <c r="Q674" i="1"/>
  <c r="P674" i="1"/>
  <c r="O674" i="1"/>
  <c r="N674" i="1"/>
  <c r="L674" i="1"/>
  <c r="F674" i="1"/>
  <c r="F674" i="1" a="1"/>
  <c r="D674" i="1" a="1"/>
  <c r="D674" i="1" s="1"/>
  <c r="B674" i="1"/>
  <c r="R673" i="1"/>
  <c r="Q673" i="1"/>
  <c r="P673" i="1"/>
  <c r="O673" i="1"/>
  <c r="N673" i="1"/>
  <c r="L673" i="1"/>
  <c r="F673" i="1"/>
  <c r="F673" i="1" a="1"/>
  <c r="D673" i="1"/>
  <c r="D673" i="1" a="1"/>
  <c r="B673" i="1"/>
  <c r="R672" i="1"/>
  <c r="Q672" i="1"/>
  <c r="P672" i="1"/>
  <c r="O672" i="1"/>
  <c r="N672" i="1"/>
  <c r="L672" i="1"/>
  <c r="F672" i="1" a="1"/>
  <c r="F672" i="1" s="1"/>
  <c r="D672" i="1" a="1"/>
  <c r="D672" i="1" s="1"/>
  <c r="B672" i="1"/>
  <c r="R671" i="1"/>
  <c r="Q671" i="1"/>
  <c r="P671" i="1"/>
  <c r="O671" i="1"/>
  <c r="N671" i="1"/>
  <c r="L671" i="1"/>
  <c r="F671" i="1"/>
  <c r="F671" i="1" a="1"/>
  <c r="D671" i="1"/>
  <c r="D671" i="1" a="1"/>
  <c r="B671" i="1"/>
  <c r="R670" i="1"/>
  <c r="Q670" i="1"/>
  <c r="P670" i="1"/>
  <c r="O670" i="1"/>
  <c r="N670" i="1"/>
  <c r="L670" i="1"/>
  <c r="F670" i="1"/>
  <c r="F670" i="1" a="1"/>
  <c r="D670" i="1" a="1"/>
  <c r="D670" i="1" s="1"/>
  <c r="B670" i="1"/>
  <c r="R669" i="1"/>
  <c r="Q669" i="1"/>
  <c r="P669" i="1"/>
  <c r="O669" i="1"/>
  <c r="N669" i="1"/>
  <c r="L669" i="1"/>
  <c r="F669" i="1"/>
  <c r="F669" i="1" a="1"/>
  <c r="D669" i="1"/>
  <c r="D669" i="1" a="1"/>
  <c r="B669" i="1"/>
  <c r="R668" i="1"/>
  <c r="Q668" i="1"/>
  <c r="P668" i="1"/>
  <c r="O668" i="1"/>
  <c r="N668" i="1"/>
  <c r="L668" i="1"/>
  <c r="F668" i="1" a="1"/>
  <c r="F668" i="1" s="1"/>
  <c r="D668" i="1" a="1"/>
  <c r="D668" i="1" s="1"/>
  <c r="B668" i="1"/>
  <c r="R667" i="1"/>
  <c r="Q667" i="1"/>
  <c r="P667" i="1"/>
  <c r="O667" i="1"/>
  <c r="N667" i="1"/>
  <c r="L667" i="1"/>
  <c r="F667" i="1"/>
  <c r="F667" i="1" a="1"/>
  <c r="D667" i="1"/>
  <c r="D667" i="1" a="1"/>
  <c r="B667" i="1"/>
  <c r="R666" i="1"/>
  <c r="Q666" i="1"/>
  <c r="P666" i="1"/>
  <c r="O666" i="1"/>
  <c r="N666" i="1"/>
  <c r="L666" i="1"/>
  <c r="F666" i="1"/>
  <c r="F666" i="1" a="1"/>
  <c r="D666" i="1" a="1"/>
  <c r="D666" i="1" s="1"/>
  <c r="B666" i="1"/>
  <c r="R665" i="1"/>
  <c r="Q665" i="1"/>
  <c r="P665" i="1"/>
  <c r="O665" i="1"/>
  <c r="N665" i="1"/>
  <c r="L665" i="1"/>
  <c r="F665" i="1"/>
  <c r="F665" i="1" a="1"/>
  <c r="D665" i="1"/>
  <c r="D665" i="1" a="1"/>
  <c r="B665" i="1"/>
  <c r="R664" i="1"/>
  <c r="Q664" i="1"/>
  <c r="P664" i="1"/>
  <c r="O664" i="1"/>
  <c r="N664" i="1"/>
  <c r="L664" i="1"/>
  <c r="F664" i="1" a="1"/>
  <c r="F664" i="1" s="1"/>
  <c r="D664" i="1" a="1"/>
  <c r="D664" i="1" s="1"/>
  <c r="B664" i="1"/>
  <c r="R663" i="1"/>
  <c r="Q663" i="1"/>
  <c r="P663" i="1"/>
  <c r="O663" i="1"/>
  <c r="N663" i="1"/>
  <c r="L663" i="1"/>
  <c r="F663" i="1"/>
  <c r="F663" i="1" a="1"/>
  <c r="D663" i="1"/>
  <c r="D663" i="1" a="1"/>
  <c r="B663" i="1"/>
  <c r="R662" i="1"/>
  <c r="Q662" i="1"/>
  <c r="P662" i="1"/>
  <c r="O662" i="1"/>
  <c r="N662" i="1"/>
  <c r="L662" i="1"/>
  <c r="F662" i="1"/>
  <c r="F662" i="1" a="1"/>
  <c r="D662" i="1" a="1"/>
  <c r="D662" i="1" s="1"/>
  <c r="B662" i="1"/>
  <c r="R661" i="1"/>
  <c r="Q661" i="1"/>
  <c r="P661" i="1"/>
  <c r="O661" i="1"/>
  <c r="N661" i="1"/>
  <c r="L661" i="1"/>
  <c r="F661" i="1"/>
  <c r="F661" i="1" a="1"/>
  <c r="D661" i="1"/>
  <c r="D661" i="1" a="1"/>
  <c r="B661" i="1"/>
  <c r="R660" i="1"/>
  <c r="Q660" i="1"/>
  <c r="P660" i="1"/>
  <c r="O660" i="1"/>
  <c r="N660" i="1"/>
  <c r="L660" i="1"/>
  <c r="F660" i="1" a="1"/>
  <c r="F660" i="1" s="1"/>
  <c r="D660" i="1" a="1"/>
  <c r="D660" i="1" s="1"/>
  <c r="B660" i="1"/>
  <c r="R659" i="1"/>
  <c r="Q659" i="1"/>
  <c r="P659" i="1"/>
  <c r="O659" i="1"/>
  <c r="N659" i="1"/>
  <c r="L659" i="1"/>
  <c r="F659" i="1"/>
  <c r="F659" i="1" a="1"/>
  <c r="D659" i="1"/>
  <c r="D659" i="1" a="1"/>
  <c r="B659" i="1"/>
  <c r="R658" i="1"/>
  <c r="Q658" i="1"/>
  <c r="P658" i="1"/>
  <c r="O658" i="1"/>
  <c r="N658" i="1"/>
  <c r="L658" i="1"/>
  <c r="F658" i="1"/>
  <c r="F658" i="1" a="1"/>
  <c r="D658" i="1" a="1"/>
  <c r="D658" i="1" s="1"/>
  <c r="B658" i="1"/>
  <c r="R657" i="1"/>
  <c r="Q657" i="1"/>
  <c r="P657" i="1"/>
  <c r="O657" i="1"/>
  <c r="N657" i="1"/>
  <c r="L657" i="1"/>
  <c r="F657" i="1"/>
  <c r="F657" i="1" a="1"/>
  <c r="D657" i="1"/>
  <c r="D657" i="1" a="1"/>
  <c r="B657" i="1"/>
  <c r="R656" i="1"/>
  <c r="Q656" i="1"/>
  <c r="P656" i="1"/>
  <c r="O656" i="1"/>
  <c r="N656" i="1"/>
  <c r="L656" i="1"/>
  <c r="F656" i="1" a="1"/>
  <c r="F656" i="1" s="1"/>
  <c r="D656" i="1" a="1"/>
  <c r="D656" i="1" s="1"/>
  <c r="B656" i="1"/>
  <c r="R655" i="1"/>
  <c r="Q655" i="1"/>
  <c r="P655" i="1"/>
  <c r="O655" i="1"/>
  <c r="N655" i="1"/>
  <c r="L655" i="1"/>
  <c r="F655" i="1"/>
  <c r="F655" i="1" a="1"/>
  <c r="D655" i="1"/>
  <c r="D655" i="1" a="1"/>
  <c r="B655" i="1"/>
  <c r="R654" i="1"/>
  <c r="Q654" i="1"/>
  <c r="P654" i="1"/>
  <c r="O654" i="1"/>
  <c r="N654" i="1"/>
  <c r="L654" i="1"/>
  <c r="F654" i="1"/>
  <c r="F654" i="1" a="1"/>
  <c r="D654" i="1" a="1"/>
  <c r="D654" i="1" s="1"/>
  <c r="B654" i="1"/>
  <c r="R653" i="1"/>
  <c r="Q653" i="1"/>
  <c r="P653" i="1"/>
  <c r="O653" i="1"/>
  <c r="N653" i="1"/>
  <c r="L653" i="1"/>
  <c r="F653" i="1"/>
  <c r="F653" i="1" a="1"/>
  <c r="D653" i="1"/>
  <c r="D653" i="1" a="1"/>
  <c r="B653" i="1"/>
  <c r="R652" i="1"/>
  <c r="Q652" i="1"/>
  <c r="P652" i="1"/>
  <c r="O652" i="1"/>
  <c r="N652" i="1"/>
  <c r="L652" i="1"/>
  <c r="F652" i="1" a="1"/>
  <c r="F652" i="1" s="1"/>
  <c r="D652" i="1" a="1"/>
  <c r="D652" i="1" s="1"/>
  <c r="B652" i="1"/>
  <c r="R651" i="1"/>
  <c r="Q651" i="1"/>
  <c r="P651" i="1"/>
  <c r="O651" i="1"/>
  <c r="N651" i="1"/>
  <c r="L651" i="1"/>
  <c r="F651" i="1"/>
  <c r="F651" i="1" a="1"/>
  <c r="D651" i="1"/>
  <c r="D651" i="1" a="1"/>
  <c r="B651" i="1"/>
  <c r="R650" i="1"/>
  <c r="Q650" i="1"/>
  <c r="P650" i="1"/>
  <c r="O650" i="1"/>
  <c r="N650" i="1"/>
  <c r="L650" i="1"/>
  <c r="F650" i="1"/>
  <c r="F650" i="1" a="1"/>
  <c r="D650" i="1" a="1"/>
  <c r="D650" i="1" s="1"/>
  <c r="B650" i="1"/>
  <c r="R649" i="1"/>
  <c r="Q649" i="1"/>
  <c r="P649" i="1"/>
  <c r="O649" i="1"/>
  <c r="N649" i="1"/>
  <c r="L649" i="1"/>
  <c r="F649" i="1"/>
  <c r="F649" i="1" a="1"/>
  <c r="D649" i="1"/>
  <c r="D649" i="1" a="1"/>
  <c r="B649" i="1"/>
  <c r="R648" i="1"/>
  <c r="Q648" i="1"/>
  <c r="P648" i="1"/>
  <c r="O648" i="1"/>
  <c r="N648" i="1"/>
  <c r="L648" i="1"/>
  <c r="F648" i="1" a="1"/>
  <c r="F648" i="1" s="1"/>
  <c r="D648" i="1" a="1"/>
  <c r="D648" i="1" s="1"/>
  <c r="B648" i="1"/>
  <c r="R647" i="1"/>
  <c r="Q647" i="1"/>
  <c r="P647" i="1"/>
  <c r="O647" i="1"/>
  <c r="N647" i="1"/>
  <c r="L647" i="1"/>
  <c r="F647" i="1"/>
  <c r="F647" i="1" a="1"/>
  <c r="D647" i="1"/>
  <c r="D647" i="1" a="1"/>
  <c r="B647" i="1"/>
  <c r="R646" i="1"/>
  <c r="Q646" i="1"/>
  <c r="P646" i="1"/>
  <c r="O646" i="1"/>
  <c r="N646" i="1"/>
  <c r="L646" i="1"/>
  <c r="F646" i="1"/>
  <c r="F646" i="1" a="1"/>
  <c r="D646" i="1" a="1"/>
  <c r="D646" i="1" s="1"/>
  <c r="B646" i="1"/>
  <c r="R645" i="1"/>
  <c r="Q645" i="1"/>
  <c r="P645" i="1"/>
  <c r="O645" i="1"/>
  <c r="N645" i="1"/>
  <c r="L645" i="1"/>
  <c r="F645" i="1"/>
  <c r="F645" i="1" a="1"/>
  <c r="D645" i="1"/>
  <c r="D645" i="1" a="1"/>
  <c r="B645" i="1"/>
  <c r="R644" i="1"/>
  <c r="Q644" i="1"/>
  <c r="P644" i="1"/>
  <c r="O644" i="1"/>
  <c r="N644" i="1"/>
  <c r="L644" i="1"/>
  <c r="F644" i="1" a="1"/>
  <c r="F644" i="1" s="1"/>
  <c r="D644" i="1" a="1"/>
  <c r="D644" i="1" s="1"/>
  <c r="B644" i="1"/>
  <c r="R643" i="1"/>
  <c r="Q643" i="1"/>
  <c r="P643" i="1"/>
  <c r="O643" i="1"/>
  <c r="N643" i="1"/>
  <c r="L643" i="1"/>
  <c r="F643" i="1"/>
  <c r="F643" i="1" a="1"/>
  <c r="D643" i="1"/>
  <c r="D643" i="1" a="1"/>
  <c r="B643" i="1"/>
  <c r="R642" i="1"/>
  <c r="Q642" i="1"/>
  <c r="P642" i="1"/>
  <c r="O642" i="1"/>
  <c r="N642" i="1"/>
  <c r="L642" i="1"/>
  <c r="F642" i="1" a="1"/>
  <c r="F642" i="1" s="1"/>
  <c r="D642" i="1" a="1"/>
  <c r="D642" i="1" s="1"/>
  <c r="B642" i="1"/>
  <c r="R641" i="1"/>
  <c r="Q641" i="1"/>
  <c r="P641" i="1"/>
  <c r="O641" i="1"/>
  <c r="N641" i="1"/>
  <c r="L641" i="1"/>
  <c r="F641" i="1"/>
  <c r="F641" i="1" a="1"/>
  <c r="D641" i="1"/>
  <c r="D641" i="1" a="1"/>
  <c r="B641" i="1"/>
  <c r="R640" i="1"/>
  <c r="Q640" i="1"/>
  <c r="P640" i="1"/>
  <c r="O640" i="1"/>
  <c r="N640" i="1"/>
  <c r="L640" i="1"/>
  <c r="F640" i="1" a="1"/>
  <c r="F640" i="1" s="1"/>
  <c r="D640" i="1" a="1"/>
  <c r="D640" i="1" s="1"/>
  <c r="B640" i="1"/>
  <c r="R639" i="1"/>
  <c r="Q639" i="1"/>
  <c r="P639" i="1"/>
  <c r="O639" i="1"/>
  <c r="N639" i="1"/>
  <c r="L639" i="1"/>
  <c r="F639" i="1"/>
  <c r="F639" i="1" a="1"/>
  <c r="D639" i="1"/>
  <c r="D639" i="1" a="1"/>
  <c r="B639" i="1"/>
  <c r="R638" i="1"/>
  <c r="Q638" i="1"/>
  <c r="P638" i="1"/>
  <c r="O638" i="1"/>
  <c r="N638" i="1"/>
  <c r="L638" i="1"/>
  <c r="F638" i="1" a="1"/>
  <c r="F638" i="1" s="1"/>
  <c r="D638" i="1" a="1"/>
  <c r="D638" i="1" s="1"/>
  <c r="B638" i="1"/>
  <c r="R637" i="1"/>
  <c r="Q637" i="1"/>
  <c r="P637" i="1"/>
  <c r="O637" i="1"/>
  <c r="N637" i="1"/>
  <c r="L637" i="1"/>
  <c r="F637" i="1"/>
  <c r="F637" i="1" a="1"/>
  <c r="D637" i="1"/>
  <c r="D637" i="1" a="1"/>
  <c r="B637" i="1"/>
  <c r="R636" i="1"/>
  <c r="Q636" i="1"/>
  <c r="P636" i="1"/>
  <c r="O636" i="1"/>
  <c r="N636" i="1"/>
  <c r="L636" i="1"/>
  <c r="F636" i="1" a="1"/>
  <c r="F636" i="1" s="1"/>
  <c r="D636" i="1" a="1"/>
  <c r="D636" i="1" s="1"/>
  <c r="B636" i="1"/>
  <c r="R635" i="1"/>
  <c r="Q635" i="1"/>
  <c r="P635" i="1"/>
  <c r="O635" i="1"/>
  <c r="N635" i="1"/>
  <c r="L635" i="1"/>
  <c r="F635" i="1"/>
  <c r="F635" i="1" a="1"/>
  <c r="D635" i="1"/>
  <c r="D635" i="1" a="1"/>
  <c r="B635" i="1"/>
  <c r="R634" i="1"/>
  <c r="Q634" i="1"/>
  <c r="P634" i="1"/>
  <c r="O634" i="1"/>
  <c r="N634" i="1"/>
  <c r="L634" i="1"/>
  <c r="F634" i="1" a="1"/>
  <c r="F634" i="1" s="1"/>
  <c r="D634" i="1" a="1"/>
  <c r="D634" i="1" s="1"/>
  <c r="B634" i="1"/>
  <c r="R633" i="1"/>
  <c r="Q633" i="1"/>
  <c r="P633" i="1"/>
  <c r="O633" i="1"/>
  <c r="N633" i="1"/>
  <c r="L633" i="1"/>
  <c r="F633" i="1"/>
  <c r="F633" i="1" a="1"/>
  <c r="D633" i="1"/>
  <c r="D633" i="1" a="1"/>
  <c r="B633" i="1"/>
  <c r="R632" i="1"/>
  <c r="Q632" i="1"/>
  <c r="P632" i="1"/>
  <c r="O632" i="1"/>
  <c r="N632" i="1"/>
  <c r="L632" i="1"/>
  <c r="F632" i="1" a="1"/>
  <c r="F632" i="1" s="1"/>
  <c r="D632" i="1" a="1"/>
  <c r="D632" i="1" s="1"/>
  <c r="B632" i="1"/>
  <c r="R631" i="1"/>
  <c r="Q631" i="1"/>
  <c r="P631" i="1"/>
  <c r="O631" i="1"/>
  <c r="N631" i="1"/>
  <c r="L631" i="1"/>
  <c r="F631" i="1"/>
  <c r="F631" i="1" a="1"/>
  <c r="D631" i="1"/>
  <c r="D631" i="1" a="1"/>
  <c r="B631" i="1"/>
  <c r="R630" i="1"/>
  <c r="Q630" i="1"/>
  <c r="P630" i="1"/>
  <c r="O630" i="1"/>
  <c r="N630" i="1"/>
  <c r="L630" i="1"/>
  <c r="F630" i="1" a="1"/>
  <c r="F630" i="1" s="1"/>
  <c r="D630" i="1" a="1"/>
  <c r="D630" i="1" s="1"/>
  <c r="B630" i="1"/>
  <c r="R629" i="1"/>
  <c r="Q629" i="1"/>
  <c r="P629" i="1"/>
  <c r="O629" i="1"/>
  <c r="N629" i="1"/>
  <c r="L629" i="1"/>
  <c r="F629" i="1"/>
  <c r="F629" i="1" a="1"/>
  <c r="D629" i="1"/>
  <c r="D629" i="1" a="1"/>
  <c r="B629" i="1"/>
  <c r="R628" i="1"/>
  <c r="Q628" i="1"/>
  <c r="P628" i="1"/>
  <c r="O628" i="1"/>
  <c r="N628" i="1"/>
  <c r="L628" i="1"/>
  <c r="F628" i="1" a="1"/>
  <c r="F628" i="1" s="1"/>
  <c r="D628" i="1" a="1"/>
  <c r="D628" i="1" s="1"/>
  <c r="B628" i="1"/>
  <c r="R627" i="1"/>
  <c r="Q627" i="1"/>
  <c r="P627" i="1"/>
  <c r="O627" i="1"/>
  <c r="N627" i="1"/>
  <c r="L627" i="1"/>
  <c r="F627" i="1"/>
  <c r="F627" i="1" a="1"/>
  <c r="D627" i="1"/>
  <c r="D627" i="1" a="1"/>
  <c r="B627" i="1"/>
  <c r="R626" i="1"/>
  <c r="Q626" i="1"/>
  <c r="P626" i="1"/>
  <c r="O626" i="1"/>
  <c r="N626" i="1"/>
  <c r="L626" i="1"/>
  <c r="F626" i="1" a="1"/>
  <c r="F626" i="1" s="1"/>
  <c r="D626" i="1" a="1"/>
  <c r="D626" i="1" s="1"/>
  <c r="B626" i="1"/>
  <c r="R625" i="1"/>
  <c r="Q625" i="1"/>
  <c r="P625" i="1"/>
  <c r="O625" i="1"/>
  <c r="N625" i="1"/>
  <c r="L625" i="1"/>
  <c r="F625" i="1"/>
  <c r="F625" i="1" a="1"/>
  <c r="D625" i="1"/>
  <c r="D625" i="1" a="1"/>
  <c r="B625" i="1"/>
  <c r="R624" i="1"/>
  <c r="Q624" i="1"/>
  <c r="P624" i="1"/>
  <c r="O624" i="1"/>
  <c r="N624" i="1"/>
  <c r="L624" i="1"/>
  <c r="F624" i="1" a="1"/>
  <c r="F624" i="1" s="1"/>
  <c r="D624" i="1" a="1"/>
  <c r="D624" i="1" s="1"/>
  <c r="B624" i="1"/>
  <c r="R623" i="1"/>
  <c r="Q623" i="1"/>
  <c r="P623" i="1"/>
  <c r="O623" i="1"/>
  <c r="N623" i="1"/>
  <c r="L623" i="1"/>
  <c r="F623" i="1"/>
  <c r="F623" i="1" a="1"/>
  <c r="D623" i="1"/>
  <c r="D623" i="1" a="1"/>
  <c r="B623" i="1"/>
  <c r="R622" i="1"/>
  <c r="Q622" i="1"/>
  <c r="P622" i="1"/>
  <c r="O622" i="1"/>
  <c r="N622" i="1"/>
  <c r="L622" i="1"/>
  <c r="F622" i="1" a="1"/>
  <c r="F622" i="1" s="1"/>
  <c r="D622" i="1" a="1"/>
  <c r="D622" i="1" s="1"/>
  <c r="B622" i="1"/>
  <c r="R621" i="1"/>
  <c r="Q621" i="1"/>
  <c r="P621" i="1"/>
  <c r="O621" i="1"/>
  <c r="N621" i="1"/>
  <c r="L621" i="1"/>
  <c r="F621" i="1"/>
  <c r="F621" i="1" a="1"/>
  <c r="D621" i="1"/>
  <c r="D621" i="1" a="1"/>
  <c r="B621" i="1"/>
  <c r="R620" i="1"/>
  <c r="Q620" i="1"/>
  <c r="P620" i="1"/>
  <c r="O620" i="1"/>
  <c r="N620" i="1"/>
  <c r="L620" i="1"/>
  <c r="F620" i="1" a="1"/>
  <c r="F620" i="1" s="1"/>
  <c r="D620" i="1" a="1"/>
  <c r="D620" i="1" s="1"/>
  <c r="B620" i="1"/>
  <c r="R619" i="1"/>
  <c r="Q619" i="1"/>
  <c r="P619" i="1"/>
  <c r="O619" i="1"/>
  <c r="N619" i="1"/>
  <c r="L619" i="1"/>
  <c r="F619" i="1"/>
  <c r="F619" i="1" a="1"/>
  <c r="D619" i="1"/>
  <c r="D619" i="1" a="1"/>
  <c r="B619" i="1"/>
  <c r="R618" i="1"/>
  <c r="Q618" i="1"/>
  <c r="P618" i="1"/>
  <c r="O618" i="1"/>
  <c r="N618" i="1"/>
  <c r="L618" i="1"/>
  <c r="F618" i="1" a="1"/>
  <c r="F618" i="1" s="1"/>
  <c r="D618" i="1" a="1"/>
  <c r="D618" i="1" s="1"/>
  <c r="B618" i="1"/>
  <c r="R617" i="1"/>
  <c r="Q617" i="1"/>
  <c r="P617" i="1"/>
  <c r="O617" i="1"/>
  <c r="N617" i="1"/>
  <c r="L617" i="1"/>
  <c r="F617" i="1"/>
  <c r="F617" i="1" a="1"/>
  <c r="D617" i="1"/>
  <c r="D617" i="1" a="1"/>
  <c r="B617" i="1"/>
  <c r="R616" i="1"/>
  <c r="Q616" i="1"/>
  <c r="P616" i="1"/>
  <c r="O616" i="1"/>
  <c r="N616" i="1"/>
  <c r="L616" i="1"/>
  <c r="F616" i="1" a="1"/>
  <c r="F616" i="1" s="1"/>
  <c r="D616" i="1" a="1"/>
  <c r="D616" i="1" s="1"/>
  <c r="B616" i="1"/>
  <c r="R615" i="1"/>
  <c r="Q615" i="1"/>
  <c r="P615" i="1"/>
  <c r="O615" i="1"/>
  <c r="N615" i="1"/>
  <c r="L615" i="1"/>
  <c r="F615" i="1"/>
  <c r="F615" i="1" a="1"/>
  <c r="D615" i="1"/>
  <c r="D615" i="1" a="1"/>
  <c r="B615" i="1"/>
  <c r="R614" i="1"/>
  <c r="Q614" i="1"/>
  <c r="P614" i="1"/>
  <c r="O614" i="1"/>
  <c r="N614" i="1"/>
  <c r="L614" i="1"/>
  <c r="F614" i="1" a="1"/>
  <c r="F614" i="1" s="1"/>
  <c r="D614" i="1" a="1"/>
  <c r="D614" i="1" s="1"/>
  <c r="B614" i="1"/>
  <c r="R613" i="1"/>
  <c r="Q613" i="1"/>
  <c r="P613" i="1"/>
  <c r="O613" i="1"/>
  <c r="N613" i="1"/>
  <c r="L613" i="1"/>
  <c r="F613" i="1"/>
  <c r="F613" i="1" a="1"/>
  <c r="D613" i="1"/>
  <c r="D613" i="1" a="1"/>
  <c r="B613" i="1"/>
  <c r="R612" i="1"/>
  <c r="Q612" i="1"/>
  <c r="P612" i="1"/>
  <c r="O612" i="1"/>
  <c r="N612" i="1"/>
  <c r="L612" i="1"/>
  <c r="F612" i="1" a="1"/>
  <c r="F612" i="1" s="1"/>
  <c r="D612" i="1" a="1"/>
  <c r="D612" i="1" s="1"/>
  <c r="B612" i="1"/>
  <c r="R611" i="1"/>
  <c r="Q611" i="1"/>
  <c r="P611" i="1"/>
  <c r="O611" i="1"/>
  <c r="N611" i="1"/>
  <c r="L611" i="1"/>
  <c r="F611" i="1"/>
  <c r="F611" i="1" a="1"/>
  <c r="D611" i="1"/>
  <c r="D611" i="1" a="1"/>
  <c r="B611" i="1"/>
  <c r="R610" i="1"/>
  <c r="Q610" i="1"/>
  <c r="P610" i="1"/>
  <c r="O610" i="1"/>
  <c r="N610" i="1"/>
  <c r="L610" i="1"/>
  <c r="F610" i="1" a="1"/>
  <c r="F610" i="1" s="1"/>
  <c r="D610" i="1" a="1"/>
  <c r="D610" i="1" s="1"/>
  <c r="B610" i="1"/>
  <c r="R609" i="1"/>
  <c r="Q609" i="1"/>
  <c r="P609" i="1"/>
  <c r="O609" i="1"/>
  <c r="N609" i="1"/>
  <c r="L609" i="1"/>
  <c r="F609" i="1"/>
  <c r="F609" i="1" a="1"/>
  <c r="D609" i="1" a="1"/>
  <c r="D609" i="1" s="1"/>
  <c r="B609" i="1"/>
  <c r="R608" i="1"/>
  <c r="Q608" i="1"/>
  <c r="P608" i="1"/>
  <c r="O608" i="1"/>
  <c r="N608" i="1"/>
  <c r="L608" i="1"/>
  <c r="F608" i="1" a="1"/>
  <c r="F608" i="1" s="1"/>
  <c r="D608" i="1" a="1"/>
  <c r="D608" i="1" s="1"/>
  <c r="B608" i="1"/>
  <c r="R607" i="1"/>
  <c r="Q607" i="1"/>
  <c r="P607" i="1"/>
  <c r="O607" i="1"/>
  <c r="N607" i="1"/>
  <c r="L607" i="1"/>
  <c r="F607" i="1"/>
  <c r="F607" i="1" a="1"/>
  <c r="D607" i="1"/>
  <c r="D607" i="1" a="1"/>
  <c r="B607" i="1"/>
  <c r="R606" i="1"/>
  <c r="Q606" i="1"/>
  <c r="P606" i="1"/>
  <c r="O606" i="1"/>
  <c r="N606" i="1"/>
  <c r="L606" i="1"/>
  <c r="F606" i="1" a="1"/>
  <c r="F606" i="1" s="1"/>
  <c r="D606" i="1" a="1"/>
  <c r="D606" i="1" s="1"/>
  <c r="B606" i="1"/>
  <c r="R605" i="1"/>
  <c r="Q605" i="1"/>
  <c r="P605" i="1"/>
  <c r="O605" i="1"/>
  <c r="N605" i="1"/>
  <c r="L605" i="1"/>
  <c r="F605" i="1"/>
  <c r="F605" i="1" a="1"/>
  <c r="D605" i="1" a="1"/>
  <c r="D605" i="1" s="1"/>
  <c r="B605" i="1"/>
  <c r="R604" i="1"/>
  <c r="Q604" i="1"/>
  <c r="P604" i="1"/>
  <c r="O604" i="1"/>
  <c r="N604" i="1"/>
  <c r="L604" i="1"/>
  <c r="F604" i="1" a="1"/>
  <c r="F604" i="1" s="1"/>
  <c r="D604" i="1" a="1"/>
  <c r="D604" i="1" s="1"/>
  <c r="B604" i="1"/>
  <c r="R603" i="1"/>
  <c r="Q603" i="1"/>
  <c r="P603" i="1"/>
  <c r="O603" i="1"/>
  <c r="N603" i="1"/>
  <c r="L603" i="1"/>
  <c r="F603" i="1"/>
  <c r="F603" i="1" a="1"/>
  <c r="D603" i="1"/>
  <c r="D603" i="1" a="1"/>
  <c r="B603" i="1"/>
  <c r="R602" i="1"/>
  <c r="Q602" i="1"/>
  <c r="P602" i="1"/>
  <c r="O602" i="1"/>
  <c r="N602" i="1"/>
  <c r="L602" i="1"/>
  <c r="F602" i="1" a="1"/>
  <c r="F602" i="1" s="1"/>
  <c r="D602" i="1" a="1"/>
  <c r="D602" i="1" s="1"/>
  <c r="B602" i="1"/>
  <c r="R601" i="1"/>
  <c r="Q601" i="1"/>
  <c r="P601" i="1"/>
  <c r="O601" i="1"/>
  <c r="N601" i="1"/>
  <c r="L601" i="1"/>
  <c r="F601" i="1"/>
  <c r="F601" i="1" a="1"/>
  <c r="D601" i="1" a="1"/>
  <c r="D601" i="1" s="1"/>
  <c r="B601" i="1"/>
  <c r="R600" i="1"/>
  <c r="Q600" i="1"/>
  <c r="P600" i="1"/>
  <c r="O600" i="1"/>
  <c r="N600" i="1"/>
  <c r="L600" i="1"/>
  <c r="F600" i="1" a="1"/>
  <c r="F600" i="1" s="1"/>
  <c r="D600" i="1" a="1"/>
  <c r="D600" i="1" s="1"/>
  <c r="B600" i="1"/>
  <c r="R599" i="1"/>
  <c r="Q599" i="1"/>
  <c r="P599" i="1"/>
  <c r="O599" i="1"/>
  <c r="N599" i="1"/>
  <c r="L599" i="1"/>
  <c r="F599" i="1"/>
  <c r="F599" i="1" a="1"/>
  <c r="D599" i="1" a="1"/>
  <c r="D599" i="1" s="1"/>
  <c r="B599" i="1"/>
  <c r="R598" i="1"/>
  <c r="Q598" i="1"/>
  <c r="P598" i="1"/>
  <c r="O598" i="1"/>
  <c r="N598" i="1"/>
  <c r="L598" i="1"/>
  <c r="F598" i="1" a="1"/>
  <c r="F598" i="1" s="1"/>
  <c r="D598" i="1" a="1"/>
  <c r="D598" i="1" s="1"/>
  <c r="B598" i="1"/>
  <c r="R597" i="1"/>
  <c r="Q597" i="1"/>
  <c r="P597" i="1"/>
  <c r="O597" i="1"/>
  <c r="N597" i="1"/>
  <c r="L597" i="1"/>
  <c r="F597" i="1"/>
  <c r="F597" i="1" a="1"/>
  <c r="D597" i="1" a="1"/>
  <c r="D597" i="1" s="1"/>
  <c r="B597" i="1"/>
  <c r="R596" i="1"/>
  <c r="Q596" i="1"/>
  <c r="P596" i="1"/>
  <c r="O596" i="1"/>
  <c r="N596" i="1"/>
  <c r="L596" i="1"/>
  <c r="F596" i="1" a="1"/>
  <c r="F596" i="1" s="1"/>
  <c r="D596" i="1" a="1"/>
  <c r="D596" i="1" s="1"/>
  <c r="B596" i="1"/>
  <c r="R595" i="1"/>
  <c r="Q595" i="1"/>
  <c r="P595" i="1"/>
  <c r="O595" i="1"/>
  <c r="N595" i="1"/>
  <c r="L595" i="1"/>
  <c r="F595" i="1"/>
  <c r="F595" i="1" a="1"/>
  <c r="D595" i="1" a="1"/>
  <c r="D595" i="1" s="1"/>
  <c r="B595" i="1"/>
  <c r="R594" i="1"/>
  <c r="Q594" i="1"/>
  <c r="P594" i="1"/>
  <c r="O594" i="1"/>
  <c r="N594" i="1"/>
  <c r="L594" i="1"/>
  <c r="F594" i="1" a="1"/>
  <c r="F594" i="1" s="1"/>
  <c r="D594" i="1" a="1"/>
  <c r="D594" i="1" s="1"/>
  <c r="B594" i="1"/>
  <c r="R593" i="1"/>
  <c r="Q593" i="1"/>
  <c r="P593" i="1"/>
  <c r="O593" i="1"/>
  <c r="N593" i="1"/>
  <c r="L593" i="1"/>
  <c r="F593" i="1"/>
  <c r="F593" i="1" a="1"/>
  <c r="D593" i="1" a="1"/>
  <c r="D593" i="1" s="1"/>
  <c r="B593" i="1"/>
  <c r="R592" i="1"/>
  <c r="Q592" i="1"/>
  <c r="P592" i="1"/>
  <c r="O592" i="1"/>
  <c r="N592" i="1"/>
  <c r="L592" i="1"/>
  <c r="F592" i="1" a="1"/>
  <c r="F592" i="1" s="1"/>
  <c r="D592" i="1" a="1"/>
  <c r="D592" i="1" s="1"/>
  <c r="B592" i="1"/>
  <c r="R591" i="1"/>
  <c r="Q591" i="1"/>
  <c r="P591" i="1"/>
  <c r="O591" i="1"/>
  <c r="N591" i="1"/>
  <c r="L591" i="1"/>
  <c r="F591" i="1"/>
  <c r="F591" i="1" a="1"/>
  <c r="D591" i="1" a="1"/>
  <c r="D591" i="1" s="1"/>
  <c r="B591" i="1"/>
  <c r="R590" i="1"/>
  <c r="Q590" i="1"/>
  <c r="P590" i="1"/>
  <c r="O590" i="1"/>
  <c r="N590" i="1"/>
  <c r="L590" i="1"/>
  <c r="F590" i="1" a="1"/>
  <c r="F590" i="1" s="1"/>
  <c r="D590" i="1" a="1"/>
  <c r="D590" i="1" s="1"/>
  <c r="B590" i="1"/>
  <c r="R589" i="1"/>
  <c r="Q589" i="1"/>
  <c r="P589" i="1"/>
  <c r="O589" i="1"/>
  <c r="N589" i="1"/>
  <c r="L589" i="1"/>
  <c r="F589" i="1"/>
  <c r="F589" i="1" a="1"/>
  <c r="D589" i="1" a="1"/>
  <c r="D589" i="1" s="1"/>
  <c r="B589" i="1"/>
  <c r="R588" i="1"/>
  <c r="Q588" i="1"/>
  <c r="P588" i="1"/>
  <c r="O588" i="1"/>
  <c r="N588" i="1"/>
  <c r="L588" i="1"/>
  <c r="F588" i="1" a="1"/>
  <c r="F588" i="1" s="1"/>
  <c r="D588" i="1" a="1"/>
  <c r="D588" i="1" s="1"/>
  <c r="B588" i="1"/>
  <c r="R587" i="1"/>
  <c r="Q587" i="1"/>
  <c r="P587" i="1"/>
  <c r="O587" i="1"/>
  <c r="N587" i="1"/>
  <c r="L587" i="1"/>
  <c r="F587" i="1"/>
  <c r="F587" i="1" a="1"/>
  <c r="D587" i="1" a="1"/>
  <c r="D587" i="1" s="1"/>
  <c r="B587" i="1"/>
  <c r="R586" i="1"/>
  <c r="Q586" i="1"/>
  <c r="P586" i="1"/>
  <c r="O586" i="1"/>
  <c r="N586" i="1"/>
  <c r="L586" i="1"/>
  <c r="F586" i="1" a="1"/>
  <c r="F586" i="1" s="1"/>
  <c r="D586" i="1" a="1"/>
  <c r="D586" i="1" s="1"/>
  <c r="B586" i="1"/>
  <c r="R585" i="1"/>
  <c r="Q585" i="1"/>
  <c r="P585" i="1"/>
  <c r="O585" i="1"/>
  <c r="N585" i="1"/>
  <c r="L585" i="1"/>
  <c r="F585" i="1"/>
  <c r="F585" i="1" a="1"/>
  <c r="D585" i="1" a="1"/>
  <c r="D585" i="1" s="1"/>
  <c r="B585" i="1"/>
  <c r="R584" i="1"/>
  <c r="Q584" i="1"/>
  <c r="P584" i="1"/>
  <c r="O584" i="1"/>
  <c r="N584" i="1"/>
  <c r="L584" i="1"/>
  <c r="F584" i="1" a="1"/>
  <c r="F584" i="1" s="1"/>
  <c r="D584" i="1" a="1"/>
  <c r="D584" i="1" s="1"/>
  <c r="B584" i="1"/>
  <c r="R583" i="1"/>
  <c r="Q583" i="1"/>
  <c r="P583" i="1"/>
  <c r="O583" i="1"/>
  <c r="N583" i="1"/>
  <c r="L583" i="1"/>
  <c r="F583" i="1"/>
  <c r="F583" i="1" a="1"/>
  <c r="D583" i="1" a="1"/>
  <c r="D583" i="1" s="1"/>
  <c r="B583" i="1"/>
  <c r="R582" i="1"/>
  <c r="Q582" i="1"/>
  <c r="P582" i="1"/>
  <c r="O582" i="1"/>
  <c r="N582" i="1"/>
  <c r="L582" i="1"/>
  <c r="F582" i="1" a="1"/>
  <c r="F582" i="1" s="1"/>
  <c r="D582" i="1" a="1"/>
  <c r="D582" i="1" s="1"/>
  <c r="B582" i="1"/>
  <c r="R581" i="1"/>
  <c r="Q581" i="1"/>
  <c r="P581" i="1"/>
  <c r="O581" i="1"/>
  <c r="N581" i="1"/>
  <c r="L581" i="1"/>
  <c r="F581" i="1"/>
  <c r="F581" i="1" a="1"/>
  <c r="D581" i="1" a="1"/>
  <c r="D581" i="1" s="1"/>
  <c r="B581" i="1"/>
  <c r="R580" i="1"/>
  <c r="Q580" i="1"/>
  <c r="P580" i="1"/>
  <c r="O580" i="1"/>
  <c r="N580" i="1"/>
  <c r="L580" i="1"/>
  <c r="F580" i="1" a="1"/>
  <c r="F580" i="1" s="1"/>
  <c r="D580" i="1" a="1"/>
  <c r="D580" i="1" s="1"/>
  <c r="B580" i="1"/>
  <c r="R579" i="1"/>
  <c r="Q579" i="1"/>
  <c r="P579" i="1"/>
  <c r="O579" i="1"/>
  <c r="N579" i="1"/>
  <c r="L579" i="1"/>
  <c r="F579" i="1"/>
  <c r="F579" i="1" a="1"/>
  <c r="D579" i="1" a="1"/>
  <c r="D579" i="1" s="1"/>
  <c r="B579" i="1"/>
  <c r="R578" i="1"/>
  <c r="Q578" i="1"/>
  <c r="P578" i="1"/>
  <c r="O578" i="1"/>
  <c r="N578" i="1"/>
  <c r="L578" i="1"/>
  <c r="F578" i="1" a="1"/>
  <c r="F578" i="1" s="1"/>
  <c r="D578" i="1" a="1"/>
  <c r="D578" i="1" s="1"/>
  <c r="B578" i="1"/>
  <c r="R577" i="1"/>
  <c r="Q577" i="1"/>
  <c r="P577" i="1"/>
  <c r="O577" i="1"/>
  <c r="N577" i="1"/>
  <c r="L577" i="1"/>
  <c r="F577" i="1"/>
  <c r="F577" i="1" a="1"/>
  <c r="D577" i="1" a="1"/>
  <c r="D577" i="1" s="1"/>
  <c r="B577" i="1"/>
  <c r="R576" i="1"/>
  <c r="Q576" i="1"/>
  <c r="P576" i="1"/>
  <c r="O576" i="1"/>
  <c r="N576" i="1"/>
  <c r="L576" i="1"/>
  <c r="F576" i="1" a="1"/>
  <c r="F576" i="1" s="1"/>
  <c r="D576" i="1" a="1"/>
  <c r="D576" i="1" s="1"/>
  <c r="B576" i="1"/>
  <c r="R575" i="1"/>
  <c r="Q575" i="1"/>
  <c r="P575" i="1"/>
  <c r="O575" i="1"/>
  <c r="N575" i="1"/>
  <c r="L575" i="1"/>
  <c r="F575" i="1"/>
  <c r="F575" i="1" a="1"/>
  <c r="D575" i="1" a="1"/>
  <c r="D575" i="1" s="1"/>
  <c r="B575" i="1"/>
  <c r="R574" i="1"/>
  <c r="Q574" i="1"/>
  <c r="P574" i="1"/>
  <c r="O574" i="1"/>
  <c r="N574" i="1"/>
  <c r="L574" i="1"/>
  <c r="F574" i="1" a="1"/>
  <c r="F574" i="1" s="1"/>
  <c r="D574" i="1" a="1"/>
  <c r="D574" i="1" s="1"/>
  <c r="B574" i="1"/>
  <c r="R573" i="1"/>
  <c r="Q573" i="1"/>
  <c r="P573" i="1"/>
  <c r="O573" i="1"/>
  <c r="N573" i="1"/>
  <c r="L573" i="1"/>
  <c r="F573" i="1"/>
  <c r="F573" i="1" a="1"/>
  <c r="D573" i="1" a="1"/>
  <c r="D573" i="1" s="1"/>
  <c r="B573" i="1"/>
  <c r="R572" i="1"/>
  <c r="Q572" i="1"/>
  <c r="P572" i="1"/>
  <c r="O572" i="1"/>
  <c r="N572" i="1"/>
  <c r="L572" i="1"/>
  <c r="F572" i="1" a="1"/>
  <c r="F572" i="1" s="1"/>
  <c r="D572" i="1" a="1"/>
  <c r="D572" i="1" s="1"/>
  <c r="B572" i="1"/>
  <c r="R571" i="1"/>
  <c r="Q571" i="1"/>
  <c r="P571" i="1"/>
  <c r="O571" i="1"/>
  <c r="N571" i="1"/>
  <c r="L571" i="1"/>
  <c r="F571" i="1"/>
  <c r="F571" i="1" a="1"/>
  <c r="D571" i="1" a="1"/>
  <c r="D571" i="1" s="1"/>
  <c r="B571" i="1"/>
  <c r="R570" i="1"/>
  <c r="Q570" i="1"/>
  <c r="P570" i="1"/>
  <c r="O570" i="1"/>
  <c r="N570" i="1"/>
  <c r="L570" i="1"/>
  <c r="F570" i="1" a="1"/>
  <c r="F570" i="1" s="1"/>
  <c r="D570" i="1" a="1"/>
  <c r="D570" i="1" s="1"/>
  <c r="B570" i="1"/>
  <c r="R569" i="1"/>
  <c r="Q569" i="1"/>
  <c r="P569" i="1"/>
  <c r="O569" i="1"/>
  <c r="N569" i="1"/>
  <c r="L569" i="1"/>
  <c r="F569" i="1"/>
  <c r="F569" i="1" a="1"/>
  <c r="D569" i="1" a="1"/>
  <c r="D569" i="1" s="1"/>
  <c r="B569" i="1"/>
  <c r="R568" i="1"/>
  <c r="Q568" i="1"/>
  <c r="P568" i="1"/>
  <c r="O568" i="1"/>
  <c r="N568" i="1"/>
  <c r="L568" i="1"/>
  <c r="F568" i="1" a="1"/>
  <c r="F568" i="1" s="1"/>
  <c r="D568" i="1" a="1"/>
  <c r="D568" i="1" s="1"/>
  <c r="B568" i="1"/>
  <c r="R567" i="1"/>
  <c r="Q567" i="1"/>
  <c r="P567" i="1"/>
  <c r="O567" i="1"/>
  <c r="N567" i="1"/>
  <c r="L567" i="1"/>
  <c r="F567" i="1"/>
  <c r="F567" i="1" a="1"/>
  <c r="D567" i="1" a="1"/>
  <c r="D567" i="1" s="1"/>
  <c r="B567" i="1"/>
  <c r="R566" i="1"/>
  <c r="Q566" i="1"/>
  <c r="P566" i="1"/>
  <c r="O566" i="1"/>
  <c r="N566" i="1"/>
  <c r="L566" i="1"/>
  <c r="F566" i="1" a="1"/>
  <c r="F566" i="1" s="1"/>
  <c r="D566" i="1" a="1"/>
  <c r="D566" i="1" s="1"/>
  <c r="B566" i="1"/>
  <c r="R565" i="1"/>
  <c r="Q565" i="1"/>
  <c r="P565" i="1"/>
  <c r="O565" i="1"/>
  <c r="N565" i="1"/>
  <c r="L565" i="1"/>
  <c r="F565" i="1"/>
  <c r="F565" i="1" a="1"/>
  <c r="D565" i="1" a="1"/>
  <c r="D565" i="1" s="1"/>
  <c r="B565" i="1"/>
  <c r="R564" i="1"/>
  <c r="Q564" i="1"/>
  <c r="P564" i="1"/>
  <c r="O564" i="1"/>
  <c r="N564" i="1"/>
  <c r="L564" i="1"/>
  <c r="F564" i="1" a="1"/>
  <c r="F564" i="1" s="1"/>
  <c r="D564" i="1" a="1"/>
  <c r="D564" i="1" s="1"/>
  <c r="B564" i="1"/>
  <c r="R563" i="1"/>
  <c r="Q563" i="1"/>
  <c r="P563" i="1"/>
  <c r="O563" i="1"/>
  <c r="N563" i="1"/>
  <c r="L563" i="1"/>
  <c r="F563" i="1"/>
  <c r="F563" i="1" a="1"/>
  <c r="D563" i="1" a="1"/>
  <c r="D563" i="1" s="1"/>
  <c r="B563" i="1"/>
  <c r="R562" i="1"/>
  <c r="Q562" i="1"/>
  <c r="P562" i="1"/>
  <c r="O562" i="1"/>
  <c r="N562" i="1"/>
  <c r="L562" i="1"/>
  <c r="F562" i="1" a="1"/>
  <c r="F562" i="1" s="1"/>
  <c r="D562" i="1" a="1"/>
  <c r="D562" i="1" s="1"/>
  <c r="B562" i="1"/>
  <c r="R561" i="1"/>
  <c r="Q561" i="1"/>
  <c r="P561" i="1"/>
  <c r="O561" i="1"/>
  <c r="N561" i="1"/>
  <c r="L561" i="1"/>
  <c r="F561" i="1"/>
  <c r="F561" i="1" a="1"/>
  <c r="D561" i="1" a="1"/>
  <c r="D561" i="1" s="1"/>
  <c r="B561" i="1"/>
  <c r="R560" i="1"/>
  <c r="Q560" i="1"/>
  <c r="P560" i="1"/>
  <c r="O560" i="1"/>
  <c r="N560" i="1"/>
  <c r="L560" i="1"/>
  <c r="F560" i="1" a="1"/>
  <c r="F560" i="1" s="1"/>
  <c r="D560" i="1" a="1"/>
  <c r="D560" i="1" s="1"/>
  <c r="B560" i="1"/>
  <c r="R559" i="1"/>
  <c r="Q559" i="1"/>
  <c r="P559" i="1"/>
  <c r="O559" i="1"/>
  <c r="N559" i="1"/>
  <c r="L559" i="1"/>
  <c r="F559" i="1"/>
  <c r="F559" i="1" a="1"/>
  <c r="D559" i="1" a="1"/>
  <c r="D559" i="1" s="1"/>
  <c r="B559" i="1"/>
  <c r="R558" i="1"/>
  <c r="Q558" i="1"/>
  <c r="P558" i="1"/>
  <c r="O558" i="1"/>
  <c r="N558" i="1"/>
  <c r="L558" i="1"/>
  <c r="F558" i="1" a="1"/>
  <c r="F558" i="1" s="1"/>
  <c r="D558" i="1" a="1"/>
  <c r="D558" i="1" s="1"/>
  <c r="B558" i="1"/>
  <c r="R557" i="1"/>
  <c r="Q557" i="1"/>
  <c r="P557" i="1"/>
  <c r="O557" i="1"/>
  <c r="N557" i="1"/>
  <c r="L557" i="1"/>
  <c r="F557" i="1"/>
  <c r="F557" i="1" a="1"/>
  <c r="D557" i="1" a="1"/>
  <c r="D557" i="1" s="1"/>
  <c r="B557" i="1"/>
  <c r="R556" i="1"/>
  <c r="Q556" i="1"/>
  <c r="P556" i="1"/>
  <c r="O556" i="1"/>
  <c r="N556" i="1"/>
  <c r="L556" i="1"/>
  <c r="F556" i="1" a="1"/>
  <c r="F556" i="1" s="1"/>
  <c r="D556" i="1" a="1"/>
  <c r="D556" i="1" s="1"/>
  <c r="B556" i="1"/>
  <c r="R555" i="1"/>
  <c r="Q555" i="1"/>
  <c r="P555" i="1"/>
  <c r="O555" i="1"/>
  <c r="N555" i="1"/>
  <c r="L555" i="1"/>
  <c r="F555" i="1"/>
  <c r="F555" i="1" a="1"/>
  <c r="D555" i="1" a="1"/>
  <c r="D555" i="1" s="1"/>
  <c r="B555" i="1"/>
  <c r="R554" i="1"/>
  <c r="Q554" i="1"/>
  <c r="P554" i="1"/>
  <c r="O554" i="1"/>
  <c r="N554" i="1"/>
  <c r="L554" i="1"/>
  <c r="F554" i="1" a="1"/>
  <c r="F554" i="1" s="1"/>
  <c r="D554" i="1" a="1"/>
  <c r="D554" i="1" s="1"/>
  <c r="B554" i="1"/>
  <c r="R553" i="1"/>
  <c r="Q553" i="1"/>
  <c r="P553" i="1"/>
  <c r="O553" i="1"/>
  <c r="N553" i="1"/>
  <c r="L553" i="1"/>
  <c r="F553" i="1"/>
  <c r="F553" i="1" a="1"/>
  <c r="D553" i="1" a="1"/>
  <c r="D553" i="1" s="1"/>
  <c r="B553" i="1"/>
  <c r="R552" i="1"/>
  <c r="Q552" i="1"/>
  <c r="P552" i="1"/>
  <c r="O552" i="1"/>
  <c r="N552" i="1"/>
  <c r="L552" i="1"/>
  <c r="F552" i="1" a="1"/>
  <c r="F552" i="1" s="1"/>
  <c r="D552" i="1" a="1"/>
  <c r="D552" i="1" s="1"/>
  <c r="B552" i="1"/>
  <c r="R551" i="1"/>
  <c r="Q551" i="1"/>
  <c r="P551" i="1"/>
  <c r="O551" i="1"/>
  <c r="N551" i="1"/>
  <c r="L551" i="1"/>
  <c r="F551" i="1"/>
  <c r="F551" i="1" a="1"/>
  <c r="D551" i="1" a="1"/>
  <c r="D551" i="1" s="1"/>
  <c r="B551" i="1"/>
  <c r="R550" i="1"/>
  <c r="Q550" i="1"/>
  <c r="P550" i="1"/>
  <c r="O550" i="1"/>
  <c r="N550" i="1"/>
  <c r="L550" i="1"/>
  <c r="F550" i="1" a="1"/>
  <c r="F550" i="1" s="1"/>
  <c r="D550" i="1" a="1"/>
  <c r="D550" i="1" s="1"/>
  <c r="B550" i="1"/>
  <c r="R549" i="1"/>
  <c r="Q549" i="1"/>
  <c r="P549" i="1"/>
  <c r="O549" i="1"/>
  <c r="N549" i="1"/>
  <c r="L549" i="1"/>
  <c r="F549" i="1"/>
  <c r="F549" i="1" a="1"/>
  <c r="D549" i="1" a="1"/>
  <c r="D549" i="1" s="1"/>
  <c r="B549" i="1"/>
  <c r="R548" i="1"/>
  <c r="Q548" i="1"/>
  <c r="P548" i="1"/>
  <c r="O548" i="1"/>
  <c r="N548" i="1"/>
  <c r="L548" i="1"/>
  <c r="F548" i="1" a="1"/>
  <c r="F548" i="1" s="1"/>
  <c r="D548" i="1" a="1"/>
  <c r="D548" i="1" s="1"/>
  <c r="B548" i="1"/>
  <c r="R547" i="1"/>
  <c r="Q547" i="1"/>
  <c r="P547" i="1"/>
  <c r="O547" i="1"/>
  <c r="N547" i="1"/>
  <c r="L547" i="1"/>
  <c r="F547" i="1"/>
  <c r="F547" i="1" a="1"/>
  <c r="D547" i="1" a="1"/>
  <c r="D547" i="1" s="1"/>
  <c r="B547" i="1"/>
  <c r="R546" i="1"/>
  <c r="Q546" i="1"/>
  <c r="P546" i="1"/>
  <c r="O546" i="1"/>
  <c r="N546" i="1"/>
  <c r="L546" i="1"/>
  <c r="F546" i="1" a="1"/>
  <c r="F546" i="1" s="1"/>
  <c r="D546" i="1" a="1"/>
  <c r="D546" i="1" s="1"/>
  <c r="B546" i="1"/>
  <c r="R545" i="1"/>
  <c r="Q545" i="1"/>
  <c r="P545" i="1"/>
  <c r="O545" i="1"/>
  <c r="N545" i="1"/>
  <c r="L545" i="1"/>
  <c r="F545" i="1"/>
  <c r="F545" i="1" a="1"/>
  <c r="D545" i="1" a="1"/>
  <c r="D545" i="1" s="1"/>
  <c r="B545" i="1"/>
  <c r="R544" i="1"/>
  <c r="Q544" i="1"/>
  <c r="P544" i="1"/>
  <c r="O544" i="1"/>
  <c r="N544" i="1"/>
  <c r="L544" i="1"/>
  <c r="F544" i="1" a="1"/>
  <c r="F544" i="1" s="1"/>
  <c r="D544" i="1" a="1"/>
  <c r="D544" i="1" s="1"/>
  <c r="B544" i="1"/>
  <c r="R543" i="1"/>
  <c r="Q543" i="1"/>
  <c r="P543" i="1"/>
  <c r="O543" i="1"/>
  <c r="N543" i="1"/>
  <c r="L543" i="1"/>
  <c r="F543" i="1"/>
  <c r="F543" i="1" a="1"/>
  <c r="D543" i="1" a="1"/>
  <c r="D543" i="1" s="1"/>
  <c r="B543" i="1"/>
  <c r="R542" i="1"/>
  <c r="Q542" i="1"/>
  <c r="P542" i="1"/>
  <c r="O542" i="1"/>
  <c r="N542" i="1"/>
  <c r="L542" i="1"/>
  <c r="F542" i="1" a="1"/>
  <c r="F542" i="1" s="1"/>
  <c r="D542" i="1" a="1"/>
  <c r="D542" i="1" s="1"/>
  <c r="B542" i="1"/>
  <c r="R541" i="1"/>
  <c r="Q541" i="1"/>
  <c r="P541" i="1"/>
  <c r="O541" i="1"/>
  <c r="N541" i="1"/>
  <c r="L541" i="1"/>
  <c r="F541" i="1"/>
  <c r="F541" i="1" a="1"/>
  <c r="D541" i="1" a="1"/>
  <c r="D541" i="1" s="1"/>
  <c r="B541" i="1"/>
  <c r="R540" i="1"/>
  <c r="Q540" i="1"/>
  <c r="P540" i="1"/>
  <c r="O540" i="1"/>
  <c r="N540" i="1"/>
  <c r="L540" i="1"/>
  <c r="F540" i="1" a="1"/>
  <c r="F540" i="1" s="1"/>
  <c r="D540" i="1" a="1"/>
  <c r="D540" i="1" s="1"/>
  <c r="B540" i="1"/>
  <c r="R539" i="1"/>
  <c r="Q539" i="1"/>
  <c r="P539" i="1"/>
  <c r="O539" i="1"/>
  <c r="N539" i="1"/>
  <c r="L539" i="1"/>
  <c r="F539" i="1"/>
  <c r="F539" i="1" a="1"/>
  <c r="D539" i="1" a="1"/>
  <c r="D539" i="1" s="1"/>
  <c r="B539" i="1"/>
  <c r="R538" i="1"/>
  <c r="Q538" i="1"/>
  <c r="P538" i="1"/>
  <c r="O538" i="1"/>
  <c r="N538" i="1"/>
  <c r="L538" i="1"/>
  <c r="F538" i="1" a="1"/>
  <c r="F538" i="1" s="1"/>
  <c r="D538" i="1" a="1"/>
  <c r="D538" i="1" s="1"/>
  <c r="B538" i="1"/>
  <c r="R537" i="1"/>
  <c r="Q537" i="1"/>
  <c r="P537" i="1"/>
  <c r="O537" i="1"/>
  <c r="N537" i="1"/>
  <c r="L537" i="1"/>
  <c r="F537" i="1"/>
  <c r="F537" i="1" a="1"/>
  <c r="D537" i="1" a="1"/>
  <c r="D537" i="1" s="1"/>
  <c r="B537" i="1"/>
  <c r="R536" i="1"/>
  <c r="Q536" i="1"/>
  <c r="P536" i="1"/>
  <c r="O536" i="1"/>
  <c r="N536" i="1"/>
  <c r="L536" i="1"/>
  <c r="F536" i="1" a="1"/>
  <c r="F536" i="1" s="1"/>
  <c r="D536" i="1" a="1"/>
  <c r="D536" i="1" s="1"/>
  <c r="B536" i="1"/>
  <c r="R535" i="1"/>
  <c r="Q535" i="1"/>
  <c r="P535" i="1"/>
  <c r="O535" i="1"/>
  <c r="N535" i="1"/>
  <c r="L535" i="1"/>
  <c r="F535" i="1"/>
  <c r="F535" i="1" a="1"/>
  <c r="D535" i="1" a="1"/>
  <c r="D535" i="1" s="1"/>
  <c r="B535" i="1"/>
  <c r="R534" i="1"/>
  <c r="Q534" i="1"/>
  <c r="P534" i="1"/>
  <c r="O534" i="1"/>
  <c r="N534" i="1"/>
  <c r="L534" i="1"/>
  <c r="F534" i="1" a="1"/>
  <c r="F534" i="1" s="1"/>
  <c r="D534" i="1" a="1"/>
  <c r="D534" i="1" s="1"/>
  <c r="B534" i="1"/>
  <c r="R533" i="1"/>
  <c r="Q533" i="1"/>
  <c r="P533" i="1"/>
  <c r="O533" i="1"/>
  <c r="N533" i="1"/>
  <c r="L533" i="1"/>
  <c r="F533" i="1"/>
  <c r="F533" i="1" a="1"/>
  <c r="D533" i="1" a="1"/>
  <c r="D533" i="1" s="1"/>
  <c r="B533" i="1"/>
  <c r="R532" i="1"/>
  <c r="Q532" i="1"/>
  <c r="P532" i="1"/>
  <c r="O532" i="1"/>
  <c r="N532" i="1"/>
  <c r="L532" i="1"/>
  <c r="F532" i="1" a="1"/>
  <c r="F532" i="1" s="1"/>
  <c r="D532" i="1" a="1"/>
  <c r="D532" i="1" s="1"/>
  <c r="B532" i="1"/>
  <c r="R531" i="1"/>
  <c r="Q531" i="1"/>
  <c r="P531" i="1"/>
  <c r="O531" i="1"/>
  <c r="N531" i="1"/>
  <c r="L531" i="1"/>
  <c r="F531" i="1"/>
  <c r="F531" i="1" a="1"/>
  <c r="D531" i="1" a="1"/>
  <c r="D531" i="1" s="1"/>
  <c r="B531" i="1"/>
  <c r="R530" i="1"/>
  <c r="Q530" i="1"/>
  <c r="P530" i="1"/>
  <c r="O530" i="1"/>
  <c r="N530" i="1"/>
  <c r="L530" i="1"/>
  <c r="F530" i="1" a="1"/>
  <c r="F530" i="1" s="1"/>
  <c r="D530" i="1" a="1"/>
  <c r="D530" i="1" s="1"/>
  <c r="B530" i="1"/>
  <c r="R529" i="1"/>
  <c r="Q529" i="1"/>
  <c r="P529" i="1"/>
  <c r="O529" i="1"/>
  <c r="N529" i="1"/>
  <c r="L529" i="1"/>
  <c r="F529" i="1"/>
  <c r="F529" i="1" a="1"/>
  <c r="D529" i="1" a="1"/>
  <c r="D529" i="1" s="1"/>
  <c r="B529" i="1"/>
  <c r="R528" i="1"/>
  <c r="Q528" i="1"/>
  <c r="P528" i="1"/>
  <c r="O528" i="1"/>
  <c r="N528" i="1"/>
  <c r="L528" i="1"/>
  <c r="F528" i="1" a="1"/>
  <c r="F528" i="1" s="1"/>
  <c r="D528" i="1" a="1"/>
  <c r="D528" i="1" s="1"/>
  <c r="B528" i="1"/>
  <c r="R527" i="1"/>
  <c r="Q527" i="1"/>
  <c r="P527" i="1"/>
  <c r="O527" i="1"/>
  <c r="N527" i="1"/>
  <c r="L527" i="1"/>
  <c r="F527" i="1"/>
  <c r="F527" i="1" a="1"/>
  <c r="D527" i="1" a="1"/>
  <c r="D527" i="1" s="1"/>
  <c r="B527" i="1"/>
  <c r="R526" i="1"/>
  <c r="Q526" i="1"/>
  <c r="P526" i="1"/>
  <c r="O526" i="1"/>
  <c r="N526" i="1"/>
  <c r="L526" i="1"/>
  <c r="F526" i="1" a="1"/>
  <c r="F526" i="1" s="1"/>
  <c r="D526" i="1" a="1"/>
  <c r="D526" i="1" s="1"/>
  <c r="B526" i="1"/>
  <c r="R525" i="1"/>
  <c r="Q525" i="1"/>
  <c r="P525" i="1"/>
  <c r="O525" i="1"/>
  <c r="N525" i="1"/>
  <c r="L525" i="1"/>
  <c r="F525" i="1" a="1"/>
  <c r="F525" i="1" s="1"/>
  <c r="D525" i="1" a="1"/>
  <c r="D525" i="1" s="1"/>
  <c r="B525" i="1"/>
  <c r="R524" i="1"/>
  <c r="Q524" i="1"/>
  <c r="P524" i="1"/>
  <c r="O524" i="1"/>
  <c r="N524" i="1"/>
  <c r="L524" i="1"/>
  <c r="F524" i="1" a="1"/>
  <c r="F524" i="1" s="1"/>
  <c r="D524" i="1" a="1"/>
  <c r="D524" i="1" s="1"/>
  <c r="B524" i="1"/>
  <c r="R523" i="1"/>
  <c r="Q523" i="1"/>
  <c r="P523" i="1"/>
  <c r="O523" i="1"/>
  <c r="N523" i="1"/>
  <c r="L523" i="1"/>
  <c r="F523" i="1"/>
  <c r="F523" i="1" a="1"/>
  <c r="D523" i="1" a="1"/>
  <c r="D523" i="1" s="1"/>
  <c r="B523" i="1"/>
  <c r="R522" i="1"/>
  <c r="Q522" i="1"/>
  <c r="P522" i="1"/>
  <c r="O522" i="1"/>
  <c r="N522" i="1"/>
  <c r="L522" i="1"/>
  <c r="F522" i="1" a="1"/>
  <c r="F522" i="1" s="1"/>
  <c r="D522" i="1" a="1"/>
  <c r="D522" i="1" s="1"/>
  <c r="B522" i="1"/>
  <c r="R521" i="1"/>
  <c r="Q521" i="1"/>
  <c r="P521" i="1"/>
  <c r="O521" i="1"/>
  <c r="N521" i="1"/>
  <c r="L521" i="1"/>
  <c r="F521" i="1"/>
  <c r="F521" i="1" a="1"/>
  <c r="D521" i="1" a="1"/>
  <c r="D521" i="1" s="1"/>
  <c r="B521" i="1"/>
  <c r="R520" i="1"/>
  <c r="Q520" i="1"/>
  <c r="P520" i="1"/>
  <c r="O520" i="1"/>
  <c r="N520" i="1"/>
  <c r="L520" i="1"/>
  <c r="F520" i="1" a="1"/>
  <c r="F520" i="1" s="1"/>
  <c r="D520" i="1" a="1"/>
  <c r="D520" i="1" s="1"/>
  <c r="B520" i="1"/>
  <c r="R519" i="1"/>
  <c r="Q519" i="1"/>
  <c r="P519" i="1"/>
  <c r="O519" i="1"/>
  <c r="N519" i="1"/>
  <c r="L519" i="1"/>
  <c r="F519" i="1"/>
  <c r="F519" i="1" a="1"/>
  <c r="D519" i="1" a="1"/>
  <c r="D519" i="1" s="1"/>
  <c r="B519" i="1"/>
  <c r="R518" i="1"/>
  <c r="Q518" i="1"/>
  <c r="P518" i="1"/>
  <c r="O518" i="1"/>
  <c r="N518" i="1"/>
  <c r="L518" i="1"/>
  <c r="F518" i="1" a="1"/>
  <c r="F518" i="1" s="1"/>
  <c r="D518" i="1" a="1"/>
  <c r="D518" i="1" s="1"/>
  <c r="B518" i="1"/>
  <c r="R517" i="1"/>
  <c r="Q517" i="1"/>
  <c r="P517" i="1"/>
  <c r="O517" i="1"/>
  <c r="N517" i="1"/>
  <c r="L517" i="1"/>
  <c r="F517" i="1" a="1"/>
  <c r="F517" i="1" s="1"/>
  <c r="D517" i="1" a="1"/>
  <c r="D517" i="1" s="1"/>
  <c r="B517" i="1"/>
  <c r="R516" i="1"/>
  <c r="Q516" i="1"/>
  <c r="P516" i="1"/>
  <c r="O516" i="1"/>
  <c r="N516" i="1"/>
  <c r="L516" i="1"/>
  <c r="F516" i="1" a="1"/>
  <c r="F516" i="1" s="1"/>
  <c r="D516" i="1" a="1"/>
  <c r="D516" i="1" s="1"/>
  <c r="B516" i="1"/>
  <c r="R515" i="1"/>
  <c r="Q515" i="1"/>
  <c r="P515" i="1"/>
  <c r="O515" i="1"/>
  <c r="N515" i="1"/>
  <c r="L515" i="1"/>
  <c r="F515" i="1" a="1"/>
  <c r="F515" i="1" s="1"/>
  <c r="D515" i="1" a="1"/>
  <c r="D515" i="1" s="1"/>
  <c r="B515" i="1"/>
  <c r="R514" i="1"/>
  <c r="Q514" i="1"/>
  <c r="P514" i="1"/>
  <c r="O514" i="1"/>
  <c r="N514" i="1"/>
  <c r="L514" i="1"/>
  <c r="F514" i="1" a="1"/>
  <c r="F514" i="1" s="1"/>
  <c r="D514" i="1"/>
  <c r="D514" i="1" a="1"/>
  <c r="B514" i="1"/>
  <c r="R513" i="1"/>
  <c r="Q513" i="1"/>
  <c r="P513" i="1"/>
  <c r="O513" i="1"/>
  <c r="N513" i="1"/>
  <c r="L513" i="1"/>
  <c r="F513" i="1"/>
  <c r="F513" i="1" a="1"/>
  <c r="D513" i="1" a="1"/>
  <c r="D513" i="1" s="1"/>
  <c r="B513" i="1"/>
  <c r="R512" i="1"/>
  <c r="Q512" i="1"/>
  <c r="P512" i="1"/>
  <c r="O512" i="1"/>
  <c r="N512" i="1"/>
  <c r="L512" i="1"/>
  <c r="F512" i="1" a="1"/>
  <c r="F512" i="1" s="1"/>
  <c r="D512" i="1" a="1"/>
  <c r="D512" i="1" s="1"/>
  <c r="B512" i="1"/>
  <c r="R511" i="1"/>
  <c r="Q511" i="1"/>
  <c r="P511" i="1"/>
  <c r="O511" i="1"/>
  <c r="N511" i="1"/>
  <c r="L511" i="1"/>
  <c r="F511" i="1"/>
  <c r="F511" i="1" a="1"/>
  <c r="D511" i="1" a="1"/>
  <c r="D511" i="1" s="1"/>
  <c r="B511" i="1"/>
  <c r="R510" i="1"/>
  <c r="Q510" i="1"/>
  <c r="P510" i="1"/>
  <c r="O510" i="1"/>
  <c r="N510" i="1"/>
  <c r="L510" i="1"/>
  <c r="F510" i="1" a="1"/>
  <c r="F510" i="1" s="1"/>
  <c r="D510" i="1" a="1"/>
  <c r="D510" i="1" s="1"/>
  <c r="B510" i="1"/>
  <c r="R509" i="1"/>
  <c r="Q509" i="1"/>
  <c r="P509" i="1"/>
  <c r="O509" i="1"/>
  <c r="N509" i="1"/>
  <c r="L509" i="1"/>
  <c r="F509" i="1" a="1"/>
  <c r="F509" i="1" s="1"/>
  <c r="D509" i="1" a="1"/>
  <c r="D509" i="1" s="1"/>
  <c r="B509" i="1"/>
  <c r="R508" i="1"/>
  <c r="Q508" i="1"/>
  <c r="P508" i="1"/>
  <c r="O508" i="1"/>
  <c r="N508" i="1"/>
  <c r="L508" i="1"/>
  <c r="F508" i="1" a="1"/>
  <c r="F508" i="1" s="1"/>
  <c r="D508" i="1" a="1"/>
  <c r="D508" i="1" s="1"/>
  <c r="B508" i="1"/>
  <c r="R507" i="1"/>
  <c r="Q507" i="1"/>
  <c r="P507" i="1"/>
  <c r="O507" i="1"/>
  <c r="N507" i="1"/>
  <c r="L507" i="1"/>
  <c r="F507" i="1" a="1"/>
  <c r="F507" i="1" s="1"/>
  <c r="D507" i="1" a="1"/>
  <c r="D507" i="1" s="1"/>
  <c r="B507" i="1"/>
  <c r="R506" i="1"/>
  <c r="Q506" i="1"/>
  <c r="P506" i="1"/>
  <c r="O506" i="1"/>
  <c r="N506" i="1"/>
  <c r="L506" i="1"/>
  <c r="F506" i="1" a="1"/>
  <c r="F506" i="1" s="1"/>
  <c r="D506" i="1" a="1"/>
  <c r="D506" i="1" s="1"/>
  <c r="B506" i="1"/>
  <c r="R505" i="1"/>
  <c r="Q505" i="1"/>
  <c r="P505" i="1"/>
  <c r="O505" i="1"/>
  <c r="N505" i="1"/>
  <c r="L505" i="1"/>
  <c r="F505" i="1"/>
  <c r="F505" i="1" a="1"/>
  <c r="D505" i="1" a="1"/>
  <c r="D505" i="1" s="1"/>
  <c r="B505" i="1"/>
  <c r="R504" i="1"/>
  <c r="Q504" i="1"/>
  <c r="P504" i="1"/>
  <c r="O504" i="1"/>
  <c r="N504" i="1"/>
  <c r="L504" i="1"/>
  <c r="F504" i="1"/>
  <c r="F504" i="1" a="1"/>
  <c r="D504" i="1" a="1"/>
  <c r="D504" i="1" s="1"/>
  <c r="B504" i="1"/>
  <c r="R503" i="1"/>
  <c r="Q503" i="1"/>
  <c r="P503" i="1"/>
  <c r="O503" i="1"/>
  <c r="N503" i="1"/>
  <c r="L503" i="1"/>
  <c r="F503" i="1" a="1"/>
  <c r="F503" i="1" s="1"/>
  <c r="D503" i="1" a="1"/>
  <c r="D503" i="1" s="1"/>
  <c r="B503" i="1"/>
  <c r="R502" i="1"/>
  <c r="Q502" i="1"/>
  <c r="P502" i="1"/>
  <c r="O502" i="1"/>
  <c r="N502" i="1"/>
  <c r="L502" i="1"/>
  <c r="F502" i="1" a="1"/>
  <c r="F502" i="1" s="1"/>
  <c r="D502" i="1" a="1"/>
  <c r="D502" i="1" s="1"/>
  <c r="B502" i="1"/>
  <c r="R501" i="1"/>
  <c r="Q501" i="1"/>
  <c r="P501" i="1"/>
  <c r="O501" i="1"/>
  <c r="N501" i="1"/>
  <c r="L501" i="1"/>
  <c r="F501" i="1" a="1"/>
  <c r="F501" i="1" s="1"/>
  <c r="D501" i="1" a="1"/>
  <c r="D501" i="1" s="1"/>
  <c r="B501" i="1"/>
  <c r="R500" i="1"/>
  <c r="Q500" i="1"/>
  <c r="P500" i="1"/>
  <c r="O500" i="1"/>
  <c r="N500" i="1"/>
  <c r="L500" i="1"/>
  <c r="F500" i="1" a="1"/>
  <c r="F500" i="1" s="1"/>
  <c r="D500" i="1" a="1"/>
  <c r="D500" i="1" s="1"/>
  <c r="B500" i="1"/>
  <c r="R499" i="1"/>
  <c r="Q499" i="1"/>
  <c r="P499" i="1"/>
  <c r="O499" i="1"/>
  <c r="N499" i="1"/>
  <c r="L499" i="1"/>
  <c r="F499" i="1" a="1"/>
  <c r="F499" i="1" s="1"/>
  <c r="D499" i="1" a="1"/>
  <c r="D499" i="1" s="1"/>
  <c r="B499" i="1"/>
  <c r="R498" i="1"/>
  <c r="Q498" i="1"/>
  <c r="P498" i="1"/>
  <c r="O498" i="1"/>
  <c r="N498" i="1"/>
  <c r="L498" i="1"/>
  <c r="F498" i="1" a="1"/>
  <c r="F498" i="1" s="1"/>
  <c r="D498" i="1" a="1"/>
  <c r="D498" i="1" s="1"/>
  <c r="B498" i="1"/>
  <c r="R497" i="1"/>
  <c r="Q497" i="1"/>
  <c r="P497" i="1"/>
  <c r="O497" i="1"/>
  <c r="N497" i="1"/>
  <c r="L497" i="1"/>
  <c r="F497" i="1" a="1"/>
  <c r="F497" i="1" s="1"/>
  <c r="D497" i="1" a="1"/>
  <c r="D497" i="1" s="1"/>
  <c r="B497" i="1"/>
  <c r="R496" i="1"/>
  <c r="Q496" i="1"/>
  <c r="P496" i="1"/>
  <c r="O496" i="1"/>
  <c r="N496" i="1"/>
  <c r="L496" i="1"/>
  <c r="F496" i="1"/>
  <c r="F496" i="1" a="1"/>
  <c r="D496" i="1" a="1"/>
  <c r="D496" i="1" s="1"/>
  <c r="B496" i="1"/>
  <c r="R495" i="1"/>
  <c r="Q495" i="1"/>
  <c r="P495" i="1"/>
  <c r="O495" i="1"/>
  <c r="N495" i="1"/>
  <c r="L495" i="1"/>
  <c r="F495" i="1" a="1"/>
  <c r="F495" i="1" s="1"/>
  <c r="D495" i="1" a="1"/>
  <c r="D495" i="1" s="1"/>
  <c r="B495" i="1"/>
  <c r="R494" i="1"/>
  <c r="Q494" i="1"/>
  <c r="P494" i="1"/>
  <c r="O494" i="1"/>
  <c r="N494" i="1"/>
  <c r="L494" i="1"/>
  <c r="F494" i="1" a="1"/>
  <c r="F494" i="1" s="1"/>
  <c r="D494" i="1"/>
  <c r="D494" i="1" a="1"/>
  <c r="B494" i="1"/>
  <c r="R493" i="1"/>
  <c r="Q493" i="1"/>
  <c r="P493" i="1"/>
  <c r="O493" i="1"/>
  <c r="N493" i="1"/>
  <c r="L493" i="1"/>
  <c r="F493" i="1" a="1"/>
  <c r="F493" i="1" s="1"/>
  <c r="D493" i="1" a="1"/>
  <c r="D493" i="1" s="1"/>
  <c r="B493" i="1"/>
  <c r="R492" i="1"/>
  <c r="Q492" i="1"/>
  <c r="P492" i="1"/>
  <c r="O492" i="1"/>
  <c r="N492" i="1"/>
  <c r="L492" i="1"/>
  <c r="F492" i="1" a="1"/>
  <c r="F492" i="1" s="1"/>
  <c r="D492" i="1" a="1"/>
  <c r="D492" i="1" s="1"/>
  <c r="B492" i="1"/>
  <c r="R491" i="1"/>
  <c r="Q491" i="1"/>
  <c r="P491" i="1"/>
  <c r="O491" i="1"/>
  <c r="N491" i="1"/>
  <c r="L491" i="1"/>
  <c r="F491" i="1" a="1"/>
  <c r="F491" i="1" s="1"/>
  <c r="D491" i="1" a="1"/>
  <c r="D491" i="1" s="1"/>
  <c r="B491" i="1"/>
  <c r="R490" i="1"/>
  <c r="Q490" i="1"/>
  <c r="P490" i="1"/>
  <c r="O490" i="1"/>
  <c r="N490" i="1"/>
  <c r="L490" i="1"/>
  <c r="F490" i="1"/>
  <c r="F490" i="1" a="1"/>
  <c r="D490" i="1" a="1"/>
  <c r="D490" i="1" s="1"/>
  <c r="B490" i="1"/>
  <c r="R489" i="1"/>
  <c r="Q489" i="1"/>
  <c r="P489" i="1"/>
  <c r="O489" i="1"/>
  <c r="N489" i="1"/>
  <c r="L489" i="1"/>
  <c r="F489" i="1" a="1"/>
  <c r="F489" i="1" s="1"/>
  <c r="D489" i="1"/>
  <c r="D489" i="1" a="1"/>
  <c r="B489" i="1"/>
  <c r="R488" i="1"/>
  <c r="Q488" i="1"/>
  <c r="P488" i="1"/>
  <c r="O488" i="1"/>
  <c r="N488" i="1"/>
  <c r="L488" i="1"/>
  <c r="F488" i="1" a="1"/>
  <c r="F488" i="1" s="1"/>
  <c r="D488" i="1" a="1"/>
  <c r="D488" i="1" s="1"/>
  <c r="B488" i="1"/>
  <c r="R487" i="1"/>
  <c r="Q487" i="1"/>
  <c r="P487" i="1"/>
  <c r="O487" i="1"/>
  <c r="N487" i="1"/>
  <c r="L487" i="1"/>
  <c r="F487" i="1" a="1"/>
  <c r="F487" i="1" s="1"/>
  <c r="D487" i="1" a="1"/>
  <c r="D487" i="1" s="1"/>
  <c r="B487" i="1"/>
  <c r="R486" i="1"/>
  <c r="Q486" i="1"/>
  <c r="P486" i="1"/>
  <c r="O486" i="1"/>
  <c r="N486" i="1"/>
  <c r="L486" i="1"/>
  <c r="F486" i="1"/>
  <c r="F486" i="1" a="1"/>
  <c r="D486" i="1" a="1"/>
  <c r="D486" i="1" s="1"/>
  <c r="B486" i="1"/>
  <c r="R485" i="1"/>
  <c r="Q485" i="1"/>
  <c r="P485" i="1"/>
  <c r="O485" i="1"/>
  <c r="N485" i="1"/>
  <c r="L485" i="1"/>
  <c r="F485" i="1" a="1"/>
  <c r="F485" i="1" s="1"/>
  <c r="D485" i="1" a="1"/>
  <c r="D485" i="1" s="1"/>
  <c r="B485" i="1"/>
  <c r="R484" i="1"/>
  <c r="Q484" i="1"/>
  <c r="P484" i="1"/>
  <c r="O484" i="1"/>
  <c r="N484" i="1"/>
  <c r="L484" i="1"/>
  <c r="F484" i="1" a="1"/>
  <c r="F484" i="1" s="1"/>
  <c r="D484" i="1" a="1"/>
  <c r="D484" i="1" s="1"/>
  <c r="B484" i="1"/>
  <c r="R483" i="1"/>
  <c r="Q483" i="1"/>
  <c r="P483" i="1"/>
  <c r="O483" i="1"/>
  <c r="N483" i="1"/>
  <c r="L483" i="1"/>
  <c r="F483" i="1" a="1"/>
  <c r="F483" i="1" s="1"/>
  <c r="D483" i="1" a="1"/>
  <c r="D483" i="1" s="1"/>
  <c r="B483" i="1"/>
  <c r="R482" i="1"/>
  <c r="Q482" i="1"/>
  <c r="P482" i="1"/>
  <c r="O482" i="1"/>
  <c r="N482" i="1"/>
  <c r="L482" i="1"/>
  <c r="F482" i="1" a="1"/>
  <c r="F482" i="1" s="1"/>
  <c r="D482" i="1" a="1"/>
  <c r="D482" i="1" s="1"/>
  <c r="B482" i="1"/>
  <c r="R481" i="1"/>
  <c r="Q481" i="1"/>
  <c r="P481" i="1"/>
  <c r="O481" i="1"/>
  <c r="N481" i="1"/>
  <c r="L481" i="1"/>
  <c r="F481" i="1" a="1"/>
  <c r="F481" i="1" s="1"/>
  <c r="D481" i="1" a="1"/>
  <c r="D481" i="1" s="1"/>
  <c r="B481" i="1"/>
  <c r="R480" i="1"/>
  <c r="Q480" i="1"/>
  <c r="P480" i="1"/>
  <c r="O480" i="1"/>
  <c r="N480" i="1"/>
  <c r="L480" i="1"/>
  <c r="F480" i="1" a="1"/>
  <c r="F480" i="1" s="1"/>
  <c r="D480" i="1" a="1"/>
  <c r="D480" i="1" s="1"/>
  <c r="B480" i="1"/>
  <c r="R479" i="1"/>
  <c r="Q479" i="1"/>
  <c r="P479" i="1"/>
  <c r="O479" i="1"/>
  <c r="N479" i="1"/>
  <c r="L479" i="1"/>
  <c r="F479" i="1" a="1"/>
  <c r="F479" i="1" s="1"/>
  <c r="D479" i="1" a="1"/>
  <c r="D479" i="1" s="1"/>
  <c r="B479" i="1"/>
  <c r="R478" i="1"/>
  <c r="Q478" i="1"/>
  <c r="P478" i="1"/>
  <c r="O478" i="1"/>
  <c r="N478" i="1"/>
  <c r="L478" i="1"/>
  <c r="F478" i="1" a="1"/>
  <c r="F478" i="1" s="1"/>
  <c r="D478" i="1" a="1"/>
  <c r="D478" i="1" s="1"/>
  <c r="B478" i="1"/>
  <c r="R477" i="1"/>
  <c r="Q477" i="1"/>
  <c r="P477" i="1"/>
  <c r="O477" i="1"/>
  <c r="N477" i="1"/>
  <c r="L477" i="1"/>
  <c r="F477" i="1" a="1"/>
  <c r="F477" i="1" s="1"/>
  <c r="D477" i="1" a="1"/>
  <c r="D477" i="1" s="1"/>
  <c r="B477" i="1"/>
  <c r="R476" i="1"/>
  <c r="Q476" i="1"/>
  <c r="P476" i="1"/>
  <c r="O476" i="1"/>
  <c r="N476" i="1"/>
  <c r="L476" i="1"/>
  <c r="F476" i="1" a="1"/>
  <c r="F476" i="1" s="1"/>
  <c r="D476" i="1" a="1"/>
  <c r="D476" i="1" s="1"/>
  <c r="B476" i="1"/>
  <c r="R475" i="1"/>
  <c r="Q475" i="1"/>
  <c r="P475" i="1"/>
  <c r="O475" i="1"/>
  <c r="N475" i="1"/>
  <c r="L475" i="1"/>
  <c r="F475" i="1" a="1"/>
  <c r="F475" i="1" s="1"/>
  <c r="D475" i="1" a="1"/>
  <c r="D475" i="1" s="1"/>
  <c r="B475" i="1"/>
  <c r="R474" i="1"/>
  <c r="Q474" i="1"/>
  <c r="P474" i="1"/>
  <c r="O474" i="1"/>
  <c r="N474" i="1"/>
  <c r="L474" i="1"/>
  <c r="F474" i="1" a="1"/>
  <c r="F474" i="1" s="1"/>
  <c r="D474" i="1" a="1"/>
  <c r="D474" i="1" s="1"/>
  <c r="B474" i="1"/>
  <c r="R473" i="1"/>
  <c r="Q473" i="1"/>
  <c r="P473" i="1"/>
  <c r="O473" i="1"/>
  <c r="N473" i="1"/>
  <c r="L473" i="1"/>
  <c r="F473" i="1" a="1"/>
  <c r="F473" i="1" s="1"/>
  <c r="D473" i="1" a="1"/>
  <c r="D473" i="1" s="1"/>
  <c r="B473" i="1"/>
  <c r="R472" i="1"/>
  <c r="Q472" i="1"/>
  <c r="P472" i="1"/>
  <c r="O472" i="1"/>
  <c r="N472" i="1"/>
  <c r="L472" i="1"/>
  <c r="F472" i="1" a="1"/>
  <c r="F472" i="1" s="1"/>
  <c r="D472" i="1" a="1"/>
  <c r="D472" i="1" s="1"/>
  <c r="B472" i="1"/>
  <c r="R471" i="1"/>
  <c r="Q471" i="1"/>
  <c r="P471" i="1"/>
  <c r="O471" i="1"/>
  <c r="N471" i="1"/>
  <c r="L471" i="1"/>
  <c r="F471" i="1" a="1"/>
  <c r="F471" i="1" s="1"/>
  <c r="D471" i="1" a="1"/>
  <c r="D471" i="1" s="1"/>
  <c r="B471" i="1"/>
  <c r="R470" i="1"/>
  <c r="Q470" i="1"/>
  <c r="P470" i="1"/>
  <c r="O470" i="1"/>
  <c r="N470" i="1"/>
  <c r="L470" i="1"/>
  <c r="F470" i="1" a="1"/>
  <c r="F470" i="1" s="1"/>
  <c r="D470" i="1" a="1"/>
  <c r="D470" i="1" s="1"/>
  <c r="B470" i="1"/>
  <c r="R469" i="1"/>
  <c r="Q469" i="1"/>
  <c r="P469" i="1"/>
  <c r="O469" i="1"/>
  <c r="N469" i="1"/>
  <c r="L469" i="1"/>
  <c r="F469" i="1" a="1"/>
  <c r="F469" i="1" s="1"/>
  <c r="D469" i="1" a="1"/>
  <c r="D469" i="1" s="1"/>
  <c r="B469" i="1"/>
  <c r="R468" i="1"/>
  <c r="Q468" i="1"/>
  <c r="P468" i="1"/>
  <c r="O468" i="1"/>
  <c r="N468" i="1"/>
  <c r="L468" i="1"/>
  <c r="F468" i="1" a="1"/>
  <c r="F468" i="1" s="1"/>
  <c r="D468" i="1" a="1"/>
  <c r="D468" i="1" s="1"/>
  <c r="B468" i="1"/>
  <c r="R467" i="1"/>
  <c r="Q467" i="1"/>
  <c r="P467" i="1"/>
  <c r="O467" i="1"/>
  <c r="N467" i="1"/>
  <c r="L467" i="1"/>
  <c r="F467" i="1" a="1"/>
  <c r="F467" i="1" s="1"/>
  <c r="D467" i="1" a="1"/>
  <c r="D467" i="1" s="1"/>
  <c r="B467" i="1"/>
  <c r="R466" i="1"/>
  <c r="Q466" i="1"/>
  <c r="P466" i="1"/>
  <c r="O466" i="1"/>
  <c r="N466" i="1"/>
  <c r="L466" i="1"/>
  <c r="F466" i="1" a="1"/>
  <c r="F466" i="1" s="1"/>
  <c r="D466" i="1" a="1"/>
  <c r="D466" i="1" s="1"/>
  <c r="B466" i="1"/>
  <c r="R465" i="1"/>
  <c r="Q465" i="1"/>
  <c r="P465" i="1"/>
  <c r="O465" i="1"/>
  <c r="N465" i="1"/>
  <c r="L465" i="1"/>
  <c r="F465" i="1" a="1"/>
  <c r="F465" i="1" s="1"/>
  <c r="D465" i="1" a="1"/>
  <c r="D465" i="1" s="1"/>
  <c r="B465" i="1"/>
  <c r="R464" i="1"/>
  <c r="Q464" i="1"/>
  <c r="P464" i="1"/>
  <c r="O464" i="1"/>
  <c r="N464" i="1"/>
  <c r="L464" i="1"/>
  <c r="F464" i="1" a="1"/>
  <c r="F464" i="1" s="1"/>
  <c r="D464" i="1" a="1"/>
  <c r="D464" i="1" s="1"/>
  <c r="B464" i="1"/>
  <c r="R463" i="1"/>
  <c r="Q463" i="1"/>
  <c r="P463" i="1"/>
  <c r="O463" i="1"/>
  <c r="N463" i="1"/>
  <c r="L463" i="1"/>
  <c r="F463" i="1" a="1"/>
  <c r="F463" i="1" s="1"/>
  <c r="D463" i="1" a="1"/>
  <c r="D463" i="1" s="1"/>
  <c r="B463" i="1"/>
  <c r="R462" i="1"/>
  <c r="Q462" i="1"/>
  <c r="P462" i="1"/>
  <c r="O462" i="1"/>
  <c r="N462" i="1"/>
  <c r="L462" i="1"/>
  <c r="F462" i="1" a="1"/>
  <c r="F462" i="1" s="1"/>
  <c r="D462" i="1" a="1"/>
  <c r="D462" i="1" s="1"/>
  <c r="B462" i="1"/>
  <c r="R461" i="1"/>
  <c r="Q461" i="1"/>
  <c r="P461" i="1"/>
  <c r="O461" i="1"/>
  <c r="N461" i="1"/>
  <c r="L461" i="1"/>
  <c r="F461" i="1" a="1"/>
  <c r="F461" i="1" s="1"/>
  <c r="D461" i="1" a="1"/>
  <c r="D461" i="1" s="1"/>
  <c r="B461" i="1"/>
  <c r="R460" i="1"/>
  <c r="Q460" i="1"/>
  <c r="P460" i="1"/>
  <c r="O460" i="1"/>
  <c r="N460" i="1"/>
  <c r="L460" i="1"/>
  <c r="F460" i="1" a="1"/>
  <c r="F460" i="1" s="1"/>
  <c r="D460" i="1" a="1"/>
  <c r="D460" i="1" s="1"/>
  <c r="B460" i="1"/>
  <c r="R459" i="1"/>
  <c r="Q459" i="1"/>
  <c r="P459" i="1"/>
  <c r="O459" i="1"/>
  <c r="N459" i="1"/>
  <c r="L459" i="1"/>
  <c r="F459" i="1" a="1"/>
  <c r="F459" i="1" s="1"/>
  <c r="D459" i="1" a="1"/>
  <c r="D459" i="1" s="1"/>
  <c r="B459" i="1"/>
  <c r="R458" i="1"/>
  <c r="Q458" i="1"/>
  <c r="P458" i="1"/>
  <c r="O458" i="1"/>
  <c r="N458" i="1"/>
  <c r="L458" i="1"/>
  <c r="F458" i="1" a="1"/>
  <c r="F458" i="1" s="1"/>
  <c r="D458" i="1" a="1"/>
  <c r="D458" i="1" s="1"/>
  <c r="B458" i="1"/>
  <c r="R457" i="1"/>
  <c r="Q457" i="1"/>
  <c r="P457" i="1"/>
  <c r="O457" i="1"/>
  <c r="N457" i="1"/>
  <c r="L457" i="1"/>
  <c r="F457" i="1" a="1"/>
  <c r="F457" i="1" s="1"/>
  <c r="D457" i="1" a="1"/>
  <c r="D457" i="1" s="1"/>
  <c r="B457" i="1"/>
  <c r="R456" i="1"/>
  <c r="Q456" i="1"/>
  <c r="P456" i="1"/>
  <c r="O456" i="1"/>
  <c r="N456" i="1"/>
  <c r="L456" i="1"/>
  <c r="F456" i="1" a="1"/>
  <c r="F456" i="1" s="1"/>
  <c r="D456" i="1" a="1"/>
  <c r="D456" i="1" s="1"/>
  <c r="B456" i="1"/>
  <c r="R455" i="1"/>
  <c r="Q455" i="1"/>
  <c r="P455" i="1"/>
  <c r="O455" i="1"/>
  <c r="N455" i="1"/>
  <c r="L455" i="1"/>
  <c r="F455" i="1" a="1"/>
  <c r="F455" i="1" s="1"/>
  <c r="D455" i="1" a="1"/>
  <c r="D455" i="1" s="1"/>
  <c r="B455" i="1"/>
  <c r="R454" i="1"/>
  <c r="Q454" i="1"/>
  <c r="P454" i="1"/>
  <c r="O454" i="1"/>
  <c r="N454" i="1"/>
  <c r="L454" i="1"/>
  <c r="F454" i="1" a="1"/>
  <c r="F454" i="1" s="1"/>
  <c r="D454" i="1" a="1"/>
  <c r="D454" i="1" s="1"/>
  <c r="B454" i="1"/>
  <c r="R453" i="1"/>
  <c r="Q453" i="1"/>
  <c r="P453" i="1"/>
  <c r="O453" i="1"/>
  <c r="N453" i="1"/>
  <c r="L453" i="1"/>
  <c r="F453" i="1" a="1"/>
  <c r="F453" i="1" s="1"/>
  <c r="D453" i="1" a="1"/>
  <c r="D453" i="1" s="1"/>
  <c r="B453" i="1"/>
  <c r="R452" i="1"/>
  <c r="Q452" i="1"/>
  <c r="P452" i="1"/>
  <c r="O452" i="1"/>
  <c r="N452" i="1"/>
  <c r="L452" i="1"/>
  <c r="F452" i="1" a="1"/>
  <c r="F452" i="1" s="1"/>
  <c r="D452" i="1" a="1"/>
  <c r="D452" i="1" s="1"/>
  <c r="B452" i="1"/>
  <c r="R451" i="1"/>
  <c r="Q451" i="1"/>
  <c r="P451" i="1"/>
  <c r="O451" i="1"/>
  <c r="N451" i="1"/>
  <c r="L451" i="1"/>
  <c r="F451" i="1" a="1"/>
  <c r="F451" i="1" s="1"/>
  <c r="D451" i="1" a="1"/>
  <c r="D451" i="1" s="1"/>
  <c r="B451" i="1"/>
  <c r="R450" i="1"/>
  <c r="Q450" i="1"/>
  <c r="P450" i="1"/>
  <c r="O450" i="1"/>
  <c r="N450" i="1"/>
  <c r="L450" i="1"/>
  <c r="F450" i="1" a="1"/>
  <c r="F450" i="1" s="1"/>
  <c r="D450" i="1" a="1"/>
  <c r="D450" i="1" s="1"/>
  <c r="B450" i="1"/>
  <c r="R449" i="1"/>
  <c r="Q449" i="1"/>
  <c r="P449" i="1"/>
  <c r="O449" i="1"/>
  <c r="N449" i="1"/>
  <c r="L449" i="1"/>
  <c r="F449" i="1" a="1"/>
  <c r="F449" i="1" s="1"/>
  <c r="D449" i="1" a="1"/>
  <c r="D449" i="1" s="1"/>
  <c r="B449" i="1"/>
  <c r="R448" i="1"/>
  <c r="Q448" i="1"/>
  <c r="P448" i="1"/>
  <c r="O448" i="1"/>
  <c r="N448" i="1"/>
  <c r="L448" i="1"/>
  <c r="F448" i="1" a="1"/>
  <c r="F448" i="1" s="1"/>
  <c r="D448" i="1" a="1"/>
  <c r="D448" i="1" s="1"/>
  <c r="B448" i="1"/>
  <c r="R447" i="1"/>
  <c r="Q447" i="1"/>
  <c r="P447" i="1"/>
  <c r="O447" i="1"/>
  <c r="N447" i="1"/>
  <c r="L447" i="1"/>
  <c r="F447" i="1" a="1"/>
  <c r="F447" i="1" s="1"/>
  <c r="D447" i="1" a="1"/>
  <c r="D447" i="1" s="1"/>
  <c r="B447" i="1"/>
  <c r="R446" i="1"/>
  <c r="Q446" i="1"/>
  <c r="P446" i="1"/>
  <c r="O446" i="1"/>
  <c r="N446" i="1"/>
  <c r="L446" i="1"/>
  <c r="F446" i="1" a="1"/>
  <c r="F446" i="1" s="1"/>
  <c r="D446" i="1" a="1"/>
  <c r="D446" i="1" s="1"/>
  <c r="B446" i="1"/>
  <c r="R445" i="1"/>
  <c r="Q445" i="1"/>
  <c r="P445" i="1"/>
  <c r="O445" i="1"/>
  <c r="N445" i="1"/>
  <c r="L445" i="1"/>
  <c r="F445" i="1" a="1"/>
  <c r="F445" i="1" s="1"/>
  <c r="D445" i="1" a="1"/>
  <c r="D445" i="1" s="1"/>
  <c r="B445" i="1"/>
  <c r="R444" i="1"/>
  <c r="Q444" i="1"/>
  <c r="P444" i="1"/>
  <c r="O444" i="1"/>
  <c r="N444" i="1"/>
  <c r="L444" i="1"/>
  <c r="F444" i="1" a="1"/>
  <c r="F444" i="1" s="1"/>
  <c r="D444" i="1" a="1"/>
  <c r="D444" i="1" s="1"/>
  <c r="B444" i="1"/>
  <c r="R443" i="1"/>
  <c r="Q443" i="1"/>
  <c r="P443" i="1"/>
  <c r="O443" i="1"/>
  <c r="N443" i="1"/>
  <c r="L443" i="1"/>
  <c r="F443" i="1" a="1"/>
  <c r="F443" i="1" s="1"/>
  <c r="D443" i="1" a="1"/>
  <c r="D443" i="1" s="1"/>
  <c r="B443" i="1"/>
  <c r="R442" i="1"/>
  <c r="Q442" i="1"/>
  <c r="P442" i="1"/>
  <c r="O442" i="1"/>
  <c r="N442" i="1"/>
  <c r="L442" i="1"/>
  <c r="F442" i="1" a="1"/>
  <c r="F442" i="1" s="1"/>
  <c r="D442" i="1" a="1"/>
  <c r="D442" i="1" s="1"/>
  <c r="B442" i="1"/>
  <c r="R441" i="1"/>
  <c r="Q441" i="1"/>
  <c r="P441" i="1"/>
  <c r="O441" i="1"/>
  <c r="N441" i="1"/>
  <c r="L441" i="1"/>
  <c r="F441" i="1" a="1"/>
  <c r="F441" i="1" s="1"/>
  <c r="D441" i="1" a="1"/>
  <c r="D441" i="1" s="1"/>
  <c r="B441" i="1"/>
  <c r="R440" i="1"/>
  <c r="Q440" i="1"/>
  <c r="P440" i="1"/>
  <c r="O440" i="1"/>
  <c r="N440" i="1"/>
  <c r="L440" i="1"/>
  <c r="F440" i="1" a="1"/>
  <c r="F440" i="1" s="1"/>
  <c r="D440" i="1" a="1"/>
  <c r="D440" i="1" s="1"/>
  <c r="B440" i="1"/>
  <c r="R439" i="1"/>
  <c r="Q439" i="1"/>
  <c r="P439" i="1"/>
  <c r="O439" i="1"/>
  <c r="N439" i="1"/>
  <c r="L439" i="1"/>
  <c r="F439" i="1" a="1"/>
  <c r="F439" i="1" s="1"/>
  <c r="D439" i="1" a="1"/>
  <c r="D439" i="1" s="1"/>
  <c r="B439" i="1"/>
  <c r="R438" i="1"/>
  <c r="Q438" i="1"/>
  <c r="P438" i="1"/>
  <c r="O438" i="1"/>
  <c r="N438" i="1"/>
  <c r="L438" i="1"/>
  <c r="F438" i="1" a="1"/>
  <c r="F438" i="1" s="1"/>
  <c r="D438" i="1" a="1"/>
  <c r="D438" i="1" s="1"/>
  <c r="B438" i="1"/>
  <c r="R437" i="1"/>
  <c r="Q437" i="1"/>
  <c r="P437" i="1"/>
  <c r="O437" i="1"/>
  <c r="N437" i="1"/>
  <c r="L437" i="1"/>
  <c r="F437" i="1" a="1"/>
  <c r="F437" i="1" s="1"/>
  <c r="D437" i="1" a="1"/>
  <c r="D437" i="1" s="1"/>
  <c r="B437" i="1"/>
  <c r="R436" i="1"/>
  <c r="Q436" i="1"/>
  <c r="P436" i="1"/>
  <c r="O436" i="1"/>
  <c r="N436" i="1"/>
  <c r="L436" i="1"/>
  <c r="F436" i="1" a="1"/>
  <c r="F436" i="1" s="1"/>
  <c r="D436" i="1" a="1"/>
  <c r="D436" i="1" s="1"/>
  <c r="B436" i="1"/>
  <c r="R435" i="1"/>
  <c r="Q435" i="1"/>
  <c r="P435" i="1"/>
  <c r="O435" i="1"/>
  <c r="N435" i="1"/>
  <c r="L435" i="1"/>
  <c r="F435" i="1" a="1"/>
  <c r="F435" i="1" s="1"/>
  <c r="D435" i="1" a="1"/>
  <c r="D435" i="1" s="1"/>
  <c r="B435" i="1"/>
  <c r="R434" i="1"/>
  <c r="Q434" i="1"/>
  <c r="P434" i="1"/>
  <c r="O434" i="1"/>
  <c r="N434" i="1"/>
  <c r="L434" i="1"/>
  <c r="F434" i="1" a="1"/>
  <c r="F434" i="1" s="1"/>
  <c r="D434" i="1" a="1"/>
  <c r="D434" i="1" s="1"/>
  <c r="B434" i="1"/>
  <c r="R433" i="1"/>
  <c r="Q433" i="1"/>
  <c r="P433" i="1"/>
  <c r="O433" i="1"/>
  <c r="N433" i="1"/>
  <c r="L433" i="1"/>
  <c r="F433" i="1" a="1"/>
  <c r="F433" i="1" s="1"/>
  <c r="D433" i="1" a="1"/>
  <c r="D433" i="1" s="1"/>
  <c r="B433" i="1"/>
  <c r="R432" i="1"/>
  <c r="Q432" i="1"/>
  <c r="P432" i="1"/>
  <c r="O432" i="1"/>
  <c r="N432" i="1"/>
  <c r="L432" i="1"/>
  <c r="F432" i="1" a="1"/>
  <c r="F432" i="1" s="1"/>
  <c r="D432" i="1" a="1"/>
  <c r="D432" i="1" s="1"/>
  <c r="B432" i="1"/>
  <c r="R431" i="1"/>
  <c r="Q431" i="1"/>
  <c r="P431" i="1"/>
  <c r="O431" i="1"/>
  <c r="N431" i="1"/>
  <c r="L431" i="1"/>
  <c r="F431" i="1" a="1"/>
  <c r="F431" i="1" s="1"/>
  <c r="D431" i="1" a="1"/>
  <c r="D431" i="1" s="1"/>
  <c r="B431" i="1"/>
  <c r="R430" i="1"/>
  <c r="Q430" i="1"/>
  <c r="P430" i="1"/>
  <c r="O430" i="1"/>
  <c r="N430" i="1"/>
  <c r="L430" i="1"/>
  <c r="F430" i="1" a="1"/>
  <c r="F430" i="1" s="1"/>
  <c r="D430" i="1" a="1"/>
  <c r="D430" i="1" s="1"/>
  <c r="B430" i="1"/>
  <c r="R429" i="1"/>
  <c r="Q429" i="1"/>
  <c r="P429" i="1"/>
  <c r="O429" i="1"/>
  <c r="N429" i="1"/>
  <c r="L429" i="1"/>
  <c r="F429" i="1" a="1"/>
  <c r="F429" i="1" s="1"/>
  <c r="D429" i="1" a="1"/>
  <c r="D429" i="1" s="1"/>
  <c r="B429" i="1"/>
  <c r="R428" i="1"/>
  <c r="Q428" i="1"/>
  <c r="P428" i="1"/>
  <c r="O428" i="1"/>
  <c r="N428" i="1"/>
  <c r="L428" i="1"/>
  <c r="F428" i="1" a="1"/>
  <c r="F428" i="1" s="1"/>
  <c r="D428" i="1" a="1"/>
  <c r="D428" i="1" s="1"/>
  <c r="B428" i="1"/>
  <c r="R427" i="1"/>
  <c r="Q427" i="1"/>
  <c r="P427" i="1"/>
  <c r="O427" i="1"/>
  <c r="N427" i="1"/>
  <c r="L427" i="1"/>
  <c r="F427" i="1" a="1"/>
  <c r="F427" i="1" s="1"/>
  <c r="D427" i="1" a="1"/>
  <c r="D427" i="1" s="1"/>
  <c r="B427" i="1"/>
  <c r="R426" i="1"/>
  <c r="Q426" i="1"/>
  <c r="P426" i="1"/>
  <c r="O426" i="1"/>
  <c r="N426" i="1"/>
  <c r="L426" i="1"/>
  <c r="F426" i="1" a="1"/>
  <c r="F426" i="1" s="1"/>
  <c r="D426" i="1" a="1"/>
  <c r="D426" i="1" s="1"/>
  <c r="B426" i="1"/>
  <c r="R425" i="1"/>
  <c r="Q425" i="1"/>
  <c r="P425" i="1"/>
  <c r="O425" i="1"/>
  <c r="N425" i="1"/>
  <c r="L425" i="1"/>
  <c r="F425" i="1" a="1"/>
  <c r="F425" i="1" s="1"/>
  <c r="D425" i="1" a="1"/>
  <c r="D425" i="1" s="1"/>
  <c r="B425" i="1"/>
  <c r="R424" i="1"/>
  <c r="Q424" i="1"/>
  <c r="P424" i="1"/>
  <c r="O424" i="1"/>
  <c r="N424" i="1"/>
  <c r="L424" i="1"/>
  <c r="F424" i="1" a="1"/>
  <c r="F424" i="1" s="1"/>
  <c r="D424" i="1" a="1"/>
  <c r="D424" i="1" s="1"/>
  <c r="B424" i="1"/>
  <c r="R423" i="1"/>
  <c r="Q423" i="1"/>
  <c r="P423" i="1"/>
  <c r="O423" i="1"/>
  <c r="N423" i="1"/>
  <c r="L423" i="1"/>
  <c r="F423" i="1" a="1"/>
  <c r="F423" i="1" s="1"/>
  <c r="D423" i="1" a="1"/>
  <c r="D423" i="1" s="1"/>
  <c r="B423" i="1"/>
  <c r="R422" i="1"/>
  <c r="Q422" i="1"/>
  <c r="P422" i="1"/>
  <c r="O422" i="1"/>
  <c r="N422" i="1"/>
  <c r="L422" i="1"/>
  <c r="F422" i="1" a="1"/>
  <c r="F422" i="1" s="1"/>
  <c r="D422" i="1" a="1"/>
  <c r="D422" i="1" s="1"/>
  <c r="B422" i="1"/>
  <c r="R421" i="1"/>
  <c r="Q421" i="1"/>
  <c r="P421" i="1"/>
  <c r="O421" i="1"/>
  <c r="N421" i="1"/>
  <c r="L421" i="1"/>
  <c r="F421" i="1" a="1"/>
  <c r="F421" i="1" s="1"/>
  <c r="D421" i="1" a="1"/>
  <c r="D421" i="1" s="1"/>
  <c r="B421" i="1"/>
  <c r="R420" i="1"/>
  <c r="Q420" i="1"/>
  <c r="P420" i="1"/>
  <c r="O420" i="1"/>
  <c r="N420" i="1"/>
  <c r="L420" i="1"/>
  <c r="F420" i="1" a="1"/>
  <c r="F420" i="1" s="1"/>
  <c r="D420" i="1" a="1"/>
  <c r="D420" i="1" s="1"/>
  <c r="B420" i="1"/>
  <c r="R419" i="1"/>
  <c r="Q419" i="1"/>
  <c r="P419" i="1"/>
  <c r="O419" i="1"/>
  <c r="N419" i="1"/>
  <c r="L419" i="1"/>
  <c r="F419" i="1" a="1"/>
  <c r="F419" i="1" s="1"/>
  <c r="D419" i="1" a="1"/>
  <c r="D419" i="1" s="1"/>
  <c r="B419" i="1"/>
  <c r="R418" i="1"/>
  <c r="Q418" i="1"/>
  <c r="P418" i="1"/>
  <c r="O418" i="1"/>
  <c r="N418" i="1"/>
  <c r="L418" i="1"/>
  <c r="F418" i="1" a="1"/>
  <c r="F418" i="1" s="1"/>
  <c r="D418" i="1" a="1"/>
  <c r="D418" i="1" s="1"/>
  <c r="B418" i="1"/>
  <c r="R417" i="1"/>
  <c r="Q417" i="1"/>
  <c r="P417" i="1"/>
  <c r="O417" i="1"/>
  <c r="N417" i="1"/>
  <c r="L417" i="1"/>
  <c r="F417" i="1" a="1"/>
  <c r="F417" i="1" s="1"/>
  <c r="D417" i="1" a="1"/>
  <c r="D417" i="1" s="1"/>
  <c r="B417" i="1"/>
  <c r="R416" i="1"/>
  <c r="Q416" i="1"/>
  <c r="P416" i="1"/>
  <c r="O416" i="1"/>
  <c r="N416" i="1"/>
  <c r="L416" i="1"/>
  <c r="F416" i="1" a="1"/>
  <c r="F416" i="1" s="1"/>
  <c r="D416" i="1" a="1"/>
  <c r="D416" i="1" s="1"/>
  <c r="B416" i="1"/>
  <c r="R415" i="1"/>
  <c r="Q415" i="1"/>
  <c r="P415" i="1"/>
  <c r="O415" i="1"/>
  <c r="N415" i="1"/>
  <c r="L415" i="1"/>
  <c r="F415" i="1" a="1"/>
  <c r="F415" i="1" s="1"/>
  <c r="D415" i="1" a="1"/>
  <c r="D415" i="1" s="1"/>
  <c r="B415" i="1"/>
  <c r="R414" i="1"/>
  <c r="Q414" i="1"/>
  <c r="P414" i="1"/>
  <c r="O414" i="1"/>
  <c r="N414" i="1"/>
  <c r="L414" i="1"/>
  <c r="F414" i="1" a="1"/>
  <c r="F414" i="1" s="1"/>
  <c r="D414" i="1" a="1"/>
  <c r="D414" i="1" s="1"/>
  <c r="B414" i="1"/>
  <c r="R413" i="1"/>
  <c r="Q413" i="1"/>
  <c r="P413" i="1"/>
  <c r="O413" i="1"/>
  <c r="N413" i="1"/>
  <c r="L413" i="1"/>
  <c r="F413" i="1" a="1"/>
  <c r="F413" i="1" s="1"/>
  <c r="D413" i="1" a="1"/>
  <c r="D413" i="1" s="1"/>
  <c r="B413" i="1"/>
  <c r="R412" i="1"/>
  <c r="Q412" i="1"/>
  <c r="P412" i="1"/>
  <c r="O412" i="1"/>
  <c r="N412" i="1"/>
  <c r="L412" i="1"/>
  <c r="F412" i="1" a="1"/>
  <c r="F412" i="1" s="1"/>
  <c r="D412" i="1" a="1"/>
  <c r="D412" i="1" s="1"/>
  <c r="B412" i="1"/>
  <c r="R411" i="1"/>
  <c r="Q411" i="1"/>
  <c r="P411" i="1"/>
  <c r="O411" i="1"/>
  <c r="N411" i="1"/>
  <c r="L411" i="1"/>
  <c r="F411" i="1" a="1"/>
  <c r="F411" i="1" s="1"/>
  <c r="D411" i="1" a="1"/>
  <c r="D411" i="1" s="1"/>
  <c r="B411" i="1"/>
  <c r="R410" i="1"/>
  <c r="Q410" i="1"/>
  <c r="P410" i="1"/>
  <c r="O410" i="1"/>
  <c r="N410" i="1"/>
  <c r="L410" i="1"/>
  <c r="F410" i="1" a="1"/>
  <c r="F410" i="1" s="1"/>
  <c r="D410" i="1" a="1"/>
  <c r="D410" i="1" s="1"/>
  <c r="B410" i="1"/>
  <c r="R409" i="1"/>
  <c r="Q409" i="1"/>
  <c r="P409" i="1"/>
  <c r="O409" i="1"/>
  <c r="N409" i="1"/>
  <c r="L409" i="1"/>
  <c r="F409" i="1" a="1"/>
  <c r="F409" i="1" s="1"/>
  <c r="D409" i="1" a="1"/>
  <c r="D409" i="1" s="1"/>
  <c r="B409" i="1"/>
  <c r="R408" i="1"/>
  <c r="Q408" i="1"/>
  <c r="P408" i="1"/>
  <c r="O408" i="1"/>
  <c r="N408" i="1"/>
  <c r="L408" i="1"/>
  <c r="F408" i="1" a="1"/>
  <c r="F408" i="1" s="1"/>
  <c r="D408" i="1" a="1"/>
  <c r="D408" i="1" s="1"/>
  <c r="B408" i="1"/>
  <c r="R407" i="1"/>
  <c r="Q407" i="1"/>
  <c r="P407" i="1"/>
  <c r="O407" i="1"/>
  <c r="N407" i="1"/>
  <c r="L407" i="1"/>
  <c r="F407" i="1" a="1"/>
  <c r="F407" i="1" s="1"/>
  <c r="D407" i="1" a="1"/>
  <c r="D407" i="1" s="1"/>
  <c r="B407" i="1"/>
  <c r="R406" i="1"/>
  <c r="Q406" i="1"/>
  <c r="P406" i="1"/>
  <c r="O406" i="1"/>
  <c r="N406" i="1"/>
  <c r="L406" i="1"/>
  <c r="F406" i="1" a="1"/>
  <c r="F406" i="1" s="1"/>
  <c r="D406" i="1" a="1"/>
  <c r="D406" i="1" s="1"/>
  <c r="B406" i="1"/>
  <c r="R405" i="1"/>
  <c r="Q405" i="1"/>
  <c r="P405" i="1"/>
  <c r="O405" i="1"/>
  <c r="N405" i="1"/>
  <c r="L405" i="1"/>
  <c r="F405" i="1" a="1"/>
  <c r="F405" i="1" s="1"/>
  <c r="D405" i="1" a="1"/>
  <c r="D405" i="1" s="1"/>
  <c r="B405" i="1"/>
  <c r="R404" i="1"/>
  <c r="Q404" i="1"/>
  <c r="P404" i="1"/>
  <c r="O404" i="1"/>
  <c r="N404" i="1"/>
  <c r="L404" i="1"/>
  <c r="F404" i="1" a="1"/>
  <c r="F404" i="1" s="1"/>
  <c r="D404" i="1" a="1"/>
  <c r="D404" i="1" s="1"/>
  <c r="B404" i="1"/>
  <c r="R403" i="1"/>
  <c r="Q403" i="1"/>
  <c r="P403" i="1"/>
  <c r="O403" i="1"/>
  <c r="N403" i="1"/>
  <c r="L403" i="1"/>
  <c r="F403" i="1" a="1"/>
  <c r="F403" i="1" s="1"/>
  <c r="D403" i="1" a="1"/>
  <c r="D403" i="1" s="1"/>
  <c r="B403" i="1"/>
  <c r="R402" i="1"/>
  <c r="Q402" i="1"/>
  <c r="P402" i="1"/>
  <c r="O402" i="1"/>
  <c r="N402" i="1"/>
  <c r="L402" i="1"/>
  <c r="F402" i="1" a="1"/>
  <c r="F402" i="1" s="1"/>
  <c r="D402" i="1" a="1"/>
  <c r="D402" i="1" s="1"/>
  <c r="B402" i="1"/>
  <c r="R401" i="1"/>
  <c r="Q401" i="1"/>
  <c r="P401" i="1"/>
  <c r="O401" i="1"/>
  <c r="N401" i="1"/>
  <c r="L401" i="1"/>
  <c r="F401" i="1" a="1"/>
  <c r="F401" i="1" s="1"/>
  <c r="D401" i="1" a="1"/>
  <c r="D401" i="1" s="1"/>
  <c r="B401" i="1"/>
  <c r="R400" i="1"/>
  <c r="Q400" i="1"/>
  <c r="P400" i="1"/>
  <c r="O400" i="1"/>
  <c r="N400" i="1"/>
  <c r="L400" i="1"/>
  <c r="F400" i="1" a="1"/>
  <c r="F400" i="1" s="1"/>
  <c r="D400" i="1" a="1"/>
  <c r="D400" i="1" s="1"/>
  <c r="B400" i="1"/>
  <c r="R399" i="1"/>
  <c r="Q399" i="1"/>
  <c r="P399" i="1"/>
  <c r="O399" i="1"/>
  <c r="N399" i="1"/>
  <c r="L399" i="1"/>
  <c r="F399" i="1" a="1"/>
  <c r="F399" i="1" s="1"/>
  <c r="D399" i="1" a="1"/>
  <c r="D399" i="1" s="1"/>
  <c r="B399" i="1"/>
  <c r="R398" i="1"/>
  <c r="Q398" i="1"/>
  <c r="P398" i="1"/>
  <c r="O398" i="1"/>
  <c r="N398" i="1"/>
  <c r="L398" i="1"/>
  <c r="F398" i="1" a="1"/>
  <c r="F398" i="1" s="1"/>
  <c r="D398" i="1" a="1"/>
  <c r="D398" i="1" s="1"/>
  <c r="B398" i="1"/>
  <c r="R397" i="1"/>
  <c r="Q397" i="1"/>
  <c r="P397" i="1"/>
  <c r="O397" i="1"/>
  <c r="N397" i="1"/>
  <c r="L397" i="1"/>
  <c r="F397" i="1" a="1"/>
  <c r="F397" i="1" s="1"/>
  <c r="D397" i="1" a="1"/>
  <c r="D397" i="1" s="1"/>
  <c r="B397" i="1"/>
  <c r="R396" i="1"/>
  <c r="Q396" i="1"/>
  <c r="P396" i="1"/>
  <c r="O396" i="1"/>
  <c r="N396" i="1"/>
  <c r="L396" i="1"/>
  <c r="F396" i="1" a="1"/>
  <c r="F396" i="1" s="1"/>
  <c r="D396" i="1" a="1"/>
  <c r="D396" i="1" s="1"/>
  <c r="B396" i="1"/>
  <c r="R395" i="1"/>
  <c r="Q395" i="1"/>
  <c r="P395" i="1"/>
  <c r="O395" i="1"/>
  <c r="N395" i="1"/>
  <c r="L395" i="1"/>
  <c r="F395" i="1" a="1"/>
  <c r="F395" i="1" s="1"/>
  <c r="D395" i="1" a="1"/>
  <c r="D395" i="1" s="1"/>
  <c r="B395" i="1"/>
  <c r="R394" i="1"/>
  <c r="Q394" i="1"/>
  <c r="P394" i="1"/>
  <c r="O394" i="1"/>
  <c r="N394" i="1"/>
  <c r="L394" i="1"/>
  <c r="F394" i="1" a="1"/>
  <c r="F394" i="1" s="1"/>
  <c r="D394" i="1" a="1"/>
  <c r="D394" i="1" s="1"/>
  <c r="B394" i="1"/>
  <c r="R393" i="1"/>
  <c r="Q393" i="1"/>
  <c r="P393" i="1"/>
  <c r="O393" i="1"/>
  <c r="N393" i="1"/>
  <c r="L393" i="1"/>
  <c r="F393" i="1" a="1"/>
  <c r="F393" i="1" s="1"/>
  <c r="D393" i="1" a="1"/>
  <c r="D393" i="1" s="1"/>
  <c r="B393" i="1"/>
  <c r="R392" i="1"/>
  <c r="Q392" i="1"/>
  <c r="P392" i="1"/>
  <c r="O392" i="1"/>
  <c r="N392" i="1"/>
  <c r="L392" i="1"/>
  <c r="F392" i="1" a="1"/>
  <c r="F392" i="1" s="1"/>
  <c r="D392" i="1" a="1"/>
  <c r="D392" i="1" s="1"/>
  <c r="B392" i="1"/>
  <c r="R391" i="1"/>
  <c r="Q391" i="1"/>
  <c r="P391" i="1"/>
  <c r="O391" i="1"/>
  <c r="N391" i="1"/>
  <c r="L391" i="1"/>
  <c r="F391" i="1" a="1"/>
  <c r="F391" i="1" s="1"/>
  <c r="D391" i="1" a="1"/>
  <c r="D391" i="1" s="1"/>
  <c r="B391" i="1"/>
  <c r="R390" i="1"/>
  <c r="Q390" i="1"/>
  <c r="P390" i="1"/>
  <c r="O390" i="1"/>
  <c r="N390" i="1"/>
  <c r="L390" i="1"/>
  <c r="F390" i="1" a="1"/>
  <c r="F390" i="1" s="1"/>
  <c r="D390" i="1" a="1"/>
  <c r="D390" i="1" s="1"/>
  <c r="B390" i="1"/>
  <c r="R389" i="1"/>
  <c r="Q389" i="1"/>
  <c r="P389" i="1"/>
  <c r="O389" i="1"/>
  <c r="N389" i="1"/>
  <c r="L389" i="1"/>
  <c r="F389" i="1" a="1"/>
  <c r="F389" i="1" s="1"/>
  <c r="D389" i="1" a="1"/>
  <c r="D389" i="1" s="1"/>
  <c r="B389" i="1"/>
  <c r="R388" i="1"/>
  <c r="Q388" i="1"/>
  <c r="P388" i="1"/>
  <c r="O388" i="1"/>
  <c r="N388" i="1"/>
  <c r="L388" i="1"/>
  <c r="F388" i="1" a="1"/>
  <c r="F388" i="1" s="1"/>
  <c r="D388" i="1" a="1"/>
  <c r="D388" i="1" s="1"/>
  <c r="B388" i="1"/>
  <c r="R387" i="1"/>
  <c r="Q387" i="1"/>
  <c r="P387" i="1"/>
  <c r="O387" i="1"/>
  <c r="N387" i="1"/>
  <c r="L387" i="1"/>
  <c r="F387" i="1" a="1"/>
  <c r="F387" i="1" s="1"/>
  <c r="D387" i="1" a="1"/>
  <c r="D387" i="1" s="1"/>
  <c r="B387" i="1"/>
  <c r="R386" i="1"/>
  <c r="Q386" i="1"/>
  <c r="P386" i="1"/>
  <c r="O386" i="1"/>
  <c r="N386" i="1"/>
  <c r="L386" i="1"/>
  <c r="F386" i="1" a="1"/>
  <c r="F386" i="1" s="1"/>
  <c r="D386" i="1" a="1"/>
  <c r="D386" i="1" s="1"/>
  <c r="B386" i="1"/>
  <c r="R385" i="1"/>
  <c r="Q385" i="1"/>
  <c r="P385" i="1"/>
  <c r="O385" i="1"/>
  <c r="N385" i="1"/>
  <c r="L385" i="1"/>
  <c r="F385" i="1" a="1"/>
  <c r="F385" i="1" s="1"/>
  <c r="D385" i="1" a="1"/>
  <c r="D385" i="1" s="1"/>
  <c r="B385" i="1"/>
  <c r="R384" i="1"/>
  <c r="Q384" i="1"/>
  <c r="P384" i="1"/>
  <c r="O384" i="1"/>
  <c r="N384" i="1"/>
  <c r="L384" i="1"/>
  <c r="F384" i="1" a="1"/>
  <c r="F384" i="1" s="1"/>
  <c r="D384" i="1" a="1"/>
  <c r="D384" i="1" s="1"/>
  <c r="B384" i="1"/>
  <c r="R383" i="1"/>
  <c r="Q383" i="1"/>
  <c r="P383" i="1"/>
  <c r="O383" i="1"/>
  <c r="N383" i="1"/>
  <c r="L383" i="1"/>
  <c r="F383" i="1" a="1"/>
  <c r="F383" i="1" s="1"/>
  <c r="D383" i="1" a="1"/>
  <c r="D383" i="1" s="1"/>
  <c r="B383" i="1"/>
  <c r="R382" i="1"/>
  <c r="Q382" i="1"/>
  <c r="P382" i="1"/>
  <c r="O382" i="1"/>
  <c r="N382" i="1"/>
  <c r="L382" i="1"/>
  <c r="F382" i="1" a="1"/>
  <c r="F382" i="1" s="1"/>
  <c r="D382" i="1" a="1"/>
  <c r="D382" i="1" s="1"/>
  <c r="B382" i="1"/>
  <c r="R381" i="1"/>
  <c r="Q381" i="1"/>
  <c r="P381" i="1"/>
  <c r="O381" i="1"/>
  <c r="N381" i="1"/>
  <c r="L381" i="1"/>
  <c r="F381" i="1" a="1"/>
  <c r="F381" i="1" s="1"/>
  <c r="D381" i="1" a="1"/>
  <c r="D381" i="1" s="1"/>
  <c r="B381" i="1"/>
  <c r="R380" i="1"/>
  <c r="Q380" i="1"/>
  <c r="P380" i="1"/>
  <c r="O380" i="1"/>
  <c r="N380" i="1"/>
  <c r="L380" i="1"/>
  <c r="F380" i="1" a="1"/>
  <c r="F380" i="1" s="1"/>
  <c r="D380" i="1" a="1"/>
  <c r="D380" i="1" s="1"/>
  <c r="B380" i="1"/>
  <c r="R379" i="1"/>
  <c r="Q379" i="1"/>
  <c r="P379" i="1"/>
  <c r="O379" i="1"/>
  <c r="N379" i="1"/>
  <c r="L379" i="1"/>
  <c r="F379" i="1" a="1"/>
  <c r="F379" i="1" s="1"/>
  <c r="D379" i="1" a="1"/>
  <c r="D379" i="1" s="1"/>
  <c r="B379" i="1"/>
  <c r="R378" i="1"/>
  <c r="Q378" i="1"/>
  <c r="P378" i="1"/>
  <c r="O378" i="1"/>
  <c r="N378" i="1"/>
  <c r="L378" i="1"/>
  <c r="F378" i="1" a="1"/>
  <c r="F378" i="1" s="1"/>
  <c r="D378" i="1" a="1"/>
  <c r="D378" i="1" s="1"/>
  <c r="B378" i="1"/>
  <c r="R377" i="1"/>
  <c r="Q377" i="1"/>
  <c r="P377" i="1"/>
  <c r="O377" i="1"/>
  <c r="N377" i="1"/>
  <c r="L377" i="1"/>
  <c r="F377" i="1" a="1"/>
  <c r="F377" i="1" s="1"/>
  <c r="D377" i="1" a="1"/>
  <c r="D377" i="1" s="1"/>
  <c r="B377" i="1"/>
  <c r="R376" i="1"/>
  <c r="Q376" i="1"/>
  <c r="P376" i="1"/>
  <c r="O376" i="1"/>
  <c r="N376" i="1"/>
  <c r="L376" i="1"/>
  <c r="F376" i="1" a="1"/>
  <c r="F376" i="1" s="1"/>
  <c r="D376" i="1" a="1"/>
  <c r="D376" i="1" s="1"/>
  <c r="B376" i="1"/>
  <c r="R375" i="1"/>
  <c r="Q375" i="1"/>
  <c r="P375" i="1"/>
  <c r="O375" i="1"/>
  <c r="N375" i="1"/>
  <c r="L375" i="1"/>
  <c r="F375" i="1" a="1"/>
  <c r="F375" i="1" s="1"/>
  <c r="D375" i="1" a="1"/>
  <c r="D375" i="1" s="1"/>
  <c r="B375" i="1"/>
  <c r="R374" i="1"/>
  <c r="Q374" i="1"/>
  <c r="P374" i="1"/>
  <c r="O374" i="1"/>
  <c r="N374" i="1"/>
  <c r="L374" i="1"/>
  <c r="F374" i="1" a="1"/>
  <c r="F374" i="1" s="1"/>
  <c r="D374" i="1" a="1"/>
  <c r="D374" i="1" s="1"/>
  <c r="B374" i="1"/>
  <c r="R373" i="1"/>
  <c r="Q373" i="1"/>
  <c r="P373" i="1"/>
  <c r="O373" i="1"/>
  <c r="N373" i="1"/>
  <c r="L373" i="1"/>
  <c r="F373" i="1" a="1"/>
  <c r="F373" i="1" s="1"/>
  <c r="D373" i="1" a="1"/>
  <c r="D373" i="1" s="1"/>
  <c r="B373" i="1"/>
  <c r="R372" i="1"/>
  <c r="Q372" i="1"/>
  <c r="P372" i="1"/>
  <c r="O372" i="1"/>
  <c r="N372" i="1"/>
  <c r="L372" i="1"/>
  <c r="F372" i="1" a="1"/>
  <c r="F372" i="1" s="1"/>
  <c r="D372" i="1" a="1"/>
  <c r="D372" i="1" s="1"/>
  <c r="B372" i="1"/>
  <c r="R371" i="1"/>
  <c r="Q371" i="1"/>
  <c r="P371" i="1"/>
  <c r="O371" i="1"/>
  <c r="N371" i="1"/>
  <c r="L371" i="1"/>
  <c r="F371" i="1" a="1"/>
  <c r="F371" i="1" s="1"/>
  <c r="D371" i="1" a="1"/>
  <c r="D371" i="1" s="1"/>
  <c r="B371" i="1"/>
  <c r="R370" i="1"/>
  <c r="Q370" i="1"/>
  <c r="P370" i="1"/>
  <c r="O370" i="1"/>
  <c r="N370" i="1"/>
  <c r="L370" i="1"/>
  <c r="F370" i="1" a="1"/>
  <c r="F370" i="1" s="1"/>
  <c r="D370" i="1" a="1"/>
  <c r="D370" i="1" s="1"/>
  <c r="B370" i="1"/>
  <c r="R369" i="1"/>
  <c r="Q369" i="1"/>
  <c r="P369" i="1"/>
  <c r="O369" i="1"/>
  <c r="N369" i="1"/>
  <c r="L369" i="1"/>
  <c r="F369" i="1" a="1"/>
  <c r="F369" i="1" s="1"/>
  <c r="D369" i="1" a="1"/>
  <c r="D369" i="1" s="1"/>
  <c r="B369" i="1"/>
  <c r="R368" i="1"/>
  <c r="Q368" i="1"/>
  <c r="P368" i="1"/>
  <c r="O368" i="1"/>
  <c r="N368" i="1"/>
  <c r="L368" i="1"/>
  <c r="F368" i="1" a="1"/>
  <c r="F368" i="1" s="1"/>
  <c r="D368" i="1" a="1"/>
  <c r="D368" i="1" s="1"/>
  <c r="B368" i="1"/>
  <c r="R367" i="1"/>
  <c r="Q367" i="1"/>
  <c r="P367" i="1"/>
  <c r="O367" i="1"/>
  <c r="N367" i="1"/>
  <c r="L367" i="1"/>
  <c r="F367" i="1" a="1"/>
  <c r="F367" i="1" s="1"/>
  <c r="D367" i="1" a="1"/>
  <c r="D367" i="1" s="1"/>
  <c r="B367" i="1"/>
  <c r="R366" i="1"/>
  <c r="Q366" i="1"/>
  <c r="P366" i="1"/>
  <c r="O366" i="1"/>
  <c r="N366" i="1"/>
  <c r="L366" i="1"/>
  <c r="F366" i="1" a="1"/>
  <c r="F366" i="1" s="1"/>
  <c r="D366" i="1" a="1"/>
  <c r="D366" i="1" s="1"/>
  <c r="B366" i="1"/>
  <c r="R365" i="1"/>
  <c r="Q365" i="1"/>
  <c r="P365" i="1"/>
  <c r="O365" i="1"/>
  <c r="N365" i="1"/>
  <c r="L365" i="1"/>
  <c r="F365" i="1" a="1"/>
  <c r="F365" i="1" s="1"/>
  <c r="D365" i="1" a="1"/>
  <c r="D365" i="1" s="1"/>
  <c r="B365" i="1"/>
  <c r="R364" i="1"/>
  <c r="Q364" i="1"/>
  <c r="P364" i="1"/>
  <c r="O364" i="1"/>
  <c r="N364" i="1"/>
  <c r="L364" i="1"/>
  <c r="F364" i="1" a="1"/>
  <c r="F364" i="1" s="1"/>
  <c r="D364" i="1" a="1"/>
  <c r="D364" i="1" s="1"/>
  <c r="B364" i="1"/>
  <c r="R363" i="1"/>
  <c r="Q363" i="1"/>
  <c r="P363" i="1"/>
  <c r="O363" i="1"/>
  <c r="N363" i="1"/>
  <c r="L363" i="1"/>
  <c r="F363" i="1" a="1"/>
  <c r="F363" i="1" s="1"/>
  <c r="D363" i="1" a="1"/>
  <c r="D363" i="1" s="1"/>
  <c r="B363" i="1"/>
  <c r="R362" i="1"/>
  <c r="Q362" i="1"/>
  <c r="P362" i="1"/>
  <c r="O362" i="1"/>
  <c r="N362" i="1"/>
  <c r="L362" i="1"/>
  <c r="F362" i="1" a="1"/>
  <c r="F362" i="1" s="1"/>
  <c r="D362" i="1" a="1"/>
  <c r="D362" i="1" s="1"/>
  <c r="B362" i="1"/>
  <c r="R361" i="1"/>
  <c r="Q361" i="1"/>
  <c r="P361" i="1"/>
  <c r="O361" i="1"/>
  <c r="N361" i="1"/>
  <c r="L361" i="1"/>
  <c r="F361" i="1" a="1"/>
  <c r="F361" i="1" s="1"/>
  <c r="D361" i="1" a="1"/>
  <c r="D361" i="1" s="1"/>
  <c r="B361" i="1"/>
  <c r="R360" i="1"/>
  <c r="Q360" i="1"/>
  <c r="P360" i="1"/>
  <c r="O360" i="1"/>
  <c r="N360" i="1"/>
  <c r="L360" i="1"/>
  <c r="F360" i="1" a="1"/>
  <c r="F360" i="1" s="1"/>
  <c r="D360" i="1" a="1"/>
  <c r="D360" i="1" s="1"/>
  <c r="B360" i="1"/>
  <c r="R359" i="1"/>
  <c r="Q359" i="1"/>
  <c r="P359" i="1"/>
  <c r="O359" i="1"/>
  <c r="N359" i="1"/>
  <c r="L359" i="1"/>
  <c r="F359" i="1" a="1"/>
  <c r="F359" i="1" s="1"/>
  <c r="D359" i="1" a="1"/>
  <c r="D359" i="1" s="1"/>
  <c r="B359" i="1"/>
  <c r="R358" i="1"/>
  <c r="Q358" i="1"/>
  <c r="P358" i="1"/>
  <c r="O358" i="1"/>
  <c r="N358" i="1"/>
  <c r="L358" i="1"/>
  <c r="F358" i="1" a="1"/>
  <c r="F358" i="1" s="1"/>
  <c r="D358" i="1" a="1"/>
  <c r="D358" i="1" s="1"/>
  <c r="B358" i="1"/>
  <c r="R357" i="1"/>
  <c r="Q357" i="1"/>
  <c r="P357" i="1"/>
  <c r="O357" i="1"/>
  <c r="N357" i="1"/>
  <c r="L357" i="1"/>
  <c r="F357" i="1" a="1"/>
  <c r="F357" i="1" s="1"/>
  <c r="D357" i="1" a="1"/>
  <c r="D357" i="1" s="1"/>
  <c r="B357" i="1"/>
  <c r="R356" i="1"/>
  <c r="Q356" i="1"/>
  <c r="P356" i="1"/>
  <c r="O356" i="1"/>
  <c r="N356" i="1"/>
  <c r="L356" i="1"/>
  <c r="F356" i="1" a="1"/>
  <c r="F356" i="1" s="1"/>
  <c r="D356" i="1" a="1"/>
  <c r="D356" i="1" s="1"/>
  <c r="B356" i="1"/>
  <c r="R355" i="1"/>
  <c r="Q355" i="1"/>
  <c r="P355" i="1"/>
  <c r="O355" i="1"/>
  <c r="N355" i="1"/>
  <c r="L355" i="1"/>
  <c r="F355" i="1" a="1"/>
  <c r="F355" i="1" s="1"/>
  <c r="D355" i="1" a="1"/>
  <c r="D355" i="1" s="1"/>
  <c r="B355" i="1"/>
  <c r="R354" i="1"/>
  <c r="Q354" i="1"/>
  <c r="P354" i="1"/>
  <c r="O354" i="1"/>
  <c r="N354" i="1"/>
  <c r="L354" i="1"/>
  <c r="F354" i="1" a="1"/>
  <c r="F354" i="1" s="1"/>
  <c r="D354" i="1" a="1"/>
  <c r="D354" i="1" s="1"/>
  <c r="B354" i="1"/>
  <c r="R353" i="1"/>
  <c r="Q353" i="1"/>
  <c r="P353" i="1"/>
  <c r="O353" i="1"/>
  <c r="N353" i="1"/>
  <c r="L353" i="1"/>
  <c r="F353" i="1" a="1"/>
  <c r="F353" i="1" s="1"/>
  <c r="D353" i="1" a="1"/>
  <c r="D353" i="1" s="1"/>
  <c r="B353" i="1"/>
  <c r="R352" i="1"/>
  <c r="Q352" i="1"/>
  <c r="P352" i="1"/>
  <c r="O352" i="1"/>
  <c r="N352" i="1"/>
  <c r="L352" i="1"/>
  <c r="F352" i="1" a="1"/>
  <c r="F352" i="1" s="1"/>
  <c r="D352" i="1" a="1"/>
  <c r="D352" i="1" s="1"/>
  <c r="B352" i="1"/>
  <c r="R351" i="1"/>
  <c r="Q351" i="1"/>
  <c r="P351" i="1"/>
  <c r="O351" i="1"/>
  <c r="N351" i="1"/>
  <c r="L351" i="1"/>
  <c r="F351" i="1" a="1"/>
  <c r="F351" i="1" s="1"/>
  <c r="D351" i="1" a="1"/>
  <c r="D351" i="1" s="1"/>
  <c r="B351" i="1"/>
  <c r="R350" i="1"/>
  <c r="Q350" i="1"/>
  <c r="P350" i="1"/>
  <c r="O350" i="1"/>
  <c r="N350" i="1"/>
  <c r="L350" i="1"/>
  <c r="F350" i="1" a="1"/>
  <c r="F350" i="1" s="1"/>
  <c r="D350" i="1" a="1"/>
  <c r="D350" i="1" s="1"/>
  <c r="B350" i="1"/>
  <c r="R349" i="1"/>
  <c r="Q349" i="1"/>
  <c r="P349" i="1"/>
  <c r="O349" i="1"/>
  <c r="N349" i="1"/>
  <c r="L349" i="1"/>
  <c r="F349" i="1" a="1"/>
  <c r="F349" i="1" s="1"/>
  <c r="D349" i="1" a="1"/>
  <c r="D349" i="1" s="1"/>
  <c r="B349" i="1"/>
  <c r="R348" i="1"/>
  <c r="Q348" i="1"/>
  <c r="P348" i="1"/>
  <c r="O348" i="1"/>
  <c r="N348" i="1"/>
  <c r="L348" i="1"/>
  <c r="F348" i="1" a="1"/>
  <c r="F348" i="1" s="1"/>
  <c r="D348" i="1" a="1"/>
  <c r="D348" i="1" s="1"/>
  <c r="B348" i="1"/>
  <c r="R347" i="1"/>
  <c r="Q347" i="1"/>
  <c r="P347" i="1"/>
  <c r="O347" i="1"/>
  <c r="N347" i="1"/>
  <c r="L347" i="1"/>
  <c r="F347" i="1" a="1"/>
  <c r="F347" i="1" s="1"/>
  <c r="D347" i="1" a="1"/>
  <c r="D347" i="1" s="1"/>
  <c r="B347" i="1"/>
  <c r="R346" i="1"/>
  <c r="Q346" i="1"/>
  <c r="P346" i="1"/>
  <c r="O346" i="1"/>
  <c r="N346" i="1"/>
  <c r="L346" i="1"/>
  <c r="F346" i="1" a="1"/>
  <c r="F346" i="1" s="1"/>
  <c r="D346" i="1" a="1"/>
  <c r="D346" i="1" s="1"/>
  <c r="B346" i="1"/>
  <c r="R345" i="1"/>
  <c r="Q345" i="1"/>
  <c r="P345" i="1"/>
  <c r="O345" i="1"/>
  <c r="N345" i="1"/>
  <c r="L345" i="1"/>
  <c r="F345" i="1" a="1"/>
  <c r="F345" i="1" s="1"/>
  <c r="D345" i="1" a="1"/>
  <c r="D345" i="1" s="1"/>
  <c r="B345" i="1"/>
  <c r="R344" i="1"/>
  <c r="Q344" i="1"/>
  <c r="P344" i="1"/>
  <c r="O344" i="1"/>
  <c r="N344" i="1"/>
  <c r="L344" i="1"/>
  <c r="F344" i="1" a="1"/>
  <c r="F344" i="1" s="1"/>
  <c r="D344" i="1" a="1"/>
  <c r="D344" i="1" s="1"/>
  <c r="B344" i="1"/>
  <c r="R343" i="1"/>
  <c r="Q343" i="1"/>
  <c r="P343" i="1"/>
  <c r="O343" i="1"/>
  <c r="N343" i="1"/>
  <c r="L343" i="1"/>
  <c r="F343" i="1" a="1"/>
  <c r="F343" i="1" s="1"/>
  <c r="D343" i="1" a="1"/>
  <c r="D343" i="1" s="1"/>
  <c r="B343" i="1"/>
  <c r="R342" i="1"/>
  <c r="Q342" i="1"/>
  <c r="P342" i="1"/>
  <c r="O342" i="1"/>
  <c r="N342" i="1"/>
  <c r="L342" i="1"/>
  <c r="F342" i="1" a="1"/>
  <c r="F342" i="1" s="1"/>
  <c r="D342" i="1" a="1"/>
  <c r="D342" i="1" s="1"/>
  <c r="B342" i="1"/>
  <c r="R341" i="1"/>
  <c r="Q341" i="1"/>
  <c r="P341" i="1"/>
  <c r="O341" i="1"/>
  <c r="N341" i="1"/>
  <c r="L341" i="1"/>
  <c r="F341" i="1" a="1"/>
  <c r="F341" i="1" s="1"/>
  <c r="D341" i="1" a="1"/>
  <c r="D341" i="1" s="1"/>
  <c r="B341" i="1"/>
  <c r="R340" i="1"/>
  <c r="Q340" i="1"/>
  <c r="P340" i="1"/>
  <c r="O340" i="1"/>
  <c r="N340" i="1"/>
  <c r="L340" i="1"/>
  <c r="F340" i="1" a="1"/>
  <c r="F340" i="1" s="1"/>
  <c r="D340" i="1" a="1"/>
  <c r="D340" i="1" s="1"/>
  <c r="B340" i="1"/>
  <c r="R339" i="1"/>
  <c r="Q339" i="1"/>
  <c r="P339" i="1"/>
  <c r="O339" i="1"/>
  <c r="N339" i="1"/>
  <c r="L339" i="1"/>
  <c r="F339" i="1" a="1"/>
  <c r="F339" i="1" s="1"/>
  <c r="D339" i="1" a="1"/>
  <c r="D339" i="1" s="1"/>
  <c r="B339" i="1"/>
  <c r="R338" i="1"/>
  <c r="Q338" i="1"/>
  <c r="P338" i="1"/>
  <c r="O338" i="1"/>
  <c r="N338" i="1"/>
  <c r="L338" i="1"/>
  <c r="F338" i="1" a="1"/>
  <c r="F338" i="1" s="1"/>
  <c r="D338" i="1" a="1"/>
  <c r="D338" i="1" s="1"/>
  <c r="B338" i="1"/>
  <c r="R337" i="1"/>
  <c r="Q337" i="1"/>
  <c r="P337" i="1"/>
  <c r="O337" i="1"/>
  <c r="N337" i="1"/>
  <c r="L337" i="1"/>
  <c r="F337" i="1" a="1"/>
  <c r="F337" i="1" s="1"/>
  <c r="D337" i="1" a="1"/>
  <c r="D337" i="1" s="1"/>
  <c r="B337" i="1"/>
  <c r="R336" i="1"/>
  <c r="Q336" i="1"/>
  <c r="P336" i="1"/>
  <c r="O336" i="1"/>
  <c r="N336" i="1"/>
  <c r="L336" i="1"/>
  <c r="F336" i="1" a="1"/>
  <c r="F336" i="1" s="1"/>
  <c r="D336" i="1" a="1"/>
  <c r="D336" i="1" s="1"/>
  <c r="B336" i="1"/>
  <c r="R335" i="1"/>
  <c r="Q335" i="1"/>
  <c r="P335" i="1"/>
  <c r="O335" i="1"/>
  <c r="N335" i="1"/>
  <c r="L335" i="1"/>
  <c r="F335" i="1" a="1"/>
  <c r="F335" i="1" s="1"/>
  <c r="D335" i="1" a="1"/>
  <c r="D335" i="1" s="1"/>
  <c r="B335" i="1"/>
  <c r="R334" i="1"/>
  <c r="Q334" i="1"/>
  <c r="P334" i="1"/>
  <c r="O334" i="1"/>
  <c r="N334" i="1"/>
  <c r="L334" i="1"/>
  <c r="F334" i="1" a="1"/>
  <c r="F334" i="1" s="1"/>
  <c r="D334" i="1" a="1"/>
  <c r="D334" i="1" s="1"/>
  <c r="B334" i="1"/>
  <c r="R333" i="1"/>
  <c r="Q333" i="1"/>
  <c r="P333" i="1"/>
  <c r="O333" i="1"/>
  <c r="N333" i="1"/>
  <c r="L333" i="1"/>
  <c r="F333" i="1" a="1"/>
  <c r="F333" i="1" s="1"/>
  <c r="D333" i="1" a="1"/>
  <c r="D333" i="1" s="1"/>
  <c r="B333" i="1"/>
  <c r="R332" i="1"/>
  <c r="Q332" i="1"/>
  <c r="P332" i="1"/>
  <c r="O332" i="1"/>
  <c r="N332" i="1"/>
  <c r="L332" i="1"/>
  <c r="F332" i="1" a="1"/>
  <c r="F332" i="1" s="1"/>
  <c r="D332" i="1" a="1"/>
  <c r="D332" i="1" s="1"/>
  <c r="B332" i="1"/>
  <c r="R331" i="1"/>
  <c r="Q331" i="1"/>
  <c r="P331" i="1"/>
  <c r="O331" i="1"/>
  <c r="N331" i="1"/>
  <c r="L331" i="1"/>
  <c r="F331" i="1" a="1"/>
  <c r="F331" i="1" s="1"/>
  <c r="D331" i="1" a="1"/>
  <c r="D331" i="1" s="1"/>
  <c r="B331" i="1"/>
  <c r="R330" i="1"/>
  <c r="Q330" i="1"/>
  <c r="P330" i="1"/>
  <c r="O330" i="1"/>
  <c r="N330" i="1"/>
  <c r="L330" i="1"/>
  <c r="F330" i="1" a="1"/>
  <c r="F330" i="1" s="1"/>
  <c r="D330" i="1" a="1"/>
  <c r="D330" i="1" s="1"/>
  <c r="B330" i="1"/>
  <c r="R329" i="1"/>
  <c r="Q329" i="1"/>
  <c r="P329" i="1"/>
  <c r="O329" i="1"/>
  <c r="N329" i="1"/>
  <c r="L329" i="1"/>
  <c r="F329" i="1" a="1"/>
  <c r="F329" i="1" s="1"/>
  <c r="D329" i="1" a="1"/>
  <c r="D329" i="1" s="1"/>
  <c r="B329" i="1"/>
  <c r="R328" i="1"/>
  <c r="Q328" i="1"/>
  <c r="P328" i="1"/>
  <c r="O328" i="1"/>
  <c r="N328" i="1"/>
  <c r="L328" i="1"/>
  <c r="F328" i="1" a="1"/>
  <c r="F328" i="1" s="1"/>
  <c r="D328" i="1" a="1"/>
  <c r="D328" i="1" s="1"/>
  <c r="B328" i="1"/>
  <c r="R327" i="1"/>
  <c r="Q327" i="1"/>
  <c r="P327" i="1"/>
  <c r="O327" i="1"/>
  <c r="N327" i="1"/>
  <c r="L327" i="1"/>
  <c r="F327" i="1" a="1"/>
  <c r="F327" i="1" s="1"/>
  <c r="D327" i="1" a="1"/>
  <c r="D327" i="1" s="1"/>
  <c r="B327" i="1"/>
  <c r="R326" i="1"/>
  <c r="Q326" i="1"/>
  <c r="P326" i="1"/>
  <c r="O326" i="1"/>
  <c r="N326" i="1"/>
  <c r="L326" i="1"/>
  <c r="F326" i="1" a="1"/>
  <c r="F326" i="1" s="1"/>
  <c r="D326" i="1" a="1"/>
  <c r="D326" i="1" s="1"/>
  <c r="B326" i="1"/>
  <c r="R325" i="1"/>
  <c r="Q325" i="1"/>
  <c r="P325" i="1"/>
  <c r="O325" i="1"/>
  <c r="N325" i="1"/>
  <c r="L325" i="1"/>
  <c r="F325" i="1" a="1"/>
  <c r="F325" i="1" s="1"/>
  <c r="D325" i="1" a="1"/>
  <c r="D325" i="1" s="1"/>
  <c r="B325" i="1"/>
  <c r="R324" i="1"/>
  <c r="Q324" i="1"/>
  <c r="P324" i="1"/>
  <c r="O324" i="1"/>
  <c r="N324" i="1"/>
  <c r="L324" i="1"/>
  <c r="F324" i="1" a="1"/>
  <c r="F324" i="1" s="1"/>
  <c r="D324" i="1" a="1"/>
  <c r="D324" i="1" s="1"/>
  <c r="B324" i="1"/>
  <c r="R323" i="1"/>
  <c r="Q323" i="1"/>
  <c r="P323" i="1"/>
  <c r="O323" i="1"/>
  <c r="N323" i="1"/>
  <c r="L323" i="1"/>
  <c r="F323" i="1" a="1"/>
  <c r="F323" i="1" s="1"/>
  <c r="D323" i="1" a="1"/>
  <c r="D323" i="1" s="1"/>
  <c r="B323" i="1"/>
  <c r="R322" i="1"/>
  <c r="Q322" i="1"/>
  <c r="P322" i="1"/>
  <c r="O322" i="1"/>
  <c r="N322" i="1"/>
  <c r="L322" i="1"/>
  <c r="F322" i="1" a="1"/>
  <c r="F322" i="1" s="1"/>
  <c r="D322" i="1" a="1"/>
  <c r="D322" i="1" s="1"/>
  <c r="B322" i="1"/>
  <c r="R321" i="1"/>
  <c r="Q321" i="1"/>
  <c r="P321" i="1"/>
  <c r="O321" i="1"/>
  <c r="N321" i="1"/>
  <c r="L321" i="1"/>
  <c r="F321" i="1" a="1"/>
  <c r="F321" i="1" s="1"/>
  <c r="D321" i="1" a="1"/>
  <c r="D321" i="1" s="1"/>
  <c r="B321" i="1"/>
  <c r="R320" i="1"/>
  <c r="Q320" i="1"/>
  <c r="P320" i="1"/>
  <c r="O320" i="1"/>
  <c r="N320" i="1"/>
  <c r="L320" i="1"/>
  <c r="F320" i="1" a="1"/>
  <c r="F320" i="1" s="1"/>
  <c r="D320" i="1" a="1"/>
  <c r="D320" i="1" s="1"/>
  <c r="B320" i="1"/>
  <c r="R319" i="1"/>
  <c r="Q319" i="1"/>
  <c r="P319" i="1"/>
  <c r="O319" i="1"/>
  <c r="N319" i="1"/>
  <c r="L319" i="1"/>
  <c r="F319" i="1" a="1"/>
  <c r="F319" i="1" s="1"/>
  <c r="D319" i="1" a="1"/>
  <c r="D319" i="1" s="1"/>
  <c r="B319" i="1"/>
  <c r="R318" i="1"/>
  <c r="Q318" i="1"/>
  <c r="P318" i="1"/>
  <c r="O318" i="1"/>
  <c r="N318" i="1"/>
  <c r="L318" i="1"/>
  <c r="F318" i="1" a="1"/>
  <c r="F318" i="1" s="1"/>
  <c r="D318" i="1" a="1"/>
  <c r="D318" i="1" s="1"/>
  <c r="B318" i="1"/>
  <c r="R317" i="1"/>
  <c r="Q317" i="1"/>
  <c r="P317" i="1"/>
  <c r="O317" i="1"/>
  <c r="N317" i="1"/>
  <c r="L317" i="1"/>
  <c r="F317" i="1" a="1"/>
  <c r="F317" i="1" s="1"/>
  <c r="D317" i="1" a="1"/>
  <c r="D317" i="1" s="1"/>
  <c r="B317" i="1"/>
  <c r="R316" i="1"/>
  <c r="Q316" i="1"/>
  <c r="P316" i="1"/>
  <c r="O316" i="1"/>
  <c r="N316" i="1"/>
  <c r="L316" i="1"/>
  <c r="F316" i="1" a="1"/>
  <c r="F316" i="1" s="1"/>
  <c r="D316" i="1" a="1"/>
  <c r="D316" i="1" s="1"/>
  <c r="B316" i="1"/>
  <c r="R315" i="1"/>
  <c r="Q315" i="1"/>
  <c r="P315" i="1"/>
  <c r="O315" i="1"/>
  <c r="N315" i="1"/>
  <c r="L315" i="1"/>
  <c r="F315" i="1" a="1"/>
  <c r="F315" i="1" s="1"/>
  <c r="D315" i="1" a="1"/>
  <c r="D315" i="1" s="1"/>
  <c r="B315" i="1"/>
  <c r="R314" i="1"/>
  <c r="Q314" i="1"/>
  <c r="P314" i="1"/>
  <c r="O314" i="1"/>
  <c r="N314" i="1"/>
  <c r="L314" i="1"/>
  <c r="F314" i="1" a="1"/>
  <c r="F314" i="1" s="1"/>
  <c r="D314" i="1" a="1"/>
  <c r="D314" i="1" s="1"/>
  <c r="B314" i="1"/>
  <c r="R313" i="1"/>
  <c r="Q313" i="1"/>
  <c r="P313" i="1"/>
  <c r="O313" i="1"/>
  <c r="N313" i="1"/>
  <c r="L313" i="1"/>
  <c r="F313" i="1" a="1"/>
  <c r="F313" i="1" s="1"/>
  <c r="D313" i="1" a="1"/>
  <c r="D313" i="1" s="1"/>
  <c r="B313" i="1"/>
  <c r="R312" i="1"/>
  <c r="Q312" i="1"/>
  <c r="P312" i="1"/>
  <c r="O312" i="1"/>
  <c r="N312" i="1"/>
  <c r="L312" i="1"/>
  <c r="F312" i="1" a="1"/>
  <c r="F312" i="1" s="1"/>
  <c r="D312" i="1" a="1"/>
  <c r="D312" i="1" s="1"/>
  <c r="B312" i="1"/>
  <c r="R311" i="1"/>
  <c r="Q311" i="1"/>
  <c r="P311" i="1"/>
  <c r="O311" i="1"/>
  <c r="N311" i="1"/>
  <c r="L311" i="1"/>
  <c r="F311" i="1" a="1"/>
  <c r="F311" i="1" s="1"/>
  <c r="D311" i="1" a="1"/>
  <c r="D311" i="1" s="1"/>
  <c r="B311" i="1"/>
  <c r="R310" i="1"/>
  <c r="Q310" i="1"/>
  <c r="P310" i="1"/>
  <c r="O310" i="1"/>
  <c r="N310" i="1"/>
  <c r="L310" i="1"/>
  <c r="F310" i="1" a="1"/>
  <c r="F310" i="1" s="1"/>
  <c r="D310" i="1" a="1"/>
  <c r="D310" i="1" s="1"/>
  <c r="B310" i="1"/>
  <c r="R309" i="1"/>
  <c r="Q309" i="1"/>
  <c r="P309" i="1"/>
  <c r="O309" i="1"/>
  <c r="N309" i="1"/>
  <c r="L309" i="1"/>
  <c r="F309" i="1" a="1"/>
  <c r="F309" i="1" s="1"/>
  <c r="D309" i="1" a="1"/>
  <c r="D309" i="1" s="1"/>
  <c r="B309" i="1"/>
  <c r="R308" i="1"/>
  <c r="Q308" i="1"/>
  <c r="P308" i="1"/>
  <c r="O308" i="1"/>
  <c r="N308" i="1"/>
  <c r="L308" i="1"/>
  <c r="F308" i="1" a="1"/>
  <c r="F308" i="1" s="1"/>
  <c r="D308" i="1" a="1"/>
  <c r="D308" i="1" s="1"/>
  <c r="B308" i="1"/>
  <c r="R307" i="1"/>
  <c r="Q307" i="1"/>
  <c r="P307" i="1"/>
  <c r="O307" i="1"/>
  <c r="N307" i="1"/>
  <c r="L307" i="1"/>
  <c r="F307" i="1" a="1"/>
  <c r="F307" i="1" s="1"/>
  <c r="D307" i="1" a="1"/>
  <c r="D307" i="1" s="1"/>
  <c r="B307" i="1"/>
  <c r="R306" i="1"/>
  <c r="Q306" i="1"/>
  <c r="P306" i="1"/>
  <c r="O306" i="1"/>
  <c r="N306" i="1"/>
  <c r="L306" i="1"/>
  <c r="F306" i="1" a="1"/>
  <c r="F306" i="1" s="1"/>
  <c r="D306" i="1" a="1"/>
  <c r="D306" i="1" s="1"/>
  <c r="B306" i="1"/>
  <c r="R305" i="1"/>
  <c r="Q305" i="1"/>
  <c r="P305" i="1"/>
  <c r="O305" i="1"/>
  <c r="N305" i="1"/>
  <c r="L305" i="1"/>
  <c r="F305" i="1" a="1"/>
  <c r="F305" i="1" s="1"/>
  <c r="D305" i="1" a="1"/>
  <c r="D305" i="1" s="1"/>
  <c r="B305" i="1"/>
  <c r="R304" i="1"/>
  <c r="Q304" i="1"/>
  <c r="P304" i="1"/>
  <c r="O304" i="1"/>
  <c r="N304" i="1"/>
  <c r="L304" i="1"/>
  <c r="F304" i="1" a="1"/>
  <c r="F304" i="1" s="1"/>
  <c r="D304" i="1" a="1"/>
  <c r="D304" i="1" s="1"/>
  <c r="B304" i="1"/>
  <c r="R303" i="1"/>
  <c r="Q303" i="1"/>
  <c r="P303" i="1"/>
  <c r="O303" i="1"/>
  <c r="N303" i="1"/>
  <c r="L303" i="1"/>
  <c r="F303" i="1" a="1"/>
  <c r="F303" i="1" s="1"/>
  <c r="D303" i="1" a="1"/>
  <c r="D303" i="1" s="1"/>
  <c r="B303" i="1"/>
  <c r="R302" i="1"/>
  <c r="Q302" i="1"/>
  <c r="P302" i="1"/>
  <c r="O302" i="1"/>
  <c r="N302" i="1"/>
  <c r="L302" i="1"/>
  <c r="F302" i="1" a="1"/>
  <c r="F302" i="1" s="1"/>
  <c r="D302" i="1" a="1"/>
  <c r="D302" i="1" s="1"/>
  <c r="B302" i="1"/>
  <c r="R301" i="1"/>
  <c r="Q301" i="1"/>
  <c r="P301" i="1"/>
  <c r="O301" i="1"/>
  <c r="N301" i="1"/>
  <c r="L301" i="1"/>
  <c r="F301" i="1" a="1"/>
  <c r="F301" i="1" s="1"/>
  <c r="D301" i="1" a="1"/>
  <c r="D301" i="1" s="1"/>
  <c r="B301" i="1"/>
  <c r="R300" i="1"/>
  <c r="Q300" i="1"/>
  <c r="P300" i="1"/>
  <c r="O300" i="1"/>
  <c r="N300" i="1"/>
  <c r="L300" i="1"/>
  <c r="F300" i="1" a="1"/>
  <c r="F300" i="1" s="1"/>
  <c r="D300" i="1" a="1"/>
  <c r="D300" i="1" s="1"/>
  <c r="B300" i="1"/>
  <c r="R299" i="1"/>
  <c r="Q299" i="1"/>
  <c r="P299" i="1"/>
  <c r="O299" i="1"/>
  <c r="N299" i="1"/>
  <c r="L299" i="1"/>
  <c r="F299" i="1" a="1"/>
  <c r="F299" i="1" s="1"/>
  <c r="D299" i="1" a="1"/>
  <c r="D299" i="1" s="1"/>
  <c r="B299" i="1"/>
  <c r="R298" i="1"/>
  <c r="Q298" i="1"/>
  <c r="P298" i="1"/>
  <c r="O298" i="1"/>
  <c r="N298" i="1"/>
  <c r="L298" i="1"/>
  <c r="F298" i="1" a="1"/>
  <c r="F298" i="1" s="1"/>
  <c r="D298" i="1" a="1"/>
  <c r="D298" i="1" s="1"/>
  <c r="B298" i="1"/>
  <c r="R297" i="1"/>
  <c r="Q297" i="1"/>
  <c r="P297" i="1"/>
  <c r="O297" i="1"/>
  <c r="N297" i="1"/>
  <c r="L297" i="1"/>
  <c r="F297" i="1" a="1"/>
  <c r="F297" i="1" s="1"/>
  <c r="D297" i="1" a="1"/>
  <c r="D297" i="1" s="1"/>
  <c r="B297" i="1"/>
  <c r="R296" i="1"/>
  <c r="Q296" i="1"/>
  <c r="P296" i="1"/>
  <c r="O296" i="1"/>
  <c r="N296" i="1"/>
  <c r="L296" i="1"/>
  <c r="F296" i="1" a="1"/>
  <c r="F296" i="1" s="1"/>
  <c r="D296" i="1" a="1"/>
  <c r="D296" i="1" s="1"/>
  <c r="B296" i="1"/>
  <c r="R295" i="1"/>
  <c r="Q295" i="1"/>
  <c r="P295" i="1"/>
  <c r="O295" i="1"/>
  <c r="N295" i="1"/>
  <c r="L295" i="1"/>
  <c r="F295" i="1" a="1"/>
  <c r="F295" i="1" s="1"/>
  <c r="D295" i="1" a="1"/>
  <c r="D295" i="1" s="1"/>
  <c r="B295" i="1"/>
  <c r="R294" i="1"/>
  <c r="Q294" i="1"/>
  <c r="P294" i="1"/>
  <c r="O294" i="1"/>
  <c r="N294" i="1"/>
  <c r="L294" i="1"/>
  <c r="F294" i="1" a="1"/>
  <c r="F294" i="1" s="1"/>
  <c r="D294" i="1" a="1"/>
  <c r="D294" i="1" s="1"/>
  <c r="B294" i="1"/>
  <c r="R293" i="1"/>
  <c r="Q293" i="1"/>
  <c r="P293" i="1"/>
  <c r="O293" i="1"/>
  <c r="N293" i="1"/>
  <c r="L293" i="1"/>
  <c r="F293" i="1" a="1"/>
  <c r="F293" i="1" s="1"/>
  <c r="D293" i="1" a="1"/>
  <c r="D293" i="1" s="1"/>
  <c r="B293" i="1"/>
  <c r="R292" i="1"/>
  <c r="Q292" i="1"/>
  <c r="P292" i="1"/>
  <c r="O292" i="1"/>
  <c r="N292" i="1"/>
  <c r="L292" i="1"/>
  <c r="F292" i="1" a="1"/>
  <c r="F292" i="1" s="1"/>
  <c r="D292" i="1" a="1"/>
  <c r="D292" i="1" s="1"/>
  <c r="B292" i="1"/>
  <c r="R291" i="1"/>
  <c r="Q291" i="1"/>
  <c r="P291" i="1"/>
  <c r="O291" i="1"/>
  <c r="N291" i="1"/>
  <c r="L291" i="1"/>
  <c r="F291" i="1" a="1"/>
  <c r="F291" i="1" s="1"/>
  <c r="D291" i="1" a="1"/>
  <c r="D291" i="1" s="1"/>
  <c r="B291" i="1"/>
  <c r="R290" i="1"/>
  <c r="Q290" i="1"/>
  <c r="P290" i="1"/>
  <c r="O290" i="1"/>
  <c r="N290" i="1"/>
  <c r="L290" i="1"/>
  <c r="F290" i="1" a="1"/>
  <c r="F290" i="1" s="1"/>
  <c r="D290" i="1" a="1"/>
  <c r="D290" i="1" s="1"/>
  <c r="B290" i="1"/>
  <c r="R289" i="1"/>
  <c r="Q289" i="1"/>
  <c r="P289" i="1"/>
  <c r="O289" i="1"/>
  <c r="N289" i="1"/>
  <c r="L289" i="1"/>
  <c r="F289" i="1" a="1"/>
  <c r="F289" i="1" s="1"/>
  <c r="D289" i="1" a="1"/>
  <c r="D289" i="1" s="1"/>
  <c r="B289" i="1"/>
  <c r="R288" i="1"/>
  <c r="Q288" i="1"/>
  <c r="P288" i="1"/>
  <c r="O288" i="1"/>
  <c r="N288" i="1"/>
  <c r="L288" i="1"/>
  <c r="F288" i="1" a="1"/>
  <c r="F288" i="1" s="1"/>
  <c r="D288" i="1" a="1"/>
  <c r="D288" i="1" s="1"/>
  <c r="B288" i="1"/>
  <c r="R287" i="1"/>
  <c r="Q287" i="1"/>
  <c r="P287" i="1"/>
  <c r="O287" i="1"/>
  <c r="N287" i="1"/>
  <c r="L287" i="1"/>
  <c r="F287" i="1" a="1"/>
  <c r="F287" i="1" s="1"/>
  <c r="D287" i="1" a="1"/>
  <c r="D287" i="1" s="1"/>
  <c r="B287" i="1"/>
  <c r="R286" i="1"/>
  <c r="Q286" i="1"/>
  <c r="P286" i="1"/>
  <c r="O286" i="1"/>
  <c r="N286" i="1"/>
  <c r="L286" i="1"/>
  <c r="F286" i="1" a="1"/>
  <c r="F286" i="1" s="1"/>
  <c r="D286" i="1" a="1"/>
  <c r="D286" i="1" s="1"/>
  <c r="B286" i="1"/>
  <c r="R285" i="1"/>
  <c r="Q285" i="1"/>
  <c r="P285" i="1"/>
  <c r="O285" i="1"/>
  <c r="N285" i="1"/>
  <c r="L285" i="1"/>
  <c r="F285" i="1" a="1"/>
  <c r="F285" i="1" s="1"/>
  <c r="D285" i="1" a="1"/>
  <c r="D285" i="1" s="1"/>
  <c r="B285" i="1"/>
  <c r="R284" i="1"/>
  <c r="Q284" i="1"/>
  <c r="P284" i="1"/>
  <c r="O284" i="1"/>
  <c r="N284" i="1"/>
  <c r="L284" i="1"/>
  <c r="F284" i="1" a="1"/>
  <c r="F284" i="1" s="1"/>
  <c r="D284" i="1" a="1"/>
  <c r="D284" i="1" s="1"/>
  <c r="B284" i="1"/>
  <c r="R283" i="1"/>
  <c r="Q283" i="1"/>
  <c r="P283" i="1"/>
  <c r="O283" i="1"/>
  <c r="N283" i="1"/>
  <c r="L283" i="1"/>
  <c r="F283" i="1" a="1"/>
  <c r="F283" i="1" s="1"/>
  <c r="D283" i="1" a="1"/>
  <c r="D283" i="1" s="1"/>
  <c r="B283" i="1"/>
  <c r="R282" i="1"/>
  <c r="Q282" i="1"/>
  <c r="P282" i="1"/>
  <c r="O282" i="1"/>
  <c r="N282" i="1"/>
  <c r="L282" i="1"/>
  <c r="F282" i="1" a="1"/>
  <c r="F282" i="1" s="1"/>
  <c r="D282" i="1" a="1"/>
  <c r="D282" i="1" s="1"/>
  <c r="B282" i="1"/>
  <c r="R281" i="1"/>
  <c r="Q281" i="1"/>
  <c r="P281" i="1"/>
  <c r="O281" i="1"/>
  <c r="N281" i="1"/>
  <c r="L281" i="1"/>
  <c r="F281" i="1" a="1"/>
  <c r="F281" i="1" s="1"/>
  <c r="D281" i="1" a="1"/>
  <c r="D281" i="1" s="1"/>
  <c r="B281" i="1"/>
  <c r="R280" i="1"/>
  <c r="Q280" i="1"/>
  <c r="P280" i="1"/>
  <c r="O280" i="1"/>
  <c r="N280" i="1"/>
  <c r="L280" i="1"/>
  <c r="F280" i="1" a="1"/>
  <c r="F280" i="1" s="1"/>
  <c r="D280" i="1" a="1"/>
  <c r="D280" i="1" s="1"/>
  <c r="B280" i="1"/>
  <c r="R279" i="1"/>
  <c r="Q279" i="1"/>
  <c r="P279" i="1"/>
  <c r="O279" i="1"/>
  <c r="N279" i="1"/>
  <c r="L279" i="1"/>
  <c r="F279" i="1" a="1"/>
  <c r="F279" i="1" s="1"/>
  <c r="D279" i="1" a="1"/>
  <c r="D279" i="1" s="1"/>
  <c r="B279" i="1"/>
  <c r="R278" i="1"/>
  <c r="Q278" i="1"/>
  <c r="P278" i="1"/>
  <c r="O278" i="1"/>
  <c r="N278" i="1"/>
  <c r="L278" i="1"/>
  <c r="F278" i="1" a="1"/>
  <c r="F278" i="1" s="1"/>
  <c r="D278" i="1" a="1"/>
  <c r="D278" i="1" s="1"/>
  <c r="B278" i="1"/>
  <c r="R277" i="1"/>
  <c r="Q277" i="1"/>
  <c r="P277" i="1"/>
  <c r="O277" i="1"/>
  <c r="N277" i="1"/>
  <c r="L277" i="1"/>
  <c r="F277" i="1" a="1"/>
  <c r="F277" i="1" s="1"/>
  <c r="D277" i="1" a="1"/>
  <c r="D277" i="1" s="1"/>
  <c r="B277" i="1"/>
  <c r="R276" i="1"/>
  <c r="Q276" i="1"/>
  <c r="P276" i="1"/>
  <c r="O276" i="1"/>
  <c r="N276" i="1"/>
  <c r="L276" i="1"/>
  <c r="F276" i="1" a="1"/>
  <c r="F276" i="1" s="1"/>
  <c r="D276" i="1" a="1"/>
  <c r="D276" i="1" s="1"/>
  <c r="B276" i="1"/>
  <c r="R275" i="1"/>
  <c r="Q275" i="1"/>
  <c r="P275" i="1"/>
  <c r="O275" i="1"/>
  <c r="N275" i="1"/>
  <c r="L275" i="1"/>
  <c r="F275" i="1" a="1"/>
  <c r="F275" i="1" s="1"/>
  <c r="D275" i="1" a="1"/>
  <c r="D275" i="1" s="1"/>
  <c r="B275" i="1"/>
  <c r="R274" i="1"/>
  <c r="Q274" i="1"/>
  <c r="P274" i="1"/>
  <c r="O274" i="1"/>
  <c r="N274" i="1"/>
  <c r="L274" i="1"/>
  <c r="F274" i="1" a="1"/>
  <c r="F274" i="1" s="1"/>
  <c r="D274" i="1" a="1"/>
  <c r="D274" i="1" s="1"/>
  <c r="B274" i="1"/>
  <c r="R273" i="1"/>
  <c r="Q273" i="1"/>
  <c r="P273" i="1"/>
  <c r="O273" i="1"/>
  <c r="N273" i="1"/>
  <c r="L273" i="1"/>
  <c r="F273" i="1" a="1"/>
  <c r="F273" i="1" s="1"/>
  <c r="D273" i="1" a="1"/>
  <c r="D273" i="1" s="1"/>
  <c r="B273" i="1"/>
  <c r="R272" i="1"/>
  <c r="Q272" i="1"/>
  <c r="P272" i="1"/>
  <c r="O272" i="1"/>
  <c r="N272" i="1"/>
  <c r="L272" i="1"/>
  <c r="F272" i="1" a="1"/>
  <c r="F272" i="1" s="1"/>
  <c r="D272" i="1" a="1"/>
  <c r="D272" i="1" s="1"/>
  <c r="B272" i="1"/>
  <c r="R271" i="1"/>
  <c r="Q271" i="1"/>
  <c r="P271" i="1"/>
  <c r="O271" i="1"/>
  <c r="N271" i="1"/>
  <c r="L271" i="1"/>
  <c r="F271" i="1" a="1"/>
  <c r="F271" i="1" s="1"/>
  <c r="D271" i="1" a="1"/>
  <c r="D271" i="1" s="1"/>
  <c r="B271" i="1"/>
  <c r="R270" i="1"/>
  <c r="Q270" i="1"/>
  <c r="P270" i="1"/>
  <c r="O270" i="1"/>
  <c r="N270" i="1"/>
  <c r="L270" i="1"/>
  <c r="F270" i="1" a="1"/>
  <c r="F270" i="1" s="1"/>
  <c r="D270" i="1" a="1"/>
  <c r="D270" i="1" s="1"/>
  <c r="B270" i="1"/>
  <c r="R269" i="1"/>
  <c r="Q269" i="1"/>
  <c r="P269" i="1"/>
  <c r="O269" i="1"/>
  <c r="N269" i="1"/>
  <c r="L269" i="1"/>
  <c r="F269" i="1" a="1"/>
  <c r="F269" i="1" s="1"/>
  <c r="D269" i="1" a="1"/>
  <c r="D269" i="1" s="1"/>
  <c r="B269" i="1"/>
  <c r="R268" i="1"/>
  <c r="Q268" i="1"/>
  <c r="P268" i="1"/>
  <c r="O268" i="1"/>
  <c r="N268" i="1"/>
  <c r="L268" i="1"/>
  <c r="F268" i="1" a="1"/>
  <c r="F268" i="1" s="1"/>
  <c r="D268" i="1" a="1"/>
  <c r="D268" i="1" s="1"/>
  <c r="B268" i="1"/>
  <c r="R267" i="1"/>
  <c r="Q267" i="1"/>
  <c r="P267" i="1"/>
  <c r="O267" i="1"/>
  <c r="N267" i="1"/>
  <c r="L267" i="1"/>
  <c r="F267" i="1" a="1"/>
  <c r="F267" i="1" s="1"/>
  <c r="D267" i="1" a="1"/>
  <c r="D267" i="1" s="1"/>
  <c r="B267" i="1"/>
  <c r="R266" i="1"/>
  <c r="Q266" i="1"/>
  <c r="P266" i="1"/>
  <c r="O266" i="1"/>
  <c r="N266" i="1"/>
  <c r="L266" i="1"/>
  <c r="F266" i="1" a="1"/>
  <c r="F266" i="1" s="1"/>
  <c r="D266" i="1" a="1"/>
  <c r="D266" i="1" s="1"/>
  <c r="B266" i="1"/>
  <c r="R265" i="1"/>
  <c r="Q265" i="1"/>
  <c r="P265" i="1"/>
  <c r="O265" i="1"/>
  <c r="N265" i="1"/>
  <c r="L265" i="1"/>
  <c r="F265" i="1" a="1"/>
  <c r="F265" i="1" s="1"/>
  <c r="D265" i="1" a="1"/>
  <c r="D265" i="1" s="1"/>
  <c r="B265" i="1"/>
  <c r="R264" i="1"/>
  <c r="Q264" i="1"/>
  <c r="P264" i="1"/>
  <c r="O264" i="1"/>
  <c r="N264" i="1"/>
  <c r="L264" i="1"/>
  <c r="F264" i="1" a="1"/>
  <c r="F264" i="1" s="1"/>
  <c r="D264" i="1" a="1"/>
  <c r="D264" i="1" s="1"/>
  <c r="B264" i="1"/>
  <c r="R263" i="1"/>
  <c r="Q263" i="1"/>
  <c r="P263" i="1"/>
  <c r="O263" i="1"/>
  <c r="N263" i="1"/>
  <c r="L263" i="1"/>
  <c r="F263" i="1" a="1"/>
  <c r="F263" i="1" s="1"/>
  <c r="D263" i="1" a="1"/>
  <c r="D263" i="1" s="1"/>
  <c r="B263" i="1"/>
  <c r="R262" i="1"/>
  <c r="Q262" i="1"/>
  <c r="P262" i="1"/>
  <c r="O262" i="1"/>
  <c r="N262" i="1"/>
  <c r="L262" i="1"/>
  <c r="F262" i="1" a="1"/>
  <c r="F262" i="1" s="1"/>
  <c r="D262" i="1" a="1"/>
  <c r="D262" i="1" s="1"/>
  <c r="B262" i="1"/>
  <c r="R261" i="1"/>
  <c r="Q261" i="1"/>
  <c r="P261" i="1"/>
  <c r="O261" i="1"/>
  <c r="N261" i="1"/>
  <c r="L261" i="1"/>
  <c r="F261" i="1" a="1"/>
  <c r="F261" i="1" s="1"/>
  <c r="D261" i="1" a="1"/>
  <c r="D261" i="1" s="1"/>
  <c r="B261" i="1"/>
  <c r="R260" i="1"/>
  <c r="Q260" i="1"/>
  <c r="P260" i="1"/>
  <c r="O260" i="1"/>
  <c r="N260" i="1"/>
  <c r="L260" i="1"/>
  <c r="F260" i="1" a="1"/>
  <c r="F260" i="1" s="1"/>
  <c r="D260" i="1" a="1"/>
  <c r="D260" i="1" s="1"/>
  <c r="B260" i="1"/>
  <c r="R259" i="1"/>
  <c r="Q259" i="1"/>
  <c r="P259" i="1"/>
  <c r="O259" i="1"/>
  <c r="N259" i="1"/>
  <c r="L259" i="1"/>
  <c r="F259" i="1" a="1"/>
  <c r="F259" i="1" s="1"/>
  <c r="D259" i="1" a="1"/>
  <c r="D259" i="1" s="1"/>
  <c r="B259" i="1"/>
  <c r="R258" i="1"/>
  <c r="Q258" i="1"/>
  <c r="P258" i="1"/>
  <c r="O258" i="1"/>
  <c r="N258" i="1"/>
  <c r="L258" i="1"/>
  <c r="F258" i="1" a="1"/>
  <c r="F258" i="1" s="1"/>
  <c r="D258" i="1" a="1"/>
  <c r="D258" i="1" s="1"/>
  <c r="B258" i="1"/>
  <c r="R257" i="1"/>
  <c r="Q257" i="1"/>
  <c r="P257" i="1"/>
  <c r="O257" i="1"/>
  <c r="N257" i="1"/>
  <c r="L257" i="1"/>
  <c r="F257" i="1" a="1"/>
  <c r="F257" i="1" s="1"/>
  <c r="D257" i="1" a="1"/>
  <c r="D257" i="1" s="1"/>
  <c r="B257" i="1"/>
  <c r="R256" i="1"/>
  <c r="Q256" i="1"/>
  <c r="P256" i="1"/>
  <c r="O256" i="1"/>
  <c r="N256" i="1"/>
  <c r="L256" i="1"/>
  <c r="F256" i="1" a="1"/>
  <c r="F256" i="1" s="1"/>
  <c r="D256" i="1" a="1"/>
  <c r="D256" i="1" s="1"/>
  <c r="B256" i="1"/>
  <c r="R255" i="1"/>
  <c r="Q255" i="1"/>
  <c r="P255" i="1"/>
  <c r="O255" i="1"/>
  <c r="N255" i="1"/>
  <c r="L255" i="1"/>
  <c r="F255" i="1" a="1"/>
  <c r="F255" i="1" s="1"/>
  <c r="D255" i="1" a="1"/>
  <c r="D255" i="1" s="1"/>
  <c r="B255" i="1"/>
  <c r="R254" i="1"/>
  <c r="Q254" i="1"/>
  <c r="P254" i="1"/>
  <c r="O254" i="1"/>
  <c r="N254" i="1"/>
  <c r="L254" i="1"/>
  <c r="F254" i="1" a="1"/>
  <c r="F254" i="1" s="1"/>
  <c r="D254" i="1" a="1"/>
  <c r="D254" i="1" s="1"/>
  <c r="B254" i="1"/>
  <c r="R253" i="1"/>
  <c r="Q253" i="1"/>
  <c r="P253" i="1"/>
  <c r="O253" i="1"/>
  <c r="N253" i="1"/>
  <c r="L253" i="1"/>
  <c r="F253" i="1" a="1"/>
  <c r="F253" i="1" s="1"/>
  <c r="D253" i="1" a="1"/>
  <c r="D253" i="1" s="1"/>
  <c r="B253" i="1"/>
  <c r="R252" i="1"/>
  <c r="Q252" i="1"/>
  <c r="P252" i="1"/>
  <c r="O252" i="1"/>
  <c r="N252" i="1"/>
  <c r="L252" i="1"/>
  <c r="F252" i="1" a="1"/>
  <c r="F252" i="1" s="1"/>
  <c r="D252" i="1" a="1"/>
  <c r="D252" i="1" s="1"/>
  <c r="B252" i="1"/>
  <c r="R251" i="1"/>
  <c r="Q251" i="1"/>
  <c r="P251" i="1"/>
  <c r="O251" i="1"/>
  <c r="N251" i="1"/>
  <c r="L251" i="1"/>
  <c r="F251" i="1" a="1"/>
  <c r="F251" i="1" s="1"/>
  <c r="D251" i="1" a="1"/>
  <c r="D251" i="1" s="1"/>
  <c r="B251" i="1"/>
  <c r="R250" i="1"/>
  <c r="Q250" i="1"/>
  <c r="P250" i="1"/>
  <c r="O250" i="1"/>
  <c r="N250" i="1"/>
  <c r="L250" i="1"/>
  <c r="F250" i="1" a="1"/>
  <c r="F250" i="1" s="1"/>
  <c r="D250" i="1" a="1"/>
  <c r="D250" i="1" s="1"/>
  <c r="B250" i="1"/>
  <c r="R249" i="1"/>
  <c r="Q249" i="1"/>
  <c r="P249" i="1"/>
  <c r="O249" i="1"/>
  <c r="N249" i="1"/>
  <c r="L249" i="1"/>
  <c r="F249" i="1" a="1"/>
  <c r="F249" i="1" s="1"/>
  <c r="D249" i="1" a="1"/>
  <c r="D249" i="1" s="1"/>
  <c r="B249" i="1"/>
  <c r="R248" i="1"/>
  <c r="Q248" i="1"/>
  <c r="P248" i="1"/>
  <c r="O248" i="1"/>
  <c r="N248" i="1"/>
  <c r="L248" i="1"/>
  <c r="F248" i="1" a="1"/>
  <c r="F248" i="1" s="1"/>
  <c r="D248" i="1" a="1"/>
  <c r="D248" i="1" s="1"/>
  <c r="B248" i="1"/>
  <c r="R247" i="1"/>
  <c r="Q247" i="1"/>
  <c r="P247" i="1"/>
  <c r="O247" i="1"/>
  <c r="N247" i="1"/>
  <c r="L247" i="1"/>
  <c r="F247" i="1" a="1"/>
  <c r="F247" i="1" s="1"/>
  <c r="D247" i="1" a="1"/>
  <c r="D247" i="1" s="1"/>
  <c r="B247" i="1"/>
  <c r="R246" i="1"/>
  <c r="Q246" i="1"/>
  <c r="P246" i="1"/>
  <c r="O246" i="1"/>
  <c r="N246" i="1"/>
  <c r="L246" i="1"/>
  <c r="F246" i="1" a="1"/>
  <c r="F246" i="1" s="1"/>
  <c r="D246" i="1" a="1"/>
  <c r="D246" i="1" s="1"/>
  <c r="B246" i="1"/>
  <c r="R245" i="1"/>
  <c r="Q245" i="1"/>
  <c r="P245" i="1"/>
  <c r="O245" i="1"/>
  <c r="N245" i="1"/>
  <c r="L245" i="1"/>
  <c r="F245" i="1" a="1"/>
  <c r="F245" i="1" s="1"/>
  <c r="D245" i="1" a="1"/>
  <c r="D245" i="1" s="1"/>
  <c r="B245" i="1"/>
  <c r="R244" i="1"/>
  <c r="Q244" i="1"/>
  <c r="P244" i="1"/>
  <c r="O244" i="1"/>
  <c r="N244" i="1"/>
  <c r="L244" i="1"/>
  <c r="F244" i="1" a="1"/>
  <c r="F244" i="1" s="1"/>
  <c r="D244" i="1" a="1"/>
  <c r="D244" i="1" s="1"/>
  <c r="B244" i="1"/>
  <c r="R243" i="1"/>
  <c r="Q243" i="1"/>
  <c r="P243" i="1"/>
  <c r="O243" i="1"/>
  <c r="N243" i="1"/>
  <c r="L243" i="1"/>
  <c r="F243" i="1" a="1"/>
  <c r="F243" i="1" s="1"/>
  <c r="D243" i="1" a="1"/>
  <c r="D243" i="1" s="1"/>
  <c r="B243" i="1"/>
  <c r="R242" i="1"/>
  <c r="Q242" i="1"/>
  <c r="P242" i="1"/>
  <c r="O242" i="1"/>
  <c r="N242" i="1"/>
  <c r="L242" i="1"/>
  <c r="F242" i="1" a="1"/>
  <c r="F242" i="1" s="1"/>
  <c r="D242" i="1" a="1"/>
  <c r="D242" i="1" s="1"/>
  <c r="B242" i="1"/>
  <c r="R241" i="1"/>
  <c r="Q241" i="1"/>
  <c r="P241" i="1"/>
  <c r="O241" i="1"/>
  <c r="N241" i="1"/>
  <c r="L241" i="1"/>
  <c r="F241" i="1" a="1"/>
  <c r="F241" i="1" s="1"/>
  <c r="D241" i="1" a="1"/>
  <c r="D241" i="1" s="1"/>
  <c r="B241" i="1"/>
  <c r="R240" i="1"/>
  <c r="Q240" i="1"/>
  <c r="P240" i="1"/>
  <c r="O240" i="1"/>
  <c r="N240" i="1"/>
  <c r="L240" i="1"/>
  <c r="F240" i="1" a="1"/>
  <c r="F240" i="1" s="1"/>
  <c r="D240" i="1" a="1"/>
  <c r="D240" i="1" s="1"/>
  <c r="B240" i="1"/>
  <c r="R239" i="1"/>
  <c r="Q239" i="1"/>
  <c r="P239" i="1"/>
  <c r="O239" i="1"/>
  <c r="N239" i="1"/>
  <c r="L239" i="1"/>
  <c r="F239" i="1" a="1"/>
  <c r="F239" i="1" s="1"/>
  <c r="D239" i="1" a="1"/>
  <c r="D239" i="1" s="1"/>
  <c r="B239" i="1"/>
  <c r="R238" i="1"/>
  <c r="Q238" i="1"/>
  <c r="P238" i="1"/>
  <c r="O238" i="1"/>
  <c r="N238" i="1"/>
  <c r="L238" i="1"/>
  <c r="F238" i="1" a="1"/>
  <c r="F238" i="1" s="1"/>
  <c r="D238" i="1" a="1"/>
  <c r="D238" i="1" s="1"/>
  <c r="B238" i="1"/>
  <c r="R237" i="1"/>
  <c r="Q237" i="1"/>
  <c r="P237" i="1"/>
  <c r="O237" i="1"/>
  <c r="N237" i="1"/>
  <c r="L237" i="1"/>
  <c r="F237" i="1" a="1"/>
  <c r="F237" i="1" s="1"/>
  <c r="D237" i="1" a="1"/>
  <c r="D237" i="1" s="1"/>
  <c r="B237" i="1"/>
  <c r="R236" i="1"/>
  <c r="Q236" i="1"/>
  <c r="P236" i="1"/>
  <c r="O236" i="1"/>
  <c r="N236" i="1"/>
  <c r="L236" i="1"/>
  <c r="F236" i="1" a="1"/>
  <c r="F236" i="1" s="1"/>
  <c r="D236" i="1" a="1"/>
  <c r="D236" i="1" s="1"/>
  <c r="B236" i="1"/>
  <c r="R235" i="1"/>
  <c r="Q235" i="1"/>
  <c r="P235" i="1"/>
  <c r="O235" i="1"/>
  <c r="N235" i="1"/>
  <c r="L235" i="1"/>
  <c r="F235" i="1" a="1"/>
  <c r="F235" i="1" s="1"/>
  <c r="D235" i="1" a="1"/>
  <c r="D235" i="1" s="1"/>
  <c r="B235" i="1"/>
  <c r="R234" i="1"/>
  <c r="Q234" i="1"/>
  <c r="P234" i="1"/>
  <c r="O234" i="1"/>
  <c r="N234" i="1"/>
  <c r="L234" i="1"/>
  <c r="F234" i="1" a="1"/>
  <c r="F234" i="1" s="1"/>
  <c r="D234" i="1" a="1"/>
  <c r="D234" i="1" s="1"/>
  <c r="B234" i="1"/>
  <c r="R233" i="1"/>
  <c r="Q233" i="1"/>
  <c r="P233" i="1"/>
  <c r="O233" i="1"/>
  <c r="N233" i="1"/>
  <c r="L233" i="1"/>
  <c r="F233" i="1" a="1"/>
  <c r="F233" i="1" s="1"/>
  <c r="D233" i="1" a="1"/>
  <c r="D233" i="1" s="1"/>
  <c r="B233" i="1"/>
  <c r="R232" i="1"/>
  <c r="Q232" i="1"/>
  <c r="P232" i="1"/>
  <c r="O232" i="1"/>
  <c r="N232" i="1"/>
  <c r="L232" i="1"/>
  <c r="F232" i="1" a="1"/>
  <c r="F232" i="1" s="1"/>
  <c r="D232" i="1" a="1"/>
  <c r="D232" i="1" s="1"/>
  <c r="B232" i="1"/>
  <c r="R231" i="1"/>
  <c r="Q231" i="1"/>
  <c r="P231" i="1"/>
  <c r="O231" i="1"/>
  <c r="N231" i="1"/>
  <c r="L231" i="1"/>
  <c r="F231" i="1" a="1"/>
  <c r="F231" i="1" s="1"/>
  <c r="D231" i="1" a="1"/>
  <c r="D231" i="1" s="1"/>
  <c r="B231" i="1"/>
  <c r="R230" i="1"/>
  <c r="Q230" i="1"/>
  <c r="P230" i="1"/>
  <c r="O230" i="1"/>
  <c r="N230" i="1"/>
  <c r="L230" i="1"/>
  <c r="F230" i="1" a="1"/>
  <c r="F230" i="1" s="1"/>
  <c r="D230" i="1" a="1"/>
  <c r="D230" i="1" s="1"/>
  <c r="B230" i="1"/>
  <c r="R229" i="1"/>
  <c r="Q229" i="1"/>
  <c r="P229" i="1"/>
  <c r="O229" i="1"/>
  <c r="N229" i="1"/>
  <c r="L229" i="1"/>
  <c r="F229" i="1" a="1"/>
  <c r="F229" i="1" s="1"/>
  <c r="D229" i="1" a="1"/>
  <c r="D229" i="1" s="1"/>
  <c r="B229" i="1"/>
  <c r="R228" i="1"/>
  <c r="Q228" i="1"/>
  <c r="P228" i="1"/>
  <c r="O228" i="1"/>
  <c r="N228" i="1"/>
  <c r="L228" i="1"/>
  <c r="F228" i="1" a="1"/>
  <c r="F228" i="1" s="1"/>
  <c r="D228" i="1" a="1"/>
  <c r="D228" i="1" s="1"/>
  <c r="B228" i="1"/>
  <c r="R227" i="1"/>
  <c r="Q227" i="1"/>
  <c r="P227" i="1"/>
  <c r="O227" i="1"/>
  <c r="N227" i="1"/>
  <c r="L227" i="1"/>
  <c r="F227" i="1" a="1"/>
  <c r="F227" i="1" s="1"/>
  <c r="D227" i="1" a="1"/>
  <c r="D227" i="1" s="1"/>
  <c r="B227" i="1"/>
  <c r="R226" i="1"/>
  <c r="Q226" i="1"/>
  <c r="P226" i="1"/>
  <c r="O226" i="1"/>
  <c r="N226" i="1"/>
  <c r="L226" i="1"/>
  <c r="F226" i="1" a="1"/>
  <c r="F226" i="1" s="1"/>
  <c r="D226" i="1" a="1"/>
  <c r="D226" i="1" s="1"/>
  <c r="B226" i="1"/>
  <c r="R225" i="1"/>
  <c r="Q225" i="1"/>
  <c r="P225" i="1"/>
  <c r="O225" i="1"/>
  <c r="N225" i="1"/>
  <c r="L225" i="1"/>
  <c r="F225" i="1" a="1"/>
  <c r="F225" i="1" s="1"/>
  <c r="D225" i="1" a="1"/>
  <c r="D225" i="1" s="1"/>
  <c r="B225" i="1"/>
  <c r="R224" i="1"/>
  <c r="Q224" i="1"/>
  <c r="P224" i="1"/>
  <c r="O224" i="1"/>
  <c r="N224" i="1"/>
  <c r="L224" i="1"/>
  <c r="F224" i="1" a="1"/>
  <c r="F224" i="1" s="1"/>
  <c r="D224" i="1" a="1"/>
  <c r="D224" i="1" s="1"/>
  <c r="B224" i="1"/>
  <c r="R223" i="1"/>
  <c r="Q223" i="1"/>
  <c r="P223" i="1"/>
  <c r="O223" i="1"/>
  <c r="N223" i="1"/>
  <c r="L223" i="1"/>
  <c r="F223" i="1" a="1"/>
  <c r="F223" i="1" s="1"/>
  <c r="D223" i="1" a="1"/>
  <c r="D223" i="1" s="1"/>
  <c r="B223" i="1"/>
  <c r="R222" i="1"/>
  <c r="Q222" i="1"/>
  <c r="P222" i="1"/>
  <c r="O222" i="1"/>
  <c r="N222" i="1"/>
  <c r="L222" i="1"/>
  <c r="F222" i="1"/>
  <c r="F222" i="1" a="1"/>
  <c r="D222" i="1"/>
  <c r="D222" i="1" a="1"/>
  <c r="B222" i="1"/>
  <c r="R221" i="1"/>
  <c r="Q221" i="1"/>
  <c r="P221" i="1"/>
  <c r="O221" i="1"/>
  <c r="N221" i="1"/>
  <c r="L221" i="1"/>
  <c r="F221" i="1" a="1"/>
  <c r="F221" i="1" s="1"/>
  <c r="D221" i="1" a="1"/>
  <c r="D221" i="1" s="1"/>
  <c r="B221" i="1"/>
  <c r="R220" i="1"/>
  <c r="Q220" i="1"/>
  <c r="P220" i="1"/>
  <c r="O220" i="1"/>
  <c r="N220" i="1"/>
  <c r="L220" i="1"/>
  <c r="F220" i="1" a="1"/>
  <c r="F220" i="1" s="1"/>
  <c r="D220" i="1" a="1"/>
  <c r="D220" i="1" s="1"/>
  <c r="B220" i="1"/>
  <c r="R219" i="1"/>
  <c r="Q219" i="1"/>
  <c r="P219" i="1"/>
  <c r="O219" i="1"/>
  <c r="N219" i="1"/>
  <c r="L219" i="1"/>
  <c r="F219" i="1" a="1"/>
  <c r="F219" i="1" s="1"/>
  <c r="D219" i="1" a="1"/>
  <c r="D219" i="1" s="1"/>
  <c r="B219" i="1"/>
  <c r="R218" i="1"/>
  <c r="Q218" i="1"/>
  <c r="P218" i="1"/>
  <c r="O218" i="1"/>
  <c r="N218" i="1"/>
  <c r="L218" i="1"/>
  <c r="F218" i="1" a="1"/>
  <c r="F218" i="1" s="1"/>
  <c r="D218" i="1" a="1"/>
  <c r="D218" i="1" s="1"/>
  <c r="B218" i="1"/>
  <c r="R217" i="1"/>
  <c r="Q217" i="1"/>
  <c r="P217" i="1"/>
  <c r="O217" i="1"/>
  <c r="N217" i="1"/>
  <c r="L217" i="1"/>
  <c r="F217" i="1" a="1"/>
  <c r="F217" i="1" s="1"/>
  <c r="D217" i="1" a="1"/>
  <c r="D217" i="1" s="1"/>
  <c r="B217" i="1"/>
  <c r="R216" i="1"/>
  <c r="Q216" i="1"/>
  <c r="P216" i="1"/>
  <c r="O216" i="1"/>
  <c r="N216" i="1"/>
  <c r="L216" i="1"/>
  <c r="F216" i="1" a="1"/>
  <c r="F216" i="1" s="1"/>
  <c r="D216" i="1" a="1"/>
  <c r="D216" i="1" s="1"/>
  <c r="B216" i="1"/>
  <c r="R215" i="1"/>
  <c r="Q215" i="1"/>
  <c r="P215" i="1"/>
  <c r="O215" i="1"/>
  <c r="N215" i="1"/>
  <c r="L215" i="1"/>
  <c r="F215" i="1" a="1"/>
  <c r="F215" i="1" s="1"/>
  <c r="D215" i="1" a="1"/>
  <c r="D215" i="1" s="1"/>
  <c r="B215" i="1"/>
  <c r="R214" i="1"/>
  <c r="Q214" i="1"/>
  <c r="P214" i="1"/>
  <c r="O214" i="1"/>
  <c r="N214" i="1"/>
  <c r="L214" i="1"/>
  <c r="F214" i="1"/>
  <c r="F214" i="1" a="1"/>
  <c r="D214" i="1"/>
  <c r="D214" i="1" a="1"/>
  <c r="B214" i="1"/>
  <c r="R213" i="1"/>
  <c r="Q213" i="1"/>
  <c r="P213" i="1"/>
  <c r="O213" i="1"/>
  <c r="N213" i="1"/>
  <c r="L213" i="1"/>
  <c r="F213" i="1" a="1"/>
  <c r="F213" i="1" s="1"/>
  <c r="D213" i="1" a="1"/>
  <c r="D213" i="1" s="1"/>
  <c r="B213" i="1"/>
  <c r="R212" i="1"/>
  <c r="Q212" i="1"/>
  <c r="P212" i="1"/>
  <c r="O212" i="1"/>
  <c r="N212" i="1"/>
  <c r="L212" i="1"/>
  <c r="F212" i="1"/>
  <c r="F212" i="1" a="1"/>
  <c r="D212" i="1" a="1"/>
  <c r="D212" i="1" s="1"/>
  <c r="B212" i="1"/>
  <c r="R211" i="1"/>
  <c r="Q211" i="1"/>
  <c r="P211" i="1"/>
  <c r="O211" i="1"/>
  <c r="N211" i="1"/>
  <c r="L211" i="1"/>
  <c r="F211" i="1" a="1"/>
  <c r="F211" i="1" s="1"/>
  <c r="D211" i="1" a="1"/>
  <c r="D211" i="1" s="1"/>
  <c r="B211" i="1"/>
  <c r="R210" i="1"/>
  <c r="Q210" i="1"/>
  <c r="P210" i="1"/>
  <c r="O210" i="1"/>
  <c r="N210" i="1"/>
  <c r="L210" i="1"/>
  <c r="F210" i="1"/>
  <c r="F210" i="1" a="1"/>
  <c r="D210" i="1"/>
  <c r="D210" i="1" a="1"/>
  <c r="B210" i="1"/>
  <c r="R209" i="1"/>
  <c r="Q209" i="1"/>
  <c r="P209" i="1"/>
  <c r="O209" i="1"/>
  <c r="N209" i="1"/>
  <c r="L209" i="1"/>
  <c r="F209" i="1" a="1"/>
  <c r="F209" i="1" s="1"/>
  <c r="D209" i="1"/>
  <c r="D209" i="1" a="1"/>
  <c r="B209" i="1"/>
  <c r="R208" i="1"/>
  <c r="Q208" i="1"/>
  <c r="P208" i="1"/>
  <c r="O208" i="1"/>
  <c r="N208" i="1"/>
  <c r="L208" i="1"/>
  <c r="F208" i="1" a="1"/>
  <c r="F208" i="1" s="1"/>
  <c r="D208" i="1" a="1"/>
  <c r="D208" i="1" s="1"/>
  <c r="B208" i="1"/>
  <c r="R207" i="1"/>
  <c r="Q207" i="1"/>
  <c r="P207" i="1"/>
  <c r="O207" i="1"/>
  <c r="N207" i="1"/>
  <c r="L207" i="1"/>
  <c r="F207" i="1" a="1"/>
  <c r="F207" i="1" s="1"/>
  <c r="D207" i="1" a="1"/>
  <c r="D207" i="1" s="1"/>
  <c r="B207" i="1"/>
  <c r="R206" i="1"/>
  <c r="Q206" i="1"/>
  <c r="P206" i="1"/>
  <c r="O206" i="1"/>
  <c r="N206" i="1"/>
  <c r="L206" i="1"/>
  <c r="F206" i="1"/>
  <c r="F206" i="1" a="1"/>
  <c r="D206" i="1"/>
  <c r="D206" i="1" a="1"/>
  <c r="B206" i="1"/>
  <c r="R205" i="1"/>
  <c r="Q205" i="1"/>
  <c r="P205" i="1"/>
  <c r="O205" i="1"/>
  <c r="N205" i="1"/>
  <c r="L205" i="1"/>
  <c r="F205" i="1" a="1"/>
  <c r="F205" i="1" s="1"/>
  <c r="D205" i="1"/>
  <c r="D205" i="1" a="1"/>
  <c r="B205" i="1"/>
  <c r="R204" i="1"/>
  <c r="Q204" i="1"/>
  <c r="P204" i="1"/>
  <c r="O204" i="1"/>
  <c r="N204" i="1"/>
  <c r="L204" i="1"/>
  <c r="F204" i="1" a="1"/>
  <c r="F204" i="1" s="1"/>
  <c r="D204" i="1" a="1"/>
  <c r="D204" i="1" s="1"/>
  <c r="B204" i="1"/>
  <c r="R203" i="1"/>
  <c r="Q203" i="1"/>
  <c r="P203" i="1"/>
  <c r="O203" i="1"/>
  <c r="N203" i="1"/>
  <c r="L203" i="1"/>
  <c r="F203" i="1" a="1"/>
  <c r="F203" i="1" s="1"/>
  <c r="D203" i="1" a="1"/>
  <c r="D203" i="1" s="1"/>
  <c r="B203" i="1"/>
  <c r="R202" i="1"/>
  <c r="Q202" i="1"/>
  <c r="P202" i="1"/>
  <c r="O202" i="1"/>
  <c r="N202" i="1"/>
  <c r="L202" i="1"/>
  <c r="F202" i="1" a="1"/>
  <c r="F202" i="1" s="1"/>
  <c r="D202" i="1"/>
  <c r="D202" i="1" a="1"/>
  <c r="B202" i="1"/>
  <c r="R201" i="1"/>
  <c r="Q201" i="1"/>
  <c r="P201" i="1"/>
  <c r="O201" i="1"/>
  <c r="N201" i="1"/>
  <c r="L201" i="1"/>
  <c r="F201" i="1" a="1"/>
  <c r="F201" i="1" s="1"/>
  <c r="D201" i="1"/>
  <c r="D201" i="1" a="1"/>
  <c r="B201" i="1"/>
  <c r="R200" i="1"/>
  <c r="Q200" i="1"/>
  <c r="P200" i="1"/>
  <c r="O200" i="1"/>
  <c r="N200" i="1"/>
  <c r="L200" i="1"/>
  <c r="F200" i="1" a="1"/>
  <c r="F200" i="1" s="1"/>
  <c r="D200" i="1" a="1"/>
  <c r="D200" i="1" s="1"/>
  <c r="B200" i="1"/>
  <c r="R199" i="1"/>
  <c r="Q199" i="1"/>
  <c r="P199" i="1"/>
  <c r="O199" i="1"/>
  <c r="N199" i="1"/>
  <c r="L199" i="1"/>
  <c r="F199" i="1" a="1"/>
  <c r="F199" i="1" s="1"/>
  <c r="D199" i="1" a="1"/>
  <c r="D199" i="1" s="1"/>
  <c r="B199" i="1"/>
  <c r="R198" i="1"/>
  <c r="Q198" i="1"/>
  <c r="P198" i="1"/>
  <c r="O198" i="1"/>
  <c r="N198" i="1"/>
  <c r="L198" i="1"/>
  <c r="F198" i="1" a="1"/>
  <c r="F198" i="1" s="1"/>
  <c r="D198" i="1"/>
  <c r="D198" i="1" a="1"/>
  <c r="B198" i="1"/>
  <c r="R197" i="1"/>
  <c r="Q197" i="1"/>
  <c r="P197" i="1"/>
  <c r="O197" i="1"/>
  <c r="N197" i="1"/>
  <c r="L197" i="1"/>
  <c r="F197" i="1" a="1"/>
  <c r="F197" i="1" s="1"/>
  <c r="D197" i="1"/>
  <c r="D197" i="1" a="1"/>
  <c r="B197" i="1"/>
  <c r="R196" i="1"/>
  <c r="Q196" i="1"/>
  <c r="P196" i="1"/>
  <c r="O196" i="1"/>
  <c r="N196" i="1"/>
  <c r="L196" i="1"/>
  <c r="F196" i="1" a="1"/>
  <c r="F196" i="1" s="1"/>
  <c r="D196" i="1" a="1"/>
  <c r="D196" i="1" s="1"/>
  <c r="B196" i="1"/>
  <c r="R195" i="1"/>
  <c r="Q195" i="1"/>
  <c r="P195" i="1"/>
  <c r="O195" i="1"/>
  <c r="N195" i="1"/>
  <c r="L195" i="1"/>
  <c r="F195" i="1" a="1"/>
  <c r="F195" i="1" s="1"/>
  <c r="D195" i="1" a="1"/>
  <c r="D195" i="1" s="1"/>
  <c r="B195" i="1"/>
  <c r="R194" i="1"/>
  <c r="Q194" i="1"/>
  <c r="P194" i="1"/>
  <c r="O194" i="1"/>
  <c r="N194" i="1"/>
  <c r="L194" i="1"/>
  <c r="F194" i="1" a="1"/>
  <c r="F194" i="1" s="1"/>
  <c r="D194" i="1"/>
  <c r="D194" i="1" a="1"/>
  <c r="B194" i="1"/>
  <c r="R193" i="1"/>
  <c r="Q193" i="1"/>
  <c r="P193" i="1"/>
  <c r="O193" i="1"/>
  <c r="N193" i="1"/>
  <c r="L193" i="1"/>
  <c r="F193" i="1" a="1"/>
  <c r="F193" i="1" s="1"/>
  <c r="D193" i="1" a="1"/>
  <c r="D193" i="1" s="1"/>
  <c r="B193" i="1"/>
  <c r="R192" i="1"/>
  <c r="Q192" i="1"/>
  <c r="P192" i="1"/>
  <c r="O192" i="1"/>
  <c r="N192" i="1"/>
  <c r="L192" i="1"/>
  <c r="F192" i="1" a="1"/>
  <c r="F192" i="1" s="1"/>
  <c r="D192" i="1" a="1"/>
  <c r="D192" i="1" s="1"/>
  <c r="B192" i="1"/>
  <c r="R191" i="1"/>
  <c r="Q191" i="1"/>
  <c r="P191" i="1"/>
  <c r="O191" i="1"/>
  <c r="N191" i="1"/>
  <c r="L191" i="1"/>
  <c r="F191" i="1" a="1"/>
  <c r="F191" i="1" s="1"/>
  <c r="D191" i="1" a="1"/>
  <c r="D191" i="1" s="1"/>
  <c r="B191" i="1"/>
  <c r="R190" i="1"/>
  <c r="Q190" i="1"/>
  <c r="P190" i="1"/>
  <c r="O190" i="1"/>
  <c r="N190" i="1"/>
  <c r="L190" i="1"/>
  <c r="F190" i="1"/>
  <c r="F190" i="1" a="1"/>
  <c r="D190" i="1" a="1"/>
  <c r="D190" i="1" s="1"/>
  <c r="B190" i="1"/>
  <c r="R189" i="1"/>
  <c r="Q189" i="1"/>
  <c r="P189" i="1"/>
  <c r="O189" i="1"/>
  <c r="N189" i="1"/>
  <c r="L189" i="1"/>
  <c r="F189" i="1" a="1"/>
  <c r="F189" i="1" s="1"/>
  <c r="D189" i="1" a="1"/>
  <c r="D189" i="1" s="1"/>
  <c r="B189" i="1"/>
  <c r="R188" i="1"/>
  <c r="Q188" i="1"/>
  <c r="P188" i="1"/>
  <c r="O188" i="1"/>
  <c r="N188" i="1"/>
  <c r="L188" i="1"/>
  <c r="F188" i="1" a="1"/>
  <c r="F188" i="1" s="1"/>
  <c r="D188" i="1" a="1"/>
  <c r="D188" i="1" s="1"/>
  <c r="B188" i="1"/>
  <c r="R187" i="1"/>
  <c r="Q187" i="1"/>
  <c r="P187" i="1"/>
  <c r="O187" i="1"/>
  <c r="N187" i="1"/>
  <c r="L187" i="1"/>
  <c r="F187" i="1" a="1"/>
  <c r="F187" i="1" s="1"/>
  <c r="D187" i="1" a="1"/>
  <c r="D187" i="1" s="1"/>
  <c r="B187" i="1"/>
  <c r="R186" i="1"/>
  <c r="Q186" i="1"/>
  <c r="P186" i="1"/>
  <c r="O186" i="1"/>
  <c r="N186" i="1"/>
  <c r="L186" i="1"/>
  <c r="F186" i="1"/>
  <c r="F186" i="1" a="1"/>
  <c r="D186" i="1" a="1"/>
  <c r="D186" i="1" s="1"/>
  <c r="B186" i="1"/>
  <c r="R185" i="1"/>
  <c r="Q185" i="1"/>
  <c r="P185" i="1"/>
  <c r="O185" i="1"/>
  <c r="N185" i="1"/>
  <c r="L185" i="1"/>
  <c r="F185" i="1" a="1"/>
  <c r="F185" i="1" s="1"/>
  <c r="D185" i="1" a="1"/>
  <c r="D185" i="1" s="1"/>
  <c r="B185" i="1"/>
  <c r="R184" i="1"/>
  <c r="Q184" i="1"/>
  <c r="P184" i="1"/>
  <c r="O184" i="1"/>
  <c r="N184" i="1"/>
  <c r="L184" i="1"/>
  <c r="F184" i="1" a="1"/>
  <c r="F184" i="1" s="1"/>
  <c r="D184" i="1" a="1"/>
  <c r="D184" i="1" s="1"/>
  <c r="B184" i="1"/>
  <c r="R183" i="1"/>
  <c r="Q183" i="1"/>
  <c r="P183" i="1"/>
  <c r="O183" i="1"/>
  <c r="N183" i="1"/>
  <c r="L183" i="1"/>
  <c r="F183" i="1" a="1"/>
  <c r="F183" i="1" s="1"/>
  <c r="D183" i="1" a="1"/>
  <c r="D183" i="1" s="1"/>
  <c r="B183" i="1"/>
  <c r="R182" i="1"/>
  <c r="Q182" i="1"/>
  <c r="P182" i="1"/>
  <c r="O182" i="1"/>
  <c r="N182" i="1"/>
  <c r="L182" i="1"/>
  <c r="F182" i="1"/>
  <c r="F182" i="1" a="1"/>
  <c r="D182" i="1" a="1"/>
  <c r="D182" i="1" s="1"/>
  <c r="B182" i="1"/>
  <c r="R181" i="1"/>
  <c r="Q181" i="1"/>
  <c r="P181" i="1"/>
  <c r="O181" i="1"/>
  <c r="N181" i="1"/>
  <c r="L181" i="1"/>
  <c r="F181" i="1" a="1"/>
  <c r="F181" i="1" s="1"/>
  <c r="D181" i="1"/>
  <c r="D181" i="1" a="1"/>
  <c r="B181" i="1"/>
  <c r="R180" i="1"/>
  <c r="Q180" i="1"/>
  <c r="P180" i="1"/>
  <c r="O180" i="1"/>
  <c r="N180" i="1"/>
  <c r="L180" i="1"/>
  <c r="F180" i="1" a="1"/>
  <c r="F180" i="1" s="1"/>
  <c r="D180" i="1" a="1"/>
  <c r="D180" i="1" s="1"/>
  <c r="B180" i="1"/>
  <c r="R179" i="1"/>
  <c r="Q179" i="1"/>
  <c r="P179" i="1"/>
  <c r="O179" i="1"/>
  <c r="N179" i="1"/>
  <c r="L179" i="1"/>
  <c r="F179" i="1" a="1"/>
  <c r="F179" i="1" s="1"/>
  <c r="D179" i="1" a="1"/>
  <c r="D179" i="1" s="1"/>
  <c r="B179" i="1"/>
  <c r="R178" i="1"/>
  <c r="Q178" i="1"/>
  <c r="P178" i="1"/>
  <c r="O178" i="1"/>
  <c r="N178" i="1"/>
  <c r="L178" i="1"/>
  <c r="F178" i="1"/>
  <c r="F178" i="1" a="1"/>
  <c r="D178" i="1"/>
  <c r="D178" i="1" a="1"/>
  <c r="B178" i="1"/>
  <c r="R177" i="1"/>
  <c r="Q177" i="1"/>
  <c r="P177" i="1"/>
  <c r="O177" i="1"/>
  <c r="N177" i="1"/>
  <c r="L177" i="1"/>
  <c r="F177" i="1" a="1"/>
  <c r="F177" i="1" s="1"/>
  <c r="D177" i="1"/>
  <c r="D177" i="1" a="1"/>
  <c r="B177" i="1"/>
  <c r="R176" i="1"/>
  <c r="Q176" i="1"/>
  <c r="P176" i="1"/>
  <c r="O176" i="1"/>
  <c r="N176" i="1"/>
  <c r="L176" i="1"/>
  <c r="F176" i="1" a="1"/>
  <c r="F176" i="1" s="1"/>
  <c r="D176" i="1" a="1"/>
  <c r="D176" i="1" s="1"/>
  <c r="B176" i="1"/>
  <c r="R175" i="1"/>
  <c r="Q175" i="1"/>
  <c r="P175" i="1"/>
  <c r="O175" i="1"/>
  <c r="N175" i="1"/>
  <c r="L175" i="1"/>
  <c r="F175" i="1" a="1"/>
  <c r="F175" i="1" s="1"/>
  <c r="D175" i="1" a="1"/>
  <c r="D175" i="1" s="1"/>
  <c r="B175" i="1"/>
  <c r="R174" i="1"/>
  <c r="Q174" i="1"/>
  <c r="P174" i="1"/>
  <c r="O174" i="1"/>
  <c r="N174" i="1"/>
  <c r="L174" i="1"/>
  <c r="F174" i="1"/>
  <c r="F174" i="1" a="1"/>
  <c r="D174" i="1"/>
  <c r="D174" i="1" a="1"/>
  <c r="B174" i="1"/>
  <c r="R173" i="1"/>
  <c r="Q173" i="1"/>
  <c r="P173" i="1"/>
  <c r="O173" i="1"/>
  <c r="N173" i="1"/>
  <c r="L173" i="1"/>
  <c r="F173" i="1" a="1"/>
  <c r="F173" i="1" s="1"/>
  <c r="D173" i="1"/>
  <c r="D173" i="1" a="1"/>
  <c r="B173" i="1"/>
  <c r="R172" i="1"/>
  <c r="Q172" i="1"/>
  <c r="P172" i="1"/>
  <c r="O172" i="1"/>
  <c r="N172" i="1"/>
  <c r="L172" i="1"/>
  <c r="F172" i="1"/>
  <c r="F172" i="1" a="1"/>
  <c r="D172" i="1" a="1"/>
  <c r="D172" i="1" s="1"/>
  <c r="B172" i="1"/>
  <c r="R171" i="1"/>
  <c r="Q171" i="1"/>
  <c r="P171" i="1"/>
  <c r="O171" i="1"/>
  <c r="N171" i="1"/>
  <c r="L171" i="1"/>
  <c r="F171" i="1"/>
  <c r="F171" i="1" a="1"/>
  <c r="D171" i="1" a="1"/>
  <c r="D171" i="1" s="1"/>
  <c r="B171" i="1"/>
  <c r="R170" i="1"/>
  <c r="Q170" i="1"/>
  <c r="P170" i="1"/>
  <c r="O170" i="1"/>
  <c r="N170" i="1"/>
  <c r="L170" i="1"/>
  <c r="F170" i="1" a="1"/>
  <c r="F170" i="1" s="1"/>
  <c r="D170" i="1" a="1"/>
  <c r="D170" i="1" s="1"/>
  <c r="B170" i="1"/>
  <c r="R169" i="1"/>
  <c r="Q169" i="1"/>
  <c r="P169" i="1"/>
  <c r="O169" i="1"/>
  <c r="N169" i="1"/>
  <c r="L169" i="1"/>
  <c r="F169" i="1" a="1"/>
  <c r="F169" i="1" s="1"/>
  <c r="D169" i="1" a="1"/>
  <c r="D169" i="1" s="1"/>
  <c r="B169" i="1"/>
  <c r="R168" i="1"/>
  <c r="Q168" i="1"/>
  <c r="P168" i="1"/>
  <c r="O168" i="1"/>
  <c r="N168" i="1"/>
  <c r="L168" i="1"/>
  <c r="F168" i="1" a="1"/>
  <c r="F168" i="1" s="1"/>
  <c r="D168" i="1"/>
  <c r="D168" i="1" a="1"/>
  <c r="B168" i="1"/>
  <c r="R167" i="1"/>
  <c r="Q167" i="1"/>
  <c r="P167" i="1"/>
  <c r="O167" i="1"/>
  <c r="N167" i="1"/>
  <c r="L167" i="1"/>
  <c r="F167" i="1" a="1"/>
  <c r="F167" i="1" s="1"/>
  <c r="D167" i="1" a="1"/>
  <c r="D167" i="1" s="1"/>
  <c r="B167" i="1"/>
  <c r="R166" i="1"/>
  <c r="Q166" i="1"/>
  <c r="P166" i="1"/>
  <c r="O166" i="1"/>
  <c r="N166" i="1"/>
  <c r="L166" i="1"/>
  <c r="F166" i="1" a="1"/>
  <c r="F166" i="1" s="1"/>
  <c r="D166" i="1" a="1"/>
  <c r="D166" i="1" s="1"/>
  <c r="B166" i="1"/>
  <c r="R165" i="1"/>
  <c r="Q165" i="1"/>
  <c r="P165" i="1"/>
  <c r="O165" i="1"/>
  <c r="N165" i="1"/>
  <c r="L165" i="1"/>
  <c r="F165" i="1" a="1"/>
  <c r="F165" i="1" s="1"/>
  <c r="D165" i="1" a="1"/>
  <c r="D165" i="1" s="1"/>
  <c r="B165" i="1"/>
  <c r="R164" i="1"/>
  <c r="Q164" i="1"/>
  <c r="P164" i="1"/>
  <c r="O164" i="1"/>
  <c r="N164" i="1"/>
  <c r="L164" i="1"/>
  <c r="F164" i="1" a="1"/>
  <c r="F164" i="1" s="1"/>
  <c r="D164" i="1"/>
  <c r="D164" i="1" a="1"/>
  <c r="B164" i="1"/>
  <c r="R163" i="1"/>
  <c r="Q163" i="1"/>
  <c r="P163" i="1"/>
  <c r="O163" i="1"/>
  <c r="N163" i="1"/>
  <c r="L163" i="1"/>
  <c r="F163" i="1" a="1"/>
  <c r="F163" i="1" s="1"/>
  <c r="D163" i="1" a="1"/>
  <c r="D163" i="1" s="1"/>
  <c r="B163" i="1"/>
  <c r="R162" i="1"/>
  <c r="Q162" i="1"/>
  <c r="P162" i="1"/>
  <c r="O162" i="1"/>
  <c r="N162" i="1"/>
  <c r="L162" i="1"/>
  <c r="F162" i="1" a="1"/>
  <c r="F162" i="1" s="1"/>
  <c r="D162" i="1" a="1"/>
  <c r="D162" i="1" s="1"/>
  <c r="B162" i="1"/>
  <c r="R161" i="1"/>
  <c r="Q161" i="1"/>
  <c r="P161" i="1"/>
  <c r="O161" i="1"/>
  <c r="N161" i="1"/>
  <c r="L161" i="1"/>
  <c r="F161" i="1" a="1"/>
  <c r="F161" i="1" s="1"/>
  <c r="D161" i="1" a="1"/>
  <c r="D161" i="1" s="1"/>
  <c r="B161" i="1"/>
  <c r="R160" i="1"/>
  <c r="Q160" i="1"/>
  <c r="P160" i="1"/>
  <c r="O160" i="1"/>
  <c r="N160" i="1"/>
  <c r="L160" i="1"/>
  <c r="F160" i="1" a="1"/>
  <c r="F160" i="1" s="1"/>
  <c r="D160" i="1"/>
  <c r="D160" i="1" a="1"/>
  <c r="B160" i="1"/>
  <c r="R159" i="1"/>
  <c r="Q159" i="1"/>
  <c r="P159" i="1"/>
  <c r="O159" i="1"/>
  <c r="N159" i="1"/>
  <c r="L159" i="1"/>
  <c r="F159" i="1" a="1"/>
  <c r="F159" i="1" s="1"/>
  <c r="D159" i="1" a="1"/>
  <c r="D159" i="1" s="1"/>
  <c r="B159" i="1"/>
  <c r="R158" i="1"/>
  <c r="Q158" i="1"/>
  <c r="P158" i="1"/>
  <c r="O158" i="1"/>
  <c r="N158" i="1"/>
  <c r="L158" i="1"/>
  <c r="F158" i="1" a="1"/>
  <c r="F158" i="1" s="1"/>
  <c r="D158" i="1" a="1"/>
  <c r="D158" i="1" s="1"/>
  <c r="B158" i="1"/>
  <c r="R157" i="1"/>
  <c r="Q157" i="1"/>
  <c r="P157" i="1"/>
  <c r="O157" i="1"/>
  <c r="N157" i="1"/>
  <c r="L157" i="1"/>
  <c r="F157" i="1" a="1"/>
  <c r="F157" i="1" s="1"/>
  <c r="D157" i="1" a="1"/>
  <c r="D157" i="1" s="1"/>
  <c r="B157" i="1"/>
  <c r="R156" i="1"/>
  <c r="Q156" i="1"/>
  <c r="P156" i="1"/>
  <c r="O156" i="1"/>
  <c r="N156" i="1"/>
  <c r="L156" i="1"/>
  <c r="F156" i="1" a="1"/>
  <c r="F156" i="1" s="1"/>
  <c r="D156" i="1"/>
  <c r="D156" i="1" a="1"/>
  <c r="B156" i="1"/>
  <c r="R155" i="1"/>
  <c r="Q155" i="1"/>
  <c r="P155" i="1"/>
  <c r="O155" i="1"/>
  <c r="N155" i="1"/>
  <c r="L155" i="1"/>
  <c r="F155" i="1" a="1"/>
  <c r="F155" i="1" s="1"/>
  <c r="D155" i="1" a="1"/>
  <c r="D155" i="1" s="1"/>
  <c r="B155" i="1"/>
  <c r="R154" i="1"/>
  <c r="Q154" i="1"/>
  <c r="P154" i="1"/>
  <c r="O154" i="1"/>
  <c r="N154" i="1"/>
  <c r="L154" i="1"/>
  <c r="F154" i="1" a="1"/>
  <c r="F154" i="1" s="1"/>
  <c r="D154" i="1" a="1"/>
  <c r="D154" i="1" s="1"/>
  <c r="B154" i="1"/>
  <c r="R153" i="1"/>
  <c r="Q153" i="1"/>
  <c r="P153" i="1"/>
  <c r="O153" i="1"/>
  <c r="N153" i="1"/>
  <c r="L153" i="1"/>
  <c r="F153" i="1" a="1"/>
  <c r="F153" i="1" s="1"/>
  <c r="D153" i="1" a="1"/>
  <c r="D153" i="1" s="1"/>
  <c r="B153" i="1"/>
  <c r="R152" i="1"/>
  <c r="Q152" i="1"/>
  <c r="P152" i="1"/>
  <c r="O152" i="1"/>
  <c r="N152" i="1"/>
  <c r="L152" i="1"/>
  <c r="F152" i="1" a="1"/>
  <c r="F152" i="1" s="1"/>
  <c r="D152" i="1" a="1"/>
  <c r="D152" i="1" s="1"/>
  <c r="B152" i="1"/>
  <c r="R151" i="1"/>
  <c r="Q151" i="1"/>
  <c r="P151" i="1"/>
  <c r="O151" i="1"/>
  <c r="N151" i="1"/>
  <c r="L151" i="1"/>
  <c r="F151" i="1" a="1"/>
  <c r="F151" i="1" s="1"/>
  <c r="D151" i="1" a="1"/>
  <c r="D151" i="1" s="1"/>
  <c r="B151" i="1"/>
  <c r="R150" i="1"/>
  <c r="Q150" i="1"/>
  <c r="P150" i="1"/>
  <c r="O150" i="1"/>
  <c r="N150" i="1"/>
  <c r="L150" i="1"/>
  <c r="F150" i="1" a="1"/>
  <c r="F150" i="1" s="1"/>
  <c r="D150" i="1" a="1"/>
  <c r="D150" i="1" s="1"/>
  <c r="B150" i="1"/>
  <c r="R149" i="1"/>
  <c r="Q149" i="1"/>
  <c r="P149" i="1"/>
  <c r="O149" i="1"/>
  <c r="N149" i="1"/>
  <c r="L149" i="1"/>
  <c r="F149" i="1" a="1"/>
  <c r="F149" i="1" s="1"/>
  <c r="D149" i="1" a="1"/>
  <c r="D149" i="1" s="1"/>
  <c r="B149" i="1"/>
  <c r="R148" i="1"/>
  <c r="Q148" i="1"/>
  <c r="P148" i="1"/>
  <c r="O148" i="1"/>
  <c r="N148" i="1"/>
  <c r="L148" i="1"/>
  <c r="F148" i="1" a="1"/>
  <c r="F148" i="1" s="1"/>
  <c r="D148" i="1" a="1"/>
  <c r="D148" i="1" s="1"/>
  <c r="B148" i="1"/>
  <c r="R147" i="1"/>
  <c r="Q147" i="1"/>
  <c r="P147" i="1"/>
  <c r="O147" i="1"/>
  <c r="N147" i="1"/>
  <c r="L147" i="1"/>
  <c r="F147" i="1" a="1"/>
  <c r="F147" i="1" s="1"/>
  <c r="D147" i="1" a="1"/>
  <c r="D147" i="1" s="1"/>
  <c r="B147" i="1"/>
  <c r="R146" i="1"/>
  <c r="Q146" i="1"/>
  <c r="P146" i="1"/>
  <c r="O146" i="1"/>
  <c r="N146" i="1"/>
  <c r="L146" i="1"/>
  <c r="F146" i="1" a="1"/>
  <c r="F146" i="1" s="1"/>
  <c r="D146" i="1" a="1"/>
  <c r="D146" i="1" s="1"/>
  <c r="B146" i="1"/>
  <c r="R145" i="1"/>
  <c r="Q145" i="1"/>
  <c r="P145" i="1"/>
  <c r="O145" i="1"/>
  <c r="N145" i="1"/>
  <c r="L145" i="1"/>
  <c r="F145" i="1" a="1"/>
  <c r="F145" i="1" s="1"/>
  <c r="D145" i="1" a="1"/>
  <c r="D145" i="1" s="1"/>
  <c r="B145" i="1"/>
  <c r="R144" i="1"/>
  <c r="Q144" i="1"/>
  <c r="P144" i="1"/>
  <c r="O144" i="1"/>
  <c r="N144" i="1"/>
  <c r="L144" i="1"/>
  <c r="F144" i="1" a="1"/>
  <c r="F144" i="1" s="1"/>
  <c r="D144" i="1" a="1"/>
  <c r="D144" i="1" s="1"/>
  <c r="B144" i="1"/>
  <c r="R143" i="1"/>
  <c r="Q143" i="1"/>
  <c r="P143" i="1"/>
  <c r="O143" i="1"/>
  <c r="N143" i="1"/>
  <c r="L143" i="1"/>
  <c r="F143" i="1" a="1"/>
  <c r="F143" i="1" s="1"/>
  <c r="D143" i="1" a="1"/>
  <c r="D143" i="1" s="1"/>
  <c r="B143" i="1"/>
  <c r="R142" i="1"/>
  <c r="Q142" i="1"/>
  <c r="P142" i="1"/>
  <c r="O142" i="1"/>
  <c r="N142" i="1"/>
  <c r="L142" i="1"/>
  <c r="F142" i="1" a="1"/>
  <c r="F142" i="1" s="1"/>
  <c r="D142" i="1" a="1"/>
  <c r="D142" i="1" s="1"/>
  <c r="B142" i="1"/>
  <c r="R141" i="1"/>
  <c r="Q141" i="1"/>
  <c r="P141" i="1"/>
  <c r="O141" i="1"/>
  <c r="N141" i="1"/>
  <c r="L141" i="1"/>
  <c r="F141" i="1" a="1"/>
  <c r="F141" i="1" s="1"/>
  <c r="D141" i="1" a="1"/>
  <c r="D141" i="1" s="1"/>
  <c r="B141" i="1"/>
  <c r="R140" i="1"/>
  <c r="Q140" i="1"/>
  <c r="P140" i="1"/>
  <c r="O140" i="1"/>
  <c r="N140" i="1"/>
  <c r="L140" i="1"/>
  <c r="F140" i="1" a="1"/>
  <c r="F140" i="1" s="1"/>
  <c r="D140" i="1" a="1"/>
  <c r="D140" i="1" s="1"/>
  <c r="B140" i="1"/>
  <c r="R139" i="1"/>
  <c r="Q139" i="1"/>
  <c r="P139" i="1"/>
  <c r="O139" i="1"/>
  <c r="N139" i="1"/>
  <c r="L139" i="1"/>
  <c r="F139" i="1" a="1"/>
  <c r="F139" i="1" s="1"/>
  <c r="D139" i="1" a="1"/>
  <c r="D139" i="1" s="1"/>
  <c r="B139" i="1"/>
  <c r="R138" i="1"/>
  <c r="Q138" i="1"/>
  <c r="P138" i="1"/>
  <c r="O138" i="1"/>
  <c r="N138" i="1"/>
  <c r="L138" i="1"/>
  <c r="F138" i="1" a="1"/>
  <c r="F138" i="1" s="1"/>
  <c r="D138" i="1" a="1"/>
  <c r="D138" i="1" s="1"/>
  <c r="B138" i="1"/>
  <c r="R137" i="1"/>
  <c r="Q137" i="1"/>
  <c r="P137" i="1"/>
  <c r="O137" i="1"/>
  <c r="N137" i="1"/>
  <c r="L137" i="1"/>
  <c r="F137" i="1" a="1"/>
  <c r="F137" i="1" s="1"/>
  <c r="D137" i="1" a="1"/>
  <c r="D137" i="1" s="1"/>
  <c r="B137" i="1"/>
  <c r="R136" i="1"/>
  <c r="Q136" i="1"/>
  <c r="P136" i="1"/>
  <c r="O136" i="1"/>
  <c r="N136" i="1"/>
  <c r="L136" i="1"/>
  <c r="F136" i="1" a="1"/>
  <c r="F136" i="1" s="1"/>
  <c r="D136" i="1" a="1"/>
  <c r="D136" i="1" s="1"/>
  <c r="B136" i="1"/>
  <c r="R135" i="1"/>
  <c r="Q135" i="1"/>
  <c r="P135" i="1"/>
  <c r="O135" i="1"/>
  <c r="N135" i="1"/>
  <c r="L135" i="1"/>
  <c r="F135" i="1" a="1"/>
  <c r="F135" i="1" s="1"/>
  <c r="D135" i="1" a="1"/>
  <c r="D135" i="1" s="1"/>
  <c r="B135" i="1"/>
  <c r="R134" i="1"/>
  <c r="Q134" i="1"/>
  <c r="P134" i="1"/>
  <c r="O134" i="1"/>
  <c r="N134" i="1"/>
  <c r="L134" i="1"/>
  <c r="F134" i="1" a="1"/>
  <c r="F134" i="1" s="1"/>
  <c r="D134" i="1" a="1"/>
  <c r="D134" i="1" s="1"/>
  <c r="B134" i="1"/>
  <c r="R133" i="1"/>
  <c r="Q133" i="1"/>
  <c r="P133" i="1"/>
  <c r="O133" i="1"/>
  <c r="N133" i="1"/>
  <c r="L133" i="1"/>
  <c r="F133" i="1" a="1"/>
  <c r="F133" i="1" s="1"/>
  <c r="D133" i="1" a="1"/>
  <c r="D133" i="1" s="1"/>
  <c r="B133" i="1"/>
  <c r="R132" i="1"/>
  <c r="Q132" i="1"/>
  <c r="P132" i="1"/>
  <c r="O132" i="1"/>
  <c r="N132" i="1"/>
  <c r="L132" i="1"/>
  <c r="F132" i="1" a="1"/>
  <c r="F132" i="1" s="1"/>
  <c r="D132" i="1" a="1"/>
  <c r="D132" i="1" s="1"/>
  <c r="B132" i="1"/>
  <c r="R131" i="1"/>
  <c r="Q131" i="1"/>
  <c r="P131" i="1"/>
  <c r="O131" i="1"/>
  <c r="N131" i="1"/>
  <c r="L131" i="1"/>
  <c r="F131" i="1" a="1"/>
  <c r="F131" i="1" s="1"/>
  <c r="D131" i="1" a="1"/>
  <c r="D131" i="1" s="1"/>
  <c r="B131" i="1"/>
  <c r="R130" i="1"/>
  <c r="Q130" i="1"/>
  <c r="P130" i="1"/>
  <c r="O130" i="1"/>
  <c r="N130" i="1"/>
  <c r="L130" i="1"/>
  <c r="F130" i="1" a="1"/>
  <c r="F130" i="1" s="1"/>
  <c r="D130" i="1" a="1"/>
  <c r="D130" i="1" s="1"/>
  <c r="B130" i="1"/>
  <c r="R129" i="1"/>
  <c r="Q129" i="1"/>
  <c r="P129" i="1"/>
  <c r="O129" i="1"/>
  <c r="N129" i="1"/>
  <c r="L129" i="1"/>
  <c r="F129" i="1" a="1"/>
  <c r="F129" i="1" s="1"/>
  <c r="D129" i="1" a="1"/>
  <c r="D129" i="1" s="1"/>
  <c r="B129" i="1"/>
  <c r="R128" i="1"/>
  <c r="Q128" i="1"/>
  <c r="P128" i="1"/>
  <c r="O128" i="1"/>
  <c r="N128" i="1"/>
  <c r="L128" i="1"/>
  <c r="F128" i="1" a="1"/>
  <c r="F128" i="1" s="1"/>
  <c r="D128" i="1" a="1"/>
  <c r="D128" i="1" s="1"/>
  <c r="B128" i="1"/>
  <c r="R127" i="1"/>
  <c r="Q127" i="1"/>
  <c r="P127" i="1"/>
  <c r="O127" i="1"/>
  <c r="N127" i="1"/>
  <c r="L127" i="1"/>
  <c r="F127" i="1" a="1"/>
  <c r="F127" i="1" s="1"/>
  <c r="D127" i="1" a="1"/>
  <c r="D127" i="1" s="1"/>
  <c r="B127" i="1"/>
  <c r="R126" i="1"/>
  <c r="Q126" i="1"/>
  <c r="P126" i="1"/>
  <c r="O126" i="1"/>
  <c r="N126" i="1"/>
  <c r="L126" i="1"/>
  <c r="F126" i="1" a="1"/>
  <c r="F126" i="1" s="1"/>
  <c r="D126" i="1" a="1"/>
  <c r="D126" i="1" s="1"/>
  <c r="B126" i="1"/>
  <c r="R125" i="1"/>
  <c r="Q125" i="1"/>
  <c r="P125" i="1"/>
  <c r="O125" i="1"/>
  <c r="N125" i="1"/>
  <c r="L125" i="1"/>
  <c r="F125" i="1" a="1"/>
  <c r="F125" i="1" s="1"/>
  <c r="D125" i="1" a="1"/>
  <c r="D125" i="1" s="1"/>
  <c r="B125" i="1"/>
  <c r="R124" i="1"/>
  <c r="Q124" i="1"/>
  <c r="P124" i="1"/>
  <c r="O124" i="1"/>
  <c r="N124" i="1"/>
  <c r="L124" i="1"/>
  <c r="F124" i="1" a="1"/>
  <c r="F124" i="1" s="1"/>
  <c r="D124" i="1" a="1"/>
  <c r="D124" i="1" s="1"/>
  <c r="B124" i="1"/>
  <c r="R123" i="1"/>
  <c r="Q123" i="1"/>
  <c r="P123" i="1"/>
  <c r="O123" i="1"/>
  <c r="N123" i="1"/>
  <c r="L123" i="1"/>
  <c r="F123" i="1" a="1"/>
  <c r="F123" i="1" s="1"/>
  <c r="D123" i="1" a="1"/>
  <c r="D123" i="1" s="1"/>
  <c r="B123" i="1"/>
  <c r="R122" i="1"/>
  <c r="Q122" i="1"/>
  <c r="P122" i="1"/>
  <c r="O122" i="1"/>
  <c r="N122" i="1"/>
  <c r="L122" i="1"/>
  <c r="F122" i="1" a="1"/>
  <c r="F122" i="1" s="1"/>
  <c r="D122" i="1" a="1"/>
  <c r="D122" i="1" s="1"/>
  <c r="B122" i="1"/>
  <c r="R121" i="1"/>
  <c r="Q121" i="1"/>
  <c r="P121" i="1"/>
  <c r="O121" i="1"/>
  <c r="N121" i="1"/>
  <c r="L121" i="1"/>
  <c r="F121" i="1" a="1"/>
  <c r="F121" i="1" s="1"/>
  <c r="D121" i="1" a="1"/>
  <c r="D121" i="1" s="1"/>
  <c r="B121" i="1"/>
  <c r="R120" i="1"/>
  <c r="Q120" i="1"/>
  <c r="P120" i="1"/>
  <c r="O120" i="1"/>
  <c r="N120" i="1"/>
  <c r="L120" i="1"/>
  <c r="F120" i="1" a="1"/>
  <c r="F120" i="1" s="1"/>
  <c r="D120" i="1" a="1"/>
  <c r="D120" i="1" s="1"/>
  <c r="B120" i="1"/>
  <c r="R119" i="1"/>
  <c r="Q119" i="1"/>
  <c r="P119" i="1"/>
  <c r="O119" i="1"/>
  <c r="N119" i="1"/>
  <c r="L119" i="1"/>
  <c r="F119" i="1" a="1"/>
  <c r="F119" i="1" s="1"/>
  <c r="D119" i="1" a="1"/>
  <c r="D119" i="1" s="1"/>
  <c r="B119" i="1"/>
  <c r="R118" i="1"/>
  <c r="Q118" i="1"/>
  <c r="P118" i="1"/>
  <c r="O118" i="1"/>
  <c r="N118" i="1"/>
  <c r="L118" i="1"/>
  <c r="F118" i="1" a="1"/>
  <c r="F118" i="1" s="1"/>
  <c r="D118" i="1" a="1"/>
  <c r="D118" i="1" s="1"/>
  <c r="B118" i="1"/>
  <c r="R117" i="1"/>
  <c r="Q117" i="1"/>
  <c r="P117" i="1"/>
  <c r="O117" i="1"/>
  <c r="N117" i="1"/>
  <c r="L117" i="1"/>
  <c r="F117" i="1" a="1"/>
  <c r="F117" i="1" s="1"/>
  <c r="D117" i="1" a="1"/>
  <c r="D117" i="1" s="1"/>
  <c r="B117" i="1"/>
  <c r="R116" i="1"/>
  <c r="Q116" i="1"/>
  <c r="P116" i="1"/>
  <c r="O116" i="1"/>
  <c r="N116" i="1"/>
  <c r="L116" i="1"/>
  <c r="F116" i="1" a="1"/>
  <c r="F116" i="1" s="1"/>
  <c r="D116" i="1" a="1"/>
  <c r="D116" i="1" s="1"/>
  <c r="B116" i="1"/>
  <c r="R115" i="1"/>
  <c r="Q115" i="1"/>
  <c r="P115" i="1"/>
  <c r="O115" i="1"/>
  <c r="N115" i="1"/>
  <c r="L115" i="1"/>
  <c r="F115" i="1" a="1"/>
  <c r="F115" i="1" s="1"/>
  <c r="D115" i="1" a="1"/>
  <c r="D115" i="1" s="1"/>
  <c r="B115" i="1"/>
  <c r="R114" i="1"/>
  <c r="Q114" i="1"/>
  <c r="P114" i="1"/>
  <c r="O114" i="1"/>
  <c r="N114" i="1"/>
  <c r="L114" i="1"/>
  <c r="F114" i="1" a="1"/>
  <c r="F114" i="1" s="1"/>
  <c r="D114" i="1" a="1"/>
  <c r="D114" i="1" s="1"/>
  <c r="B114" i="1"/>
  <c r="R113" i="1"/>
  <c r="Q113" i="1"/>
  <c r="P113" i="1"/>
  <c r="O113" i="1"/>
  <c r="N113" i="1"/>
  <c r="L113" i="1"/>
  <c r="F113" i="1" a="1"/>
  <c r="F113" i="1" s="1"/>
  <c r="D113" i="1" a="1"/>
  <c r="D113" i="1" s="1"/>
  <c r="B113" i="1"/>
  <c r="R112" i="1"/>
  <c r="Q112" i="1"/>
  <c r="P112" i="1"/>
  <c r="O112" i="1"/>
  <c r="N112" i="1"/>
  <c r="L112" i="1"/>
  <c r="F112" i="1" a="1"/>
  <c r="F112" i="1" s="1"/>
  <c r="D112" i="1" a="1"/>
  <c r="D112" i="1" s="1"/>
  <c r="B112" i="1"/>
  <c r="R111" i="1"/>
  <c r="Q111" i="1"/>
  <c r="P111" i="1"/>
  <c r="O111" i="1"/>
  <c r="N111" i="1"/>
  <c r="L111" i="1"/>
  <c r="F111" i="1" a="1"/>
  <c r="F111" i="1" s="1"/>
  <c r="D111" i="1" a="1"/>
  <c r="D111" i="1" s="1"/>
  <c r="B111" i="1"/>
  <c r="R110" i="1"/>
  <c r="Q110" i="1"/>
  <c r="P110" i="1"/>
  <c r="O110" i="1"/>
  <c r="N110" i="1"/>
  <c r="L110" i="1"/>
  <c r="F110" i="1" a="1"/>
  <c r="F110" i="1" s="1"/>
  <c r="D110" i="1" a="1"/>
  <c r="D110" i="1" s="1"/>
  <c r="B110" i="1"/>
  <c r="R109" i="1"/>
  <c r="Q109" i="1"/>
  <c r="P109" i="1"/>
  <c r="O109" i="1"/>
  <c r="N109" i="1"/>
  <c r="L109" i="1"/>
  <c r="F109" i="1" a="1"/>
  <c r="F109" i="1" s="1"/>
  <c r="D109" i="1" a="1"/>
  <c r="D109" i="1" s="1"/>
  <c r="B109" i="1"/>
  <c r="R108" i="1"/>
  <c r="Q108" i="1"/>
  <c r="P108" i="1"/>
  <c r="O108" i="1"/>
  <c r="N108" i="1"/>
  <c r="L108" i="1"/>
  <c r="F108" i="1" a="1"/>
  <c r="F108" i="1" s="1"/>
  <c r="D108" i="1" a="1"/>
  <c r="D108" i="1" s="1"/>
  <c r="B108" i="1"/>
  <c r="R107" i="1"/>
  <c r="Q107" i="1"/>
  <c r="P107" i="1"/>
  <c r="O107" i="1"/>
  <c r="N107" i="1"/>
  <c r="L107" i="1"/>
  <c r="F107" i="1" a="1"/>
  <c r="F107" i="1" s="1"/>
  <c r="D107" i="1" a="1"/>
  <c r="D107" i="1" s="1"/>
  <c r="B107" i="1"/>
  <c r="R106" i="1"/>
  <c r="Q106" i="1"/>
  <c r="P106" i="1"/>
  <c r="O106" i="1"/>
  <c r="N106" i="1"/>
  <c r="L106" i="1"/>
  <c r="F106" i="1" a="1"/>
  <c r="F106" i="1" s="1"/>
  <c r="D106" i="1" a="1"/>
  <c r="D106" i="1" s="1"/>
  <c r="B106" i="1"/>
  <c r="R105" i="1"/>
  <c r="Q105" i="1"/>
  <c r="P105" i="1"/>
  <c r="O105" i="1"/>
  <c r="N105" i="1"/>
  <c r="L105" i="1"/>
  <c r="F105" i="1" a="1"/>
  <c r="F105" i="1" s="1"/>
  <c r="D105" i="1" a="1"/>
  <c r="D105" i="1" s="1"/>
  <c r="B105" i="1"/>
  <c r="R104" i="1"/>
  <c r="Q104" i="1"/>
  <c r="P104" i="1"/>
  <c r="O104" i="1"/>
  <c r="N104" i="1"/>
  <c r="L104" i="1"/>
  <c r="F104" i="1" a="1"/>
  <c r="F104" i="1" s="1"/>
  <c r="D104" i="1" a="1"/>
  <c r="D104" i="1" s="1"/>
  <c r="B104" i="1"/>
  <c r="R103" i="1"/>
  <c r="Q103" i="1"/>
  <c r="P103" i="1"/>
  <c r="O103" i="1"/>
  <c r="N103" i="1"/>
  <c r="L103" i="1"/>
  <c r="F103" i="1" a="1"/>
  <c r="F103" i="1" s="1"/>
  <c r="D103" i="1" a="1"/>
  <c r="D103" i="1" s="1"/>
  <c r="B103" i="1"/>
  <c r="R102" i="1"/>
  <c r="Q102" i="1"/>
  <c r="P102" i="1"/>
  <c r="O102" i="1"/>
  <c r="N102" i="1"/>
  <c r="L102" i="1"/>
  <c r="F102" i="1" a="1"/>
  <c r="F102" i="1" s="1"/>
  <c r="D102" i="1" a="1"/>
  <c r="D102" i="1" s="1"/>
  <c r="B102" i="1"/>
  <c r="R101" i="1"/>
  <c r="Q101" i="1"/>
  <c r="P101" i="1"/>
  <c r="O101" i="1"/>
  <c r="N101" i="1"/>
  <c r="L101" i="1"/>
  <c r="F101" i="1" a="1"/>
  <c r="F101" i="1" s="1"/>
  <c r="D101" i="1" a="1"/>
  <c r="D101" i="1" s="1"/>
  <c r="B101" i="1"/>
  <c r="R100" i="1"/>
  <c r="Q100" i="1"/>
  <c r="P100" i="1"/>
  <c r="O100" i="1"/>
  <c r="N100" i="1"/>
  <c r="L100" i="1"/>
  <c r="F100" i="1" a="1"/>
  <c r="F100" i="1" s="1"/>
  <c r="D100" i="1" a="1"/>
  <c r="D100" i="1" s="1"/>
  <c r="B100" i="1"/>
  <c r="R99" i="1"/>
  <c r="Q99" i="1"/>
  <c r="P99" i="1"/>
  <c r="O99" i="1"/>
  <c r="N99" i="1"/>
  <c r="L99" i="1"/>
  <c r="F99" i="1" a="1"/>
  <c r="F99" i="1" s="1"/>
  <c r="D99" i="1" a="1"/>
  <c r="D99" i="1" s="1"/>
  <c r="B99" i="1"/>
  <c r="R98" i="1"/>
  <c r="Q98" i="1"/>
  <c r="P98" i="1"/>
  <c r="O98" i="1"/>
  <c r="N98" i="1"/>
  <c r="L98" i="1"/>
  <c r="F98" i="1" a="1"/>
  <c r="F98" i="1" s="1"/>
  <c r="D98" i="1" a="1"/>
  <c r="D98" i="1" s="1"/>
  <c r="B98" i="1"/>
  <c r="R97" i="1"/>
  <c r="Q97" i="1"/>
  <c r="P97" i="1"/>
  <c r="O97" i="1"/>
  <c r="N97" i="1"/>
  <c r="L97" i="1"/>
  <c r="F97" i="1" a="1"/>
  <c r="F97" i="1" s="1"/>
  <c r="D97" i="1" a="1"/>
  <c r="D97" i="1" s="1"/>
  <c r="B97" i="1"/>
  <c r="R96" i="1"/>
  <c r="Q96" i="1"/>
  <c r="P96" i="1"/>
  <c r="O96" i="1"/>
  <c r="N96" i="1"/>
  <c r="L96" i="1"/>
  <c r="F96" i="1" a="1"/>
  <c r="F96" i="1" s="1"/>
  <c r="D96" i="1" a="1"/>
  <c r="D96" i="1" s="1"/>
  <c r="B96" i="1"/>
  <c r="R95" i="1"/>
  <c r="Q95" i="1"/>
  <c r="P95" i="1"/>
  <c r="O95" i="1"/>
  <c r="N95" i="1"/>
  <c r="L95" i="1"/>
  <c r="F95" i="1" a="1"/>
  <c r="F95" i="1" s="1"/>
  <c r="D95" i="1" a="1"/>
  <c r="D95" i="1" s="1"/>
  <c r="B95" i="1"/>
  <c r="R94" i="1"/>
  <c r="Q94" i="1"/>
  <c r="P94" i="1"/>
  <c r="O94" i="1"/>
  <c r="N94" i="1"/>
  <c r="L94" i="1"/>
  <c r="F94" i="1" a="1"/>
  <c r="F94" i="1" s="1"/>
  <c r="D94" i="1" a="1"/>
  <c r="D94" i="1" s="1"/>
  <c r="B94" i="1"/>
  <c r="R93" i="1"/>
  <c r="Q93" i="1"/>
  <c r="P93" i="1"/>
  <c r="O93" i="1"/>
  <c r="N93" i="1"/>
  <c r="L93" i="1"/>
  <c r="F93" i="1" a="1"/>
  <c r="F93" i="1" s="1"/>
  <c r="D93" i="1" a="1"/>
  <c r="D93" i="1" s="1"/>
  <c r="B93" i="1"/>
  <c r="R92" i="1"/>
  <c r="Q92" i="1"/>
  <c r="P92" i="1"/>
  <c r="O92" i="1"/>
  <c r="N92" i="1"/>
  <c r="L92" i="1"/>
  <c r="F92" i="1" a="1"/>
  <c r="F92" i="1" s="1"/>
  <c r="D92" i="1" a="1"/>
  <c r="D92" i="1" s="1"/>
  <c r="B92" i="1"/>
  <c r="R91" i="1"/>
  <c r="Q91" i="1"/>
  <c r="P91" i="1"/>
  <c r="O91" i="1"/>
  <c r="N91" i="1"/>
  <c r="L91" i="1"/>
  <c r="F91" i="1" a="1"/>
  <c r="F91" i="1" s="1"/>
  <c r="D91" i="1" a="1"/>
  <c r="D91" i="1" s="1"/>
  <c r="B91" i="1"/>
  <c r="R90" i="1"/>
  <c r="Q90" i="1"/>
  <c r="P90" i="1"/>
  <c r="O90" i="1"/>
  <c r="N90" i="1"/>
  <c r="L90" i="1"/>
  <c r="F90" i="1" a="1"/>
  <c r="F90" i="1" s="1"/>
  <c r="D90" i="1" a="1"/>
  <c r="D90" i="1" s="1"/>
  <c r="B90" i="1"/>
  <c r="R89" i="1"/>
  <c r="Q89" i="1"/>
  <c r="P89" i="1"/>
  <c r="O89" i="1"/>
  <c r="N89" i="1"/>
  <c r="L89" i="1"/>
  <c r="F89" i="1" a="1"/>
  <c r="F89" i="1" s="1"/>
  <c r="D89" i="1" a="1"/>
  <c r="D89" i="1" s="1"/>
  <c r="B89" i="1"/>
  <c r="R88" i="1"/>
  <c r="Q88" i="1"/>
  <c r="P88" i="1"/>
  <c r="O88" i="1"/>
  <c r="N88" i="1"/>
  <c r="L88" i="1"/>
  <c r="F88" i="1" a="1"/>
  <c r="F88" i="1" s="1"/>
  <c r="D88" i="1" a="1"/>
  <c r="D88" i="1" s="1"/>
  <c r="B88" i="1"/>
  <c r="R87" i="1"/>
  <c r="Q87" i="1"/>
  <c r="P87" i="1"/>
  <c r="O87" i="1"/>
  <c r="N87" i="1"/>
  <c r="L87" i="1"/>
  <c r="F87" i="1" a="1"/>
  <c r="F87" i="1" s="1"/>
  <c r="D87" i="1" a="1"/>
  <c r="D87" i="1" s="1"/>
  <c r="B87" i="1"/>
  <c r="R86" i="1"/>
  <c r="Q86" i="1"/>
  <c r="P86" i="1"/>
  <c r="O86" i="1"/>
  <c r="N86" i="1"/>
  <c r="L86" i="1"/>
  <c r="F86" i="1" a="1"/>
  <c r="F86" i="1" s="1"/>
  <c r="D86" i="1" a="1"/>
  <c r="D86" i="1" s="1"/>
  <c r="B86" i="1"/>
  <c r="R85" i="1"/>
  <c r="Q85" i="1"/>
  <c r="P85" i="1"/>
  <c r="O85" i="1"/>
  <c r="N85" i="1"/>
  <c r="L85" i="1"/>
  <c r="F85" i="1" a="1"/>
  <c r="F85" i="1" s="1"/>
  <c r="D85" i="1" a="1"/>
  <c r="D85" i="1" s="1"/>
  <c r="B85" i="1"/>
  <c r="R84" i="1"/>
  <c r="Q84" i="1"/>
  <c r="P84" i="1"/>
  <c r="O84" i="1"/>
  <c r="N84" i="1"/>
  <c r="L84" i="1"/>
  <c r="F84" i="1" a="1"/>
  <c r="F84" i="1" s="1"/>
  <c r="D84" i="1" a="1"/>
  <c r="D84" i="1" s="1"/>
  <c r="B84" i="1"/>
  <c r="R83" i="1"/>
  <c r="Q83" i="1"/>
  <c r="P83" i="1"/>
  <c r="O83" i="1"/>
  <c r="N83" i="1"/>
  <c r="L83" i="1"/>
  <c r="F83" i="1" a="1"/>
  <c r="F83" i="1" s="1"/>
  <c r="D83" i="1" a="1"/>
  <c r="D83" i="1" s="1"/>
  <c r="B83" i="1"/>
  <c r="R82" i="1"/>
  <c r="Q82" i="1"/>
  <c r="P82" i="1"/>
  <c r="O82" i="1"/>
  <c r="N82" i="1"/>
  <c r="L82" i="1"/>
  <c r="F82" i="1" a="1"/>
  <c r="F82" i="1" s="1"/>
  <c r="D82" i="1" a="1"/>
  <c r="D82" i="1" s="1"/>
  <c r="B82" i="1"/>
  <c r="R81" i="1"/>
  <c r="Q81" i="1"/>
  <c r="P81" i="1"/>
  <c r="O81" i="1"/>
  <c r="N81" i="1"/>
  <c r="L81" i="1"/>
  <c r="F81" i="1" a="1"/>
  <c r="F81" i="1" s="1"/>
  <c r="D81" i="1" a="1"/>
  <c r="D81" i="1" s="1"/>
  <c r="B81" i="1"/>
  <c r="R80" i="1"/>
  <c r="Q80" i="1"/>
  <c r="P80" i="1"/>
  <c r="O80" i="1"/>
  <c r="N80" i="1"/>
  <c r="L80" i="1"/>
  <c r="F80" i="1" a="1"/>
  <c r="F80" i="1" s="1"/>
  <c r="D80" i="1" a="1"/>
  <c r="D80" i="1" s="1"/>
  <c r="B80" i="1"/>
  <c r="R79" i="1"/>
  <c r="Q79" i="1"/>
  <c r="P79" i="1"/>
  <c r="O79" i="1"/>
  <c r="N79" i="1"/>
  <c r="L79" i="1"/>
  <c r="F79" i="1" a="1"/>
  <c r="F79" i="1" s="1"/>
  <c r="D79" i="1" a="1"/>
  <c r="D79" i="1" s="1"/>
  <c r="B79" i="1"/>
  <c r="R78" i="1"/>
  <c r="Q78" i="1"/>
  <c r="P78" i="1"/>
  <c r="O78" i="1"/>
  <c r="N78" i="1"/>
  <c r="L78" i="1"/>
  <c r="F78" i="1" a="1"/>
  <c r="F78" i="1" s="1"/>
  <c r="D78" i="1" a="1"/>
  <c r="D78" i="1" s="1"/>
  <c r="B78" i="1"/>
  <c r="R77" i="1"/>
  <c r="Q77" i="1"/>
  <c r="P77" i="1"/>
  <c r="O77" i="1"/>
  <c r="N77" i="1"/>
  <c r="L77" i="1"/>
  <c r="F77" i="1" a="1"/>
  <c r="F77" i="1" s="1"/>
  <c r="D77" i="1" a="1"/>
  <c r="D77" i="1" s="1"/>
  <c r="B77" i="1"/>
  <c r="R76" i="1"/>
  <c r="Q76" i="1"/>
  <c r="P76" i="1"/>
  <c r="O76" i="1"/>
  <c r="N76" i="1"/>
  <c r="L76" i="1"/>
  <c r="F76" i="1" a="1"/>
  <c r="F76" i="1" s="1"/>
  <c r="D76" i="1" a="1"/>
  <c r="D76" i="1" s="1"/>
  <c r="B76" i="1"/>
  <c r="R75" i="1"/>
  <c r="Q75" i="1"/>
  <c r="P75" i="1"/>
  <c r="O75" i="1"/>
  <c r="N75" i="1"/>
  <c r="L75" i="1"/>
  <c r="F75" i="1" a="1"/>
  <c r="F75" i="1" s="1"/>
  <c r="D75" i="1" a="1"/>
  <c r="D75" i="1" s="1"/>
  <c r="B75" i="1"/>
  <c r="R74" i="1"/>
  <c r="Q74" i="1"/>
  <c r="P74" i="1"/>
  <c r="O74" i="1"/>
  <c r="N74" i="1"/>
  <c r="L74" i="1"/>
  <c r="F74" i="1" a="1"/>
  <c r="F74" i="1" s="1"/>
  <c r="D74" i="1" a="1"/>
  <c r="D74" i="1" s="1"/>
  <c r="B74" i="1"/>
  <c r="R73" i="1"/>
  <c r="Q73" i="1"/>
  <c r="P73" i="1"/>
  <c r="O73" i="1"/>
  <c r="N73" i="1"/>
  <c r="L73" i="1"/>
  <c r="F73" i="1" a="1"/>
  <c r="F73" i="1" s="1"/>
  <c r="D73" i="1" a="1"/>
  <c r="D73" i="1" s="1"/>
  <c r="B73" i="1"/>
  <c r="R72" i="1"/>
  <c r="Q72" i="1"/>
  <c r="P72" i="1"/>
  <c r="O72" i="1"/>
  <c r="N72" i="1"/>
  <c r="L72" i="1"/>
  <c r="F72" i="1" a="1"/>
  <c r="F72" i="1" s="1"/>
  <c r="D72" i="1" a="1"/>
  <c r="D72" i="1" s="1"/>
  <c r="B72" i="1"/>
  <c r="R71" i="1"/>
  <c r="Q71" i="1"/>
  <c r="P71" i="1"/>
  <c r="O71" i="1"/>
  <c r="N71" i="1"/>
  <c r="L71" i="1"/>
  <c r="F71" i="1" a="1"/>
  <c r="F71" i="1" s="1"/>
  <c r="D71" i="1" a="1"/>
  <c r="D71" i="1" s="1"/>
  <c r="B71" i="1"/>
  <c r="R70" i="1"/>
  <c r="Q70" i="1"/>
  <c r="P70" i="1"/>
  <c r="O70" i="1"/>
  <c r="N70" i="1"/>
  <c r="L70" i="1"/>
  <c r="F70" i="1" a="1"/>
  <c r="F70" i="1" s="1"/>
  <c r="D70" i="1" a="1"/>
  <c r="D70" i="1" s="1"/>
  <c r="B70" i="1"/>
  <c r="R69" i="1"/>
  <c r="Q69" i="1"/>
  <c r="P69" i="1"/>
  <c r="O69" i="1"/>
  <c r="N69" i="1"/>
  <c r="L69" i="1"/>
  <c r="F69" i="1" a="1"/>
  <c r="F69" i="1" s="1"/>
  <c r="D69" i="1" a="1"/>
  <c r="D69" i="1" s="1"/>
  <c r="B69" i="1"/>
  <c r="R68" i="1"/>
  <c r="Q68" i="1"/>
  <c r="P68" i="1"/>
  <c r="O68" i="1"/>
  <c r="N68" i="1"/>
  <c r="L68" i="1"/>
  <c r="F68" i="1" a="1"/>
  <c r="F68" i="1" s="1"/>
  <c r="D68" i="1" a="1"/>
  <c r="D68" i="1" s="1"/>
  <c r="B68" i="1"/>
  <c r="R67" i="1"/>
  <c r="Q67" i="1"/>
  <c r="P67" i="1"/>
  <c r="O67" i="1"/>
  <c r="N67" i="1"/>
  <c r="L67" i="1"/>
  <c r="F67" i="1" a="1"/>
  <c r="F67" i="1" s="1"/>
  <c r="D67" i="1" a="1"/>
  <c r="D67" i="1" s="1"/>
  <c r="B67" i="1"/>
  <c r="R66" i="1"/>
  <c r="Q66" i="1"/>
  <c r="P66" i="1"/>
  <c r="O66" i="1"/>
  <c r="N66" i="1"/>
  <c r="L66" i="1"/>
  <c r="F66" i="1" a="1"/>
  <c r="F66" i="1" s="1"/>
  <c r="D66" i="1" a="1"/>
  <c r="D66" i="1" s="1"/>
  <c r="B66" i="1"/>
  <c r="R65" i="1"/>
  <c r="Q65" i="1"/>
  <c r="P65" i="1"/>
  <c r="O65" i="1"/>
  <c r="N65" i="1"/>
  <c r="L65" i="1"/>
  <c r="F65" i="1" a="1"/>
  <c r="F65" i="1" s="1"/>
  <c r="D65" i="1" a="1"/>
  <c r="D65" i="1" s="1"/>
  <c r="B65" i="1"/>
  <c r="R64" i="1"/>
  <c r="Q64" i="1"/>
  <c r="P64" i="1"/>
  <c r="O64" i="1"/>
  <c r="N64" i="1"/>
  <c r="L64" i="1"/>
  <c r="F64" i="1" a="1"/>
  <c r="F64" i="1" s="1"/>
  <c r="D64" i="1" a="1"/>
  <c r="D64" i="1" s="1"/>
  <c r="B64" i="1"/>
  <c r="R63" i="1"/>
  <c r="Q63" i="1"/>
  <c r="P63" i="1"/>
  <c r="O63" i="1"/>
  <c r="N63" i="1"/>
  <c r="L63" i="1"/>
  <c r="F63" i="1" a="1"/>
  <c r="F63" i="1" s="1"/>
  <c r="D63" i="1" a="1"/>
  <c r="D63" i="1" s="1"/>
  <c r="B63" i="1"/>
  <c r="R62" i="1"/>
  <c r="Q62" i="1"/>
  <c r="P62" i="1"/>
  <c r="O62" i="1"/>
  <c r="N62" i="1"/>
  <c r="L62" i="1"/>
  <c r="F62" i="1" a="1"/>
  <c r="F62" i="1" s="1"/>
  <c r="D62" i="1" a="1"/>
  <c r="D62" i="1" s="1"/>
  <c r="B62" i="1"/>
  <c r="R61" i="1"/>
  <c r="Q61" i="1"/>
  <c r="P61" i="1"/>
  <c r="O61" i="1"/>
  <c r="N61" i="1"/>
  <c r="L61" i="1"/>
  <c r="F61" i="1" a="1"/>
  <c r="F61" i="1" s="1"/>
  <c r="D61" i="1" a="1"/>
  <c r="D61" i="1" s="1"/>
  <c r="B61" i="1"/>
  <c r="R60" i="1"/>
  <c r="Q60" i="1"/>
  <c r="P60" i="1"/>
  <c r="O60" i="1"/>
  <c r="N60" i="1"/>
  <c r="L60" i="1"/>
  <c r="F60" i="1" a="1"/>
  <c r="F60" i="1" s="1"/>
  <c r="D60" i="1" a="1"/>
  <c r="D60" i="1" s="1"/>
  <c r="B60" i="1"/>
  <c r="R59" i="1"/>
  <c r="Q59" i="1"/>
  <c r="P59" i="1"/>
  <c r="O59" i="1"/>
  <c r="N59" i="1"/>
  <c r="L59" i="1"/>
  <c r="F59" i="1" a="1"/>
  <c r="F59" i="1" s="1"/>
  <c r="D59" i="1" a="1"/>
  <c r="D59" i="1" s="1"/>
  <c r="B59" i="1"/>
  <c r="R58" i="1"/>
  <c r="Q58" i="1"/>
  <c r="P58" i="1"/>
  <c r="O58" i="1"/>
  <c r="N58" i="1"/>
  <c r="L58" i="1"/>
  <c r="F58" i="1" a="1"/>
  <c r="F58" i="1" s="1"/>
  <c r="D58" i="1" a="1"/>
  <c r="D58" i="1" s="1"/>
  <c r="B58" i="1"/>
  <c r="R57" i="1"/>
  <c r="Q57" i="1"/>
  <c r="P57" i="1"/>
  <c r="O57" i="1"/>
  <c r="N57" i="1"/>
  <c r="L57" i="1"/>
  <c r="F57" i="1" a="1"/>
  <c r="F57" i="1" s="1"/>
  <c r="D57" i="1" a="1"/>
  <c r="D57" i="1" s="1"/>
  <c r="B57" i="1"/>
  <c r="R56" i="1"/>
  <c r="Q56" i="1"/>
  <c r="P56" i="1"/>
  <c r="O56" i="1"/>
  <c r="N56" i="1"/>
  <c r="L56" i="1"/>
  <c r="F56" i="1" a="1"/>
  <c r="F56" i="1" s="1"/>
  <c r="D56" i="1" a="1"/>
  <c r="D56" i="1" s="1"/>
  <c r="B56" i="1"/>
  <c r="R55" i="1"/>
  <c r="Q55" i="1"/>
  <c r="P55" i="1"/>
  <c r="O55" i="1"/>
  <c r="N55" i="1"/>
  <c r="L55" i="1"/>
  <c r="F55" i="1" a="1"/>
  <c r="F55" i="1" s="1"/>
  <c r="D55" i="1" a="1"/>
  <c r="D55" i="1" s="1"/>
  <c r="B55" i="1"/>
  <c r="R54" i="1"/>
  <c r="Q54" i="1"/>
  <c r="P54" i="1"/>
  <c r="O54" i="1"/>
  <c r="N54" i="1"/>
  <c r="L54" i="1"/>
  <c r="F54" i="1" a="1"/>
  <c r="F54" i="1" s="1"/>
  <c r="D54" i="1" a="1"/>
  <c r="D54" i="1" s="1"/>
  <c r="B54" i="1"/>
  <c r="R53" i="1"/>
  <c r="Q53" i="1"/>
  <c r="P53" i="1"/>
  <c r="O53" i="1"/>
  <c r="N53" i="1"/>
  <c r="L53" i="1"/>
  <c r="F53" i="1" a="1"/>
  <c r="F53" i="1" s="1"/>
  <c r="D53" i="1" a="1"/>
  <c r="D53" i="1" s="1"/>
  <c r="B53" i="1"/>
  <c r="R52" i="1"/>
  <c r="Q52" i="1"/>
  <c r="P52" i="1"/>
  <c r="O52" i="1"/>
  <c r="N52" i="1"/>
  <c r="L52" i="1"/>
  <c r="F52" i="1" a="1"/>
  <c r="F52" i="1" s="1"/>
  <c r="D52" i="1" a="1"/>
  <c r="D52" i="1" s="1"/>
  <c r="B52" i="1"/>
  <c r="R51" i="1"/>
  <c r="Q51" i="1"/>
  <c r="P51" i="1"/>
  <c r="O51" i="1"/>
  <c r="N51" i="1"/>
  <c r="L51" i="1"/>
  <c r="F51" i="1" a="1"/>
  <c r="F51" i="1" s="1"/>
  <c r="D51" i="1" a="1"/>
  <c r="D51" i="1" s="1"/>
  <c r="B51" i="1"/>
  <c r="R50" i="1"/>
  <c r="Q50" i="1"/>
  <c r="P50" i="1"/>
  <c r="O50" i="1"/>
  <c r="N50" i="1"/>
  <c r="L50" i="1"/>
  <c r="F50" i="1" a="1"/>
  <c r="F50" i="1" s="1"/>
  <c r="D50" i="1" a="1"/>
  <c r="D50" i="1" s="1"/>
  <c r="B50" i="1"/>
  <c r="R49" i="1"/>
  <c r="Q49" i="1"/>
  <c r="P49" i="1"/>
  <c r="O49" i="1"/>
  <c r="N49" i="1"/>
  <c r="L49" i="1"/>
  <c r="F49" i="1" a="1"/>
  <c r="F49" i="1" s="1"/>
  <c r="D49" i="1" a="1"/>
  <c r="D49" i="1" s="1"/>
  <c r="B49" i="1"/>
  <c r="R48" i="1"/>
  <c r="Q48" i="1"/>
  <c r="P48" i="1"/>
  <c r="O48" i="1"/>
  <c r="N48" i="1"/>
  <c r="L48" i="1"/>
  <c r="F48" i="1" a="1"/>
  <c r="F48" i="1" s="1"/>
  <c r="D48" i="1" a="1"/>
  <c r="D48" i="1" s="1"/>
  <c r="B48" i="1"/>
  <c r="R47" i="1"/>
  <c r="Q47" i="1"/>
  <c r="P47" i="1"/>
  <c r="O47" i="1"/>
  <c r="N47" i="1"/>
  <c r="L47" i="1"/>
  <c r="F47" i="1" a="1"/>
  <c r="F47" i="1" s="1"/>
  <c r="D47" i="1" a="1"/>
  <c r="D47" i="1" s="1"/>
  <c r="B47" i="1"/>
  <c r="R46" i="1"/>
  <c r="Q46" i="1"/>
  <c r="P46" i="1"/>
  <c r="O46" i="1"/>
  <c r="N46" i="1"/>
  <c r="L46" i="1"/>
  <c r="F46" i="1" a="1"/>
  <c r="F46" i="1" s="1"/>
  <c r="D46" i="1" a="1"/>
  <c r="D46" i="1" s="1"/>
  <c r="B46" i="1"/>
  <c r="R45" i="1"/>
  <c r="Q45" i="1"/>
  <c r="P45" i="1"/>
  <c r="O45" i="1"/>
  <c r="N45" i="1"/>
  <c r="L45" i="1"/>
  <c r="F45" i="1" a="1"/>
  <c r="F45" i="1" s="1"/>
  <c r="D45" i="1" a="1"/>
  <c r="D45" i="1" s="1"/>
  <c r="B45" i="1"/>
  <c r="R44" i="1"/>
  <c r="Q44" i="1"/>
  <c r="P44" i="1"/>
  <c r="O44" i="1"/>
  <c r="N44" i="1"/>
  <c r="L44" i="1"/>
  <c r="F44" i="1" a="1"/>
  <c r="F44" i="1" s="1"/>
  <c r="D44" i="1" a="1"/>
  <c r="D44" i="1" s="1"/>
  <c r="B44" i="1"/>
  <c r="R43" i="1"/>
  <c r="Q43" i="1"/>
  <c r="P43" i="1"/>
  <c r="O43" i="1"/>
  <c r="N43" i="1"/>
  <c r="L43" i="1"/>
  <c r="F43" i="1" a="1"/>
  <c r="F43" i="1" s="1"/>
  <c r="D43" i="1" a="1"/>
  <c r="D43" i="1" s="1"/>
  <c r="B43" i="1"/>
  <c r="R42" i="1"/>
  <c r="Q42" i="1"/>
  <c r="P42" i="1"/>
  <c r="O42" i="1"/>
  <c r="N42" i="1"/>
  <c r="L42" i="1"/>
  <c r="F42" i="1" a="1"/>
  <c r="F42" i="1" s="1"/>
  <c r="D42" i="1" a="1"/>
  <c r="D42" i="1" s="1"/>
  <c r="B42" i="1"/>
  <c r="R41" i="1"/>
  <c r="Q41" i="1"/>
  <c r="P41" i="1"/>
  <c r="O41" i="1"/>
  <c r="N41" i="1"/>
  <c r="L41" i="1"/>
  <c r="F41" i="1" a="1"/>
  <c r="F41" i="1" s="1"/>
  <c r="D41" i="1" a="1"/>
  <c r="D41" i="1" s="1"/>
  <c r="B41" i="1"/>
  <c r="R40" i="1"/>
  <c r="Q40" i="1"/>
  <c r="P40" i="1"/>
  <c r="O40" i="1"/>
  <c r="N40" i="1"/>
  <c r="L40" i="1"/>
  <c r="F40" i="1" a="1"/>
  <c r="F40" i="1" s="1"/>
  <c r="D40" i="1" a="1"/>
  <c r="D40" i="1" s="1"/>
  <c r="B40" i="1"/>
  <c r="R39" i="1"/>
  <c r="Q39" i="1"/>
  <c r="P39" i="1"/>
  <c r="O39" i="1"/>
  <c r="N39" i="1"/>
  <c r="L39" i="1"/>
  <c r="F39" i="1" a="1"/>
  <c r="F39" i="1" s="1"/>
  <c r="D39" i="1" a="1"/>
  <c r="D39" i="1" s="1"/>
  <c r="B39" i="1"/>
  <c r="R38" i="1"/>
  <c r="Q38" i="1"/>
  <c r="P38" i="1"/>
  <c r="O38" i="1"/>
  <c r="N38" i="1"/>
  <c r="L38" i="1"/>
  <c r="F38" i="1" a="1"/>
  <c r="F38" i="1" s="1"/>
  <c r="D38" i="1" a="1"/>
  <c r="D38" i="1" s="1"/>
  <c r="B38" i="1"/>
  <c r="R37" i="1"/>
  <c r="Q37" i="1"/>
  <c r="P37" i="1"/>
  <c r="O37" i="1"/>
  <c r="N37" i="1"/>
  <c r="L37" i="1"/>
  <c r="F37" i="1" a="1"/>
  <c r="F37" i="1" s="1"/>
  <c r="D37" i="1" a="1"/>
  <c r="D37" i="1" s="1"/>
  <c r="B37" i="1"/>
  <c r="R36" i="1"/>
  <c r="Q36" i="1"/>
  <c r="P36" i="1"/>
  <c r="O36" i="1"/>
  <c r="N36" i="1"/>
  <c r="L36" i="1"/>
  <c r="F36" i="1" a="1"/>
  <c r="F36" i="1" s="1"/>
  <c r="D36" i="1" a="1"/>
  <c r="D36" i="1" s="1"/>
  <c r="B36" i="1"/>
  <c r="R35" i="1"/>
  <c r="Q35" i="1"/>
  <c r="P35" i="1"/>
  <c r="O35" i="1"/>
  <c r="N35" i="1"/>
  <c r="L35" i="1"/>
  <c r="F35" i="1" a="1"/>
  <c r="F35" i="1" s="1"/>
  <c r="D35" i="1" a="1"/>
  <c r="D35" i="1" s="1"/>
  <c r="B35" i="1"/>
  <c r="R34" i="1"/>
  <c r="Q34" i="1"/>
  <c r="P34" i="1"/>
  <c r="O34" i="1"/>
  <c r="N34" i="1"/>
  <c r="L34" i="1"/>
  <c r="F34" i="1" a="1"/>
  <c r="F34" i="1" s="1"/>
  <c r="D34" i="1" a="1"/>
  <c r="D34" i="1" s="1"/>
  <c r="B34" i="1"/>
  <c r="R33" i="1"/>
  <c r="Q33" i="1"/>
  <c r="P33" i="1"/>
  <c r="O33" i="1"/>
  <c r="N33" i="1"/>
  <c r="L33" i="1"/>
  <c r="F33" i="1" a="1"/>
  <c r="F33" i="1" s="1"/>
  <c r="D33" i="1" a="1"/>
  <c r="D33" i="1" s="1"/>
  <c r="B33" i="1"/>
  <c r="R32" i="1"/>
  <c r="Q32" i="1"/>
  <c r="P32" i="1"/>
  <c r="O32" i="1"/>
  <c r="N32" i="1"/>
  <c r="L32" i="1"/>
  <c r="F32" i="1" a="1"/>
  <c r="F32" i="1" s="1"/>
  <c r="D32" i="1" a="1"/>
  <c r="D32" i="1" s="1"/>
  <c r="B32" i="1"/>
  <c r="R31" i="1"/>
  <c r="Q31" i="1"/>
  <c r="P31" i="1"/>
  <c r="O31" i="1"/>
  <c r="N31" i="1"/>
  <c r="L31" i="1"/>
  <c r="F31" i="1" a="1"/>
  <c r="F31" i="1" s="1"/>
  <c r="D31" i="1" a="1"/>
  <c r="D31" i="1" s="1"/>
  <c r="B31" i="1"/>
  <c r="R30" i="1"/>
  <c r="Q30" i="1"/>
  <c r="P30" i="1"/>
  <c r="O30" i="1"/>
  <c r="N30" i="1"/>
  <c r="L30" i="1"/>
  <c r="F30" i="1" a="1"/>
  <c r="F30" i="1" s="1"/>
  <c r="D30" i="1" a="1"/>
  <c r="D30" i="1" s="1"/>
  <c r="B30" i="1"/>
  <c r="R29" i="1"/>
  <c r="Q29" i="1"/>
  <c r="P29" i="1"/>
  <c r="O29" i="1"/>
  <c r="N29" i="1"/>
  <c r="L29" i="1"/>
  <c r="F29" i="1" a="1"/>
  <c r="F29" i="1" s="1"/>
  <c r="D29" i="1" a="1"/>
  <c r="D29" i="1" s="1"/>
  <c r="B29" i="1"/>
  <c r="R28" i="1"/>
  <c r="Q28" i="1"/>
  <c r="P28" i="1"/>
  <c r="O28" i="1"/>
  <c r="N28" i="1"/>
  <c r="L28" i="1"/>
  <c r="F28" i="1" a="1"/>
  <c r="F28" i="1" s="1"/>
  <c r="D28" i="1" a="1"/>
  <c r="D28" i="1" s="1"/>
  <c r="B28" i="1"/>
  <c r="R27" i="1"/>
  <c r="Q27" i="1"/>
  <c r="P27" i="1"/>
  <c r="O27" i="1"/>
  <c r="N27" i="1"/>
  <c r="L27" i="1"/>
  <c r="F27" i="1" a="1"/>
  <c r="F27" i="1" s="1"/>
  <c r="D27" i="1" a="1"/>
  <c r="D27" i="1" s="1"/>
  <c r="B27" i="1"/>
  <c r="R26" i="1"/>
  <c r="Q26" i="1"/>
  <c r="P26" i="1"/>
  <c r="O26" i="1"/>
  <c r="N26" i="1"/>
  <c r="L26" i="1"/>
  <c r="F26" i="1" a="1"/>
  <c r="F26" i="1" s="1"/>
  <c r="D26" i="1" a="1"/>
  <c r="D26" i="1" s="1"/>
  <c r="B26" i="1"/>
  <c r="R25" i="1"/>
  <c r="Q25" i="1"/>
  <c r="P25" i="1"/>
  <c r="O25" i="1"/>
  <c r="N25" i="1"/>
  <c r="L25" i="1"/>
  <c r="F25" i="1" a="1"/>
  <c r="F25" i="1" s="1"/>
  <c r="D25" i="1" a="1"/>
  <c r="D25" i="1" s="1"/>
  <c r="B25" i="1"/>
  <c r="R24" i="1"/>
  <c r="Q24" i="1"/>
  <c r="P24" i="1"/>
  <c r="O24" i="1"/>
  <c r="N24" i="1"/>
  <c r="L24" i="1"/>
  <c r="F24" i="1" a="1"/>
  <c r="F24" i="1" s="1"/>
  <c r="D24" i="1" a="1"/>
  <c r="D24" i="1" s="1"/>
  <c r="B24" i="1"/>
  <c r="R23" i="1"/>
  <c r="Q23" i="1"/>
  <c r="P23" i="1"/>
  <c r="O23" i="1"/>
  <c r="N23" i="1"/>
  <c r="L23" i="1"/>
  <c r="F23" i="1" a="1"/>
  <c r="F23" i="1" s="1"/>
  <c r="D23" i="1" a="1"/>
  <c r="D23" i="1" s="1"/>
  <c r="B23" i="1"/>
  <c r="R22" i="1"/>
  <c r="Q22" i="1"/>
  <c r="P22" i="1"/>
  <c r="O22" i="1"/>
  <c r="N22" i="1"/>
  <c r="L22" i="1"/>
  <c r="F22" i="1" a="1"/>
  <c r="F22" i="1" s="1"/>
  <c r="D22" i="1" a="1"/>
  <c r="D22" i="1" s="1"/>
  <c r="B22" i="1"/>
  <c r="R21" i="1"/>
  <c r="Q21" i="1"/>
  <c r="P21" i="1"/>
  <c r="O21" i="1"/>
  <c r="N21" i="1"/>
  <c r="L21" i="1"/>
  <c r="F21" i="1" a="1"/>
  <c r="F21" i="1" s="1"/>
  <c r="D21" i="1" a="1"/>
  <c r="D21" i="1" s="1"/>
  <c r="B21" i="1"/>
  <c r="R20" i="1"/>
  <c r="Q20" i="1"/>
  <c r="P20" i="1"/>
  <c r="O20" i="1"/>
  <c r="N20" i="1"/>
  <c r="L20" i="1"/>
  <c r="F20" i="1" a="1"/>
  <c r="F20" i="1" s="1"/>
  <c r="D20" i="1" a="1"/>
  <c r="D20" i="1" s="1"/>
  <c r="B20" i="1"/>
  <c r="R19" i="1"/>
  <c r="Q19" i="1"/>
  <c r="P19" i="1"/>
  <c r="O19" i="1"/>
  <c r="N19" i="1"/>
  <c r="L19" i="1"/>
  <c r="F19" i="1" a="1"/>
  <c r="F19" i="1" s="1"/>
  <c r="D19" i="1" a="1"/>
  <c r="D19" i="1" s="1"/>
  <c r="B19" i="1"/>
  <c r="R18" i="1"/>
  <c r="Q18" i="1"/>
  <c r="P18" i="1"/>
  <c r="O18" i="1"/>
  <c r="N18" i="1"/>
  <c r="L18" i="1"/>
  <c r="F18" i="1" a="1"/>
  <c r="F18" i="1" s="1"/>
  <c r="D18" i="1" a="1"/>
  <c r="D18" i="1" s="1"/>
  <c r="B18" i="1"/>
  <c r="R17" i="1"/>
  <c r="Q17" i="1"/>
  <c r="P17" i="1"/>
  <c r="O17" i="1"/>
  <c r="N17" i="1"/>
  <c r="L17" i="1"/>
  <c r="F17" i="1" a="1"/>
  <c r="F17" i="1" s="1"/>
  <c r="D17" i="1" a="1"/>
  <c r="D17" i="1" s="1"/>
  <c r="B17" i="1"/>
  <c r="R16" i="1"/>
  <c r="Q16" i="1"/>
  <c r="P16" i="1"/>
  <c r="O16" i="1"/>
  <c r="N16" i="1"/>
  <c r="L16" i="1"/>
  <c r="F16" i="1" a="1"/>
  <c r="F16" i="1" s="1"/>
  <c r="D16" i="1" a="1"/>
  <c r="D16" i="1" s="1"/>
  <c r="B16" i="1"/>
  <c r="R15" i="1"/>
  <c r="Q15" i="1"/>
  <c r="P15" i="1"/>
  <c r="O15" i="1"/>
  <c r="N15" i="1"/>
  <c r="L15" i="1"/>
  <c r="F15" i="1" a="1"/>
  <c r="F15" i="1" s="1"/>
  <c r="D15" i="1" a="1"/>
  <c r="D15" i="1" s="1"/>
  <c r="B15" i="1"/>
  <c r="R14" i="1"/>
  <c r="Q14" i="1"/>
  <c r="P14" i="1"/>
  <c r="O14" i="1"/>
  <c r="N14" i="1"/>
  <c r="L14" i="1"/>
  <c r="F14" i="1" a="1"/>
  <c r="F14" i="1" s="1"/>
  <c r="D14" i="1" a="1"/>
  <c r="D14" i="1" s="1"/>
  <c r="B14" i="1"/>
  <c r="R13" i="1"/>
  <c r="Q13" i="1"/>
  <c r="P13" i="1"/>
  <c r="O13" i="1"/>
  <c r="N13" i="1"/>
  <c r="L13" i="1"/>
  <c r="F13" i="1" a="1"/>
  <c r="F13" i="1" s="1"/>
  <c r="D13" i="1" a="1"/>
  <c r="D13" i="1" s="1"/>
  <c r="B13" i="1"/>
  <c r="R12" i="1"/>
  <c r="Q12" i="1"/>
  <c r="P12" i="1"/>
  <c r="O12" i="1"/>
  <c r="N12" i="1"/>
  <c r="L12" i="1"/>
  <c r="F12" i="1" a="1"/>
  <c r="F12" i="1" s="1"/>
  <c r="D12" i="1" a="1"/>
  <c r="D12" i="1" s="1"/>
  <c r="B12" i="1"/>
  <c r="R11" i="1"/>
  <c r="Q11" i="1"/>
  <c r="P11" i="1"/>
  <c r="O11" i="1"/>
  <c r="N11" i="1"/>
  <c r="L11" i="1"/>
  <c r="F11" i="1"/>
  <c r="F11" i="1" a="1"/>
  <c r="D11" i="1" a="1"/>
  <c r="D11" i="1" s="1"/>
  <c r="B11" i="1"/>
  <c r="R10" i="1"/>
  <c r="Q10" i="1"/>
  <c r="P10" i="1"/>
  <c r="O10" i="1"/>
  <c r="N10" i="1"/>
  <c r="L10" i="1"/>
  <c r="F10" i="1" a="1"/>
  <c r="F10" i="1" s="1"/>
  <c r="D10" i="1" a="1"/>
  <c r="D10" i="1" s="1"/>
  <c r="B10" i="1"/>
  <c r="R9" i="1"/>
  <c r="Q9" i="1"/>
  <c r="P9" i="1"/>
  <c r="O9" i="1"/>
  <c r="N9" i="1"/>
  <c r="L9" i="1"/>
  <c r="F9" i="1" a="1"/>
  <c r="F9" i="1" s="1"/>
  <c r="D9" i="1" a="1"/>
  <c r="D9" i="1" s="1"/>
  <c r="B9" i="1"/>
  <c r="R8" i="1"/>
  <c r="Q8" i="1"/>
  <c r="P8" i="1"/>
  <c r="O8" i="1"/>
  <c r="N8" i="1"/>
  <c r="L8" i="1"/>
  <c r="F8" i="1" a="1"/>
  <c r="F8" i="1" s="1"/>
  <c r="D8" i="1" a="1"/>
  <c r="D8" i="1" s="1"/>
  <c r="B8" i="1"/>
  <c r="R7" i="1"/>
  <c r="Q7" i="1"/>
  <c r="P7" i="1"/>
  <c r="O7" i="1"/>
  <c r="N7" i="1"/>
  <c r="L7" i="1"/>
  <c r="F7" i="1" a="1"/>
  <c r="F7" i="1" s="1"/>
  <c r="D7" i="1" a="1"/>
  <c r="D7" i="1" s="1"/>
  <c r="B7" i="1"/>
  <c r="R6" i="1"/>
  <c r="Q6" i="1"/>
  <c r="P6" i="1"/>
  <c r="O6" i="1"/>
  <c r="N6" i="1"/>
  <c r="L6" i="1"/>
  <c r="F6" i="1" a="1"/>
  <c r="F6" i="1" s="1"/>
  <c r="D6" i="1" a="1"/>
  <c r="D6" i="1" s="1"/>
  <c r="B6" i="1"/>
  <c r="R5" i="1"/>
  <c r="Q5" i="1"/>
  <c r="P5" i="1"/>
  <c r="O5" i="1"/>
  <c r="N5" i="1"/>
  <c r="L5" i="1"/>
  <c r="F5" i="1" a="1"/>
  <c r="F5" i="1" s="1"/>
  <c r="D5" i="1" a="1"/>
  <c r="D5" i="1" s="1"/>
  <c r="B5" i="1"/>
  <c r="R4" i="1"/>
  <c r="Q4" i="1"/>
  <c r="P4" i="1"/>
  <c r="O4" i="1"/>
  <c r="N4" i="1"/>
  <c r="L4" i="1"/>
  <c r="F4" i="1" a="1"/>
  <c r="F4" i="1" s="1"/>
  <c r="D4" i="1" a="1"/>
  <c r="D4" i="1" s="1"/>
  <c r="B4" i="1"/>
  <c r="R3" i="1"/>
  <c r="Q3" i="1"/>
  <c r="P3" i="1"/>
  <c r="O3" i="1"/>
  <c r="N3" i="1"/>
  <c r="L3" i="1"/>
  <c r="F3" i="1" a="1"/>
  <c r="F3" i="1" s="1"/>
  <c r="D3" i="1" a="1"/>
  <c r="D3" i="1" s="1"/>
  <c r="B3" i="1"/>
  <c r="R2" i="1"/>
  <c r="Q2" i="1"/>
  <c r="P2" i="1"/>
  <c r="O2" i="1"/>
  <c r="N2" i="1"/>
  <c r="L2" i="1"/>
  <c r="F2" i="1" a="1"/>
  <c r="F2" i="1" s="1"/>
  <c r="D2" i="1"/>
  <c r="D2" i="1" a="1"/>
  <c r="B2" i="1"/>
  <c r="M2336" i="1" l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89" i="1"/>
  <c r="M1288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4" i="1"/>
  <c r="M3" i="1"/>
  <c r="M1287" i="1" l="1"/>
  <c r="M2" i="1"/>
  <c r="M1290" i="1"/>
  <c r="M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<sst xmlns="http://schemas.openxmlformats.org/spreadsheetml/2006/main" count="11693" uniqueCount="2357">
  <si>
    <t>Customer ID</t>
  </si>
  <si>
    <t>First Name</t>
  </si>
  <si>
    <t>BMI</t>
  </si>
  <si>
    <t>Weight status</t>
  </si>
  <si>
    <t>HBA1C</t>
  </si>
  <si>
    <t>Diabetes status</t>
  </si>
  <si>
    <t>Heart Issues</t>
  </si>
  <si>
    <t>Any Transplants</t>
  </si>
  <si>
    <t>Cancer history</t>
  </si>
  <si>
    <t>NumberOfMajorSurgeries</t>
  </si>
  <si>
    <t>smoker</t>
  </si>
  <si>
    <t>Date OF Birth</t>
  </si>
  <si>
    <t>Age</t>
  </si>
  <si>
    <t>children</t>
  </si>
  <si>
    <r>
      <rPr>
        <b/>
        <u val="singleAccounting"/>
        <sz val="11"/>
        <color theme="0"/>
        <rFont val="Calibri"/>
        <family val="2"/>
        <scheme val="minor"/>
      </rPr>
      <t>$</t>
    </r>
    <r>
      <rPr>
        <b/>
        <sz val="11"/>
        <color theme="0"/>
        <rFont val="Calibri"/>
        <family val="2"/>
        <scheme val="minor"/>
      </rPr>
      <t>Currency</t>
    </r>
  </si>
  <si>
    <t>Hospital tier</t>
  </si>
  <si>
    <t>City tier</t>
  </si>
  <si>
    <t>State ID</t>
  </si>
  <si>
    <t>ID1</t>
  </si>
  <si>
    <t>No</t>
  </si>
  <si>
    <t>yes</t>
  </si>
  <si>
    <t>ID2</t>
  </si>
  <si>
    <t>ID3</t>
  </si>
  <si>
    <t>ID4</t>
  </si>
  <si>
    <t>ID5</t>
  </si>
  <si>
    <t>ID6</t>
  </si>
  <si>
    <t>ID7</t>
  </si>
  <si>
    <t>ID8</t>
  </si>
  <si>
    <t>ID9</t>
  </si>
  <si>
    <t>Yes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</si>
  <si>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</si>
  <si>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</si>
  <si>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</si>
  <si>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</si>
  <si>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</si>
  <si>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</si>
  <si>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</si>
  <si>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</si>
  <si>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</si>
  <si>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</si>
  <si>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</si>
  <si>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</si>
  <si>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</si>
  <si>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</si>
  <si>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</si>
  <si>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</si>
  <si>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</si>
  <si>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</si>
  <si>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</si>
  <si>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</si>
  <si>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</si>
  <si>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</si>
  <si>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</si>
  <si>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</si>
  <si>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</si>
  <si>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</si>
  <si>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</si>
  <si>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</si>
  <si>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</si>
  <si>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</si>
  <si>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</si>
  <si>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</si>
  <si>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</si>
  <si>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</si>
  <si>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</si>
  <si>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</si>
  <si>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</si>
  <si>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</si>
  <si>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</si>
  <si>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</si>
  <si>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</si>
  <si>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</si>
  <si>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</si>
  <si>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</si>
  <si>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</si>
  <si>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</si>
  <si>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</si>
  <si>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</si>
  <si>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</si>
  <si>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</si>
  <si>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</si>
  <si>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</si>
  <si>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</si>
  <si>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</si>
  <si>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</si>
  <si>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</si>
  <si>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</si>
  <si>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</si>
  <si>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</si>
  <si>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</si>
  <si>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</si>
  <si>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</si>
  <si>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</si>
  <si>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</si>
  <si>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</si>
  <si>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</si>
  <si>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</si>
  <si>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</si>
  <si>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</si>
  <si>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</si>
  <si>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</si>
  <si>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</si>
  <si>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</si>
  <si>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</si>
  <si>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</si>
  <si>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</si>
  <si>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</si>
  <si>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</si>
  <si>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</si>
  <si>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</si>
  <si>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</si>
  <si>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</si>
  <si>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</si>
  <si>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</si>
  <si>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</si>
  <si>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</si>
  <si>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</si>
  <si>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</si>
  <si>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</si>
  <si>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</si>
  <si>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</si>
  <si>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</si>
  <si>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</si>
  <si>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</si>
  <si>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</si>
  <si>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</si>
  <si>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</si>
  <si>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</si>
  <si>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</si>
  <si>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</si>
  <si>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</si>
  <si>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</si>
  <si>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</si>
  <si>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</si>
  <si>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</si>
  <si>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</si>
  <si>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</si>
  <si>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</si>
  <si>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</si>
  <si>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</si>
  <si>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</si>
  <si>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</si>
  <si>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</si>
  <si>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</si>
  <si>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</si>
  <si>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</si>
  <si>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</si>
  <si>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</si>
  <si>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</si>
  <si>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</si>
  <si>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</si>
  <si>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</si>
  <si>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</si>
  <si>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</si>
  <si>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</si>
  <si>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</si>
  <si>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</si>
  <si>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</si>
  <si>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</si>
  <si>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</si>
  <si>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</si>
  <si>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</si>
  <si>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</si>
  <si>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</si>
  <si>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</si>
  <si>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</si>
  <si>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</si>
  <si>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</si>
  <si>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</si>
  <si>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</si>
  <si>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</si>
  <si>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</si>
  <si>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</si>
  <si>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</si>
  <si>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</si>
  <si>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</si>
  <si>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</si>
  <si>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</si>
  <si>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</si>
  <si>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</si>
  <si>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</si>
  <si>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</si>
  <si>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</si>
  <si>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</si>
  <si>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</si>
  <si>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</si>
  <si>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</si>
  <si>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</si>
  <si>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</si>
  <si>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</si>
  <si>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</si>
  <si>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</si>
  <si>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</si>
  <si>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</si>
  <si>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</si>
  <si>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</si>
  <si>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</si>
  <si>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</si>
  <si>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</si>
  <si>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</si>
  <si>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</si>
  <si>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</si>
  <si>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</si>
  <si>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</si>
  <si>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</si>
  <si>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</si>
  <si>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</si>
  <si>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</si>
  <si>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</si>
  <si>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</si>
  <si>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</si>
  <si>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</si>
  <si>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</si>
  <si>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</si>
  <si>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</si>
  <si>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</si>
  <si>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</si>
  <si>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</si>
  <si>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</si>
  <si>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</si>
  <si>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</si>
  <si>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</si>
  <si>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</si>
  <si>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</si>
  <si>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</si>
  <si>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</si>
  <si>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</si>
  <si>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</si>
  <si>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</si>
  <si>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</si>
  <si>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</si>
  <si>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</si>
  <si>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</si>
  <si>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</si>
  <si>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</si>
  <si>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</si>
  <si>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</si>
  <si>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</si>
  <si>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</si>
  <si>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</si>
  <si>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</si>
  <si>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</si>
  <si>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</si>
  <si>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</si>
  <si>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</si>
  <si>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</si>
  <si>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</si>
  <si>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</si>
  <si>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</si>
  <si>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</si>
  <si>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</si>
  <si>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</si>
  <si>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</si>
  <si>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</si>
  <si>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</si>
  <si>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</si>
  <si>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</si>
  <si>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</si>
  <si>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</si>
  <si>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</si>
  <si>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</si>
  <si>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</si>
  <si>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</si>
  <si>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</si>
  <si>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</si>
  <si>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</si>
  <si>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</si>
  <si>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</si>
  <si>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</si>
  <si>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</si>
  <si>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</si>
  <si>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</si>
  <si>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</si>
  <si>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</si>
  <si>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</si>
  <si>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</si>
  <si>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</si>
  <si>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</si>
  <si>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</si>
  <si>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</si>
  <si>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</si>
  <si>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</si>
  <si>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</si>
  <si>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</si>
  <si>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</si>
  <si>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</si>
  <si>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</si>
  <si>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</si>
  <si>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</si>
  <si>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</si>
  <si>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</si>
  <si>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</si>
  <si>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</si>
  <si>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</si>
  <si>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</si>
  <si>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</si>
  <si>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</si>
  <si>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</si>
  <si>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</si>
  <si>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</si>
  <si>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</si>
  <si>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</si>
  <si>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</si>
  <si>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</si>
  <si>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</si>
  <si>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</si>
  <si>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</si>
  <si>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</si>
  <si>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</si>
  <si>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</si>
  <si>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</si>
  <si>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</si>
  <si>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</si>
  <si>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</si>
  <si>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</si>
  <si>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</si>
  <si>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</si>
  <si>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</si>
  <si>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</si>
  <si>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</si>
  <si>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</si>
  <si>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</si>
  <si>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</si>
  <si>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</si>
  <si>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</si>
  <si>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</si>
  <si>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</si>
  <si>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</si>
  <si>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</si>
  <si>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</si>
  <si>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</si>
  <si>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</si>
  <si>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</si>
  <si>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</si>
  <si>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</si>
  <si>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</si>
  <si>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</si>
  <si>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</si>
  <si>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</si>
  <si>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</si>
  <si>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</si>
  <si>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</si>
  <si>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</si>
  <si>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</si>
  <si>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</si>
  <si>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</si>
  <si>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</si>
  <si>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</si>
  <si>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</si>
  <si>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</si>
  <si>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</si>
  <si>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</si>
  <si>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</si>
  <si>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</si>
  <si>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</si>
  <si>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</si>
  <si>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</si>
  <si>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</si>
  <si>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</si>
  <si>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</si>
  <si>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</si>
  <si>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</si>
  <si>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</si>
  <si>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</si>
  <si>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</si>
  <si>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</si>
  <si>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</si>
  <si>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</si>
  <si>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</si>
  <si>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</si>
  <si>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</si>
  <si>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</si>
  <si>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</si>
  <si>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</si>
  <si>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</si>
  <si>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</si>
  <si>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</si>
  <si>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</si>
  <si>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</si>
  <si>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</si>
  <si>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</si>
  <si>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</si>
  <si>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</si>
  <si>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</si>
  <si>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</si>
  <si>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</si>
  <si>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</si>
  <si>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</si>
  <si>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</si>
  <si>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</si>
  <si>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</si>
  <si>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</si>
  <si>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</si>
  <si>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</si>
  <si>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</si>
  <si>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</si>
  <si>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</si>
  <si>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</si>
  <si>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</si>
  <si>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</si>
  <si>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</si>
  <si>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</si>
  <si>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</si>
  <si>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</si>
  <si>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</si>
  <si>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</si>
  <si>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</si>
  <si>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</si>
  <si>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</si>
  <si>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</si>
  <si>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</si>
  <si>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</si>
  <si>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</si>
  <si>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</si>
  <si>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</si>
  <si>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</si>
  <si>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</si>
  <si>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</si>
  <si>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</si>
  <si>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</si>
  <si>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</si>
  <si>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</si>
  <si>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</si>
  <si>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</si>
  <si>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</si>
  <si>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</si>
  <si>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</si>
  <si>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</si>
  <si>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</si>
  <si>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</si>
  <si>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</si>
  <si>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</si>
  <si>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</si>
  <si>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</si>
  <si>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</si>
  <si>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</si>
  <si>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</si>
  <si>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</si>
  <si>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</si>
  <si>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</si>
  <si>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</si>
  <si>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</si>
  <si>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</si>
  <si>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</si>
  <si>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</si>
  <si>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</si>
  <si>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</si>
  <si>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</si>
  <si>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</si>
  <si>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</si>
  <si>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</si>
  <si>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</si>
  <si>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</si>
  <si>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</si>
  <si>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</si>
  <si>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</si>
  <si>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</si>
  <si>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</si>
  <si>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</si>
  <si>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</si>
  <si>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</si>
  <si>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</si>
  <si>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</si>
  <si>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</si>
  <si>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</si>
  <si>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</si>
  <si>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</si>
  <si>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</si>
  <si>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</si>
  <si>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</si>
  <si>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</si>
  <si>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</si>
  <si>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</si>
  <si>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</si>
  <si>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</si>
  <si>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</si>
  <si>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</si>
  <si>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</si>
  <si>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</si>
  <si>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</si>
  <si>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</si>
  <si>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</si>
  <si>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</si>
  <si>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</si>
  <si>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</si>
  <si>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</si>
  <si>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</si>
  <si>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</si>
  <si>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</si>
  <si>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</si>
  <si>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</si>
  <si>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</si>
  <si>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</si>
  <si>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</si>
  <si>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</si>
  <si>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</si>
  <si>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</si>
  <si>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</si>
  <si>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</si>
  <si>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</si>
  <si>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</si>
  <si>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</si>
  <si>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</si>
  <si>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</si>
  <si>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</si>
  <si>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</si>
  <si>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</si>
  <si>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</si>
  <si>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</si>
  <si>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</si>
  <si>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</si>
  <si>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</si>
  <si>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</si>
  <si>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</si>
  <si>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</si>
  <si>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</si>
  <si>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</si>
  <si>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</si>
  <si>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</si>
  <si>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</si>
  <si>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</si>
  <si>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</si>
  <si>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</si>
  <si>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</si>
  <si>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</si>
  <si>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</si>
  <si>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</si>
  <si>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</si>
  <si>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</si>
  <si>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</si>
  <si>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</si>
  <si>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</si>
  <si>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</si>
  <si>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</si>
  <si>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</si>
  <si>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</si>
  <si>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</si>
  <si>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</si>
  <si>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</si>
  <si>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</si>
  <si>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</si>
  <si>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</si>
  <si>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</si>
  <si>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</si>
  <si>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</si>
  <si>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</si>
  <si>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</si>
  <si>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</si>
  <si>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</si>
  <si>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</si>
  <si>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</si>
  <si>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</si>
  <si>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</si>
  <si>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</si>
  <si>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</si>
  <si>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</si>
  <si>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</si>
  <si>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</si>
  <si>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</si>
  <si>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</si>
  <si>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</si>
  <si>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</si>
  <si>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</si>
  <si>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</si>
  <si>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</si>
  <si>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</si>
  <si>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</si>
  <si>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</si>
  <si>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</si>
  <si>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</si>
  <si>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</si>
  <si>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</si>
  <si>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</si>
  <si>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</si>
  <si>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</si>
  <si>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</si>
  <si>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</si>
  <si>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</si>
  <si>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</si>
  <si>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</si>
  <si>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</si>
  <si>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unknown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</si>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</sst>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44" fontId="2" fillId="2" borderId="0" xfId="1" applyFont="1" applyFill="1" applyBorder="1"/>
    <xf numFmtId="0" fontId="0" fillId="3" borderId="1" xfId="0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B4-4D57-BF25-1F8F1A6EE4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B4-4D57-BF25-1F8F1A6EE49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1845</c:v>
              </c:pt>
              <c:pt idx="1">
                <c:v>488</c:v>
              </c:pt>
            </c:numLit>
          </c:val>
          <c:extLst>
            <c:ext xmlns:c16="http://schemas.microsoft.com/office/drawing/2014/chart" uri="{C3380CC4-5D6E-409C-BE32-E72D297353CC}">
              <c16:uniqueId val="{00000004-E2B4-4D57-BF25-1F8F1A6EE4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layout>
            <c:manualLayout>
              <c:x val="1.5082956259426848E-2"/>
              <c:y val="-0.1864035087719298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layout>
            <c:manualLayout>
              <c:x val="-0.30542986425339369"/>
              <c:y val="-0.16447368421052641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layout>
            <c:manualLayout>
              <c:x val="-0.35310734463276844"/>
              <c:y val="-0.20661157024793397"/>
            </c:manualLayout>
          </c:layout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layout>
            <c:manualLayout>
              <c:x val="1.9193857965450999E-2"/>
              <c:y val="-0.2617079889807163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4E72F9C9-E6BB-4CCF-8402-CF7306BA05FE}" type="VALUE">
                  <a:rPr lang="en-US" sz="1200" b="1">
                    <a:solidFill>
                      <a:schemeClr val="bg1"/>
                    </a:solidFill>
                  </a:rPr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layout>
            <c:manualLayout>
              <c:x val="-1.581541113330983E-2"/>
              <c:y val="-0.22956841138659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layout>
            <c:manualLayout>
              <c:x val="0.18636847710330137"/>
              <c:y val="-0.11478420569329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layout>
            <c:manualLayout>
              <c:x val="0.1650692225772098"/>
              <c:y val="2.75482093663911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layout>
            <c:manualLayout>
              <c:x val="0.36652211384024747"/>
              <c:y val="-2.29568411386593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195928753180662"/>
              <c:y val="6.42791551882461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1246819338422404E-2"/>
              <c:y val="-0.128558310376492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815823605706873"/>
              <c:y val="2.7548209366391185E-2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CF48C89-AE00-4265-B5B9-14EC65C9C0BC}" type="VALUE">
                  <a:rPr lang="en-US"/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major surgeries without any transplants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3756830218286832E-2"/>
              <c:y val="-0.16528925619834711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9AB6927-0685-4767-B22D-42E22D1B6E91}" type="VALUE">
                  <a:rPr lang="en-US"/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number of major surgeries with any translants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5445292620865142E-3"/>
              <c:y val="0.11478420569329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445292620864205E-3"/>
              <c:y val="-8.72359963269054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layout>
            <c:manualLayout>
              <c:x val="8.6914002297755491E-2"/>
              <c:y val="-0.26855237167519008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1E57CEF-B415-4A60-97D0-61E992C8B77C}" type="VALUE">
                  <a:rPr lang="en-US"/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HBA1C without any transplants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6"/>
        <c:dLbl>
          <c:idx val="0"/>
          <c:layout>
            <c:manualLayout>
              <c:x val="-0.12455516014234876"/>
              <c:y val="0.14692378328741956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B6A87B3-6FB2-486B-B011-AEA3A3A8F188}" type="VALUE">
                  <a:rPr lang="en-US"/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HBA1C with any transplants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8184568531986937"/>
          <c:y val="0.38375544551776386"/>
          <c:w val="0.40680896871876776"/>
          <c:h val="0.47139513488648965"/>
        </c:manualLayout>
      </c:layout>
      <c:doughnut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02-4BAA-B108-3E3BA7FC08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02-4BAA-B108-3E3BA7FC0847}"/>
              </c:ext>
            </c:extLst>
          </c:dPt>
          <c:dLbls>
            <c:dLbl>
              <c:idx val="0"/>
              <c:layout>
                <c:manualLayout>
                  <c:x val="0.1815823605706873"/>
                  <c:y val="2.7548209366391185E-2"/>
                </c:manualLayout>
              </c:layout>
              <c:tx>
                <c:rich>
                  <a:bodyPr/>
                  <a:lstStyle/>
                  <a:p>
                    <a:fld id="{7CF48C89-AE00-4265-B5B9-14EC65C9C0BC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/>
                      <a:t>sum of major surgeries without any transplants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402-4BAA-B108-3E3BA7FC0847}"/>
                </c:ext>
              </c:extLst>
            </c:dLbl>
            <c:dLbl>
              <c:idx val="1"/>
              <c:layout>
                <c:manualLayout>
                  <c:x val="-9.3756830218286832E-2"/>
                  <c:y val="-0.16528925619834711"/>
                </c:manualLayout>
              </c:layout>
              <c:tx>
                <c:rich>
                  <a:bodyPr/>
                  <a:lstStyle/>
                  <a:p>
                    <a:fld id="{49AB6927-0685-4767-B22D-42E22D1B6E91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/>
                      <a:t>sum of number of major surgeries with any translants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402-4BAA-B108-3E3BA7FC08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1417</c:v>
              </c:pt>
              <c:pt idx="1">
                <c:v>162</c:v>
              </c:pt>
            </c:numLit>
          </c:val>
          <c:extLst>
            <c:ext xmlns:c16="http://schemas.microsoft.com/office/drawing/2014/chart" uri="{C3380CC4-5D6E-409C-BE32-E72D297353CC}">
              <c16:uniqueId val="{00000004-2402-4BAA-B108-3E3BA7FC0847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402-4BAA-B108-3E3BA7FC08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402-4BAA-B108-3E3BA7FC0847}"/>
              </c:ext>
            </c:extLst>
          </c:dPt>
          <c:dLbls>
            <c:dLbl>
              <c:idx val="0"/>
              <c:layout>
                <c:manualLayout>
                  <c:x val="8.6914002297755491E-2"/>
                  <c:y val="-0.26855237167519008"/>
                </c:manualLayout>
              </c:layout>
              <c:tx>
                <c:rich>
                  <a:bodyPr/>
                  <a:lstStyle/>
                  <a:p>
                    <a:fld id="{81E57CEF-B415-4A60-97D0-61E992C8B77C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/>
                      <a:t>Average of HBA1C without any transplants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2402-4BAA-B108-3E3BA7FC0847}"/>
                </c:ext>
              </c:extLst>
            </c:dLbl>
            <c:dLbl>
              <c:idx val="1"/>
              <c:layout>
                <c:manualLayout>
                  <c:x val="-0.12455516014234876"/>
                  <c:y val="0.14692378328741956"/>
                </c:manualLayout>
              </c:layout>
              <c:tx>
                <c:rich>
                  <a:bodyPr/>
                  <a:lstStyle/>
                  <a:p>
                    <a:fld id="{5B6A87B3-6FB2-486B-B011-AEA3A3A8F188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/>
                      <a:t>Average of HBA1C with any transplants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2402-4BAA-B108-3E3BA7FC08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6.6704427202190848</c:v>
              </c:pt>
              <c:pt idx="1">
                <c:v>5.1876388888888894</c:v>
              </c:pt>
            </c:numLit>
          </c:val>
          <c:extLst>
            <c:ext xmlns:c16="http://schemas.microsoft.com/office/drawing/2014/chart" uri="{C3380CC4-5D6E-409C-BE32-E72D297353CC}">
              <c16:uniqueId val="{00000009-2402-4BAA-B108-3E3BA7FC08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"/>
              <c:y val="-3.7453183520599197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5.5741360089186179E-3"/>
              <c:y val="-2.59291270527225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080539507632367"/>
          <c:y val="1.6650817198574818E-2"/>
          <c:w val="0.8891946049236763"/>
          <c:h val="0.64520129668320414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1"/>
              <c:layout>
                <c:manualLayout>
                  <c:x val="0"/>
                  <c:y val="-3.74531835205991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29-49EA-8449-D2AC3FC0723D}"/>
                </c:ext>
              </c:extLst>
            </c:dLbl>
            <c:dLbl>
              <c:idx val="4"/>
              <c:layout>
                <c:manualLayout>
                  <c:x val="5.5741360089186179E-3"/>
                  <c:y val="-2.59291270527225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29-49EA-8449-D2AC3FC072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Normal Weight diabetes</c:v>
              </c:pt>
              <c:pt idx="1">
                <c:v>Normal Weight normal</c:v>
              </c:pt>
              <c:pt idx="2">
                <c:v>Normal Weight prediabetes</c:v>
              </c:pt>
              <c:pt idx="3">
                <c:v>overweight diabetes</c:v>
              </c:pt>
              <c:pt idx="4">
                <c:v>overweight normal</c:v>
              </c:pt>
              <c:pt idx="5">
                <c:v>overweight prediabetes</c:v>
              </c:pt>
              <c:pt idx="6">
                <c:v>under weight diabetes</c:v>
              </c:pt>
              <c:pt idx="7">
                <c:v>under weight normal</c:v>
              </c:pt>
              <c:pt idx="8">
                <c:v>under weight prediabetes</c:v>
              </c:pt>
            </c:strLit>
          </c:cat>
          <c:val>
            <c:numLit>
              <c:formatCode>General</c:formatCode>
              <c:ptCount val="9"/>
              <c:pt idx="0">
                <c:v>1726354.4800000009</c:v>
              </c:pt>
              <c:pt idx="1">
                <c:v>1674180.5099999998</c:v>
              </c:pt>
              <c:pt idx="2">
                <c:v>841586.96999999962</c:v>
              </c:pt>
              <c:pt idx="3">
                <c:v>10497138.960000003</c:v>
              </c:pt>
              <c:pt idx="4">
                <c:v>11011971.119999995</c:v>
              </c:pt>
              <c:pt idx="5">
                <c:v>4626846.6899999985</c:v>
              </c:pt>
              <c:pt idx="6">
                <c:v>483792.72000000003</c:v>
              </c:pt>
              <c:pt idx="7">
                <c:v>572956.59000000008</c:v>
              </c:pt>
              <c:pt idx="8">
                <c:v>157530.57</c:v>
              </c:pt>
            </c:numLit>
          </c:val>
          <c:extLst>
            <c:ext xmlns:c16="http://schemas.microsoft.com/office/drawing/2014/chart" uri="{C3380CC4-5D6E-409C-BE32-E72D297353CC}">
              <c16:uniqueId val="{00000002-AA29-49EA-8449-D2AC3FC072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198"/>
        <c:shape val="box"/>
        <c:axId val="1275059439"/>
        <c:axId val="1275060271"/>
        <c:axId val="0"/>
      </c:bar3DChart>
      <c:catAx>
        <c:axId val="127505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60271"/>
        <c:crosses val="autoZero"/>
        <c:auto val="1"/>
        <c:lblAlgn val="ctr"/>
        <c:lblOffset val="100"/>
        <c:tickLblSkip val="1"/>
        <c:noMultiLvlLbl val="0"/>
      </c:catAx>
      <c:valAx>
        <c:axId val="127506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59439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</c:pivotFmt>
      <c:pivotFmt>
        <c:idx val="5"/>
      </c:pivotFmt>
      <c:pivotFmt>
        <c:idx val="6"/>
      </c:pivotFmt>
    </c:pivotFmts>
    <c:plotArea>
      <c:layout>
        <c:manualLayout>
          <c:layoutTarget val="inner"/>
          <c:xMode val="edge"/>
          <c:yMode val="edge"/>
          <c:x val="8.3747135546787504E-2"/>
          <c:y val="0.20222924570623568"/>
          <c:w val="0.80116784493879245"/>
          <c:h val="0.67437707177554074"/>
        </c:manualLayout>
      </c:layout>
      <c:barChart>
        <c:barDir val="col"/>
        <c:grouping val="stacked"/>
        <c:varyColors val="0"/>
        <c:ser>
          <c:idx val="0"/>
          <c:order val="0"/>
          <c:tx>
            <c:v>tier - 1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R1011</c:v>
              </c:pt>
              <c:pt idx="1">
                <c:v>R1012</c:v>
              </c:pt>
              <c:pt idx="2">
                <c:v>R1013</c:v>
              </c:pt>
              <c:pt idx="3">
                <c:v>R1014</c:v>
              </c:pt>
              <c:pt idx="4">
                <c:v>R1015</c:v>
              </c:pt>
              <c:pt idx="5">
                <c:v>R1016</c:v>
              </c:pt>
              <c:pt idx="6">
                <c:v>R1017</c:v>
              </c:pt>
              <c:pt idx="7">
                <c:v>R1018</c:v>
              </c:pt>
              <c:pt idx="8">
                <c:v>R1019</c:v>
              </c:pt>
              <c:pt idx="9">
                <c:v>R1020</c:v>
              </c:pt>
              <c:pt idx="10">
                <c:v>R1021</c:v>
              </c:pt>
              <c:pt idx="11">
                <c:v>R1022</c:v>
              </c:pt>
              <c:pt idx="12">
                <c:v>R1023</c:v>
              </c:pt>
              <c:pt idx="13">
                <c:v>R1024</c:v>
              </c:pt>
              <c:pt idx="14">
                <c:v>R1025</c:v>
              </c:pt>
              <c:pt idx="15">
                <c:v>R1026</c:v>
              </c:pt>
              <c:pt idx="16">
                <c:v>unknown</c:v>
              </c:pt>
            </c:strLit>
          </c:cat>
          <c:val>
            <c:numLit>
              <c:formatCode>General</c:formatCode>
              <c:ptCount val="17"/>
              <c:pt idx="0">
                <c:v>33081.373793103427</c:v>
              </c:pt>
              <c:pt idx="1">
                <c:v>26111.457936507926</c:v>
              </c:pt>
              <c:pt idx="2">
                <c:v>31328.102238805965</c:v>
              </c:pt>
              <c:pt idx="3">
                <c:v>13891.86</c:v>
              </c:pt>
              <c:pt idx="4">
                <c:v>21523.52</c:v>
              </c:pt>
              <c:pt idx="5">
                <c:v>39868.616250000006</c:v>
              </c:pt>
              <c:pt idx="6">
                <c:v>34070.595714285715</c:v>
              </c:pt>
              <c:pt idx="7">
                <c:v>33475.82</c:v>
              </c:pt>
              <c:pt idx="8">
                <c:v>27621.609999999997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18261.7575</c:v>
              </c:pt>
              <c:pt idx="13">
                <c:v>32732.187142857143</c:v>
              </c:pt>
              <c:pt idx="14">
                <c:v>0</c:v>
              </c:pt>
              <c:pt idx="15">
                <c:v>18709.798000000003</c:v>
              </c:pt>
              <c:pt idx="16">
                <c:v>20996.530000000002</c:v>
              </c:pt>
            </c:numLit>
          </c:val>
          <c:extLst>
            <c:ext xmlns:c16="http://schemas.microsoft.com/office/drawing/2014/chart" uri="{C3380CC4-5D6E-409C-BE32-E72D297353CC}">
              <c16:uniqueId val="{00000000-7957-4A63-BA77-51FE0FFDD1F7}"/>
            </c:ext>
          </c:extLst>
        </c:ser>
        <c:ser>
          <c:idx val="1"/>
          <c:order val="1"/>
          <c:tx>
            <c:v>tier - 2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R1011</c:v>
              </c:pt>
              <c:pt idx="1">
                <c:v>R1012</c:v>
              </c:pt>
              <c:pt idx="2">
                <c:v>R1013</c:v>
              </c:pt>
              <c:pt idx="3">
                <c:v>R1014</c:v>
              </c:pt>
              <c:pt idx="4">
                <c:v>R1015</c:v>
              </c:pt>
              <c:pt idx="5">
                <c:v>R1016</c:v>
              </c:pt>
              <c:pt idx="6">
                <c:v>R1017</c:v>
              </c:pt>
              <c:pt idx="7">
                <c:v>R1018</c:v>
              </c:pt>
              <c:pt idx="8">
                <c:v>R1019</c:v>
              </c:pt>
              <c:pt idx="9">
                <c:v>R1020</c:v>
              </c:pt>
              <c:pt idx="10">
                <c:v>R1021</c:v>
              </c:pt>
              <c:pt idx="11">
                <c:v>R1022</c:v>
              </c:pt>
              <c:pt idx="12">
                <c:v>R1023</c:v>
              </c:pt>
              <c:pt idx="13">
                <c:v>R1024</c:v>
              </c:pt>
              <c:pt idx="14">
                <c:v>R1025</c:v>
              </c:pt>
              <c:pt idx="15">
                <c:v>R1026</c:v>
              </c:pt>
              <c:pt idx="16">
                <c:v>unknown</c:v>
              </c:pt>
            </c:strLit>
          </c:cat>
          <c:val>
            <c:numLit>
              <c:formatCode>General</c:formatCode>
              <c:ptCount val="17"/>
              <c:pt idx="0">
                <c:v>18997.280691823889</c:v>
              </c:pt>
              <c:pt idx="1">
                <c:v>10334.27932153393</c:v>
              </c:pt>
              <c:pt idx="2">
                <c:v>8459.9776737967968</c:v>
              </c:pt>
              <c:pt idx="3">
                <c:v>2395.17</c:v>
              </c:pt>
              <c:pt idx="4">
                <c:v>15675.543333333329</c:v>
              </c:pt>
              <c:pt idx="5">
                <c:v>16075.963333333331</c:v>
              </c:pt>
              <c:pt idx="6">
                <c:v>11365.621874999999</c:v>
              </c:pt>
              <c:pt idx="7">
                <c:v>10139.553333333331</c:v>
              </c:pt>
              <c:pt idx="8">
                <c:v>8116.72</c:v>
              </c:pt>
              <c:pt idx="9">
                <c:v>6760.543333333334</c:v>
              </c:pt>
              <c:pt idx="10">
                <c:v>7668.1787234042558</c:v>
              </c:pt>
              <c:pt idx="11">
                <c:v>10102.026666666667</c:v>
              </c:pt>
              <c:pt idx="12">
                <c:v>13457.094583333337</c:v>
              </c:pt>
              <c:pt idx="13">
                <c:v>10174.345999999996</c:v>
              </c:pt>
              <c:pt idx="14">
                <c:v>6886.0368421052626</c:v>
              </c:pt>
              <c:pt idx="15">
                <c:v>11919.607857142853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957-4A63-BA77-51FE0FFDD1F7}"/>
            </c:ext>
          </c:extLst>
        </c:ser>
        <c:ser>
          <c:idx val="2"/>
          <c:order val="2"/>
          <c:tx>
            <c:v>tier - 3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R1011</c:v>
              </c:pt>
              <c:pt idx="1">
                <c:v>R1012</c:v>
              </c:pt>
              <c:pt idx="2">
                <c:v>R1013</c:v>
              </c:pt>
              <c:pt idx="3">
                <c:v>R1014</c:v>
              </c:pt>
              <c:pt idx="4">
                <c:v>R1015</c:v>
              </c:pt>
              <c:pt idx="5">
                <c:v>R1016</c:v>
              </c:pt>
              <c:pt idx="6">
                <c:v>R1017</c:v>
              </c:pt>
              <c:pt idx="7">
                <c:v>R1018</c:v>
              </c:pt>
              <c:pt idx="8">
                <c:v>R1019</c:v>
              </c:pt>
              <c:pt idx="9">
                <c:v>R1020</c:v>
              </c:pt>
              <c:pt idx="10">
                <c:v>R1021</c:v>
              </c:pt>
              <c:pt idx="11">
                <c:v>R1022</c:v>
              </c:pt>
              <c:pt idx="12">
                <c:v>R1023</c:v>
              </c:pt>
              <c:pt idx="13">
                <c:v>R1024</c:v>
              </c:pt>
              <c:pt idx="14">
                <c:v>R1025</c:v>
              </c:pt>
              <c:pt idx="15">
                <c:v>R1026</c:v>
              </c:pt>
              <c:pt idx="16">
                <c:v>unknown</c:v>
              </c:pt>
            </c:strLit>
          </c:cat>
          <c:val>
            <c:numLit>
              <c:formatCode>General</c:formatCode>
              <c:ptCount val="17"/>
              <c:pt idx="0">
                <c:v>9250.3617857142908</c:v>
              </c:pt>
              <c:pt idx="1">
                <c:v>10179.941965317917</c:v>
              </c:pt>
              <c:pt idx="2">
                <c:v>6890.7568235294129</c:v>
              </c:pt>
              <c:pt idx="3">
                <c:v>16950.485000000001</c:v>
              </c:pt>
              <c:pt idx="4">
                <c:v>7570.7550000000001</c:v>
              </c:pt>
              <c:pt idx="5">
                <c:v>8133.0084090909113</c:v>
              </c:pt>
              <c:pt idx="6">
                <c:v>8667.3661538461529</c:v>
              </c:pt>
              <c:pt idx="7">
                <c:v>12570.970000000001</c:v>
              </c:pt>
              <c:pt idx="8">
                <c:v>12706.975999999999</c:v>
              </c:pt>
              <c:pt idx="9">
                <c:v>11716.453333333333</c:v>
              </c:pt>
              <c:pt idx="10">
                <c:v>11518.785652173914</c:v>
              </c:pt>
              <c:pt idx="11">
                <c:v>11637.812000000002</c:v>
              </c:pt>
              <c:pt idx="12">
                <c:v>12785.637000000001</c:v>
              </c:pt>
              <c:pt idx="13">
                <c:v>13360.978888888887</c:v>
              </c:pt>
              <c:pt idx="14">
                <c:v>10510.31380952381</c:v>
              </c:pt>
              <c:pt idx="15">
                <c:v>12296.779729729731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7957-4A63-BA77-51FE0FFDD1F7}"/>
            </c:ext>
          </c:extLst>
        </c:ser>
        <c:ser>
          <c:idx val="3"/>
          <c:order val="3"/>
          <c:tx>
            <c:v>unknown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R1011</c:v>
              </c:pt>
              <c:pt idx="1">
                <c:v>R1012</c:v>
              </c:pt>
              <c:pt idx="2">
                <c:v>R1013</c:v>
              </c:pt>
              <c:pt idx="3">
                <c:v>R1014</c:v>
              </c:pt>
              <c:pt idx="4">
                <c:v>R1015</c:v>
              </c:pt>
              <c:pt idx="5">
                <c:v>R1016</c:v>
              </c:pt>
              <c:pt idx="6">
                <c:v>R1017</c:v>
              </c:pt>
              <c:pt idx="7">
                <c:v>R1018</c:v>
              </c:pt>
              <c:pt idx="8">
                <c:v>R1019</c:v>
              </c:pt>
              <c:pt idx="9">
                <c:v>R1020</c:v>
              </c:pt>
              <c:pt idx="10">
                <c:v>R1021</c:v>
              </c:pt>
              <c:pt idx="11">
                <c:v>R1022</c:v>
              </c:pt>
              <c:pt idx="12">
                <c:v>R1023</c:v>
              </c:pt>
              <c:pt idx="13">
                <c:v>R1024</c:v>
              </c:pt>
              <c:pt idx="14">
                <c:v>R1025</c:v>
              </c:pt>
              <c:pt idx="15">
                <c:v>R1026</c:v>
              </c:pt>
              <c:pt idx="16">
                <c:v>unknown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700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7957-4A63-BA77-51FE0FFDD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20773743"/>
        <c:axId val="120774991"/>
      </c:barChart>
      <c:catAx>
        <c:axId val="12077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74991"/>
        <c:crosses val="autoZero"/>
        <c:auto val="1"/>
        <c:lblAlgn val="ctr"/>
        <c:lblOffset val="100"/>
        <c:noMultiLvlLbl val="0"/>
      </c:catAx>
      <c:valAx>
        <c:axId val="12077499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73743"/>
        <c:crosses val="autoZero"/>
        <c:crossBetween val="between"/>
      </c:valAx>
      <c:spPr>
        <a:noFill/>
        <a:ln>
          <a:solidFill>
            <a:schemeClr val="accent1">
              <a:alpha val="76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580927384076991E-2"/>
          <c:y val="0.14249781277340332"/>
          <c:w val="0.77217366579177615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v>Average of BMI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21</c:v>
              </c:pt>
              <c:pt idx="1">
                <c:v>22</c:v>
              </c:pt>
              <c:pt idx="2">
                <c:v>23</c:v>
              </c:pt>
              <c:pt idx="3">
                <c:v>24</c:v>
              </c:pt>
              <c:pt idx="4">
                <c:v>25</c:v>
              </c:pt>
              <c:pt idx="5">
                <c:v>26</c:v>
              </c:pt>
              <c:pt idx="6">
                <c:v>27</c:v>
              </c:pt>
              <c:pt idx="7">
                <c:v>28</c:v>
              </c:pt>
              <c:pt idx="8">
                <c:v>29</c:v>
              </c:pt>
              <c:pt idx="9">
                <c:v>30</c:v>
              </c:pt>
              <c:pt idx="10">
                <c:v>31</c:v>
              </c:pt>
              <c:pt idx="11">
                <c:v>32</c:v>
              </c:pt>
              <c:pt idx="12">
                <c:v>33</c:v>
              </c:pt>
              <c:pt idx="13">
                <c:v>34</c:v>
              </c:pt>
              <c:pt idx="14">
                <c:v>35</c:v>
              </c:pt>
              <c:pt idx="15">
                <c:v>36</c:v>
              </c:pt>
              <c:pt idx="16">
                <c:v>37</c:v>
              </c:pt>
              <c:pt idx="17">
                <c:v>38</c:v>
              </c:pt>
              <c:pt idx="18">
                <c:v>39</c:v>
              </c:pt>
              <c:pt idx="19">
                <c:v>40</c:v>
              </c:pt>
              <c:pt idx="20">
                <c:v>41</c:v>
              </c:pt>
              <c:pt idx="21">
                <c:v>42</c:v>
              </c:pt>
              <c:pt idx="22">
                <c:v>43</c:v>
              </c:pt>
              <c:pt idx="23">
                <c:v>44</c:v>
              </c:pt>
              <c:pt idx="24">
                <c:v>45</c:v>
              </c:pt>
              <c:pt idx="25">
                <c:v>46</c:v>
              </c:pt>
              <c:pt idx="26">
                <c:v>47</c:v>
              </c:pt>
              <c:pt idx="27">
                <c:v>48</c:v>
              </c:pt>
              <c:pt idx="28">
                <c:v>49</c:v>
              </c:pt>
              <c:pt idx="29">
                <c:v>50</c:v>
              </c:pt>
              <c:pt idx="30">
                <c:v>51</c:v>
              </c:pt>
              <c:pt idx="31">
                <c:v>52</c:v>
              </c:pt>
              <c:pt idx="32">
                <c:v>53</c:v>
              </c:pt>
              <c:pt idx="33">
                <c:v>54</c:v>
              </c:pt>
              <c:pt idx="34">
                <c:v>55</c:v>
              </c:pt>
              <c:pt idx="35">
                <c:v>56</c:v>
              </c:pt>
              <c:pt idx="36">
                <c:v>57</c:v>
              </c:pt>
              <c:pt idx="37">
                <c:v>58</c:v>
              </c:pt>
              <c:pt idx="38">
                <c:v>59</c:v>
              </c:pt>
              <c:pt idx="39">
                <c:v>60</c:v>
              </c:pt>
              <c:pt idx="40">
                <c:v>61</c:v>
              </c:pt>
              <c:pt idx="41">
                <c:v>62</c:v>
              </c:pt>
              <c:pt idx="42">
                <c:v>63</c:v>
              </c:pt>
              <c:pt idx="43">
                <c:v>64</c:v>
              </c:pt>
              <c:pt idx="44">
                <c:v>65</c:v>
              </c:pt>
              <c:pt idx="45">
                <c:v>66</c:v>
              </c:pt>
              <c:pt idx="46">
                <c:v>67</c:v>
              </c:pt>
              <c:pt idx="47">
                <c:v>68</c:v>
              </c:pt>
            </c:strLit>
          </c:cat>
          <c:val>
            <c:numLit>
              <c:formatCode>General</c:formatCode>
              <c:ptCount val="48"/>
              <c:pt idx="0">
                <c:v>31.488787878787875</c:v>
              </c:pt>
              <c:pt idx="1">
                <c:v>30.751358695652176</c:v>
              </c:pt>
              <c:pt idx="2">
                <c:v>29.226901408450708</c:v>
              </c:pt>
              <c:pt idx="3">
                <c:v>28.725925925925917</c:v>
              </c:pt>
              <c:pt idx="4">
                <c:v>30.144736842105257</c:v>
              </c:pt>
              <c:pt idx="5">
                <c:v>32.567500000000003</c:v>
              </c:pt>
              <c:pt idx="6">
                <c:v>28.723750000000006</c:v>
              </c:pt>
              <c:pt idx="7">
                <c:v>29.541727272727275</c:v>
              </c:pt>
              <c:pt idx="8">
                <c:v>30.44836734693877</c:v>
              </c:pt>
              <c:pt idx="9">
                <c:v>31.877777777777773</c:v>
              </c:pt>
              <c:pt idx="10">
                <c:v>28.901874999999993</c:v>
              </c:pt>
              <c:pt idx="11">
                <c:v>32.597169811320747</c:v>
              </c:pt>
              <c:pt idx="12">
                <c:v>29.756555555555551</c:v>
              </c:pt>
              <c:pt idx="13">
                <c:v>33.513064516129042</c:v>
              </c:pt>
              <c:pt idx="14">
                <c:v>30.9755</c:v>
              </c:pt>
              <c:pt idx="15">
                <c:v>33.641730769230769</c:v>
              </c:pt>
              <c:pt idx="16">
                <c:v>32.526170212765955</c:v>
              </c:pt>
              <c:pt idx="17">
                <c:v>29.22061224489795</c:v>
              </c:pt>
              <c:pt idx="18">
                <c:v>30.70044444444445</c:v>
              </c:pt>
              <c:pt idx="19">
                <c:v>28.650625000000005</c:v>
              </c:pt>
              <c:pt idx="20">
                <c:v>31.040945945945943</c:v>
              </c:pt>
              <c:pt idx="21">
                <c:v>28.303518518518526</c:v>
              </c:pt>
              <c:pt idx="22">
                <c:v>31.276562500000001</c:v>
              </c:pt>
              <c:pt idx="23">
                <c:v>31.325760869565215</c:v>
              </c:pt>
              <c:pt idx="24">
                <c:v>29.434299999999993</c:v>
              </c:pt>
              <c:pt idx="25">
                <c:v>31.560188679245275</c:v>
              </c:pt>
              <c:pt idx="26">
                <c:v>31.242053571428574</c:v>
              </c:pt>
              <c:pt idx="27">
                <c:v>29.450581395348827</c:v>
              </c:pt>
              <c:pt idx="28">
                <c:v>31.729999999999993</c:v>
              </c:pt>
              <c:pt idx="29">
                <c:v>31.575294117647061</c:v>
              </c:pt>
              <c:pt idx="30">
                <c:v>32.459795918367348</c:v>
              </c:pt>
              <c:pt idx="31">
                <c:v>30.445416666666656</c:v>
              </c:pt>
              <c:pt idx="32">
                <c:v>30.568557692307689</c:v>
              </c:pt>
              <c:pt idx="33">
                <c:v>31.614180327868848</c:v>
              </c:pt>
              <c:pt idx="34">
                <c:v>30.173235294117653</c:v>
              </c:pt>
              <c:pt idx="35">
                <c:v>30.987280701754386</c:v>
              </c:pt>
              <c:pt idx="36">
                <c:v>31.497068965517244</c:v>
              </c:pt>
              <c:pt idx="37">
                <c:v>31.072432432432429</c:v>
              </c:pt>
              <c:pt idx="38">
                <c:v>32.028076923076924</c:v>
              </c:pt>
              <c:pt idx="39">
                <c:v>33.665181818181821</c:v>
              </c:pt>
              <c:pt idx="40">
                <c:v>29.540945945945943</c:v>
              </c:pt>
              <c:pt idx="41">
                <c:v>33.026249999999997</c:v>
              </c:pt>
              <c:pt idx="42">
                <c:v>30.999615384615389</c:v>
              </c:pt>
              <c:pt idx="43">
                <c:v>31.810425531914891</c:v>
              </c:pt>
              <c:pt idx="44">
                <c:v>31.853499999999997</c:v>
              </c:pt>
              <c:pt idx="45">
                <c:v>32.517708333333331</c:v>
              </c:pt>
              <c:pt idx="46">
                <c:v>32.18527777777777</c:v>
              </c:pt>
              <c:pt idx="47">
                <c:v>33.006470588235295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3B-40FB-911E-BE2116CF47B5}"/>
            </c:ext>
          </c:extLst>
        </c:ser>
        <c:ser>
          <c:idx val="1"/>
          <c:order val="1"/>
          <c:tx>
            <c:v>Average of HBA1C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21</c:v>
              </c:pt>
              <c:pt idx="1">
                <c:v>22</c:v>
              </c:pt>
              <c:pt idx="2">
                <c:v>23</c:v>
              </c:pt>
              <c:pt idx="3">
                <c:v>24</c:v>
              </c:pt>
              <c:pt idx="4">
                <c:v>25</c:v>
              </c:pt>
              <c:pt idx="5">
                <c:v>26</c:v>
              </c:pt>
              <c:pt idx="6">
                <c:v>27</c:v>
              </c:pt>
              <c:pt idx="7">
                <c:v>28</c:v>
              </c:pt>
              <c:pt idx="8">
                <c:v>29</c:v>
              </c:pt>
              <c:pt idx="9">
                <c:v>30</c:v>
              </c:pt>
              <c:pt idx="10">
                <c:v>31</c:v>
              </c:pt>
              <c:pt idx="11">
                <c:v>32</c:v>
              </c:pt>
              <c:pt idx="12">
                <c:v>33</c:v>
              </c:pt>
              <c:pt idx="13">
                <c:v>34</c:v>
              </c:pt>
              <c:pt idx="14">
                <c:v>35</c:v>
              </c:pt>
              <c:pt idx="15">
                <c:v>36</c:v>
              </c:pt>
              <c:pt idx="16">
                <c:v>37</c:v>
              </c:pt>
              <c:pt idx="17">
                <c:v>38</c:v>
              </c:pt>
              <c:pt idx="18">
                <c:v>39</c:v>
              </c:pt>
              <c:pt idx="19">
                <c:v>40</c:v>
              </c:pt>
              <c:pt idx="20">
                <c:v>41</c:v>
              </c:pt>
              <c:pt idx="21">
                <c:v>42</c:v>
              </c:pt>
              <c:pt idx="22">
                <c:v>43</c:v>
              </c:pt>
              <c:pt idx="23">
                <c:v>44</c:v>
              </c:pt>
              <c:pt idx="24">
                <c:v>45</c:v>
              </c:pt>
              <c:pt idx="25">
                <c:v>46</c:v>
              </c:pt>
              <c:pt idx="26">
                <c:v>47</c:v>
              </c:pt>
              <c:pt idx="27">
                <c:v>48</c:v>
              </c:pt>
              <c:pt idx="28">
                <c:v>49</c:v>
              </c:pt>
              <c:pt idx="29">
                <c:v>50</c:v>
              </c:pt>
              <c:pt idx="30">
                <c:v>51</c:v>
              </c:pt>
              <c:pt idx="31">
                <c:v>52</c:v>
              </c:pt>
              <c:pt idx="32">
                <c:v>53</c:v>
              </c:pt>
              <c:pt idx="33">
                <c:v>54</c:v>
              </c:pt>
              <c:pt idx="34">
                <c:v>55</c:v>
              </c:pt>
              <c:pt idx="35">
                <c:v>56</c:v>
              </c:pt>
              <c:pt idx="36">
                <c:v>57</c:v>
              </c:pt>
              <c:pt idx="37">
                <c:v>58</c:v>
              </c:pt>
              <c:pt idx="38">
                <c:v>59</c:v>
              </c:pt>
              <c:pt idx="39">
                <c:v>60</c:v>
              </c:pt>
              <c:pt idx="40">
                <c:v>61</c:v>
              </c:pt>
              <c:pt idx="41">
                <c:v>62</c:v>
              </c:pt>
              <c:pt idx="42">
                <c:v>63</c:v>
              </c:pt>
              <c:pt idx="43">
                <c:v>64</c:v>
              </c:pt>
              <c:pt idx="44">
                <c:v>65</c:v>
              </c:pt>
              <c:pt idx="45">
                <c:v>66</c:v>
              </c:pt>
              <c:pt idx="46">
                <c:v>67</c:v>
              </c:pt>
              <c:pt idx="47">
                <c:v>68</c:v>
              </c:pt>
            </c:strLit>
          </c:cat>
          <c:val>
            <c:numLit>
              <c:formatCode>General</c:formatCode>
              <c:ptCount val="48"/>
              <c:pt idx="0">
                <c:v>5.0206060606060614</c:v>
              </c:pt>
              <c:pt idx="1">
                <c:v>5.2046739130434778</c:v>
              </c:pt>
              <c:pt idx="2">
                <c:v>6.0818309859154924</c:v>
              </c:pt>
              <c:pt idx="3">
                <c:v>8.3440740740740722</c:v>
              </c:pt>
              <c:pt idx="4">
                <c:v>5.2563157894736845</c:v>
              </c:pt>
              <c:pt idx="5">
                <c:v>5.2802173913043475</c:v>
              </c:pt>
              <c:pt idx="6">
                <c:v>5.1036363636363626</c:v>
              </c:pt>
              <c:pt idx="7">
                <c:v>5.1850909090909116</c:v>
              </c:pt>
              <c:pt idx="8">
                <c:v>5.2969387755102044</c:v>
              </c:pt>
              <c:pt idx="9">
                <c:v>4.9848888888888903</c:v>
              </c:pt>
              <c:pt idx="10">
                <c:v>5.151071428571429</c:v>
              </c:pt>
              <c:pt idx="11">
                <c:v>5.1475471698113218</c:v>
              </c:pt>
              <c:pt idx="12">
                <c:v>5.169777777777778</c:v>
              </c:pt>
              <c:pt idx="13">
                <c:v>5.166935483870966</c:v>
              </c:pt>
              <c:pt idx="14">
                <c:v>5.5527999999999995</c:v>
              </c:pt>
              <c:pt idx="15">
                <c:v>5.0213461538461539</c:v>
              </c:pt>
              <c:pt idx="16">
                <c:v>5.2223404255319155</c:v>
              </c:pt>
              <c:pt idx="17">
                <c:v>5.2673469387755096</c:v>
              </c:pt>
              <c:pt idx="18">
                <c:v>6.3837777777777784</c:v>
              </c:pt>
              <c:pt idx="19">
                <c:v>7.4933333333333358</c:v>
              </c:pt>
              <c:pt idx="20">
                <c:v>5.2470270270270278</c:v>
              </c:pt>
              <c:pt idx="21">
                <c:v>5.2848148148148146</c:v>
              </c:pt>
              <c:pt idx="22">
                <c:v>5.289583333333332</c:v>
              </c:pt>
              <c:pt idx="23">
                <c:v>6.5373913043478238</c:v>
              </c:pt>
              <c:pt idx="24">
                <c:v>8.2466000000000008</c:v>
              </c:pt>
              <c:pt idx="25">
                <c:v>5.2828301886792444</c:v>
              </c:pt>
              <c:pt idx="26">
                <c:v>6.8780357142857165</c:v>
              </c:pt>
              <c:pt idx="27">
                <c:v>7.9323255813953484</c:v>
              </c:pt>
              <c:pt idx="28">
                <c:v>5.4466037735849051</c:v>
              </c:pt>
              <c:pt idx="29">
                <c:v>6.7554901960784299</c:v>
              </c:pt>
              <c:pt idx="30">
                <c:v>9.2385714285714293</c:v>
              </c:pt>
              <c:pt idx="31">
                <c:v>9.5845000000000002</c:v>
              </c:pt>
              <c:pt idx="32">
                <c:v>7.604807692307693</c:v>
              </c:pt>
              <c:pt idx="33">
                <c:v>6.8088524590163919</c:v>
              </c:pt>
              <c:pt idx="34">
                <c:v>8.928431372549019</c:v>
              </c:pt>
              <c:pt idx="35">
                <c:v>7.8012280701754388</c:v>
              </c:pt>
              <c:pt idx="36">
                <c:v>6.7260344827586218</c:v>
              </c:pt>
              <c:pt idx="37">
                <c:v>9.3754054054054059</c:v>
              </c:pt>
              <c:pt idx="38">
                <c:v>7.9630769230769216</c:v>
              </c:pt>
              <c:pt idx="39">
                <c:v>7.2114545454545489</c:v>
              </c:pt>
              <c:pt idx="40">
                <c:v>7.9897297297297296</c:v>
              </c:pt>
              <c:pt idx="41">
                <c:v>5.8920454545454559</c:v>
              </c:pt>
              <c:pt idx="42">
                <c:v>9.4526923076923079</c:v>
              </c:pt>
              <c:pt idx="43">
                <c:v>9.1865957446808526</c:v>
              </c:pt>
              <c:pt idx="44">
                <c:v>9.1514999999999986</c:v>
              </c:pt>
              <c:pt idx="45">
                <c:v>7.9962499999999999</c:v>
              </c:pt>
              <c:pt idx="46">
                <c:v>6.27</c:v>
              </c:pt>
              <c:pt idx="47">
                <c:v>9.2500000000000018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B3B-40FB-911E-BE2116CF4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774575"/>
        <c:axId val="1345777903"/>
      </c:lineChart>
      <c:catAx>
        <c:axId val="134577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77903"/>
        <c:crosses val="autoZero"/>
        <c:auto val="1"/>
        <c:lblAlgn val="ctr"/>
        <c:lblOffset val="100"/>
        <c:noMultiLvlLbl val="0"/>
      </c:catAx>
      <c:valAx>
        <c:axId val="134577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7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220584434604318"/>
          <c:y val="0.38824110527850686"/>
          <c:w val="0.13685323661675772"/>
          <c:h val="0.380924832312627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6619163345322574"/>
          <c:y val="0.12581126978899501"/>
          <c:w val="0.76548443018696732"/>
          <c:h val="0.68839322841298833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8"/>
              <c:pt idx="0">
                <c:v>21</c:v>
              </c:pt>
              <c:pt idx="1">
                <c:v>22</c:v>
              </c:pt>
              <c:pt idx="2">
                <c:v>23</c:v>
              </c:pt>
              <c:pt idx="3">
                <c:v>24</c:v>
              </c:pt>
              <c:pt idx="4">
                <c:v>25</c:v>
              </c:pt>
              <c:pt idx="5">
                <c:v>26</c:v>
              </c:pt>
              <c:pt idx="6">
                <c:v>27</c:v>
              </c:pt>
              <c:pt idx="7">
                <c:v>28</c:v>
              </c:pt>
              <c:pt idx="8">
                <c:v>29</c:v>
              </c:pt>
              <c:pt idx="9">
                <c:v>30</c:v>
              </c:pt>
              <c:pt idx="10">
                <c:v>31</c:v>
              </c:pt>
              <c:pt idx="11">
                <c:v>32</c:v>
              </c:pt>
              <c:pt idx="12">
                <c:v>33</c:v>
              </c:pt>
              <c:pt idx="13">
                <c:v>34</c:v>
              </c:pt>
              <c:pt idx="14">
                <c:v>35</c:v>
              </c:pt>
              <c:pt idx="15">
                <c:v>36</c:v>
              </c:pt>
              <c:pt idx="16">
                <c:v>37</c:v>
              </c:pt>
              <c:pt idx="17">
                <c:v>38</c:v>
              </c:pt>
              <c:pt idx="18">
                <c:v>39</c:v>
              </c:pt>
              <c:pt idx="19">
                <c:v>40</c:v>
              </c:pt>
              <c:pt idx="20">
                <c:v>41</c:v>
              </c:pt>
              <c:pt idx="21">
                <c:v>42</c:v>
              </c:pt>
              <c:pt idx="22">
                <c:v>43</c:v>
              </c:pt>
              <c:pt idx="23">
                <c:v>44</c:v>
              </c:pt>
              <c:pt idx="24">
                <c:v>45</c:v>
              </c:pt>
              <c:pt idx="25">
                <c:v>46</c:v>
              </c:pt>
              <c:pt idx="26">
                <c:v>47</c:v>
              </c:pt>
              <c:pt idx="27">
                <c:v>48</c:v>
              </c:pt>
              <c:pt idx="28">
                <c:v>49</c:v>
              </c:pt>
              <c:pt idx="29">
                <c:v>50</c:v>
              </c:pt>
              <c:pt idx="30">
                <c:v>51</c:v>
              </c:pt>
              <c:pt idx="31">
                <c:v>52</c:v>
              </c:pt>
              <c:pt idx="32">
                <c:v>53</c:v>
              </c:pt>
              <c:pt idx="33">
                <c:v>54</c:v>
              </c:pt>
              <c:pt idx="34">
                <c:v>55</c:v>
              </c:pt>
              <c:pt idx="35">
                <c:v>56</c:v>
              </c:pt>
              <c:pt idx="36">
                <c:v>57</c:v>
              </c:pt>
              <c:pt idx="37">
                <c:v>58</c:v>
              </c:pt>
              <c:pt idx="38">
                <c:v>59</c:v>
              </c:pt>
              <c:pt idx="39">
                <c:v>60</c:v>
              </c:pt>
              <c:pt idx="40">
                <c:v>61</c:v>
              </c:pt>
              <c:pt idx="41">
                <c:v>62</c:v>
              </c:pt>
              <c:pt idx="42">
                <c:v>63</c:v>
              </c:pt>
              <c:pt idx="43">
                <c:v>64</c:v>
              </c:pt>
              <c:pt idx="44">
                <c:v>65</c:v>
              </c:pt>
              <c:pt idx="45">
                <c:v>66</c:v>
              </c:pt>
              <c:pt idx="46">
                <c:v>67</c:v>
              </c:pt>
              <c:pt idx="47">
                <c:v>68</c:v>
              </c:pt>
            </c:strLit>
          </c:cat>
          <c:val>
            <c:numLit>
              <c:formatCode>General</c:formatCode>
              <c:ptCount val="48"/>
              <c:pt idx="0">
                <c:v>249138.22</c:v>
              </c:pt>
              <c:pt idx="1">
                <c:v>651270.4799999994</c:v>
              </c:pt>
              <c:pt idx="2">
                <c:v>654679.27000000014</c:v>
              </c:pt>
              <c:pt idx="3">
                <c:v>372799.29000000004</c:v>
              </c:pt>
              <c:pt idx="4">
                <c:v>462602.16</c:v>
              </c:pt>
              <c:pt idx="5">
                <c:v>439080.39000000013</c:v>
              </c:pt>
              <c:pt idx="6">
                <c:v>471631.93999999983</c:v>
              </c:pt>
              <c:pt idx="7">
                <c:v>459888.68</c:v>
              </c:pt>
              <c:pt idx="8">
                <c:v>445622.44</c:v>
              </c:pt>
              <c:pt idx="9">
                <c:v>451135.6999999999</c:v>
              </c:pt>
              <c:pt idx="10">
                <c:v>478738.37999999989</c:v>
              </c:pt>
              <c:pt idx="11">
                <c:v>586197.77000000014</c:v>
              </c:pt>
              <c:pt idx="12">
                <c:v>451545.24999999983</c:v>
              </c:pt>
              <c:pt idx="13">
                <c:v>837983.7300000001</c:v>
              </c:pt>
              <c:pt idx="14">
                <c:v>621958.22</c:v>
              </c:pt>
              <c:pt idx="15">
                <c:v>650013.41000000015</c:v>
              </c:pt>
              <c:pt idx="16">
                <c:v>573053.21</c:v>
              </c:pt>
              <c:pt idx="17">
                <c:v>526132.89000000013</c:v>
              </c:pt>
              <c:pt idx="18">
                <c:v>520688.02999999985</c:v>
              </c:pt>
              <c:pt idx="19">
                <c:v>742533.4</c:v>
              </c:pt>
              <c:pt idx="20">
                <c:v>549416.85999999987</c:v>
              </c:pt>
              <c:pt idx="21">
                <c:v>566800.94000000018</c:v>
              </c:pt>
              <c:pt idx="22">
                <c:v>732204.44</c:v>
              </c:pt>
              <c:pt idx="23">
                <c:v>540575.99</c:v>
              </c:pt>
              <c:pt idx="24">
                <c:v>648008.03999999969</c:v>
              </c:pt>
              <c:pt idx="25">
                <c:v>742232.94000000018</c:v>
              </c:pt>
              <c:pt idx="26">
                <c:v>971660.20999999961</c:v>
              </c:pt>
              <c:pt idx="27">
                <c:v>618809.87999999977</c:v>
              </c:pt>
              <c:pt idx="28">
                <c:v>929466.91000000038</c:v>
              </c:pt>
              <c:pt idx="29">
                <c:v>954716.66999999993</c:v>
              </c:pt>
              <c:pt idx="30">
                <c:v>858395.52000000014</c:v>
              </c:pt>
              <c:pt idx="31">
                <c:v>870938.65000000014</c:v>
              </c:pt>
              <c:pt idx="32">
                <c:v>720219</c:v>
              </c:pt>
              <c:pt idx="33">
                <c:v>1072650.5599999991</c:v>
              </c:pt>
              <c:pt idx="34">
                <c:v>883122.04000000039</c:v>
              </c:pt>
              <c:pt idx="35">
                <c:v>906844.55999999994</c:v>
              </c:pt>
              <c:pt idx="36">
                <c:v>999310.11000000034</c:v>
              </c:pt>
              <c:pt idx="37">
                <c:v>648114.83999999973</c:v>
              </c:pt>
              <c:pt idx="38">
                <c:v>864817.95000000007</c:v>
              </c:pt>
              <c:pt idx="39">
                <c:v>1013555.5699999998</c:v>
              </c:pt>
              <c:pt idx="40">
                <c:v>536799.08000000007</c:v>
              </c:pt>
              <c:pt idx="41">
                <c:v>712928.79</c:v>
              </c:pt>
              <c:pt idx="42">
                <c:v>960502.94000000018</c:v>
              </c:pt>
              <c:pt idx="43">
                <c:v>947203.09999999986</c:v>
              </c:pt>
              <c:pt idx="44">
                <c:v>505132.59999999992</c:v>
              </c:pt>
              <c:pt idx="45">
                <c:v>392622.24</c:v>
              </c:pt>
              <c:pt idx="46">
                <c:v>405131.17999999993</c:v>
              </c:pt>
              <c:pt idx="47">
                <c:v>393484.14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10A-4ED6-9F7C-29FFD0AF9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391071"/>
        <c:axId val="999391487"/>
      </c:lineChart>
      <c:catAx>
        <c:axId val="99939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391487"/>
        <c:crosses val="autoZero"/>
        <c:auto val="1"/>
        <c:lblAlgn val="ctr"/>
        <c:lblOffset val="100"/>
        <c:noMultiLvlLbl val="0"/>
      </c:catAx>
      <c:valAx>
        <c:axId val="99939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39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518160</xdr:colOff>
      <xdr:row>93</xdr:row>
      <xdr:rowOff>53340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74547B6-E6E4-4769-8A5A-A7B3C94E9F9D}"/>
            </a:ext>
          </a:extLst>
        </xdr:cNvPr>
        <xdr:cNvSpPr/>
      </xdr:nvSpPr>
      <xdr:spPr>
        <a:xfrm>
          <a:off x="0" y="0"/>
          <a:ext cx="16367760" cy="170611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266700</xdr:colOff>
      <xdr:row>3</xdr:row>
      <xdr:rowOff>144780</xdr:rowOff>
    </xdr:from>
    <xdr:to>
      <xdr:col>9</xdr:col>
      <xdr:colOff>274320</xdr:colOff>
      <xdr:row>5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51FFF-3F16-40C2-9C65-B5311E8E8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693420"/>
          <a:ext cx="5494020" cy="274320"/>
        </a:xfrm>
        <a:prstGeom prst="rect">
          <a:avLst/>
        </a:prstGeom>
        <a:solidFill>
          <a:schemeClr val="accent5"/>
        </a:solidFill>
      </xdr:spPr>
    </xdr:pic>
    <xdr:clientData/>
  </xdr:twoCellAnchor>
  <xdr:twoCellAnchor>
    <xdr:from>
      <xdr:col>0</xdr:col>
      <xdr:colOff>579120</xdr:colOff>
      <xdr:row>6</xdr:row>
      <xdr:rowOff>60960</xdr:rowOff>
    </xdr:from>
    <xdr:to>
      <xdr:col>7</xdr:col>
      <xdr:colOff>579120</xdr:colOff>
      <xdr:row>18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49C836-78EF-4916-965B-652E63BB4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21</xdr:row>
      <xdr:rowOff>0</xdr:rowOff>
    </xdr:from>
    <xdr:to>
      <xdr:col>8</xdr:col>
      <xdr:colOff>289560</xdr:colOff>
      <xdr:row>22</xdr:row>
      <xdr:rowOff>106680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FEF056DE-EE37-4274-8448-42EBE18F01EE}"/>
            </a:ext>
          </a:extLst>
        </xdr:cNvPr>
        <xdr:cNvSpPr txBox="1">
          <a:spLocks noChangeArrowheads="1"/>
        </xdr:cNvSpPr>
      </xdr:nvSpPr>
      <xdr:spPr bwMode="auto">
        <a:xfrm>
          <a:off x="228600" y="3840480"/>
          <a:ext cx="4937760" cy="289560"/>
        </a:xfrm>
        <a:prstGeom prst="rect">
          <a:avLst/>
        </a:prstGeom>
        <a:solidFill>
          <a:schemeClr val="accent5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Major surgeries and average HBA1C by transplant history</a:t>
          </a:r>
        </a:p>
      </xdr:txBody>
    </xdr:sp>
    <xdr:clientData/>
  </xdr:twoCellAnchor>
  <xdr:twoCellAnchor>
    <xdr:from>
      <xdr:col>0</xdr:col>
      <xdr:colOff>586740</xdr:colOff>
      <xdr:row>24</xdr:row>
      <xdr:rowOff>30480</xdr:rowOff>
    </xdr:from>
    <xdr:to>
      <xdr:col>7</xdr:col>
      <xdr:colOff>594360</xdr:colOff>
      <xdr:row>44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C18FAE-8144-473B-BEA2-B1A35E51D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335280</xdr:colOff>
      <xdr:row>46</xdr:row>
      <xdr:rowOff>30480</xdr:rowOff>
    </xdr:from>
    <xdr:to>
      <xdr:col>9</xdr:col>
      <xdr:colOff>426720</xdr:colOff>
      <xdr:row>47</xdr:row>
      <xdr:rowOff>167640</xdr:rowOff>
    </xdr:to>
    <xdr:sp macro="" textlink="">
      <xdr:nvSpPr>
        <xdr:cNvPr id="7" name="Text Box 4">
          <a:extLst>
            <a:ext uri="{FF2B5EF4-FFF2-40B4-BE49-F238E27FC236}">
              <a16:creationId xmlns:a16="http://schemas.microsoft.com/office/drawing/2014/main" id="{2AA59B7E-ADBA-4B1A-947E-4DFE372E4D95}"/>
            </a:ext>
          </a:extLst>
        </xdr:cNvPr>
        <xdr:cNvSpPr txBox="1">
          <a:spLocks noChangeArrowheads="1"/>
        </xdr:cNvSpPr>
      </xdr:nvSpPr>
      <xdr:spPr bwMode="auto">
        <a:xfrm>
          <a:off x="335280" y="8442960"/>
          <a:ext cx="5577840" cy="320040"/>
        </a:xfrm>
        <a:prstGeom prst="rect">
          <a:avLst/>
        </a:prstGeom>
        <a:solidFill>
          <a:schemeClr val="accent5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Average healthcare charges by weight status and diabetes status</a:t>
          </a:r>
        </a:p>
      </xdr:txBody>
    </xdr:sp>
    <xdr:clientData/>
  </xdr:twoCellAnchor>
  <xdr:twoCellAnchor>
    <xdr:from>
      <xdr:col>0</xdr:col>
      <xdr:colOff>342900</xdr:colOff>
      <xdr:row>49</xdr:row>
      <xdr:rowOff>175260</xdr:rowOff>
    </xdr:from>
    <xdr:to>
      <xdr:col>10</xdr:col>
      <xdr:colOff>548640</xdr:colOff>
      <xdr:row>91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89B062-6FA4-4BBA-A1C8-EF8FDD8DC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30480</xdr:colOff>
      <xdr:row>3</xdr:row>
      <xdr:rowOff>144780</xdr:rowOff>
    </xdr:from>
    <xdr:to>
      <xdr:col>21</xdr:col>
      <xdr:colOff>259080</xdr:colOff>
      <xdr:row>5</xdr:row>
      <xdr:rowOff>53340</xdr:rowOff>
    </xdr:to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655D8D13-F349-4A63-AF62-5A1A521A0929}"/>
            </a:ext>
          </a:extLst>
        </xdr:cNvPr>
        <xdr:cNvSpPr txBox="1">
          <a:spLocks noChangeArrowheads="1"/>
        </xdr:cNvSpPr>
      </xdr:nvSpPr>
      <xdr:spPr bwMode="auto">
        <a:xfrm>
          <a:off x="7955280" y="693420"/>
          <a:ext cx="5105400" cy="274320"/>
        </a:xfrm>
        <a:prstGeom prst="rect">
          <a:avLst/>
        </a:prstGeom>
        <a:solidFill>
          <a:schemeClr val="accent5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Average charges for each hospital tire within different states</a:t>
          </a:r>
        </a:p>
      </xdr:txBody>
    </xdr:sp>
    <xdr:clientData/>
  </xdr:twoCellAnchor>
  <xdr:twoCellAnchor>
    <xdr:from>
      <xdr:col>13</xdr:col>
      <xdr:colOff>30480</xdr:colOff>
      <xdr:row>6</xdr:row>
      <xdr:rowOff>91440</xdr:rowOff>
    </xdr:from>
    <xdr:to>
      <xdr:col>24</xdr:col>
      <xdr:colOff>289560</xdr:colOff>
      <xdr:row>33</xdr:row>
      <xdr:rowOff>80010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512652-B252-4EEC-98EB-8B430B0AC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34</xdr:row>
      <xdr:rowOff>83820</xdr:rowOff>
    </xdr:from>
    <xdr:to>
      <xdr:col>20</xdr:col>
      <xdr:colOff>175260</xdr:colOff>
      <xdr:row>36</xdr:row>
      <xdr:rowOff>0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2A626FCF-4989-4154-9D2F-6FE5310CDE0B}"/>
            </a:ext>
          </a:extLst>
        </xdr:cNvPr>
        <xdr:cNvSpPr txBox="1">
          <a:spLocks noChangeArrowheads="1"/>
        </xdr:cNvSpPr>
      </xdr:nvSpPr>
      <xdr:spPr bwMode="auto">
        <a:xfrm>
          <a:off x="7924800" y="6301740"/>
          <a:ext cx="4442460" cy="281940"/>
        </a:xfrm>
        <a:prstGeom prst="rect">
          <a:avLst/>
        </a:prstGeom>
        <a:solidFill>
          <a:schemeClr val="accent5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Correlation between age and both BMI and HBA1C </a:t>
          </a:r>
        </a:p>
      </xdr:txBody>
    </xdr:sp>
    <xdr:clientData/>
  </xdr:twoCellAnchor>
  <xdr:twoCellAnchor>
    <xdr:from>
      <xdr:col>13</xdr:col>
      <xdr:colOff>45720</xdr:colOff>
      <xdr:row>37</xdr:row>
      <xdr:rowOff>91440</xdr:rowOff>
    </xdr:from>
    <xdr:to>
      <xdr:col>22</xdr:col>
      <xdr:colOff>441960</xdr:colOff>
      <xdr:row>52</xdr:row>
      <xdr:rowOff>91440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416BA77-2F1B-4DE5-8B07-30150DEF9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68580</xdr:colOff>
      <xdr:row>54</xdr:row>
      <xdr:rowOff>68580</xdr:rowOff>
    </xdr:from>
    <xdr:to>
      <xdr:col>20</xdr:col>
      <xdr:colOff>381000</xdr:colOff>
      <xdr:row>55</xdr:row>
      <xdr:rowOff>160020</xdr:rowOff>
    </xdr:to>
    <xdr:sp macro="" textlink="">
      <xdr:nvSpPr>
        <xdr:cNvPr id="13" name="Text Box 8">
          <a:extLst>
            <a:ext uri="{FF2B5EF4-FFF2-40B4-BE49-F238E27FC236}">
              <a16:creationId xmlns:a16="http://schemas.microsoft.com/office/drawing/2014/main" id="{6233FDDE-0E32-4925-ACCC-C8352C9768CB}"/>
            </a:ext>
          </a:extLst>
        </xdr:cNvPr>
        <xdr:cNvSpPr txBox="1">
          <a:spLocks noChangeArrowheads="1"/>
        </xdr:cNvSpPr>
      </xdr:nvSpPr>
      <xdr:spPr bwMode="auto">
        <a:xfrm>
          <a:off x="7993380" y="9944100"/>
          <a:ext cx="4579620" cy="274320"/>
        </a:xfrm>
        <a:prstGeom prst="rect">
          <a:avLst/>
        </a:prstGeom>
        <a:solidFill>
          <a:schemeClr val="accent5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Relationship between Age and Healthcare charges</a:t>
          </a:r>
        </a:p>
      </xdr:txBody>
    </xdr:sp>
    <xdr:clientData/>
  </xdr:twoCellAnchor>
  <xdr:twoCellAnchor>
    <xdr:from>
      <xdr:col>13</xdr:col>
      <xdr:colOff>15240</xdr:colOff>
      <xdr:row>56</xdr:row>
      <xdr:rowOff>114300</xdr:rowOff>
    </xdr:from>
    <xdr:to>
      <xdr:col>23</xdr:col>
      <xdr:colOff>91440</xdr:colOff>
      <xdr:row>73</xdr:row>
      <xdr:rowOff>11430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0460C2C-6C5A-4F85-A60A-2560EA7A0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0.08343</cdr:x>
      <cdr:y>0.80047</cdr:y>
    </cdr:from>
    <cdr:to>
      <cdr:x>0.43531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CA25A15-41A1-4A80-BD03-DE47A4DA2AA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25780" y="6008063"/>
          <a:ext cx="2217420" cy="149763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0.57799</cdr:x>
      <cdr:y>0.80203</cdr:y>
    </cdr:from>
    <cdr:to>
      <cdr:x>0.86919</cdr:x>
      <cdr:y>1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8B187E16-AF86-456E-8604-33467592B4B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2360" y="6019800"/>
          <a:ext cx="1835055" cy="1485900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%20data%20analysis%20assign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cal Examinations"/>
      <sheetName val="Hospitalisation Details"/>
      <sheetName val="Customer Names"/>
      <sheetName val="Healthcare"/>
      <sheetName val="Dashboard"/>
    </sheetNames>
    <sheetDataSet>
      <sheetData sheetId="0"/>
      <sheetData sheetId="1">
        <row r="2">
          <cell r="A2" t="str">
            <v>ID1</v>
          </cell>
          <cell r="B2" t="str">
            <v>12-Oct-1968</v>
          </cell>
          <cell r="C2">
            <v>58</v>
          </cell>
          <cell r="D2">
            <v>0</v>
          </cell>
          <cell r="E2">
            <v>63770.43</v>
          </cell>
          <cell r="F2" t="str">
            <v>tier - 1</v>
          </cell>
          <cell r="G2" t="str">
            <v>tier - 3</v>
          </cell>
          <cell r="H2" t="str">
            <v>R1013</v>
          </cell>
        </row>
        <row r="3">
          <cell r="A3" t="str">
            <v>ID10</v>
          </cell>
          <cell r="B3" t="str">
            <v>29-Dec-1978</v>
          </cell>
          <cell r="C3">
            <v>47</v>
          </cell>
          <cell r="D3">
            <v>0</v>
          </cell>
          <cell r="E3">
            <v>48885.14</v>
          </cell>
          <cell r="F3" t="str">
            <v>tier - 1</v>
          </cell>
          <cell r="G3" t="str">
            <v>tier - 2</v>
          </cell>
          <cell r="H3" t="str">
            <v>R1013</v>
          </cell>
        </row>
        <row r="4">
          <cell r="A4" t="str">
            <v>ID100</v>
          </cell>
          <cell r="B4" t="str">
            <v>27-Jun-1977</v>
          </cell>
          <cell r="C4">
            <v>49</v>
          </cell>
          <cell r="D4">
            <v>2</v>
          </cell>
          <cell r="E4">
            <v>40284.379999999997</v>
          </cell>
          <cell r="F4" t="str">
            <v>tier - 1</v>
          </cell>
          <cell r="G4" t="str">
            <v>tier - 3</v>
          </cell>
          <cell r="H4" t="str">
            <v>R1012</v>
          </cell>
        </row>
        <row r="5">
          <cell r="A5" t="str">
            <v>ID1000</v>
          </cell>
          <cell r="B5" t="str">
            <v>17-Dec-1989</v>
          </cell>
          <cell r="C5">
            <v>36</v>
          </cell>
          <cell r="D5">
            <v>3</v>
          </cell>
          <cell r="E5">
            <v>11250.43</v>
          </cell>
          <cell r="F5" t="str">
            <v>tier - 3</v>
          </cell>
          <cell r="G5" t="str">
            <v>tier - 2</v>
          </cell>
          <cell r="H5" t="str">
            <v>R1026</v>
          </cell>
        </row>
        <row r="6">
          <cell r="A6" t="str">
            <v>ID1001</v>
          </cell>
          <cell r="B6" t="str">
            <v>30-Dec-1969</v>
          </cell>
          <cell r="C6">
            <v>56</v>
          </cell>
          <cell r="D6">
            <v>2</v>
          </cell>
          <cell r="E6">
            <v>11244.38</v>
          </cell>
          <cell r="F6" t="str">
            <v>tier - 3</v>
          </cell>
          <cell r="G6" t="str">
            <v>tier - 1</v>
          </cell>
          <cell r="H6" t="str">
            <v>R1016</v>
          </cell>
        </row>
        <row r="7">
          <cell r="A7" t="str">
            <v>ID1002</v>
          </cell>
          <cell r="B7" t="str">
            <v>28-Jun-1976</v>
          </cell>
          <cell r="C7">
            <v>50</v>
          </cell>
          <cell r="D7">
            <v>2</v>
          </cell>
          <cell r="E7">
            <v>11217.35</v>
          </cell>
          <cell r="F7" t="str">
            <v>tier - 3</v>
          </cell>
          <cell r="G7" t="str">
            <v>tier - 2</v>
          </cell>
          <cell r="H7" t="str">
            <v>R1025</v>
          </cell>
        </row>
        <row r="8">
          <cell r="A8" t="str">
            <v>ID1003</v>
          </cell>
          <cell r="B8" t="str">
            <v>14-Jun-1970</v>
          </cell>
          <cell r="C8">
            <v>56</v>
          </cell>
          <cell r="D8">
            <v>2</v>
          </cell>
          <cell r="E8">
            <v>11187.66</v>
          </cell>
          <cell r="F8" t="str">
            <v>tier - 3</v>
          </cell>
          <cell r="G8" t="str">
            <v>tier - 2</v>
          </cell>
          <cell r="H8" t="str">
            <v>R1012</v>
          </cell>
        </row>
        <row r="9">
          <cell r="A9" t="str">
            <v>ID1004</v>
          </cell>
          <cell r="B9" t="str">
            <v>3-Sep-1972</v>
          </cell>
          <cell r="C9">
            <v>54</v>
          </cell>
          <cell r="D9">
            <v>0</v>
          </cell>
          <cell r="E9">
            <v>11186.2</v>
          </cell>
          <cell r="F9" t="str">
            <v>tier - 3</v>
          </cell>
          <cell r="G9" t="str">
            <v>tier - 2</v>
          </cell>
          <cell r="H9" t="str">
            <v>R1021</v>
          </cell>
        </row>
        <row r="10">
          <cell r="A10" t="str">
            <v>ID1005</v>
          </cell>
          <cell r="B10" t="str">
            <v>6-Aug-1966</v>
          </cell>
          <cell r="C10">
            <v>60</v>
          </cell>
          <cell r="D10">
            <v>0</v>
          </cell>
          <cell r="E10">
            <v>11165.42</v>
          </cell>
          <cell r="F10" t="str">
            <v>tier - 3</v>
          </cell>
          <cell r="G10" t="str">
            <v>tier - 1</v>
          </cell>
          <cell r="H10" t="str">
            <v>R1016</v>
          </cell>
        </row>
        <row r="11">
          <cell r="A11" t="str">
            <v>ID1006</v>
          </cell>
          <cell r="B11" t="str">
            <v>25-Jun-1969</v>
          </cell>
          <cell r="C11">
            <v>57</v>
          </cell>
          <cell r="D11">
            <v>2</v>
          </cell>
          <cell r="E11">
            <v>11163.57</v>
          </cell>
          <cell r="F11" t="str">
            <v>tier - 3</v>
          </cell>
          <cell r="G11" t="str">
            <v>tier - 2</v>
          </cell>
          <cell r="H11" t="str">
            <v>R1011</v>
          </cell>
        </row>
        <row r="12">
          <cell r="A12" t="str">
            <v>ID1007</v>
          </cell>
          <cell r="B12" t="str">
            <v>30-Nov-1969</v>
          </cell>
          <cell r="C12">
            <v>56</v>
          </cell>
          <cell r="D12">
            <v>2</v>
          </cell>
          <cell r="E12">
            <v>11150.78</v>
          </cell>
          <cell r="F12" t="str">
            <v>tier - 3</v>
          </cell>
          <cell r="G12" t="str">
            <v>tier - 2</v>
          </cell>
          <cell r="H12" t="str">
            <v>R1011</v>
          </cell>
        </row>
        <row r="13">
          <cell r="A13" t="str">
            <v>ID1008</v>
          </cell>
          <cell r="B13" t="str">
            <v>20-Aug-1980</v>
          </cell>
          <cell r="C13">
            <v>46</v>
          </cell>
          <cell r="D13">
            <v>2</v>
          </cell>
          <cell r="E13">
            <v>11103.33</v>
          </cell>
          <cell r="F13" t="str">
            <v>tier - 3</v>
          </cell>
          <cell r="G13" t="str">
            <v>tier - 1</v>
          </cell>
          <cell r="H13" t="str">
            <v>R1021</v>
          </cell>
        </row>
        <row r="14">
          <cell r="A14" t="str">
            <v>ID1009</v>
          </cell>
          <cell r="B14" t="str">
            <v>5-Jul-1966</v>
          </cell>
          <cell r="C14">
            <v>60</v>
          </cell>
          <cell r="D14">
            <v>0</v>
          </cell>
          <cell r="E14">
            <v>11093.62</v>
          </cell>
          <cell r="F14" t="str">
            <v>tier - 3</v>
          </cell>
          <cell r="G14" t="str">
            <v>tier - 1</v>
          </cell>
          <cell r="H14" t="str">
            <v>R1013</v>
          </cell>
        </row>
        <row r="15">
          <cell r="A15" t="str">
            <v>ID101</v>
          </cell>
          <cell r="B15" t="str">
            <v>4-Oct-1981</v>
          </cell>
          <cell r="C15">
            <v>45</v>
          </cell>
          <cell r="D15">
            <v>1</v>
          </cell>
          <cell r="E15">
            <v>40273.65</v>
          </cell>
          <cell r="F15" t="str">
            <v>tier - 1</v>
          </cell>
          <cell r="G15" t="str">
            <v>tier - 3</v>
          </cell>
          <cell r="H15" t="str">
            <v>R1013</v>
          </cell>
        </row>
        <row r="16">
          <cell r="A16" t="str">
            <v>ID1010</v>
          </cell>
          <cell r="B16" t="str">
            <v>9-Sep-1966</v>
          </cell>
          <cell r="C16">
            <v>60</v>
          </cell>
          <cell r="D16">
            <v>0</v>
          </cell>
          <cell r="E16">
            <v>11090.72</v>
          </cell>
          <cell r="F16" t="str">
            <v>tier - 3</v>
          </cell>
          <cell r="G16" t="str">
            <v>tier - 1</v>
          </cell>
          <cell r="H16" t="str">
            <v>R1013</v>
          </cell>
        </row>
        <row r="17">
          <cell r="A17" t="str">
            <v>ID1011</v>
          </cell>
          <cell r="B17" t="str">
            <v>7-Oct-1972</v>
          </cell>
          <cell r="C17">
            <v>54</v>
          </cell>
          <cell r="D17">
            <v>3</v>
          </cell>
          <cell r="E17">
            <v>11085.59</v>
          </cell>
          <cell r="F17" t="str">
            <v>tier - 3</v>
          </cell>
          <cell r="G17" t="str">
            <v>tier - 2</v>
          </cell>
          <cell r="H17" t="str">
            <v>R1012</v>
          </cell>
        </row>
        <row r="18">
          <cell r="A18" t="str">
            <v>ID1012</v>
          </cell>
          <cell r="B18" t="str">
            <v>4-Sep-1967</v>
          </cell>
          <cell r="C18">
            <v>59</v>
          </cell>
          <cell r="D18">
            <v>0</v>
          </cell>
          <cell r="E18">
            <v>11082.58</v>
          </cell>
          <cell r="F18" t="str">
            <v>tier - 3</v>
          </cell>
          <cell r="G18" t="str">
            <v>tier - 2</v>
          </cell>
          <cell r="H18" t="str">
            <v>R1012</v>
          </cell>
        </row>
        <row r="19">
          <cell r="A19" t="str">
            <v>ID1013</v>
          </cell>
          <cell r="B19" t="str">
            <v>20-Nov-1966</v>
          </cell>
          <cell r="C19">
            <v>59</v>
          </cell>
          <cell r="D19">
            <v>0</v>
          </cell>
          <cell r="E19">
            <v>11073.18</v>
          </cell>
          <cell r="F19" t="str">
            <v>tier - 3</v>
          </cell>
          <cell r="G19" t="str">
            <v>tier - 3</v>
          </cell>
          <cell r="H19" t="str">
            <v>R1011</v>
          </cell>
        </row>
        <row r="20">
          <cell r="A20" t="str">
            <v>ID1014</v>
          </cell>
          <cell r="B20" t="str">
            <v>7-Nov-1966</v>
          </cell>
          <cell r="C20">
            <v>59</v>
          </cell>
          <cell r="D20">
            <v>0</v>
          </cell>
          <cell r="E20">
            <v>11070.54</v>
          </cell>
          <cell r="F20" t="str">
            <v>tier - 3</v>
          </cell>
          <cell r="G20" t="str">
            <v>tier - 3</v>
          </cell>
          <cell r="H20" t="str">
            <v>R1011</v>
          </cell>
        </row>
        <row r="21">
          <cell r="A21" t="str">
            <v>ID1015</v>
          </cell>
          <cell r="B21" t="str">
            <v>9-Nov-1971</v>
          </cell>
          <cell r="C21">
            <v>54</v>
          </cell>
          <cell r="D21">
            <v>0</v>
          </cell>
          <cell r="E21">
            <v>11068.77</v>
          </cell>
          <cell r="F21" t="str">
            <v>tier - 3</v>
          </cell>
          <cell r="G21" t="str">
            <v>tier - 2</v>
          </cell>
          <cell r="H21" t="str">
            <v>R1012</v>
          </cell>
        </row>
        <row r="22">
          <cell r="A22" t="str">
            <v>ID1016</v>
          </cell>
          <cell r="B22" t="str">
            <v>18-Sep-2000</v>
          </cell>
          <cell r="C22">
            <v>26</v>
          </cell>
          <cell r="D22">
            <v>0</v>
          </cell>
          <cell r="E22">
            <v>11068.7</v>
          </cell>
          <cell r="F22" t="str">
            <v>tier - 3</v>
          </cell>
          <cell r="G22" t="str">
            <v>tier - 1</v>
          </cell>
          <cell r="H22" t="str">
            <v>R1011</v>
          </cell>
        </row>
        <row r="23">
          <cell r="A23" t="str">
            <v>ID1017</v>
          </cell>
          <cell r="B23" t="str">
            <v>17-Dec-2001</v>
          </cell>
          <cell r="C23">
            <v>24</v>
          </cell>
          <cell r="D23">
            <v>0</v>
          </cell>
          <cell r="E23">
            <v>11046.02</v>
          </cell>
          <cell r="F23" t="str">
            <v>tier - 3</v>
          </cell>
          <cell r="G23" t="str">
            <v>tier - 1</v>
          </cell>
          <cell r="H23" t="str">
            <v>R1026</v>
          </cell>
        </row>
        <row r="24">
          <cell r="A24" t="str">
            <v>ID1018</v>
          </cell>
          <cell r="B24" t="str">
            <v>30-Aug-1974</v>
          </cell>
          <cell r="C24">
            <v>52</v>
          </cell>
          <cell r="D24">
            <v>0</v>
          </cell>
          <cell r="E24">
            <v>11037.85</v>
          </cell>
          <cell r="F24" t="str">
            <v>tier - 3</v>
          </cell>
          <cell r="G24" t="str">
            <v>tier - 2</v>
          </cell>
          <cell r="H24" t="str">
            <v>R1025</v>
          </cell>
        </row>
        <row r="25">
          <cell r="A25" t="str">
            <v>ID1019</v>
          </cell>
          <cell r="B25" t="str">
            <v>25-Oct-1989</v>
          </cell>
          <cell r="C25">
            <v>36</v>
          </cell>
          <cell r="D25">
            <v>3</v>
          </cell>
          <cell r="E25">
            <v>11037.51</v>
          </cell>
          <cell r="F25" t="str">
            <v>tier - 3</v>
          </cell>
          <cell r="G25" t="str">
            <v>tier - 1</v>
          </cell>
          <cell r="H25" t="str">
            <v>R1012</v>
          </cell>
        </row>
        <row r="26">
          <cell r="A26" t="str">
            <v>ID102</v>
          </cell>
          <cell r="B26" t="str">
            <v>28-Jul-1981</v>
          </cell>
          <cell r="C26">
            <v>45</v>
          </cell>
          <cell r="D26">
            <v>1</v>
          </cell>
          <cell r="E26">
            <v>40208.559999999998</v>
          </cell>
          <cell r="F26" t="str">
            <v>tier - 1</v>
          </cell>
          <cell r="G26" t="str">
            <v>tier - 2</v>
          </cell>
          <cell r="H26" t="str">
            <v>R1011</v>
          </cell>
        </row>
        <row r="27">
          <cell r="A27" t="str">
            <v>ID1020</v>
          </cell>
          <cell r="B27" t="str">
            <v>10-Dec-1974</v>
          </cell>
          <cell r="C27">
            <v>51</v>
          </cell>
          <cell r="D27">
            <v>4</v>
          </cell>
          <cell r="E27">
            <v>11033.66</v>
          </cell>
          <cell r="F27" t="str">
            <v>tier - 3</v>
          </cell>
          <cell r="G27" t="str">
            <v>tier - 3</v>
          </cell>
          <cell r="H27" t="str">
            <v>R1012</v>
          </cell>
        </row>
        <row r="28">
          <cell r="A28" t="str">
            <v>ID1021</v>
          </cell>
          <cell r="B28" t="str">
            <v>21-Jul-1996</v>
          </cell>
          <cell r="C28">
            <v>30</v>
          </cell>
          <cell r="D28">
            <v>0</v>
          </cell>
          <cell r="E28">
            <v>11028.56</v>
          </cell>
          <cell r="F28" t="str">
            <v>tier - 3</v>
          </cell>
          <cell r="G28" t="str">
            <v>tier - 3</v>
          </cell>
          <cell r="H28" t="str">
            <v>R1012</v>
          </cell>
        </row>
        <row r="29">
          <cell r="A29" t="str">
            <v>ID1022</v>
          </cell>
          <cell r="B29" t="str">
            <v>26-Jun-1991</v>
          </cell>
          <cell r="C29">
            <v>35</v>
          </cell>
          <cell r="D29">
            <v>3</v>
          </cell>
          <cell r="E29">
            <v>11018.05</v>
          </cell>
          <cell r="F29" t="str">
            <v>tier - 3</v>
          </cell>
          <cell r="G29" t="str">
            <v>tier - 2</v>
          </cell>
          <cell r="H29" t="str">
            <v>R1012</v>
          </cell>
        </row>
        <row r="30">
          <cell r="A30" t="str">
            <v>ID1023</v>
          </cell>
          <cell r="B30" t="str">
            <v>15-Dec-1974</v>
          </cell>
          <cell r="C30">
            <v>51</v>
          </cell>
          <cell r="D30">
            <v>4</v>
          </cell>
          <cell r="E30">
            <v>11015.17</v>
          </cell>
          <cell r="F30" t="str">
            <v>tier - 3</v>
          </cell>
          <cell r="G30" t="str">
            <v>tier - 1</v>
          </cell>
          <cell r="H30" t="str">
            <v>R1012</v>
          </cell>
        </row>
        <row r="31">
          <cell r="A31" t="str">
            <v>ID1024</v>
          </cell>
          <cell r="B31" t="str">
            <v>24-Oct-1968</v>
          </cell>
          <cell r="C31">
            <v>57</v>
          </cell>
          <cell r="D31">
            <v>2</v>
          </cell>
          <cell r="E31">
            <v>11013.71</v>
          </cell>
          <cell r="F31" t="str">
            <v>tier - 3</v>
          </cell>
          <cell r="G31" t="str">
            <v>tier - 1</v>
          </cell>
          <cell r="H31" t="str">
            <v>R1013</v>
          </cell>
        </row>
        <row r="32">
          <cell r="A32" t="str">
            <v>ID1025</v>
          </cell>
          <cell r="B32" t="str">
            <v>17-Sep-2000</v>
          </cell>
          <cell r="C32">
            <v>26</v>
          </cell>
          <cell r="D32">
            <v>0</v>
          </cell>
          <cell r="E32">
            <v>10991.58</v>
          </cell>
          <cell r="F32" t="str">
            <v>tier - 3</v>
          </cell>
          <cell r="G32" t="str">
            <v>tier - 3</v>
          </cell>
          <cell r="H32" t="str">
            <v>R1012</v>
          </cell>
        </row>
        <row r="33">
          <cell r="A33" t="str">
            <v>ID1026</v>
          </cell>
          <cell r="B33" t="str">
            <v>18-Dec-1965</v>
          </cell>
          <cell r="C33">
            <v>60</v>
          </cell>
          <cell r="D33">
            <v>0</v>
          </cell>
          <cell r="E33">
            <v>10982.5</v>
          </cell>
          <cell r="F33" t="str">
            <v>tier - 3</v>
          </cell>
          <cell r="G33" t="str">
            <v>tier - 3</v>
          </cell>
          <cell r="H33" t="str">
            <v>R1013</v>
          </cell>
        </row>
        <row r="34">
          <cell r="A34" t="str">
            <v>ID1027</v>
          </cell>
          <cell r="B34" t="str">
            <v>21-Oct-1973</v>
          </cell>
          <cell r="C34">
            <v>52</v>
          </cell>
          <cell r="D34">
            <v>4</v>
          </cell>
          <cell r="E34">
            <v>10977.21</v>
          </cell>
          <cell r="F34" t="str">
            <v>tier - 3</v>
          </cell>
          <cell r="G34" t="str">
            <v>tier - 1</v>
          </cell>
          <cell r="H34" t="str">
            <v>R1013</v>
          </cell>
        </row>
        <row r="35">
          <cell r="A35" t="str">
            <v>ID1028</v>
          </cell>
          <cell r="B35" t="str">
            <v>9-Jul-1966</v>
          </cell>
          <cell r="C35">
            <v>60</v>
          </cell>
          <cell r="D35">
            <v>0</v>
          </cell>
          <cell r="E35">
            <v>10976.25</v>
          </cell>
          <cell r="F35" t="str">
            <v>tier - 3</v>
          </cell>
          <cell r="G35" t="str">
            <v>tier - 2</v>
          </cell>
          <cell r="H35" t="str">
            <v>R1012</v>
          </cell>
        </row>
        <row r="36">
          <cell r="A36" t="str">
            <v>ID1029</v>
          </cell>
          <cell r="B36" t="str">
            <v>19-Jun-1965</v>
          </cell>
          <cell r="C36">
            <v>61</v>
          </cell>
          <cell r="D36">
            <v>0</v>
          </cell>
          <cell r="E36">
            <v>10965.45</v>
          </cell>
          <cell r="F36" t="str">
            <v>tier - 3</v>
          </cell>
          <cell r="G36" t="str">
            <v>tier - 2</v>
          </cell>
          <cell r="H36" t="str">
            <v>R1011</v>
          </cell>
        </row>
        <row r="37">
          <cell r="A37" t="str">
            <v>ID103</v>
          </cell>
          <cell r="B37" t="str">
            <v>18-Aug-1979</v>
          </cell>
          <cell r="C37">
            <v>47</v>
          </cell>
          <cell r="D37">
            <v>2</v>
          </cell>
          <cell r="E37">
            <v>40204.83</v>
          </cell>
          <cell r="F37" t="str">
            <v>tier - 1</v>
          </cell>
          <cell r="G37" t="str">
            <v>tier - 3</v>
          </cell>
          <cell r="H37" t="str">
            <v>R1012</v>
          </cell>
        </row>
        <row r="38">
          <cell r="A38" t="str">
            <v>ID1030</v>
          </cell>
          <cell r="B38" t="str">
            <v>14-Aug-1969</v>
          </cell>
          <cell r="C38">
            <v>57</v>
          </cell>
          <cell r="D38">
            <v>1</v>
          </cell>
          <cell r="E38">
            <v>10959.69</v>
          </cell>
          <cell r="F38" t="str">
            <v>tier - 3</v>
          </cell>
          <cell r="G38" t="str">
            <v>tier - 3</v>
          </cell>
          <cell r="H38" t="str">
            <v>R1012</v>
          </cell>
        </row>
        <row r="39">
          <cell r="A39" t="str">
            <v>ID1031</v>
          </cell>
          <cell r="B39" t="str">
            <v>4-Dec-1965</v>
          </cell>
          <cell r="C39">
            <v>60</v>
          </cell>
          <cell r="D39">
            <v>0</v>
          </cell>
          <cell r="E39">
            <v>10959.33</v>
          </cell>
          <cell r="F39" t="str">
            <v>tier - 3</v>
          </cell>
          <cell r="G39" t="str">
            <v>tier - 3</v>
          </cell>
          <cell r="H39" t="str">
            <v>R1011</v>
          </cell>
        </row>
        <row r="40">
          <cell r="A40" t="str">
            <v>ID1032</v>
          </cell>
          <cell r="B40" t="str">
            <v>10-Nov-1969</v>
          </cell>
          <cell r="C40">
            <v>56</v>
          </cell>
          <cell r="D40">
            <v>1</v>
          </cell>
          <cell r="E40">
            <v>10942.13</v>
          </cell>
          <cell r="F40" t="str">
            <v>tier - 3</v>
          </cell>
          <cell r="G40" t="str">
            <v>tier - 3</v>
          </cell>
          <cell r="H40" t="str">
            <v>R1012</v>
          </cell>
        </row>
        <row r="41">
          <cell r="A41" t="str">
            <v>ID1033</v>
          </cell>
          <cell r="B41" t="str">
            <v>12-Nov-1968</v>
          </cell>
          <cell r="C41">
            <v>57</v>
          </cell>
          <cell r="D41">
            <v>1</v>
          </cell>
          <cell r="E41">
            <v>10928.85</v>
          </cell>
          <cell r="F41" t="str">
            <v>tier - 3</v>
          </cell>
          <cell r="G41" t="str">
            <v>tier - 3</v>
          </cell>
          <cell r="H41" t="str">
            <v>R1013</v>
          </cell>
        </row>
        <row r="42">
          <cell r="A42" t="str">
            <v>ID1034</v>
          </cell>
          <cell r="B42" t="str">
            <v>13-Nov-1968</v>
          </cell>
          <cell r="C42">
            <v>57</v>
          </cell>
          <cell r="D42">
            <v>0</v>
          </cell>
          <cell r="E42">
            <v>10923.93</v>
          </cell>
          <cell r="F42" t="str">
            <v>tier - 3</v>
          </cell>
          <cell r="G42" t="str">
            <v>tier - 1</v>
          </cell>
          <cell r="H42" t="str">
            <v>R1024</v>
          </cell>
        </row>
        <row r="43">
          <cell r="A43" t="str">
            <v>ID1035</v>
          </cell>
          <cell r="B43" t="str">
            <v>6-Sep-1994</v>
          </cell>
          <cell r="C43">
            <v>32</v>
          </cell>
          <cell r="D43">
            <v>0</v>
          </cell>
          <cell r="E43">
            <v>10886.66</v>
          </cell>
          <cell r="F43" t="str">
            <v>tier - 3</v>
          </cell>
          <cell r="G43" t="str">
            <v>tier - 3</v>
          </cell>
          <cell r="H43" t="str">
            <v>R1012</v>
          </cell>
        </row>
        <row r="44">
          <cell r="A44" t="str">
            <v>ID1036</v>
          </cell>
          <cell r="B44" t="str">
            <v>20-Dec-1971</v>
          </cell>
          <cell r="C44">
            <v>54</v>
          </cell>
          <cell r="D44">
            <v>2</v>
          </cell>
          <cell r="E44">
            <v>10848.13</v>
          </cell>
          <cell r="F44" t="str">
            <v>tier - 3</v>
          </cell>
          <cell r="G44" t="str">
            <v>tier - 3</v>
          </cell>
          <cell r="H44" t="str">
            <v>R1012</v>
          </cell>
        </row>
        <row r="45">
          <cell r="A45" t="str">
            <v>ID1037</v>
          </cell>
          <cell r="B45" t="str">
            <v>28-Jul-1968</v>
          </cell>
          <cell r="C45">
            <v>58</v>
          </cell>
          <cell r="D45">
            <v>1</v>
          </cell>
          <cell r="E45">
            <v>10825.25</v>
          </cell>
          <cell r="F45" t="str">
            <v>tier - 3</v>
          </cell>
          <cell r="G45" t="str">
            <v>tier - 3</v>
          </cell>
          <cell r="H45" t="str">
            <v>R1012</v>
          </cell>
        </row>
        <row r="46">
          <cell r="A46" t="str">
            <v>ID1038</v>
          </cell>
          <cell r="B46" t="str">
            <v>2-Oct-1967</v>
          </cell>
          <cell r="C46">
            <v>59</v>
          </cell>
          <cell r="D46">
            <v>1</v>
          </cell>
          <cell r="E46">
            <v>10807.49</v>
          </cell>
          <cell r="F46" t="str">
            <v>tier - 3</v>
          </cell>
          <cell r="G46" t="str">
            <v>tier - 2</v>
          </cell>
          <cell r="H46" t="str">
            <v>R1013</v>
          </cell>
        </row>
        <row r="47">
          <cell r="A47" t="str">
            <v>ID1039</v>
          </cell>
          <cell r="B47" t="str">
            <v>18-Dec-1970</v>
          </cell>
          <cell r="C47">
            <v>55</v>
          </cell>
          <cell r="D47">
            <v>2</v>
          </cell>
          <cell r="E47">
            <v>10806.84</v>
          </cell>
          <cell r="F47" t="str">
            <v>tier - 3</v>
          </cell>
          <cell r="G47" t="str">
            <v>tier - 2</v>
          </cell>
          <cell r="H47" t="str">
            <v>R1011</v>
          </cell>
        </row>
        <row r="48">
          <cell r="A48" t="str">
            <v>ID104</v>
          </cell>
          <cell r="B48" t="str">
            <v>21-Oct-1985</v>
          </cell>
          <cell r="C48">
            <v>40</v>
          </cell>
          <cell r="D48">
            <v>4</v>
          </cell>
          <cell r="E48">
            <v>40182.25</v>
          </cell>
          <cell r="F48" t="str">
            <v>tier - 1</v>
          </cell>
          <cell r="G48" t="str">
            <v>tier - 2</v>
          </cell>
          <cell r="H48" t="str">
            <v>R1011</v>
          </cell>
        </row>
        <row r="49">
          <cell r="A49" t="str">
            <v>ID1040</v>
          </cell>
          <cell r="B49" t="str">
            <v>28-Oct-1970</v>
          </cell>
          <cell r="C49">
            <v>55</v>
          </cell>
          <cell r="D49">
            <v>1</v>
          </cell>
          <cell r="E49">
            <v>10797.34</v>
          </cell>
          <cell r="F49" t="str">
            <v>tier - 3</v>
          </cell>
          <cell r="G49" t="str">
            <v>tier - 2</v>
          </cell>
          <cell r="H49" t="str">
            <v>R1023</v>
          </cell>
        </row>
        <row r="50">
          <cell r="A50" t="str">
            <v>ID1041</v>
          </cell>
          <cell r="B50" t="str">
            <v>23-Oct-1967</v>
          </cell>
          <cell r="C50">
            <v>58</v>
          </cell>
          <cell r="D50">
            <v>0</v>
          </cell>
          <cell r="E50">
            <v>10796.35</v>
          </cell>
          <cell r="F50" t="str">
            <v>tier - 3</v>
          </cell>
          <cell r="G50" t="str">
            <v>tier - 1</v>
          </cell>
          <cell r="H50" t="str">
            <v>R1019</v>
          </cell>
        </row>
        <row r="51">
          <cell r="A51" t="str">
            <v>ID1042</v>
          </cell>
          <cell r="B51" t="str">
            <v>24-Dec-1999</v>
          </cell>
          <cell r="C51">
            <v>26</v>
          </cell>
          <cell r="D51">
            <v>0</v>
          </cell>
          <cell r="E51">
            <v>10795.94</v>
          </cell>
          <cell r="F51" t="str">
            <v>tier - 3</v>
          </cell>
          <cell r="G51" t="str">
            <v>tier - 1</v>
          </cell>
          <cell r="H51" t="str">
            <v>R1011</v>
          </cell>
        </row>
        <row r="52">
          <cell r="A52" t="str">
            <v>ID1043</v>
          </cell>
          <cell r="B52" t="str">
            <v>11-Nov-1967</v>
          </cell>
          <cell r="C52">
            <v>58</v>
          </cell>
          <cell r="D52">
            <v>1</v>
          </cell>
          <cell r="E52">
            <v>10791.96</v>
          </cell>
          <cell r="F52" t="str">
            <v>tier - 3</v>
          </cell>
          <cell r="G52" t="str">
            <v>tier - 2</v>
          </cell>
          <cell r="H52" t="str">
            <v>R1011</v>
          </cell>
        </row>
        <row r="53">
          <cell r="A53" t="str">
            <v>ID1044</v>
          </cell>
          <cell r="B53" t="str">
            <v>25-Nov-1989</v>
          </cell>
          <cell r="C53">
            <v>36</v>
          </cell>
          <cell r="D53">
            <v>3</v>
          </cell>
          <cell r="E53">
            <v>10769.75</v>
          </cell>
          <cell r="F53" t="str">
            <v>tier - 3</v>
          </cell>
          <cell r="G53" t="str">
            <v>tier - 2</v>
          </cell>
          <cell r="H53" t="str">
            <v>R1022</v>
          </cell>
        </row>
        <row r="54">
          <cell r="A54" t="str">
            <v>ID1045</v>
          </cell>
          <cell r="B54" t="str">
            <v>29-Aug-1986</v>
          </cell>
          <cell r="C54">
            <v>40</v>
          </cell>
          <cell r="D54">
            <v>3</v>
          </cell>
          <cell r="E54">
            <v>10749.02</v>
          </cell>
          <cell r="F54" t="str">
            <v>tier - 3</v>
          </cell>
          <cell r="G54" t="str">
            <v>tier - 1</v>
          </cell>
          <cell r="H54" t="str">
            <v>R1026</v>
          </cell>
        </row>
        <row r="55">
          <cell r="A55" t="str">
            <v>ID1046</v>
          </cell>
          <cell r="B55" t="str">
            <v>9-Dec-1974</v>
          </cell>
          <cell r="C55">
            <v>51</v>
          </cell>
          <cell r="D55">
            <v>4</v>
          </cell>
          <cell r="E55">
            <v>10736.87</v>
          </cell>
          <cell r="F55" t="str">
            <v>tier - 3</v>
          </cell>
          <cell r="G55" t="str">
            <v>tier - 1</v>
          </cell>
          <cell r="H55" t="str">
            <v>R1016</v>
          </cell>
        </row>
        <row r="56">
          <cell r="A56" t="str">
            <v>ID1047</v>
          </cell>
          <cell r="B56" t="str">
            <v>25-Jun-1992</v>
          </cell>
          <cell r="C56">
            <v>34</v>
          </cell>
          <cell r="D56">
            <v>0</v>
          </cell>
          <cell r="E56">
            <v>10719.57</v>
          </cell>
          <cell r="F56" t="str">
            <v>tier - 3</v>
          </cell>
          <cell r="G56" t="str">
            <v>tier - 1</v>
          </cell>
          <cell r="H56" t="str">
            <v>R1012</v>
          </cell>
        </row>
        <row r="57">
          <cell r="A57" t="str">
            <v>ID1048</v>
          </cell>
          <cell r="B57" t="str">
            <v>5-Oct-1967</v>
          </cell>
          <cell r="C57">
            <v>59</v>
          </cell>
          <cell r="D57">
            <v>0</v>
          </cell>
          <cell r="E57">
            <v>10713.64</v>
          </cell>
          <cell r="F57" t="str">
            <v>tier - 3</v>
          </cell>
          <cell r="G57" t="str">
            <v>tier - 3</v>
          </cell>
          <cell r="H57" t="str">
            <v>R1011</v>
          </cell>
        </row>
        <row r="58">
          <cell r="A58" t="str">
            <v>ID1049</v>
          </cell>
          <cell r="B58" t="str">
            <v>30-Jul-1967</v>
          </cell>
          <cell r="C58">
            <v>59</v>
          </cell>
          <cell r="D58">
            <v>0</v>
          </cell>
          <cell r="E58">
            <v>10704.47</v>
          </cell>
          <cell r="F58" t="str">
            <v>tier - 3</v>
          </cell>
          <cell r="G58" t="str">
            <v>tier - 2</v>
          </cell>
          <cell r="H58" t="str">
            <v>R1011</v>
          </cell>
        </row>
        <row r="59">
          <cell r="A59" t="str">
            <v>ID105</v>
          </cell>
          <cell r="B59" t="str">
            <v>14-Oct-1983</v>
          </cell>
          <cell r="C59">
            <v>43</v>
          </cell>
          <cell r="D59">
            <v>2</v>
          </cell>
          <cell r="E59">
            <v>40103.89</v>
          </cell>
          <cell r="F59" t="str">
            <v>tier - 1</v>
          </cell>
          <cell r="G59" t="str">
            <v>tier - 2</v>
          </cell>
          <cell r="H59" t="str">
            <v>R1011</v>
          </cell>
        </row>
        <row r="60">
          <cell r="A60" t="str">
            <v>ID1050</v>
          </cell>
          <cell r="B60" t="str">
            <v>24-Oct-1972</v>
          </cell>
          <cell r="C60">
            <v>53</v>
          </cell>
          <cell r="D60">
            <v>3</v>
          </cell>
          <cell r="E60">
            <v>10702.64</v>
          </cell>
          <cell r="F60" t="str">
            <v>tier - 3</v>
          </cell>
          <cell r="G60" t="str">
            <v>tier - 3</v>
          </cell>
          <cell r="H60" t="str">
            <v>R1013</v>
          </cell>
        </row>
        <row r="61">
          <cell r="A61" t="str">
            <v>ID1051</v>
          </cell>
          <cell r="B61" t="str">
            <v>30-Sep-1976</v>
          </cell>
          <cell r="C61">
            <v>50</v>
          </cell>
          <cell r="D61">
            <v>2</v>
          </cell>
          <cell r="E61">
            <v>10698.38</v>
          </cell>
          <cell r="F61" t="str">
            <v>tier - 3</v>
          </cell>
          <cell r="G61" t="str">
            <v>tier - 1</v>
          </cell>
          <cell r="H61" t="str">
            <v>R1025</v>
          </cell>
        </row>
        <row r="62">
          <cell r="A62" t="str">
            <v>ID1052</v>
          </cell>
          <cell r="B62" t="str">
            <v>2-Aug-1977</v>
          </cell>
          <cell r="C62">
            <v>49</v>
          </cell>
          <cell r="D62">
            <v>2</v>
          </cell>
          <cell r="E62">
            <v>10690.11</v>
          </cell>
          <cell r="F62" t="str">
            <v>tier - 3</v>
          </cell>
          <cell r="G62" t="str">
            <v>tier - 2</v>
          </cell>
          <cell r="H62" t="str">
            <v>R1021</v>
          </cell>
        </row>
        <row r="63">
          <cell r="A63" t="str">
            <v>ID1053</v>
          </cell>
          <cell r="B63" t="str">
            <v>7-Sep-1962</v>
          </cell>
          <cell r="C63">
            <v>64</v>
          </cell>
          <cell r="D63">
            <v>0</v>
          </cell>
          <cell r="E63">
            <v>10676.83</v>
          </cell>
          <cell r="F63" t="str">
            <v>tier - 3</v>
          </cell>
          <cell r="G63" t="str">
            <v>tier - 3</v>
          </cell>
          <cell r="H63" t="str">
            <v>R1013</v>
          </cell>
        </row>
        <row r="64">
          <cell r="A64" t="str">
            <v>ID1054</v>
          </cell>
          <cell r="B64" t="str">
            <v>22-Nov-1976</v>
          </cell>
          <cell r="C64">
            <v>49</v>
          </cell>
          <cell r="D64">
            <v>2</v>
          </cell>
          <cell r="E64">
            <v>10665.44</v>
          </cell>
          <cell r="F64" t="str">
            <v>tier - 3</v>
          </cell>
          <cell r="G64" t="str">
            <v>tier - 2</v>
          </cell>
          <cell r="H64" t="str">
            <v>R1021</v>
          </cell>
        </row>
        <row r="65">
          <cell r="A65" t="str">
            <v>ID1055</v>
          </cell>
          <cell r="B65" t="str">
            <v>8-Aug-1964</v>
          </cell>
          <cell r="C65">
            <v>62</v>
          </cell>
          <cell r="D65">
            <v>0</v>
          </cell>
          <cell r="E65">
            <v>10627.81</v>
          </cell>
          <cell r="F65" t="str">
            <v>tier - 3</v>
          </cell>
          <cell r="G65" t="str">
            <v>tier - 3</v>
          </cell>
          <cell r="H65" t="str">
            <v>R1013</v>
          </cell>
        </row>
        <row r="66">
          <cell r="A66" t="str">
            <v>ID1056</v>
          </cell>
          <cell r="B66" t="str">
            <v>6-Jul-1990</v>
          </cell>
          <cell r="C66">
            <v>36</v>
          </cell>
          <cell r="D66">
            <v>3</v>
          </cell>
          <cell r="E66">
            <v>10620.26</v>
          </cell>
          <cell r="F66" t="str">
            <v>tier - 3</v>
          </cell>
          <cell r="G66" t="str">
            <v>tier - 3</v>
          </cell>
          <cell r="H66" t="str">
            <v>R1012</v>
          </cell>
        </row>
        <row r="67">
          <cell r="A67" t="str">
            <v>ID1057</v>
          </cell>
          <cell r="B67" t="str">
            <v>23-Jul-1992</v>
          </cell>
          <cell r="C67">
            <v>34</v>
          </cell>
          <cell r="D67">
            <v>0</v>
          </cell>
          <cell r="E67">
            <v>10617.04</v>
          </cell>
          <cell r="F67" t="str">
            <v>tier - 3</v>
          </cell>
          <cell r="G67" t="str">
            <v>tier - 3</v>
          </cell>
          <cell r="H67" t="str">
            <v>R1026</v>
          </cell>
        </row>
        <row r="68">
          <cell r="A68" t="str">
            <v>ID1058</v>
          </cell>
          <cell r="B68" t="str">
            <v>27-Jun-1965</v>
          </cell>
          <cell r="C68">
            <v>61</v>
          </cell>
          <cell r="D68">
            <v>0</v>
          </cell>
          <cell r="E68">
            <v>10608.67</v>
          </cell>
          <cell r="F68" t="str">
            <v>tier - 3</v>
          </cell>
          <cell r="G68" t="str">
            <v>tier - 3</v>
          </cell>
          <cell r="H68" t="str">
            <v>R1012</v>
          </cell>
        </row>
        <row r="69">
          <cell r="A69" t="str">
            <v>ID1059</v>
          </cell>
          <cell r="B69" t="str">
            <v>2-Jul-1966</v>
          </cell>
          <cell r="C69">
            <v>60</v>
          </cell>
          <cell r="D69">
            <v>0</v>
          </cell>
          <cell r="E69">
            <v>10602.39</v>
          </cell>
          <cell r="F69" t="str">
            <v>tier - 3</v>
          </cell>
          <cell r="G69" t="str">
            <v>tier - 3</v>
          </cell>
          <cell r="H69" t="str">
            <v>R1011</v>
          </cell>
        </row>
        <row r="70">
          <cell r="A70" t="str">
            <v>ID106</v>
          </cell>
          <cell r="B70" t="str">
            <v>12-Aug-1966</v>
          </cell>
          <cell r="C70">
            <v>60</v>
          </cell>
          <cell r="D70">
            <v>0</v>
          </cell>
          <cell r="E70">
            <v>40069.440000000002</v>
          </cell>
          <cell r="F70" t="str">
            <v>tier - 1</v>
          </cell>
          <cell r="G70" t="str">
            <v>tier - 3</v>
          </cell>
          <cell r="H70" t="str">
            <v>R1011</v>
          </cell>
        </row>
        <row r="71">
          <cell r="A71" t="str">
            <v>ID1060</v>
          </cell>
          <cell r="B71" t="str">
            <v>23-Jun-1967</v>
          </cell>
          <cell r="C71">
            <v>59</v>
          </cell>
          <cell r="D71">
            <v>0</v>
          </cell>
          <cell r="E71">
            <v>10601.63</v>
          </cell>
          <cell r="F71" t="str">
            <v>tier - 3</v>
          </cell>
          <cell r="G71" t="str">
            <v>tier - 2</v>
          </cell>
          <cell r="H71" t="str">
            <v>R1012</v>
          </cell>
        </row>
        <row r="72">
          <cell r="A72" t="str">
            <v>ID1061</v>
          </cell>
          <cell r="B72" t="str">
            <v>20-Jul-1966</v>
          </cell>
          <cell r="C72">
            <v>60</v>
          </cell>
          <cell r="D72">
            <v>0</v>
          </cell>
          <cell r="E72">
            <v>10601.41</v>
          </cell>
          <cell r="F72" t="str">
            <v>tier - 3</v>
          </cell>
          <cell r="G72" t="str">
            <v>tier - 2</v>
          </cell>
          <cell r="H72" t="str">
            <v>R1011</v>
          </cell>
        </row>
        <row r="73">
          <cell r="A73" t="str">
            <v>ID1062</v>
          </cell>
          <cell r="B73" t="str">
            <v>14-Dec-1972</v>
          </cell>
          <cell r="C73">
            <v>53</v>
          </cell>
          <cell r="D73">
            <v>3</v>
          </cell>
          <cell r="E73">
            <v>10600.55</v>
          </cell>
          <cell r="F73" t="str">
            <v>tier - 3</v>
          </cell>
          <cell r="G73" t="str">
            <v>tier - 1</v>
          </cell>
          <cell r="H73" t="str">
            <v>R1012</v>
          </cell>
        </row>
        <row r="74">
          <cell r="A74" t="str">
            <v>ID1063</v>
          </cell>
          <cell r="B74" t="str">
            <v>29-Nov-1967</v>
          </cell>
          <cell r="C74">
            <v>58</v>
          </cell>
          <cell r="D74">
            <v>0</v>
          </cell>
          <cell r="E74">
            <v>10594.5</v>
          </cell>
          <cell r="F74" t="str">
            <v>tier - 3</v>
          </cell>
          <cell r="G74" t="str">
            <v>tier - 1</v>
          </cell>
          <cell r="H74" t="str">
            <v>R1012</v>
          </cell>
        </row>
        <row r="75">
          <cell r="A75" t="str">
            <v>ID1064</v>
          </cell>
          <cell r="B75" t="str">
            <v>3-Nov-1966</v>
          </cell>
          <cell r="C75">
            <v>59</v>
          </cell>
          <cell r="D75">
            <v>0</v>
          </cell>
          <cell r="E75">
            <v>10594.23</v>
          </cell>
          <cell r="F75" t="str">
            <v>tier - 3</v>
          </cell>
          <cell r="G75" t="str">
            <v>tier - 3</v>
          </cell>
          <cell r="H75" t="str">
            <v>R1013</v>
          </cell>
        </row>
        <row r="76">
          <cell r="A76" t="str">
            <v>ID1065</v>
          </cell>
          <cell r="B76" t="str">
            <v>25-Dec-1969</v>
          </cell>
          <cell r="C76">
            <v>56</v>
          </cell>
          <cell r="D76">
            <v>1</v>
          </cell>
          <cell r="E76">
            <v>10579.71</v>
          </cell>
          <cell r="F76" t="str">
            <v>tier - 3</v>
          </cell>
          <cell r="G76" t="str">
            <v>tier - 3</v>
          </cell>
          <cell r="H76" t="str">
            <v>R1013</v>
          </cell>
        </row>
        <row r="77">
          <cell r="A77" t="str">
            <v>ID1066</v>
          </cell>
          <cell r="B77" t="str">
            <v>11-Dec-1966</v>
          </cell>
          <cell r="C77">
            <v>59</v>
          </cell>
          <cell r="D77">
            <v>0</v>
          </cell>
          <cell r="E77">
            <v>10577.09</v>
          </cell>
          <cell r="F77" t="str">
            <v>tier - 3</v>
          </cell>
          <cell r="G77" t="str">
            <v>tier - 3</v>
          </cell>
          <cell r="H77" t="str">
            <v>R1011</v>
          </cell>
        </row>
        <row r="78">
          <cell r="A78" t="str">
            <v>ID1067</v>
          </cell>
          <cell r="B78" t="str">
            <v>17-Jul-1969</v>
          </cell>
          <cell r="C78">
            <v>57</v>
          </cell>
          <cell r="D78">
            <v>0</v>
          </cell>
          <cell r="E78">
            <v>10564.88</v>
          </cell>
          <cell r="F78" t="str">
            <v>tier - 3</v>
          </cell>
          <cell r="G78" t="str">
            <v>tier - 1</v>
          </cell>
          <cell r="H78" t="str">
            <v>R1024</v>
          </cell>
        </row>
        <row r="79">
          <cell r="A79" t="str">
            <v>ID1068</v>
          </cell>
          <cell r="B79" t="str">
            <v>29-Jun-1971</v>
          </cell>
          <cell r="C79">
            <v>55</v>
          </cell>
          <cell r="D79">
            <v>3</v>
          </cell>
          <cell r="E79">
            <v>10560.49</v>
          </cell>
          <cell r="F79" t="str">
            <v>tier - 3</v>
          </cell>
          <cell r="G79" t="str">
            <v>tier - 2</v>
          </cell>
          <cell r="H79" t="str">
            <v>R1013</v>
          </cell>
        </row>
        <row r="80">
          <cell r="A80" t="str">
            <v>ID1069</v>
          </cell>
          <cell r="B80" t="str">
            <v>26-Sep-1971</v>
          </cell>
          <cell r="C80">
            <v>55</v>
          </cell>
          <cell r="D80">
            <v>0</v>
          </cell>
          <cell r="E80">
            <v>10546.48</v>
          </cell>
          <cell r="F80" t="str">
            <v>tier - 3</v>
          </cell>
          <cell r="G80" t="str">
            <v>tier - 3</v>
          </cell>
          <cell r="H80" t="str">
            <v>R1011</v>
          </cell>
        </row>
        <row r="81">
          <cell r="A81" t="str">
            <v>ID107</v>
          </cell>
          <cell r="B81" t="str">
            <v>20-Dec-1978</v>
          </cell>
          <cell r="C81">
            <v>47</v>
          </cell>
          <cell r="D81">
            <v>2</v>
          </cell>
          <cell r="E81">
            <v>40054.730000000003</v>
          </cell>
          <cell r="F81" t="str">
            <v>tier - 1</v>
          </cell>
          <cell r="G81" t="str">
            <v>tier - 3</v>
          </cell>
          <cell r="H81" t="str">
            <v>R1011</v>
          </cell>
        </row>
        <row r="82">
          <cell r="A82" t="str">
            <v>ID1070</v>
          </cell>
          <cell r="B82" t="str">
            <v>25-Oct-1977</v>
          </cell>
          <cell r="C82">
            <v>48</v>
          </cell>
          <cell r="D82">
            <v>2</v>
          </cell>
          <cell r="E82">
            <v>10495.6</v>
          </cell>
          <cell r="F82" t="str">
            <v>tier - 3</v>
          </cell>
          <cell r="G82" t="str">
            <v>tier - 1</v>
          </cell>
          <cell r="H82" t="str">
            <v>R1012</v>
          </cell>
        </row>
        <row r="83">
          <cell r="A83" t="str">
            <v>ID1071</v>
          </cell>
          <cell r="B83" t="str">
            <v>19-Oct-1972</v>
          </cell>
          <cell r="C83">
            <v>53</v>
          </cell>
          <cell r="D83">
            <v>2</v>
          </cell>
          <cell r="E83">
            <v>10493.95</v>
          </cell>
          <cell r="F83" t="str">
            <v>tier - 3</v>
          </cell>
          <cell r="G83" t="str">
            <v>tier - 1</v>
          </cell>
          <cell r="H83" t="str">
            <v>R1012</v>
          </cell>
        </row>
        <row r="84">
          <cell r="A84" t="str">
            <v>ID1072</v>
          </cell>
          <cell r="B84" t="str">
            <v>21-Aug-1978</v>
          </cell>
          <cell r="C84">
            <v>48</v>
          </cell>
          <cell r="D84">
            <v>2</v>
          </cell>
          <cell r="E84">
            <v>10486.55</v>
          </cell>
          <cell r="F84" t="str">
            <v>tier - 3</v>
          </cell>
          <cell r="G84" t="str">
            <v>tier - 3</v>
          </cell>
          <cell r="H84" t="str">
            <v>R1025</v>
          </cell>
        </row>
        <row r="85">
          <cell r="A85" t="str">
            <v>ID1073</v>
          </cell>
          <cell r="B85" t="str">
            <v>28-Jun-1987</v>
          </cell>
          <cell r="C85">
            <v>39</v>
          </cell>
          <cell r="D85">
            <v>3</v>
          </cell>
          <cell r="E85">
            <v>10464.83</v>
          </cell>
          <cell r="F85" t="str">
            <v>tier - 3</v>
          </cell>
          <cell r="G85" t="str">
            <v>tier - 1</v>
          </cell>
          <cell r="H85" t="str">
            <v>R1012</v>
          </cell>
        </row>
        <row r="86">
          <cell r="A86" t="str">
            <v>ID1074</v>
          </cell>
          <cell r="B86" t="str">
            <v>22-Sep-1969</v>
          </cell>
          <cell r="C86">
            <v>57</v>
          </cell>
          <cell r="D86">
            <v>1</v>
          </cell>
          <cell r="E86">
            <v>10461.98</v>
          </cell>
          <cell r="F86" t="str">
            <v>tier - 3</v>
          </cell>
          <cell r="G86" t="str">
            <v>tier - 1</v>
          </cell>
          <cell r="H86" t="str">
            <v>R1012</v>
          </cell>
        </row>
        <row r="87">
          <cell r="A87" t="str">
            <v>ID1075</v>
          </cell>
          <cell r="B87" t="str">
            <v>27-Jul-1964</v>
          </cell>
          <cell r="C87">
            <v>62</v>
          </cell>
          <cell r="D87">
            <v>0</v>
          </cell>
          <cell r="E87">
            <v>10459.19</v>
          </cell>
          <cell r="F87" t="str">
            <v>tier - 3</v>
          </cell>
          <cell r="G87" t="str">
            <v>tier - 1</v>
          </cell>
          <cell r="H87" t="str">
            <v>R1013</v>
          </cell>
        </row>
        <row r="88">
          <cell r="A88" t="str">
            <v>ID1076</v>
          </cell>
          <cell r="B88" t="str">
            <v>3-Aug-1976</v>
          </cell>
          <cell r="C88">
            <v>50</v>
          </cell>
          <cell r="D88">
            <v>2</v>
          </cell>
          <cell r="E88">
            <v>10455.14</v>
          </cell>
          <cell r="F88" t="str">
            <v>tier - 3</v>
          </cell>
          <cell r="G88" t="str">
            <v>tier - 2</v>
          </cell>
          <cell r="H88" t="str">
            <v>R1021</v>
          </cell>
        </row>
        <row r="89">
          <cell r="A89" t="str">
            <v>ID1077</v>
          </cell>
          <cell r="B89" t="str">
            <v>14-Oct-1964</v>
          </cell>
          <cell r="C89">
            <v>62</v>
          </cell>
          <cell r="D89">
            <v>0</v>
          </cell>
          <cell r="E89">
            <v>10455.1</v>
          </cell>
          <cell r="F89" t="str">
            <v>tier - 3</v>
          </cell>
          <cell r="G89" t="str">
            <v>tier - 1</v>
          </cell>
          <cell r="H89" t="str">
            <v>R1012</v>
          </cell>
        </row>
        <row r="90">
          <cell r="A90" t="str">
            <v>ID1078</v>
          </cell>
          <cell r="B90" t="str">
            <v>8-Nov-1968</v>
          </cell>
          <cell r="C90">
            <v>57</v>
          </cell>
          <cell r="D90">
            <v>1</v>
          </cell>
          <cell r="E90">
            <v>10450.549999999999</v>
          </cell>
          <cell r="F90" t="str">
            <v>tier - 3</v>
          </cell>
          <cell r="G90" t="str">
            <v>tier - 1</v>
          </cell>
          <cell r="H90" t="str">
            <v>R1011</v>
          </cell>
        </row>
        <row r="91">
          <cell r="A91" t="str">
            <v>ID1079</v>
          </cell>
          <cell r="B91" t="str">
            <v>29-Aug-1968</v>
          </cell>
          <cell r="C91">
            <v>58</v>
          </cell>
          <cell r="D91">
            <v>1</v>
          </cell>
          <cell r="E91">
            <v>10436.1</v>
          </cell>
          <cell r="F91" t="str">
            <v>tier - 3</v>
          </cell>
          <cell r="G91" t="str">
            <v>tier - 3</v>
          </cell>
          <cell r="H91" t="str">
            <v>R1011</v>
          </cell>
        </row>
        <row r="92">
          <cell r="A92" t="str">
            <v>ID108</v>
          </cell>
          <cell r="B92" t="str">
            <v>25-Dec-1982</v>
          </cell>
          <cell r="C92">
            <v>43</v>
          </cell>
          <cell r="D92">
            <v>2</v>
          </cell>
          <cell r="E92">
            <v>40003.33</v>
          </cell>
          <cell r="F92" t="str">
            <v>tier - 1</v>
          </cell>
          <cell r="G92" t="str">
            <v>tier - 1</v>
          </cell>
          <cell r="H92" t="str">
            <v>R1012</v>
          </cell>
        </row>
        <row r="93">
          <cell r="A93" t="str">
            <v>ID1080</v>
          </cell>
          <cell r="B93" t="str">
            <v>23-Aug-1968</v>
          </cell>
          <cell r="C93">
            <v>58</v>
          </cell>
          <cell r="D93">
            <v>0</v>
          </cell>
          <cell r="E93">
            <v>10435.07</v>
          </cell>
          <cell r="F93" t="str">
            <v>tier - 3</v>
          </cell>
          <cell r="G93" t="str">
            <v>tier - 1</v>
          </cell>
          <cell r="H93" t="str">
            <v>R1016</v>
          </cell>
        </row>
        <row r="94">
          <cell r="A94" t="str">
            <v>ID1081</v>
          </cell>
          <cell r="B94" t="str">
            <v>27-Dec-1968</v>
          </cell>
          <cell r="C94">
            <v>57</v>
          </cell>
          <cell r="D94">
            <v>0</v>
          </cell>
          <cell r="E94">
            <v>10422.92</v>
          </cell>
          <cell r="F94" t="str">
            <v>tier - 3</v>
          </cell>
          <cell r="G94" t="str">
            <v>tier - 1</v>
          </cell>
          <cell r="H94" t="str">
            <v>R1017</v>
          </cell>
        </row>
        <row r="95">
          <cell r="A95" t="str">
            <v>ID1082</v>
          </cell>
          <cell r="B95" t="str">
            <v>25-Nov-1979</v>
          </cell>
          <cell r="C95">
            <v>46</v>
          </cell>
          <cell r="D95">
            <v>2</v>
          </cell>
          <cell r="E95">
            <v>10419.65</v>
          </cell>
          <cell r="F95" t="str">
            <v>tier - 3</v>
          </cell>
          <cell r="G95" t="str">
            <v>tier - 2</v>
          </cell>
          <cell r="H95" t="str">
            <v>R1025</v>
          </cell>
        </row>
        <row r="96">
          <cell r="A96" t="str">
            <v>ID1083</v>
          </cell>
          <cell r="B96" t="str">
            <v>11-Oct-1973</v>
          </cell>
          <cell r="C96">
            <v>53</v>
          </cell>
          <cell r="D96">
            <v>0</v>
          </cell>
          <cell r="E96">
            <v>10419.59</v>
          </cell>
          <cell r="F96" t="str">
            <v>tier - 3</v>
          </cell>
          <cell r="G96" t="str">
            <v>tier - 2</v>
          </cell>
          <cell r="H96" t="str">
            <v>R1025</v>
          </cell>
        </row>
        <row r="97">
          <cell r="A97" t="str">
            <v>ID1084</v>
          </cell>
          <cell r="B97" t="str">
            <v>24-Oct-1980</v>
          </cell>
          <cell r="C97">
            <v>45</v>
          </cell>
          <cell r="D97">
            <v>2</v>
          </cell>
          <cell r="E97">
            <v>10407.98</v>
          </cell>
          <cell r="F97" t="str">
            <v>tier - 3</v>
          </cell>
          <cell r="G97" t="str">
            <v>tier - 1</v>
          </cell>
          <cell r="H97" t="str">
            <v>R1021</v>
          </cell>
        </row>
        <row r="98">
          <cell r="A98" t="str">
            <v>ID1085</v>
          </cell>
          <cell r="B98" t="str">
            <v>5-Jun-1975</v>
          </cell>
          <cell r="C98">
            <v>51</v>
          </cell>
          <cell r="D98">
            <v>4</v>
          </cell>
          <cell r="E98">
            <v>10407.09</v>
          </cell>
          <cell r="F98" t="str">
            <v>tier - 3</v>
          </cell>
          <cell r="G98" t="str">
            <v>tier - 1</v>
          </cell>
          <cell r="H98" t="str">
            <v>R1015</v>
          </cell>
        </row>
        <row r="99">
          <cell r="A99" t="str">
            <v>ID1086</v>
          </cell>
          <cell r="B99" t="str">
            <v>7-Jul-1969</v>
          </cell>
          <cell r="C99">
            <v>57</v>
          </cell>
          <cell r="D99">
            <v>0</v>
          </cell>
          <cell r="E99">
            <v>10403.27</v>
          </cell>
          <cell r="F99" t="str">
            <v>tier - 3</v>
          </cell>
          <cell r="G99" t="str">
            <v>tier - 2</v>
          </cell>
          <cell r="H99" t="str">
            <v>R1020</v>
          </cell>
        </row>
        <row r="100">
          <cell r="A100" t="str">
            <v>ID1087</v>
          </cell>
          <cell r="B100" t="str">
            <v>19-Sep-1973</v>
          </cell>
          <cell r="C100">
            <v>53</v>
          </cell>
          <cell r="D100">
            <v>3</v>
          </cell>
          <cell r="E100">
            <v>10381.48</v>
          </cell>
          <cell r="F100" t="str">
            <v>tier - 3</v>
          </cell>
          <cell r="G100" t="str">
            <v>tier - 3</v>
          </cell>
          <cell r="H100" t="str">
            <v>R1013</v>
          </cell>
        </row>
        <row r="101">
          <cell r="A101" t="str">
            <v>ID1088</v>
          </cell>
          <cell r="B101" t="str">
            <v>29-Sep-1973</v>
          </cell>
          <cell r="C101">
            <v>53</v>
          </cell>
          <cell r="D101">
            <v>2</v>
          </cell>
          <cell r="E101">
            <v>10370.91</v>
          </cell>
          <cell r="F101" t="str">
            <v>tier - 3</v>
          </cell>
          <cell r="G101" t="str">
            <v>tier - 3</v>
          </cell>
          <cell r="H101" t="str">
            <v>R1024</v>
          </cell>
        </row>
        <row r="102">
          <cell r="A102" t="str">
            <v>ID1089</v>
          </cell>
          <cell r="B102" t="str">
            <v>6-Sep-1971</v>
          </cell>
          <cell r="C102">
            <v>55</v>
          </cell>
          <cell r="D102">
            <v>0</v>
          </cell>
          <cell r="E102">
            <v>10356.67</v>
          </cell>
          <cell r="F102" t="str">
            <v>tier - 3</v>
          </cell>
          <cell r="G102" t="str">
            <v>tier - 1</v>
          </cell>
          <cell r="H102" t="str">
            <v>R1025</v>
          </cell>
        </row>
        <row r="103">
          <cell r="A103" t="str">
            <v>ID109</v>
          </cell>
          <cell r="B103" t="str">
            <v>8-Aug-1987</v>
          </cell>
          <cell r="C103">
            <v>39</v>
          </cell>
          <cell r="D103">
            <v>3</v>
          </cell>
          <cell r="E103">
            <v>39983.43</v>
          </cell>
          <cell r="F103" t="str">
            <v>tier - 2</v>
          </cell>
          <cell r="G103" t="str">
            <v>tier - 3</v>
          </cell>
          <cell r="H103" t="str">
            <v>R1012</v>
          </cell>
        </row>
        <row r="104">
          <cell r="A104" t="str">
            <v>ID1090</v>
          </cell>
          <cell r="B104" t="str">
            <v>17-Jun-1969</v>
          </cell>
          <cell r="C104">
            <v>57</v>
          </cell>
          <cell r="D104">
            <v>0</v>
          </cell>
          <cell r="E104">
            <v>10355.64</v>
          </cell>
          <cell r="F104" t="str">
            <v>tier - 3</v>
          </cell>
          <cell r="G104" t="str">
            <v>tier - 1</v>
          </cell>
          <cell r="H104" t="str">
            <v>R1012</v>
          </cell>
        </row>
        <row r="105">
          <cell r="A105" t="str">
            <v>ID1091</v>
          </cell>
          <cell r="B105" t="str">
            <v>29-Sep-1974</v>
          </cell>
          <cell r="C105">
            <v>52</v>
          </cell>
          <cell r="D105">
            <v>0</v>
          </cell>
          <cell r="E105">
            <v>10352.48</v>
          </cell>
          <cell r="F105" t="str">
            <v>tier - 3</v>
          </cell>
          <cell r="G105" t="str">
            <v>tier - 1</v>
          </cell>
          <cell r="H105" t="str">
            <v>R1012</v>
          </cell>
        </row>
        <row r="106">
          <cell r="A106" t="str">
            <v>ID1092</v>
          </cell>
          <cell r="B106" t="str">
            <v>8-Aug-1973</v>
          </cell>
          <cell r="C106">
            <v>53</v>
          </cell>
          <cell r="D106">
            <v>0</v>
          </cell>
          <cell r="E106">
            <v>10345.93</v>
          </cell>
          <cell r="F106" t="str">
            <v>tier - 3</v>
          </cell>
          <cell r="G106" t="str">
            <v>tier - 2</v>
          </cell>
          <cell r="H106" t="str">
            <v>R1021</v>
          </cell>
        </row>
        <row r="107">
          <cell r="A107" t="str">
            <v>ID1093</v>
          </cell>
          <cell r="B107" t="str">
            <v>19-Jul-1968</v>
          </cell>
          <cell r="C107">
            <v>58</v>
          </cell>
          <cell r="D107">
            <v>0</v>
          </cell>
          <cell r="E107">
            <v>10338.93</v>
          </cell>
          <cell r="F107" t="str">
            <v>tier - 3</v>
          </cell>
          <cell r="G107" t="str">
            <v>tier - 1</v>
          </cell>
          <cell r="H107" t="str">
            <v>R1013</v>
          </cell>
        </row>
        <row r="108">
          <cell r="A108" t="str">
            <v>ID1094</v>
          </cell>
          <cell r="B108" t="str">
            <v>21-Jul-1982</v>
          </cell>
          <cell r="C108">
            <v>44</v>
          </cell>
          <cell r="D108">
            <v>3</v>
          </cell>
          <cell r="E108">
            <v>10329.06</v>
          </cell>
          <cell r="F108" t="str">
            <v>tier - 3</v>
          </cell>
          <cell r="G108" t="str">
            <v>tier - 1</v>
          </cell>
          <cell r="H108" t="str">
            <v>R1021</v>
          </cell>
        </row>
        <row r="109">
          <cell r="A109" t="str">
            <v>ID1095</v>
          </cell>
          <cell r="B109" t="str">
            <v>1-Dec-1970</v>
          </cell>
          <cell r="C109">
            <v>55</v>
          </cell>
          <cell r="D109">
            <v>2</v>
          </cell>
          <cell r="E109">
            <v>10325.209999999999</v>
          </cell>
          <cell r="F109" t="str">
            <v>tier - 3</v>
          </cell>
          <cell r="G109" t="str">
            <v>tier - 3</v>
          </cell>
          <cell r="H109" t="str">
            <v>R1011</v>
          </cell>
        </row>
        <row r="110">
          <cell r="A110" t="str">
            <v>ID1096</v>
          </cell>
          <cell r="B110" t="str">
            <v>21-Aug-1991</v>
          </cell>
          <cell r="C110">
            <v>35</v>
          </cell>
          <cell r="D110">
            <v>3</v>
          </cell>
          <cell r="E110">
            <v>10322.9</v>
          </cell>
          <cell r="F110" t="str">
            <v>tier - 3</v>
          </cell>
          <cell r="G110" t="str">
            <v>tier - 1</v>
          </cell>
          <cell r="H110" t="str">
            <v>R1026</v>
          </cell>
        </row>
        <row r="111">
          <cell r="A111" t="str">
            <v>ID1097</v>
          </cell>
          <cell r="B111" t="str">
            <v>17-Nov-1991</v>
          </cell>
          <cell r="C111">
            <v>34</v>
          </cell>
          <cell r="D111">
            <v>3</v>
          </cell>
          <cell r="E111">
            <v>10315.91</v>
          </cell>
          <cell r="F111" t="str">
            <v>tier - 3</v>
          </cell>
          <cell r="G111" t="str">
            <v>tier - 2</v>
          </cell>
          <cell r="H111" t="str">
            <v>R1012</v>
          </cell>
        </row>
        <row r="112">
          <cell r="A112" t="str">
            <v>ID1098</v>
          </cell>
          <cell r="B112" t="str">
            <v>12-Jul-1962</v>
          </cell>
          <cell r="C112">
            <v>64</v>
          </cell>
          <cell r="D112">
            <v>0</v>
          </cell>
          <cell r="E112">
            <v>10310.780000000001</v>
          </cell>
          <cell r="F112" t="str">
            <v>tier - 3</v>
          </cell>
          <cell r="G112" t="str">
            <v>tier - 3</v>
          </cell>
          <cell r="H112" t="str">
            <v>R1012</v>
          </cell>
        </row>
        <row r="113">
          <cell r="A113" t="str">
            <v>ID1099</v>
          </cell>
          <cell r="B113" t="str">
            <v>24-Sep-1963</v>
          </cell>
          <cell r="C113">
            <v>63</v>
          </cell>
          <cell r="D113">
            <v>0</v>
          </cell>
          <cell r="E113">
            <v>10308.040000000001</v>
          </cell>
          <cell r="F113" t="str">
            <v>tier - 3</v>
          </cell>
          <cell r="G113" t="str">
            <v>tier - 1</v>
          </cell>
          <cell r="H113" t="str">
            <v>R1013</v>
          </cell>
        </row>
        <row r="114">
          <cell r="A114" t="str">
            <v>ID11</v>
          </cell>
          <cell r="B114" t="str">
            <v>22-Jul-1959</v>
          </cell>
          <cell r="C114">
            <v>67</v>
          </cell>
          <cell r="D114">
            <v>0</v>
          </cell>
          <cell r="E114">
            <v>48824.45</v>
          </cell>
          <cell r="F114" t="str">
            <v>tier - 2</v>
          </cell>
          <cell r="G114" t="str">
            <v>tier - 1</v>
          </cell>
          <cell r="H114" t="str">
            <v>R1011</v>
          </cell>
        </row>
        <row r="115">
          <cell r="A115" t="str">
            <v>ID110</v>
          </cell>
          <cell r="B115" t="str">
            <v>2-Dec-1975</v>
          </cell>
          <cell r="C115">
            <v>50</v>
          </cell>
          <cell r="D115">
            <v>1</v>
          </cell>
          <cell r="E115">
            <v>39963.120000000003</v>
          </cell>
          <cell r="F115" t="str">
            <v>tier - 2</v>
          </cell>
          <cell r="G115" t="str">
            <v>tier - 2</v>
          </cell>
          <cell r="H115" t="str">
            <v>R1011</v>
          </cell>
        </row>
        <row r="116">
          <cell r="A116" t="str">
            <v>ID1100</v>
          </cell>
          <cell r="B116" t="str">
            <v>14-Sep-1988</v>
          </cell>
          <cell r="C116">
            <v>38</v>
          </cell>
          <cell r="D116">
            <v>3</v>
          </cell>
          <cell r="E116">
            <v>10276.99</v>
          </cell>
          <cell r="F116" t="str">
            <v>tier - 3</v>
          </cell>
          <cell r="G116" t="str">
            <v>tier - 1</v>
          </cell>
          <cell r="H116" t="str">
            <v>R1021</v>
          </cell>
        </row>
        <row r="117">
          <cell r="A117" t="str">
            <v>ID1101</v>
          </cell>
          <cell r="B117" t="str">
            <v>21-Jun-1970</v>
          </cell>
          <cell r="C117">
            <v>56</v>
          </cell>
          <cell r="D117">
            <v>0</v>
          </cell>
          <cell r="E117">
            <v>10274.33</v>
          </cell>
          <cell r="F117" t="str">
            <v>tier - 3</v>
          </cell>
          <cell r="G117" t="str">
            <v>tier - 1</v>
          </cell>
          <cell r="H117" t="str">
            <v>R1024</v>
          </cell>
        </row>
        <row r="118">
          <cell r="A118" t="str">
            <v>ID1102</v>
          </cell>
          <cell r="B118" t="str">
            <v>27-Nov-1973</v>
          </cell>
          <cell r="C118">
            <v>52</v>
          </cell>
          <cell r="D118">
            <v>3</v>
          </cell>
          <cell r="E118">
            <v>10269.459999999999</v>
          </cell>
          <cell r="F118" t="str">
            <v>tier - 3</v>
          </cell>
          <cell r="G118" t="str">
            <v>tier - 3</v>
          </cell>
          <cell r="H118" t="str">
            <v>R1012</v>
          </cell>
        </row>
        <row r="119">
          <cell r="A119" t="str">
            <v>ID1103</v>
          </cell>
          <cell r="B119" t="str">
            <v>5-Sep-1973</v>
          </cell>
          <cell r="C119">
            <v>53</v>
          </cell>
          <cell r="D119">
            <v>3</v>
          </cell>
          <cell r="E119">
            <v>10264.44</v>
          </cell>
          <cell r="F119" t="str">
            <v>tier - 3</v>
          </cell>
          <cell r="G119" t="str">
            <v>tier - 2</v>
          </cell>
          <cell r="H119" t="str">
            <v>R1012</v>
          </cell>
        </row>
        <row r="120">
          <cell r="A120" t="str">
            <v>ID1104</v>
          </cell>
          <cell r="B120" t="str">
            <v>15-Aug-1975</v>
          </cell>
          <cell r="C120">
            <v>51</v>
          </cell>
          <cell r="D120">
            <v>1</v>
          </cell>
          <cell r="E120">
            <v>10259.129999999999</v>
          </cell>
          <cell r="F120" t="str">
            <v>tier - 3</v>
          </cell>
          <cell r="G120" t="str">
            <v>tier - 2</v>
          </cell>
          <cell r="H120" t="str">
            <v>R1011</v>
          </cell>
        </row>
        <row r="121">
          <cell r="A121" t="str">
            <v>ID1105</v>
          </cell>
          <cell r="B121" t="str">
            <v>23-Sep-1968</v>
          </cell>
          <cell r="C121">
            <v>58</v>
          </cell>
          <cell r="D121">
            <v>0</v>
          </cell>
          <cell r="E121">
            <v>10231.5</v>
          </cell>
          <cell r="F121" t="str">
            <v>tier - 3</v>
          </cell>
          <cell r="G121" t="str">
            <v>tier - 1</v>
          </cell>
          <cell r="H121" t="str">
            <v>R1012</v>
          </cell>
        </row>
        <row r="122">
          <cell r="A122" t="str">
            <v>ID1106</v>
          </cell>
          <cell r="B122" t="str">
            <v>28-Jun-1967</v>
          </cell>
          <cell r="C122">
            <v>59</v>
          </cell>
          <cell r="D122">
            <v>0</v>
          </cell>
          <cell r="E122">
            <v>10226.280000000001</v>
          </cell>
          <cell r="F122" t="str">
            <v>tier - 3</v>
          </cell>
          <cell r="G122" t="str">
            <v>tier - 3</v>
          </cell>
          <cell r="H122" t="str">
            <v>R1013</v>
          </cell>
        </row>
        <row r="123">
          <cell r="A123" t="str">
            <v>ID1107</v>
          </cell>
          <cell r="B123" t="str">
            <v>26-Sep-1967</v>
          </cell>
          <cell r="C123">
            <v>59</v>
          </cell>
          <cell r="D123">
            <v>0</v>
          </cell>
          <cell r="E123">
            <v>10214.64</v>
          </cell>
          <cell r="F123" t="str">
            <v>tier - 3</v>
          </cell>
          <cell r="G123" t="str">
            <v>tier - 2</v>
          </cell>
          <cell r="H123" t="str">
            <v>R1011</v>
          </cell>
        </row>
        <row r="124">
          <cell r="A124" t="str">
            <v>ID1108</v>
          </cell>
          <cell r="B124" t="str">
            <v>24-Dec-1970</v>
          </cell>
          <cell r="C124">
            <v>55</v>
          </cell>
          <cell r="D124">
            <v>0</v>
          </cell>
          <cell r="E124">
            <v>10197.77</v>
          </cell>
          <cell r="F124" t="str">
            <v>tier - 3</v>
          </cell>
          <cell r="G124" t="str">
            <v>tier - 1</v>
          </cell>
          <cell r="H124" t="str">
            <v>R1024</v>
          </cell>
        </row>
        <row r="125">
          <cell r="A125" t="str">
            <v>ID1109</v>
          </cell>
          <cell r="B125" t="str">
            <v>16-Oct-1985</v>
          </cell>
          <cell r="C125">
            <v>41</v>
          </cell>
          <cell r="D125">
            <v>3</v>
          </cell>
          <cell r="E125">
            <v>10191.82</v>
          </cell>
          <cell r="F125" t="str">
            <v>tier - 3</v>
          </cell>
          <cell r="G125" t="str">
            <v>tier - 2</v>
          </cell>
          <cell r="H125" t="str">
            <v>R1026</v>
          </cell>
        </row>
        <row r="126">
          <cell r="A126" t="str">
            <v>ID111</v>
          </cell>
          <cell r="B126" t="str">
            <v>22-Aug-1985</v>
          </cell>
          <cell r="C126">
            <v>41</v>
          </cell>
          <cell r="D126">
            <v>1</v>
          </cell>
          <cell r="E126">
            <v>39871.699999999997</v>
          </cell>
          <cell r="F126" t="str">
            <v>tier - 1</v>
          </cell>
          <cell r="G126" t="str">
            <v>tier - 2</v>
          </cell>
          <cell r="H126" t="str">
            <v>R1013</v>
          </cell>
        </row>
        <row r="127">
          <cell r="A127" t="str">
            <v>ID1110</v>
          </cell>
          <cell r="B127" t="str">
            <v>10-Jul-1972</v>
          </cell>
          <cell r="C127">
            <v>54</v>
          </cell>
          <cell r="D127">
            <v>0</v>
          </cell>
          <cell r="E127">
            <v>10160.870000000001</v>
          </cell>
          <cell r="F127" t="str">
            <v>tier - 3</v>
          </cell>
          <cell r="G127" t="str">
            <v>tier - 3</v>
          </cell>
          <cell r="H127" t="str">
            <v>R1025</v>
          </cell>
        </row>
        <row r="128">
          <cell r="A128" t="str">
            <v>ID1111</v>
          </cell>
          <cell r="B128" t="str">
            <v>13-Oct-1973</v>
          </cell>
          <cell r="C128">
            <v>53</v>
          </cell>
          <cell r="D128">
            <v>2</v>
          </cell>
          <cell r="E128">
            <v>10156.780000000001</v>
          </cell>
          <cell r="F128" t="str">
            <v>tier - 3</v>
          </cell>
          <cell r="G128" t="str">
            <v>tier - 2</v>
          </cell>
          <cell r="H128" t="str">
            <v>R1012</v>
          </cell>
        </row>
        <row r="129">
          <cell r="A129" t="str">
            <v>ID1112</v>
          </cell>
          <cell r="B129" t="str">
            <v>12-Jun-1981</v>
          </cell>
          <cell r="C129">
            <v>45</v>
          </cell>
          <cell r="D129">
            <v>1</v>
          </cell>
          <cell r="E129">
            <v>10146.129999999999</v>
          </cell>
          <cell r="F129" t="str">
            <v>tier - 3</v>
          </cell>
          <cell r="G129" t="str">
            <v>tier - 1</v>
          </cell>
          <cell r="H129" t="str">
            <v>R1025</v>
          </cell>
        </row>
        <row r="130">
          <cell r="A130" t="str">
            <v>ID1113</v>
          </cell>
          <cell r="B130" t="str">
            <v>30-Dec-1974</v>
          </cell>
          <cell r="C130">
            <v>51</v>
          </cell>
          <cell r="D130">
            <v>3</v>
          </cell>
          <cell r="E130">
            <v>10141.14</v>
          </cell>
          <cell r="F130" t="str">
            <v>tier - 3</v>
          </cell>
          <cell r="G130" t="str">
            <v>tier - 1</v>
          </cell>
          <cell r="H130" t="str">
            <v>R1016</v>
          </cell>
        </row>
        <row r="131">
          <cell r="A131" t="str">
            <v>ID1114</v>
          </cell>
          <cell r="B131" t="str">
            <v>5-Sep-1997</v>
          </cell>
          <cell r="C131">
            <v>29</v>
          </cell>
          <cell r="D131">
            <v>0</v>
          </cell>
          <cell r="E131">
            <v>10139.84</v>
          </cell>
          <cell r="F131" t="str">
            <v>tier - 3</v>
          </cell>
          <cell r="G131" t="str">
            <v>tier - 2</v>
          </cell>
          <cell r="H131" t="str">
            <v>R1012</v>
          </cell>
        </row>
        <row r="132">
          <cell r="A132" t="str">
            <v>ID1115</v>
          </cell>
          <cell r="B132" t="str">
            <v>16-Nov-1972</v>
          </cell>
          <cell r="C132">
            <v>53</v>
          </cell>
          <cell r="D132">
            <v>2</v>
          </cell>
          <cell r="E132">
            <v>10118.42</v>
          </cell>
          <cell r="F132" t="str">
            <v>tier - 3</v>
          </cell>
          <cell r="G132" t="str">
            <v>tier - 3</v>
          </cell>
          <cell r="H132" t="str">
            <v>R1011</v>
          </cell>
        </row>
        <row r="133">
          <cell r="A133" t="str">
            <v>ID1116</v>
          </cell>
          <cell r="B133" t="str">
            <v>2-Jul-1975</v>
          </cell>
          <cell r="C133">
            <v>51</v>
          </cell>
          <cell r="D133">
            <v>3</v>
          </cell>
          <cell r="E133">
            <v>10115.01</v>
          </cell>
          <cell r="F133" t="str">
            <v>tier - 3</v>
          </cell>
          <cell r="G133" t="str">
            <v>tier - 3</v>
          </cell>
          <cell r="H133" t="str">
            <v>R1012</v>
          </cell>
        </row>
        <row r="134">
          <cell r="A134" t="str">
            <v>ID1117</v>
          </cell>
          <cell r="B134" t="str">
            <v>8-Aug-1972</v>
          </cell>
          <cell r="C134">
            <v>54</v>
          </cell>
          <cell r="D134">
            <v>2</v>
          </cell>
          <cell r="E134">
            <v>10107.219999999999</v>
          </cell>
          <cell r="F134" t="str">
            <v>tier - 3</v>
          </cell>
          <cell r="G134" t="str">
            <v>tier - 1</v>
          </cell>
          <cell r="H134" t="str">
            <v>R1013</v>
          </cell>
        </row>
        <row r="135">
          <cell r="A135" t="str">
            <v>ID1118</v>
          </cell>
          <cell r="B135" t="str">
            <v>19-Oct-1972</v>
          </cell>
          <cell r="C135">
            <v>53</v>
          </cell>
          <cell r="D135">
            <v>1</v>
          </cell>
          <cell r="E135">
            <v>10106.129999999999</v>
          </cell>
          <cell r="F135" t="str">
            <v>tier - 3</v>
          </cell>
          <cell r="G135" t="str">
            <v>tier - 1</v>
          </cell>
          <cell r="H135" t="str">
            <v>R1024</v>
          </cell>
        </row>
        <row r="136">
          <cell r="A136" t="str">
            <v>ID1119</v>
          </cell>
          <cell r="B136" t="str">
            <v>19-Dec-1976</v>
          </cell>
          <cell r="C136">
            <v>49</v>
          </cell>
          <cell r="D136">
            <v>5</v>
          </cell>
          <cell r="E136">
            <v>10096.969999999999</v>
          </cell>
          <cell r="F136" t="str">
            <v>tier - 3</v>
          </cell>
          <cell r="G136" t="str">
            <v>tier - 2</v>
          </cell>
          <cell r="H136" t="str">
            <v>R1011</v>
          </cell>
        </row>
        <row r="137">
          <cell r="A137" t="str">
            <v>ID112</v>
          </cell>
          <cell r="B137" t="str">
            <v>1-Jun-1983</v>
          </cell>
          <cell r="C137">
            <v>43</v>
          </cell>
          <cell r="D137">
            <v>3</v>
          </cell>
          <cell r="E137">
            <v>39865.699999999997</v>
          </cell>
          <cell r="F137" t="str">
            <v>tier - 2</v>
          </cell>
          <cell r="G137" t="str">
            <v>tier - 2</v>
          </cell>
          <cell r="H137" t="str">
            <v>R1011</v>
          </cell>
        </row>
        <row r="138">
          <cell r="A138" t="str">
            <v>ID1120</v>
          </cell>
          <cell r="B138" t="str">
            <v>3-Jul-1969</v>
          </cell>
          <cell r="C138">
            <v>57</v>
          </cell>
          <cell r="D138">
            <v>1</v>
          </cell>
          <cell r="E138">
            <v>10085.85</v>
          </cell>
          <cell r="F138" t="str">
            <v>tier - 3</v>
          </cell>
          <cell r="G138" t="str">
            <v>tier - 3</v>
          </cell>
          <cell r="H138" t="str">
            <v>R1011</v>
          </cell>
        </row>
        <row r="139">
          <cell r="A139" t="str">
            <v>ID1121</v>
          </cell>
          <cell r="B139" t="str">
            <v>27-Oct-1969</v>
          </cell>
          <cell r="C139">
            <v>56</v>
          </cell>
          <cell r="D139">
            <v>0</v>
          </cell>
          <cell r="E139">
            <v>10072.06</v>
          </cell>
          <cell r="F139" t="str">
            <v>tier - 3</v>
          </cell>
          <cell r="G139" t="str">
            <v>tier - 1</v>
          </cell>
          <cell r="H139" t="str">
            <v>R1017</v>
          </cell>
        </row>
        <row r="140">
          <cell r="A140" t="str">
            <v>ID1122</v>
          </cell>
          <cell r="B140" t="str">
            <v>22-Aug-1969</v>
          </cell>
          <cell r="C140">
            <v>57</v>
          </cell>
          <cell r="D140">
            <v>1</v>
          </cell>
          <cell r="E140">
            <v>10065.41</v>
          </cell>
          <cell r="F140" t="str">
            <v>tier - 3</v>
          </cell>
          <cell r="G140" t="str">
            <v>tier - 2</v>
          </cell>
          <cell r="H140" t="str">
            <v>R1011</v>
          </cell>
        </row>
        <row r="141">
          <cell r="A141" t="str">
            <v>ID1123</v>
          </cell>
          <cell r="B141" t="str">
            <v>30-Aug-1974</v>
          </cell>
          <cell r="C141">
            <v>52</v>
          </cell>
          <cell r="D141">
            <v>2</v>
          </cell>
          <cell r="E141">
            <v>10043.25</v>
          </cell>
          <cell r="F141" t="str">
            <v>tier - 3</v>
          </cell>
          <cell r="G141" t="str">
            <v>tier - 2</v>
          </cell>
          <cell r="H141" t="str">
            <v>R1024</v>
          </cell>
        </row>
        <row r="142">
          <cell r="A142" t="str">
            <v>ID1124</v>
          </cell>
          <cell r="B142" t="str">
            <v>28-Dec-1979</v>
          </cell>
          <cell r="C142">
            <v>46</v>
          </cell>
          <cell r="D142">
            <v>2</v>
          </cell>
          <cell r="E142">
            <v>10027.15</v>
          </cell>
          <cell r="F142" t="str">
            <v>tier - 3</v>
          </cell>
          <cell r="G142" t="str">
            <v>tier - 1</v>
          </cell>
          <cell r="H142" t="str">
            <v>R1021</v>
          </cell>
        </row>
        <row r="143">
          <cell r="A143" t="str">
            <v>ID1125</v>
          </cell>
          <cell r="B143" t="str">
            <v>3-Jul-1988</v>
          </cell>
          <cell r="C143">
            <v>38</v>
          </cell>
          <cell r="D143">
            <v>3</v>
          </cell>
          <cell r="E143">
            <v>10011.44</v>
          </cell>
          <cell r="F143" t="str">
            <v>tier - 3</v>
          </cell>
          <cell r="G143" t="str">
            <v>tier - 3</v>
          </cell>
          <cell r="H143" t="str">
            <v>R1026</v>
          </cell>
        </row>
        <row r="144">
          <cell r="A144" t="str">
            <v>ID1126</v>
          </cell>
          <cell r="B144" t="str">
            <v>11-Aug-1970</v>
          </cell>
          <cell r="C144">
            <v>56</v>
          </cell>
          <cell r="D144">
            <v>0</v>
          </cell>
          <cell r="E144">
            <v>9991.0400000000009</v>
          </cell>
          <cell r="F144" t="str">
            <v>tier - 2</v>
          </cell>
          <cell r="G144" t="str">
            <v>tier - 3</v>
          </cell>
          <cell r="H144" t="str">
            <v>R1012</v>
          </cell>
        </row>
        <row r="145">
          <cell r="A145" t="str">
            <v>ID1127</v>
          </cell>
          <cell r="B145" t="str">
            <v>6-Oct-1971</v>
          </cell>
          <cell r="C145">
            <v>55</v>
          </cell>
          <cell r="D145">
            <v>1</v>
          </cell>
          <cell r="E145">
            <v>9964.06</v>
          </cell>
          <cell r="F145" t="str">
            <v>tier - 2</v>
          </cell>
          <cell r="G145" t="str">
            <v>tier - 2</v>
          </cell>
          <cell r="H145" t="str">
            <v>R1019</v>
          </cell>
        </row>
        <row r="146">
          <cell r="A146" t="str">
            <v>ID1128</v>
          </cell>
          <cell r="B146" t="str">
            <v>26-Dec-1971</v>
          </cell>
          <cell r="C146">
            <v>54</v>
          </cell>
          <cell r="D146">
            <v>1</v>
          </cell>
          <cell r="E146">
            <v>9957.7199999999993</v>
          </cell>
          <cell r="F146" t="str">
            <v>tier - 2</v>
          </cell>
          <cell r="G146" t="str">
            <v>tier - 3</v>
          </cell>
          <cell r="H146" t="str">
            <v>R1018</v>
          </cell>
        </row>
        <row r="147">
          <cell r="A147" t="str">
            <v>ID1129</v>
          </cell>
          <cell r="B147" t="str">
            <v>11-Sep-1964</v>
          </cell>
          <cell r="C147">
            <v>62</v>
          </cell>
          <cell r="D147">
            <v>0</v>
          </cell>
          <cell r="E147">
            <v>9933.44</v>
          </cell>
          <cell r="F147" t="str">
            <v>tier - 3</v>
          </cell>
          <cell r="G147" t="str">
            <v>tier - 3</v>
          </cell>
          <cell r="H147" t="str">
            <v>R1013</v>
          </cell>
        </row>
        <row r="148">
          <cell r="A148" t="str">
            <v>ID113</v>
          </cell>
          <cell r="B148" t="str">
            <v>17-Jul-1985</v>
          </cell>
          <cell r="C148">
            <v>41</v>
          </cell>
          <cell r="D148">
            <v>2</v>
          </cell>
          <cell r="E148">
            <v>39836.519999999997</v>
          </cell>
          <cell r="F148" t="str">
            <v>tier - 2</v>
          </cell>
          <cell r="G148" t="str">
            <v>tier - 1</v>
          </cell>
          <cell r="H148" t="str">
            <v>R1011</v>
          </cell>
        </row>
        <row r="149">
          <cell r="A149" t="str">
            <v>ID1130</v>
          </cell>
          <cell r="B149" t="str">
            <v>3-Dec-1983</v>
          </cell>
          <cell r="C149">
            <v>42</v>
          </cell>
          <cell r="D149">
            <v>3</v>
          </cell>
          <cell r="E149">
            <v>9931.9599999999991</v>
          </cell>
          <cell r="F149" t="str">
            <v>tier - 2</v>
          </cell>
          <cell r="G149" t="str">
            <v>tier - 2</v>
          </cell>
          <cell r="H149" t="str">
            <v>R1012</v>
          </cell>
        </row>
        <row r="150">
          <cell r="A150" t="str">
            <v>ID1131</v>
          </cell>
          <cell r="B150" t="str">
            <v>19-Aug-1985</v>
          </cell>
          <cell r="C150">
            <v>41</v>
          </cell>
          <cell r="D150">
            <v>3</v>
          </cell>
          <cell r="E150">
            <v>9930.64</v>
          </cell>
          <cell r="F150" t="str">
            <v>tier - 2</v>
          </cell>
          <cell r="G150" t="str">
            <v>tier - 3</v>
          </cell>
          <cell r="H150" t="str">
            <v>R1025</v>
          </cell>
        </row>
        <row r="151">
          <cell r="A151" t="str">
            <v>ID1132</v>
          </cell>
          <cell r="B151" t="str">
            <v>14-Sep-1972</v>
          </cell>
          <cell r="C151">
            <v>54</v>
          </cell>
          <cell r="D151">
            <v>1</v>
          </cell>
          <cell r="E151">
            <v>9910.36</v>
          </cell>
          <cell r="F151" t="str">
            <v>tier - 2</v>
          </cell>
          <cell r="G151" t="str">
            <v>tier - 3</v>
          </cell>
          <cell r="H151" t="str">
            <v>R1012</v>
          </cell>
        </row>
        <row r="152">
          <cell r="A152" t="str">
            <v>ID1133</v>
          </cell>
          <cell r="B152" t="str">
            <v>17-Aug-1962</v>
          </cell>
          <cell r="C152">
            <v>64</v>
          </cell>
          <cell r="D152">
            <v>0</v>
          </cell>
          <cell r="E152">
            <v>9907.83</v>
          </cell>
          <cell r="F152" t="str">
            <v>tier - 3</v>
          </cell>
          <cell r="G152" t="str">
            <v>tier - 2</v>
          </cell>
          <cell r="H152" t="str">
            <v>R1013</v>
          </cell>
        </row>
        <row r="153">
          <cell r="A153" t="str">
            <v>ID1134</v>
          </cell>
          <cell r="B153" t="str">
            <v>8-Jul-1996</v>
          </cell>
          <cell r="C153">
            <v>30</v>
          </cell>
          <cell r="D153">
            <v>0</v>
          </cell>
          <cell r="E153">
            <v>9894.69</v>
          </cell>
          <cell r="F153" t="str">
            <v>tier - 2</v>
          </cell>
          <cell r="G153" t="str">
            <v>tier - 3</v>
          </cell>
          <cell r="H153" t="str">
            <v>R1012</v>
          </cell>
        </row>
        <row r="154">
          <cell r="A154" t="str">
            <v>ID1135</v>
          </cell>
          <cell r="B154" t="str">
            <v>5-Nov-1966</v>
          </cell>
          <cell r="C154">
            <v>59</v>
          </cell>
          <cell r="D154">
            <v>0</v>
          </cell>
          <cell r="E154">
            <v>9890.23</v>
          </cell>
          <cell r="F154" t="str">
            <v>tier - 3</v>
          </cell>
          <cell r="G154" t="str">
            <v>tier - 3</v>
          </cell>
          <cell r="H154" t="str">
            <v>R1013</v>
          </cell>
        </row>
        <row r="155">
          <cell r="A155" t="str">
            <v>ID1136</v>
          </cell>
          <cell r="B155" t="str">
            <v>8-Nov-1971</v>
          </cell>
          <cell r="C155">
            <v>54</v>
          </cell>
          <cell r="D155">
            <v>1</v>
          </cell>
          <cell r="E155">
            <v>9880.07</v>
          </cell>
          <cell r="F155" t="str">
            <v>tier - 2</v>
          </cell>
          <cell r="G155" t="str">
            <v>tier - 3</v>
          </cell>
          <cell r="H155" t="str">
            <v>R1011</v>
          </cell>
        </row>
        <row r="156">
          <cell r="A156" t="str">
            <v>ID1137</v>
          </cell>
          <cell r="B156" t="str">
            <v>3-Oct-1971</v>
          </cell>
          <cell r="C156">
            <v>55</v>
          </cell>
          <cell r="D156">
            <v>1</v>
          </cell>
          <cell r="E156">
            <v>9877.61</v>
          </cell>
          <cell r="F156" t="str">
            <v>tier - 2</v>
          </cell>
          <cell r="G156" t="str">
            <v>tier - 1</v>
          </cell>
          <cell r="H156" t="str">
            <v>R1013</v>
          </cell>
        </row>
        <row r="157">
          <cell r="A157" t="str">
            <v>ID1138</v>
          </cell>
          <cell r="B157" t="str">
            <v>3-Jul-1971</v>
          </cell>
          <cell r="C157">
            <v>55</v>
          </cell>
          <cell r="D157">
            <v>0</v>
          </cell>
          <cell r="E157">
            <v>9875.68</v>
          </cell>
          <cell r="F157" t="str">
            <v>tier - 2</v>
          </cell>
          <cell r="G157" t="str">
            <v>tier - 3</v>
          </cell>
          <cell r="H157" t="str">
            <v>R1024</v>
          </cell>
        </row>
        <row r="158">
          <cell r="A158" t="str">
            <v>ID1139</v>
          </cell>
          <cell r="B158" t="str">
            <v>22-Dec-1971</v>
          </cell>
          <cell r="C158">
            <v>54</v>
          </cell>
          <cell r="D158">
            <v>1</v>
          </cell>
          <cell r="E158">
            <v>9872.7000000000007</v>
          </cell>
          <cell r="F158" t="str">
            <v>tier - 2</v>
          </cell>
          <cell r="G158" t="str">
            <v>tier - 2</v>
          </cell>
          <cell r="H158" t="str">
            <v>R1011</v>
          </cell>
        </row>
        <row r="159">
          <cell r="A159" t="str">
            <v>ID114</v>
          </cell>
          <cell r="B159" t="str">
            <v>24-Jul-1987</v>
          </cell>
          <cell r="C159">
            <v>39</v>
          </cell>
          <cell r="D159">
            <v>1</v>
          </cell>
          <cell r="E159">
            <v>39774.28</v>
          </cell>
          <cell r="F159" t="str">
            <v>tier - 1</v>
          </cell>
          <cell r="G159" t="str">
            <v>tier - 1</v>
          </cell>
          <cell r="H159" t="str">
            <v>R1014</v>
          </cell>
        </row>
        <row r="160">
          <cell r="A160" t="str">
            <v>ID1140</v>
          </cell>
          <cell r="B160" t="str">
            <v>6-Jul-1998</v>
          </cell>
          <cell r="C160">
            <v>28</v>
          </cell>
          <cell r="D160">
            <v>0</v>
          </cell>
          <cell r="E160">
            <v>9870.59</v>
          </cell>
          <cell r="F160" t="str">
            <v>tier - 2</v>
          </cell>
          <cell r="G160" t="str">
            <v>tier - 2</v>
          </cell>
          <cell r="H160" t="str">
            <v>R1023</v>
          </cell>
        </row>
        <row r="161">
          <cell r="A161" t="str">
            <v>ID1141</v>
          </cell>
          <cell r="B161" t="str">
            <v>13-Aug-1969</v>
          </cell>
          <cell r="C161">
            <v>57</v>
          </cell>
          <cell r="D161">
            <v>0</v>
          </cell>
          <cell r="E161">
            <v>9869.81</v>
          </cell>
          <cell r="F161" t="str">
            <v>tier - 3</v>
          </cell>
          <cell r="G161" t="str">
            <v>tier - 3</v>
          </cell>
          <cell r="H161" t="str">
            <v>R1012</v>
          </cell>
        </row>
        <row r="162">
          <cell r="A162" t="str">
            <v>ID1142</v>
          </cell>
          <cell r="B162" t="str">
            <v>9-Nov-1971</v>
          </cell>
          <cell r="C162">
            <v>54</v>
          </cell>
          <cell r="D162">
            <v>0</v>
          </cell>
          <cell r="E162">
            <v>9866.2999999999993</v>
          </cell>
          <cell r="F162" t="str">
            <v>tier - 2</v>
          </cell>
          <cell r="G162" t="str">
            <v>tier - 3</v>
          </cell>
          <cell r="H162" t="str">
            <v>R1024</v>
          </cell>
        </row>
        <row r="163">
          <cell r="A163" t="str">
            <v>ID1143</v>
          </cell>
          <cell r="B163" t="str">
            <v>20-Oct-1969</v>
          </cell>
          <cell r="C163">
            <v>56</v>
          </cell>
          <cell r="D163">
            <v>0</v>
          </cell>
          <cell r="E163">
            <v>9863.4699999999993</v>
          </cell>
          <cell r="F163" t="str">
            <v>tier - 3</v>
          </cell>
          <cell r="G163" t="str">
            <v>tier - 3</v>
          </cell>
          <cell r="H163" t="str">
            <v>R1012</v>
          </cell>
        </row>
        <row r="164">
          <cell r="A164" t="str">
            <v>ID1144</v>
          </cell>
          <cell r="B164" t="str">
            <v>17-Jul-1971</v>
          </cell>
          <cell r="C164">
            <v>55</v>
          </cell>
          <cell r="D164">
            <v>1</v>
          </cell>
          <cell r="E164">
            <v>9861.0300000000007</v>
          </cell>
          <cell r="F164" t="str">
            <v>tier - 2</v>
          </cell>
          <cell r="G164" t="str">
            <v>tier - 2</v>
          </cell>
          <cell r="H164" t="str">
            <v>R1011</v>
          </cell>
        </row>
        <row r="165">
          <cell r="A165" t="str">
            <v>ID1145</v>
          </cell>
          <cell r="B165" t="str">
            <v>23-Oct-1971</v>
          </cell>
          <cell r="C165">
            <v>54</v>
          </cell>
          <cell r="D165">
            <v>1</v>
          </cell>
          <cell r="E165">
            <v>9855.1299999999992</v>
          </cell>
          <cell r="F165" t="str">
            <v>tier - 2</v>
          </cell>
          <cell r="G165" t="str">
            <v>tier - 3</v>
          </cell>
          <cell r="H165" t="str">
            <v>R1013</v>
          </cell>
        </row>
        <row r="166">
          <cell r="A166" t="str">
            <v>ID1146</v>
          </cell>
          <cell r="B166" t="str">
            <v>4-Nov-1968</v>
          </cell>
          <cell r="C166">
            <v>57</v>
          </cell>
          <cell r="D166">
            <v>0</v>
          </cell>
          <cell r="E166">
            <v>9850.43</v>
          </cell>
          <cell r="F166" t="str">
            <v>tier - 3</v>
          </cell>
          <cell r="G166" t="str">
            <v>tier - 3</v>
          </cell>
          <cell r="H166" t="str">
            <v>R1011</v>
          </cell>
        </row>
        <row r="167">
          <cell r="A167" t="str">
            <v>ID1147</v>
          </cell>
          <cell r="B167" t="str">
            <v>13-Aug-1992</v>
          </cell>
          <cell r="C167">
            <v>34</v>
          </cell>
          <cell r="D167">
            <v>0</v>
          </cell>
          <cell r="E167">
            <v>9844.4500000000007</v>
          </cell>
          <cell r="F167" t="str">
            <v>tier - 2</v>
          </cell>
          <cell r="G167" t="str">
            <v>tier - 1</v>
          </cell>
          <cell r="H167" t="str">
            <v>R1012</v>
          </cell>
        </row>
        <row r="168">
          <cell r="A168" t="str">
            <v>ID1148</v>
          </cell>
          <cell r="B168" t="str">
            <v>26-Sep-1972</v>
          </cell>
          <cell r="C168">
            <v>54</v>
          </cell>
          <cell r="D168">
            <v>0</v>
          </cell>
          <cell r="E168">
            <v>9836.2099999999991</v>
          </cell>
          <cell r="F168" t="str">
            <v>tier - 2</v>
          </cell>
          <cell r="G168" t="str">
            <v>tier - 3</v>
          </cell>
          <cell r="H168" t="str">
            <v>R1021</v>
          </cell>
        </row>
        <row r="169">
          <cell r="A169" t="str">
            <v>ID1149</v>
          </cell>
          <cell r="B169" t="str">
            <v>28-Jun-1972</v>
          </cell>
          <cell r="C169">
            <v>54</v>
          </cell>
          <cell r="D169">
            <v>0</v>
          </cell>
          <cell r="E169">
            <v>9819.25</v>
          </cell>
          <cell r="F169" t="str">
            <v>tier - 2</v>
          </cell>
          <cell r="G169" t="str">
            <v>tier - 2</v>
          </cell>
          <cell r="H169" t="str">
            <v>R1021</v>
          </cell>
        </row>
        <row r="170">
          <cell r="A170" t="str">
            <v>ID115</v>
          </cell>
          <cell r="B170" t="str">
            <v>17-Dec-1973</v>
          </cell>
          <cell r="C170">
            <v>52</v>
          </cell>
          <cell r="D170">
            <v>0</v>
          </cell>
          <cell r="E170">
            <v>39727.61</v>
          </cell>
          <cell r="F170" t="str">
            <v>tier - 1</v>
          </cell>
          <cell r="G170" t="str">
            <v>tier - 2</v>
          </cell>
          <cell r="H170" t="str">
            <v>R1011</v>
          </cell>
        </row>
        <row r="171">
          <cell r="A171" t="str">
            <v>ID1150</v>
          </cell>
          <cell r="B171" t="str">
            <v>17-Sep-1973</v>
          </cell>
          <cell r="C171">
            <v>53</v>
          </cell>
          <cell r="D171">
            <v>2</v>
          </cell>
          <cell r="E171">
            <v>9800.89</v>
          </cell>
          <cell r="F171" t="str">
            <v>tier - 2</v>
          </cell>
          <cell r="G171" t="str">
            <v>tier - 1</v>
          </cell>
          <cell r="H171" t="str">
            <v>R1013</v>
          </cell>
        </row>
        <row r="172">
          <cell r="A172" t="str">
            <v>ID1151</v>
          </cell>
          <cell r="B172" t="str">
            <v>7-Jun-1977</v>
          </cell>
          <cell r="C172">
            <v>49</v>
          </cell>
          <cell r="D172">
            <v>5</v>
          </cell>
          <cell r="E172">
            <v>9788.8700000000008</v>
          </cell>
          <cell r="F172" t="str">
            <v>tier - 3</v>
          </cell>
          <cell r="G172" t="str">
            <v>tier - 2</v>
          </cell>
          <cell r="H172" t="str">
            <v>R1013</v>
          </cell>
        </row>
        <row r="173">
          <cell r="A173" t="str">
            <v>ID1152</v>
          </cell>
          <cell r="B173" t="str">
            <v>8-Aug-1996</v>
          </cell>
          <cell r="C173">
            <v>30</v>
          </cell>
          <cell r="D173">
            <v>0</v>
          </cell>
          <cell r="E173">
            <v>9787.32</v>
          </cell>
          <cell r="F173" t="str">
            <v>tier - 2</v>
          </cell>
          <cell r="G173" t="str">
            <v>tier - 3</v>
          </cell>
          <cell r="H173" t="str">
            <v>R1023</v>
          </cell>
        </row>
        <row r="174">
          <cell r="A174" t="str">
            <v>ID1153</v>
          </cell>
          <cell r="B174" t="str">
            <v>7-Jul-1973</v>
          </cell>
          <cell r="C174">
            <v>53</v>
          </cell>
          <cell r="D174">
            <v>1</v>
          </cell>
          <cell r="E174">
            <v>9778.35</v>
          </cell>
          <cell r="F174" t="str">
            <v>tier - 2</v>
          </cell>
          <cell r="G174" t="str">
            <v>tier - 2</v>
          </cell>
          <cell r="H174" t="str">
            <v>R1024</v>
          </cell>
        </row>
        <row r="175">
          <cell r="A175" t="str">
            <v>ID1154</v>
          </cell>
          <cell r="B175" t="str">
            <v>5-Sep-1965</v>
          </cell>
          <cell r="C175">
            <v>61</v>
          </cell>
          <cell r="D175">
            <v>0</v>
          </cell>
          <cell r="E175">
            <v>9764.08</v>
          </cell>
          <cell r="F175" t="str">
            <v>tier - 3</v>
          </cell>
          <cell r="G175" t="str">
            <v>tier - 1</v>
          </cell>
          <cell r="H175" t="str">
            <v>R1012</v>
          </cell>
        </row>
        <row r="176">
          <cell r="A176" t="str">
            <v>ID1155</v>
          </cell>
          <cell r="B176" t="str">
            <v>14-Jul-2001</v>
          </cell>
          <cell r="C176">
            <v>25</v>
          </cell>
          <cell r="D176">
            <v>0</v>
          </cell>
          <cell r="E176">
            <v>9753.49</v>
          </cell>
          <cell r="F176" t="str">
            <v>tier - 2</v>
          </cell>
          <cell r="G176" t="str">
            <v>tier - 2</v>
          </cell>
          <cell r="H176" t="str">
            <v>R1012</v>
          </cell>
        </row>
        <row r="177">
          <cell r="A177" t="str">
            <v>ID1156</v>
          </cell>
          <cell r="B177" t="str">
            <v>4-Jul-1970</v>
          </cell>
          <cell r="C177">
            <v>56</v>
          </cell>
          <cell r="D177">
            <v>1</v>
          </cell>
          <cell r="E177">
            <v>9748.91</v>
          </cell>
          <cell r="F177" t="str">
            <v>tier - 2</v>
          </cell>
          <cell r="G177" t="str">
            <v>tier - 1</v>
          </cell>
          <cell r="H177" t="str">
            <v>R1013</v>
          </cell>
        </row>
        <row r="178">
          <cell r="A178" t="str">
            <v>ID1157</v>
          </cell>
          <cell r="B178" t="str">
            <v>18-Aug-1970</v>
          </cell>
          <cell r="C178">
            <v>56</v>
          </cell>
          <cell r="D178">
            <v>1</v>
          </cell>
          <cell r="E178">
            <v>9724.5300000000007</v>
          </cell>
          <cell r="F178" t="str">
            <v>tier - 3</v>
          </cell>
          <cell r="G178" t="str">
            <v>tier - 1</v>
          </cell>
          <cell r="H178" t="str">
            <v>R1011</v>
          </cell>
        </row>
        <row r="179">
          <cell r="A179" t="str">
            <v>ID1158</v>
          </cell>
          <cell r="B179" t="str">
            <v>12-Sep-1970</v>
          </cell>
          <cell r="C179">
            <v>56</v>
          </cell>
          <cell r="D179">
            <v>0</v>
          </cell>
          <cell r="E179">
            <v>9722.77</v>
          </cell>
          <cell r="F179" t="str">
            <v>tier - 3</v>
          </cell>
          <cell r="G179" t="str">
            <v>tier - 1</v>
          </cell>
          <cell r="H179" t="str">
            <v>R1016</v>
          </cell>
        </row>
        <row r="180">
          <cell r="A180" t="str">
            <v>ID1159</v>
          </cell>
          <cell r="B180" t="str">
            <v>27-Jun-1975</v>
          </cell>
          <cell r="C180">
            <v>51</v>
          </cell>
          <cell r="D180">
            <v>2</v>
          </cell>
          <cell r="E180">
            <v>9715.84</v>
          </cell>
          <cell r="F180" t="str">
            <v>tier - 2</v>
          </cell>
          <cell r="G180" t="str">
            <v>tier - 1</v>
          </cell>
          <cell r="H180" t="str">
            <v>R1024</v>
          </cell>
        </row>
        <row r="181">
          <cell r="A181" t="str">
            <v>ID116</v>
          </cell>
          <cell r="B181" t="str">
            <v>12-Aug-1977</v>
          </cell>
          <cell r="C181">
            <v>49</v>
          </cell>
          <cell r="D181">
            <v>1</v>
          </cell>
          <cell r="E181">
            <v>39725.519999999997</v>
          </cell>
          <cell r="F181" t="str">
            <v>tier - 2</v>
          </cell>
          <cell r="G181" t="str">
            <v>tier - 1</v>
          </cell>
          <cell r="H181" t="str">
            <v>R1012</v>
          </cell>
        </row>
        <row r="182">
          <cell r="A182" t="str">
            <v>ID1160</v>
          </cell>
          <cell r="B182" t="str">
            <v>10-Jul-1972</v>
          </cell>
          <cell r="C182">
            <v>54</v>
          </cell>
          <cell r="D182">
            <v>0</v>
          </cell>
          <cell r="E182">
            <v>9710.7099999999991</v>
          </cell>
          <cell r="F182" t="str">
            <v>tier - 2</v>
          </cell>
          <cell r="G182" t="str">
            <v>tier - 1</v>
          </cell>
          <cell r="H182" t="str">
            <v>R1021</v>
          </cell>
        </row>
        <row r="183">
          <cell r="A183" t="str">
            <v>ID1161</v>
          </cell>
          <cell r="B183" t="str">
            <v>19-Sep-1977</v>
          </cell>
          <cell r="C183">
            <v>49</v>
          </cell>
          <cell r="D183">
            <v>3</v>
          </cell>
          <cell r="E183">
            <v>9704.67</v>
          </cell>
          <cell r="F183" t="str">
            <v>tier - 2</v>
          </cell>
          <cell r="G183" t="str">
            <v>tier - 3</v>
          </cell>
          <cell r="H183" t="str">
            <v>R1024</v>
          </cell>
        </row>
        <row r="184">
          <cell r="A184" t="str">
            <v>ID1162</v>
          </cell>
          <cell r="B184" t="str">
            <v>7-Nov-1964</v>
          </cell>
          <cell r="C184">
            <v>61</v>
          </cell>
          <cell r="D184">
            <v>0</v>
          </cell>
          <cell r="E184">
            <v>9698.42</v>
          </cell>
          <cell r="F184" t="str">
            <v>tier - 3</v>
          </cell>
          <cell r="G184" t="str">
            <v>tier - 3</v>
          </cell>
          <cell r="H184" t="str">
            <v>R1013</v>
          </cell>
        </row>
        <row r="185">
          <cell r="A185" t="str">
            <v>ID1163</v>
          </cell>
          <cell r="B185" t="str">
            <v>16-Sep-1966</v>
          </cell>
          <cell r="C185">
            <v>60</v>
          </cell>
          <cell r="D185">
            <v>0</v>
          </cell>
          <cell r="E185">
            <v>9684.2900000000009</v>
          </cell>
          <cell r="F185" t="str">
            <v>tier - 3</v>
          </cell>
          <cell r="G185" t="str">
            <v>tier - 2</v>
          </cell>
          <cell r="H185" t="str">
            <v>R1013</v>
          </cell>
        </row>
        <row r="186">
          <cell r="A186" t="str">
            <v>ID1164</v>
          </cell>
          <cell r="B186" t="str">
            <v>8-Aug-1981</v>
          </cell>
          <cell r="C186">
            <v>45</v>
          </cell>
          <cell r="D186">
            <v>1</v>
          </cell>
          <cell r="E186">
            <v>9664.34</v>
          </cell>
          <cell r="F186" t="str">
            <v>tier - 2</v>
          </cell>
          <cell r="G186" t="str">
            <v>tier - 3</v>
          </cell>
          <cell r="H186" t="str">
            <v>R1011</v>
          </cell>
        </row>
        <row r="187">
          <cell r="A187" t="str">
            <v>ID1165</v>
          </cell>
          <cell r="B187" t="str">
            <v>8-Jul-1974</v>
          </cell>
          <cell r="C187">
            <v>52</v>
          </cell>
          <cell r="D187">
            <v>0</v>
          </cell>
          <cell r="E187">
            <v>9653.81</v>
          </cell>
          <cell r="F187" t="str">
            <v>tier - 2</v>
          </cell>
          <cell r="G187" t="str">
            <v>tier - 2</v>
          </cell>
          <cell r="H187" t="str">
            <v>R1011</v>
          </cell>
        </row>
        <row r="188">
          <cell r="A188" t="str">
            <v>ID1166</v>
          </cell>
          <cell r="B188" t="str">
            <v>19-Jul-1971</v>
          </cell>
          <cell r="C188">
            <v>55</v>
          </cell>
          <cell r="D188">
            <v>0</v>
          </cell>
          <cell r="E188">
            <v>9644.25</v>
          </cell>
          <cell r="F188" t="str">
            <v>tier - 2</v>
          </cell>
          <cell r="G188" t="str">
            <v>tier - 1</v>
          </cell>
          <cell r="H188" t="str">
            <v>R1012</v>
          </cell>
        </row>
        <row r="189">
          <cell r="A189" t="str">
            <v>ID1167</v>
          </cell>
          <cell r="B189" t="str">
            <v>30-Sep-1970</v>
          </cell>
          <cell r="C189">
            <v>56</v>
          </cell>
          <cell r="D189">
            <v>0</v>
          </cell>
          <cell r="E189">
            <v>9634.5400000000009</v>
          </cell>
          <cell r="F189" t="str">
            <v>tier - 2</v>
          </cell>
          <cell r="G189" t="str">
            <v>tier - 2</v>
          </cell>
          <cell r="H189" t="str">
            <v>R1011</v>
          </cell>
        </row>
        <row r="190">
          <cell r="A190" t="str">
            <v>ID1168</v>
          </cell>
          <cell r="B190" t="str">
            <v>22-Jun-1968</v>
          </cell>
          <cell r="C190">
            <v>58</v>
          </cell>
          <cell r="D190">
            <v>0</v>
          </cell>
          <cell r="E190">
            <v>9630.91</v>
          </cell>
          <cell r="F190" t="str">
            <v>tier - 3</v>
          </cell>
          <cell r="G190" t="str">
            <v>tier - 2</v>
          </cell>
          <cell r="H190" t="str">
            <v>R1013</v>
          </cell>
        </row>
        <row r="191">
          <cell r="A191" t="str">
            <v>ID1169</v>
          </cell>
          <cell r="B191" t="str">
            <v>23-Oct-1972</v>
          </cell>
          <cell r="C191">
            <v>53</v>
          </cell>
          <cell r="D191">
            <v>2</v>
          </cell>
          <cell r="E191">
            <v>9630.4</v>
          </cell>
          <cell r="F191" t="str">
            <v>tier - 2</v>
          </cell>
          <cell r="G191" t="str">
            <v>tier - 2</v>
          </cell>
          <cell r="H191" t="str">
            <v>R1011</v>
          </cell>
        </row>
        <row r="192">
          <cell r="A192" t="str">
            <v>ID117</v>
          </cell>
          <cell r="B192" t="str">
            <v>16-Jul-2003</v>
          </cell>
          <cell r="C192">
            <v>23</v>
          </cell>
          <cell r="D192">
            <v>0</v>
          </cell>
          <cell r="E192">
            <v>39722.75</v>
          </cell>
          <cell r="F192" t="str">
            <v>tier - 1</v>
          </cell>
          <cell r="G192" t="str">
            <v>tier - 1</v>
          </cell>
          <cell r="H192" t="str">
            <v>R1013</v>
          </cell>
        </row>
        <row r="193">
          <cell r="A193" t="str">
            <v>ID1170</v>
          </cell>
          <cell r="B193" t="str">
            <v>19-Dec-1979</v>
          </cell>
          <cell r="C193">
            <v>46</v>
          </cell>
          <cell r="D193">
            <v>2</v>
          </cell>
          <cell r="E193">
            <v>9630.2999999999993</v>
          </cell>
          <cell r="F193" t="str">
            <v>tier - 2</v>
          </cell>
          <cell r="G193" t="str">
            <v>tier - 2</v>
          </cell>
          <cell r="H193" t="str">
            <v>R1021</v>
          </cell>
        </row>
        <row r="194">
          <cell r="A194" t="str">
            <v>ID1171</v>
          </cell>
          <cell r="B194" t="str">
            <v>23-Jun-1998</v>
          </cell>
          <cell r="C194">
            <v>28</v>
          </cell>
          <cell r="D194">
            <v>0</v>
          </cell>
          <cell r="E194">
            <v>9628.7900000000009</v>
          </cell>
          <cell r="F194" t="str">
            <v>tier - 2</v>
          </cell>
          <cell r="G194" t="str">
            <v>tier - 2</v>
          </cell>
          <cell r="H194" t="str">
            <v>R1026</v>
          </cell>
        </row>
        <row r="195">
          <cell r="A195" t="str">
            <v>ID1172</v>
          </cell>
          <cell r="B195" t="str">
            <v>16-Dec-1970</v>
          </cell>
          <cell r="C195">
            <v>55</v>
          </cell>
          <cell r="D195">
            <v>0</v>
          </cell>
          <cell r="E195">
            <v>9625.92</v>
          </cell>
          <cell r="F195" t="str">
            <v>tier - 2</v>
          </cell>
          <cell r="G195" t="str">
            <v>tier - 3</v>
          </cell>
          <cell r="H195" t="str">
            <v>R1011</v>
          </cell>
        </row>
        <row r="196">
          <cell r="A196" t="str">
            <v>ID1173</v>
          </cell>
          <cell r="B196" t="str">
            <v>29-Oct-1975</v>
          </cell>
          <cell r="C196">
            <v>50</v>
          </cell>
          <cell r="D196">
            <v>3</v>
          </cell>
          <cell r="E196">
            <v>9620.33</v>
          </cell>
          <cell r="F196" t="str">
            <v>tier - 3</v>
          </cell>
          <cell r="G196" t="str">
            <v>tier - 3</v>
          </cell>
          <cell r="H196" t="str">
            <v>R1012</v>
          </cell>
        </row>
        <row r="197">
          <cell r="A197" t="str">
            <v>ID1174</v>
          </cell>
          <cell r="B197" t="str">
            <v>29-Aug-1982</v>
          </cell>
          <cell r="C197">
            <v>44</v>
          </cell>
          <cell r="D197">
            <v>3</v>
          </cell>
          <cell r="E197">
            <v>9619.18</v>
          </cell>
          <cell r="F197" t="str">
            <v>tier - 2</v>
          </cell>
          <cell r="G197" t="str">
            <v>tier - 1</v>
          </cell>
          <cell r="H197" t="str">
            <v>R1025</v>
          </cell>
        </row>
        <row r="198">
          <cell r="A198" t="str">
            <v>ID1175</v>
          </cell>
          <cell r="B198" t="str">
            <v>27-Dec-1972</v>
          </cell>
          <cell r="C198">
            <v>53</v>
          </cell>
          <cell r="D198">
            <v>1</v>
          </cell>
          <cell r="E198">
            <v>9617.66</v>
          </cell>
          <cell r="F198" t="str">
            <v>tier - 3</v>
          </cell>
          <cell r="G198" t="str">
            <v>tier - 3</v>
          </cell>
          <cell r="H198" t="str">
            <v>R1016</v>
          </cell>
        </row>
        <row r="199">
          <cell r="A199" t="str">
            <v>ID1176</v>
          </cell>
          <cell r="B199" t="str">
            <v>15-Dec-1964</v>
          </cell>
          <cell r="C199">
            <v>61</v>
          </cell>
          <cell r="D199">
            <v>0</v>
          </cell>
          <cell r="E199">
            <v>9597.6299999999992</v>
          </cell>
          <cell r="F199" t="str">
            <v>tier - 3</v>
          </cell>
          <cell r="G199" t="str">
            <v>tier - 3</v>
          </cell>
          <cell r="H199" t="str">
            <v>R1013</v>
          </cell>
        </row>
        <row r="200">
          <cell r="A200" t="str">
            <v>ID1177</v>
          </cell>
          <cell r="B200" t="str">
            <v>18-Oct-1981</v>
          </cell>
          <cell r="C200">
            <v>45</v>
          </cell>
          <cell r="D200">
            <v>1</v>
          </cell>
          <cell r="E200">
            <v>9584.0400000000009</v>
          </cell>
          <cell r="F200" t="str">
            <v>tier - 2</v>
          </cell>
          <cell r="G200" t="str">
            <v>tier - 1</v>
          </cell>
          <cell r="H200" t="str">
            <v>R1021</v>
          </cell>
        </row>
        <row r="201">
          <cell r="A201" t="str">
            <v>ID1178</v>
          </cell>
          <cell r="B201" t="str">
            <v>28-Nov-1973</v>
          </cell>
          <cell r="C201">
            <v>52</v>
          </cell>
          <cell r="D201">
            <v>1</v>
          </cell>
          <cell r="E201">
            <v>9583.89</v>
          </cell>
          <cell r="F201" t="str">
            <v>tier - 2</v>
          </cell>
          <cell r="G201" t="str">
            <v>tier - 3</v>
          </cell>
          <cell r="H201" t="str">
            <v>R1012</v>
          </cell>
        </row>
        <row r="202">
          <cell r="A202" t="str">
            <v>ID1179</v>
          </cell>
          <cell r="B202" t="str">
            <v>4-Dec-1966</v>
          </cell>
          <cell r="C202">
            <v>59</v>
          </cell>
          <cell r="D202">
            <v>0</v>
          </cell>
          <cell r="E202">
            <v>9582.5400000000009</v>
          </cell>
          <cell r="F202" t="str">
            <v>tier - 3</v>
          </cell>
          <cell r="G202" t="str">
            <v>tier - 2</v>
          </cell>
          <cell r="H202" t="str">
            <v>R1013</v>
          </cell>
        </row>
        <row r="203">
          <cell r="A203" t="str">
            <v>ID118</v>
          </cell>
          <cell r="B203" t="str">
            <v>29-Sep-1968</v>
          </cell>
          <cell r="C203">
            <v>58</v>
          </cell>
          <cell r="D203">
            <v>0</v>
          </cell>
          <cell r="E203">
            <v>39721.93</v>
          </cell>
          <cell r="F203" t="str">
            <v>tier - 2</v>
          </cell>
          <cell r="G203" t="str">
            <v>tier - 2</v>
          </cell>
          <cell r="H203" t="str">
            <v>R1011</v>
          </cell>
        </row>
        <row r="204">
          <cell r="A204" t="str">
            <v>ID1180</v>
          </cell>
          <cell r="B204" t="str">
            <v>1-Dec-1973</v>
          </cell>
          <cell r="C204">
            <v>52</v>
          </cell>
          <cell r="D204">
            <v>1</v>
          </cell>
          <cell r="E204">
            <v>9566.99</v>
          </cell>
          <cell r="F204" t="str">
            <v>tier - 2</v>
          </cell>
          <cell r="G204" t="str">
            <v>tier - 1</v>
          </cell>
          <cell r="H204" t="str">
            <v>R1012</v>
          </cell>
        </row>
        <row r="205">
          <cell r="A205" t="str">
            <v>ID1181</v>
          </cell>
          <cell r="B205" t="str">
            <v>14-Aug-1974</v>
          </cell>
          <cell r="C205">
            <v>52</v>
          </cell>
          <cell r="D205">
            <v>3</v>
          </cell>
          <cell r="E205">
            <v>9563.0300000000007</v>
          </cell>
          <cell r="F205" t="str">
            <v>tier - 3</v>
          </cell>
          <cell r="G205" t="str">
            <v>tier - 1</v>
          </cell>
          <cell r="H205" t="str">
            <v>R1011</v>
          </cell>
        </row>
        <row r="206">
          <cell r="A206" t="str">
            <v>ID1182</v>
          </cell>
          <cell r="B206" t="str">
            <v>22-Sep-1972</v>
          </cell>
          <cell r="C206">
            <v>54</v>
          </cell>
          <cell r="D206">
            <v>1</v>
          </cell>
          <cell r="E206">
            <v>9549.57</v>
          </cell>
          <cell r="F206" t="str">
            <v>tier - 2</v>
          </cell>
          <cell r="G206" t="str">
            <v>tier - 1</v>
          </cell>
          <cell r="H206" t="str">
            <v>R1013</v>
          </cell>
        </row>
        <row r="207">
          <cell r="A207" t="str">
            <v>ID1183</v>
          </cell>
          <cell r="B207" t="str">
            <v>22-Sep-1972</v>
          </cell>
          <cell r="C207">
            <v>54</v>
          </cell>
          <cell r="D207">
            <v>0</v>
          </cell>
          <cell r="E207">
            <v>9541.7000000000007</v>
          </cell>
          <cell r="F207" t="str">
            <v>tier - 2</v>
          </cell>
          <cell r="G207" t="str">
            <v>tier - 1</v>
          </cell>
          <cell r="H207" t="str">
            <v>R1024</v>
          </cell>
        </row>
        <row r="208">
          <cell r="A208" t="str">
            <v>ID1184</v>
          </cell>
          <cell r="B208" t="str">
            <v>28-Jul-1975</v>
          </cell>
          <cell r="C208">
            <v>51</v>
          </cell>
          <cell r="D208">
            <v>1</v>
          </cell>
          <cell r="E208">
            <v>9540.17</v>
          </cell>
          <cell r="F208" t="str">
            <v>tier - 2</v>
          </cell>
          <cell r="G208" t="str">
            <v>tier - 2</v>
          </cell>
          <cell r="H208" t="str">
            <v>R1024</v>
          </cell>
        </row>
        <row r="209">
          <cell r="A209" t="str">
            <v>ID1185</v>
          </cell>
          <cell r="B209" t="str">
            <v>21-Dec-1973</v>
          </cell>
          <cell r="C209">
            <v>52</v>
          </cell>
          <cell r="D209">
            <v>0</v>
          </cell>
          <cell r="E209">
            <v>9538.65</v>
          </cell>
          <cell r="F209" t="str">
            <v>tier - 2</v>
          </cell>
          <cell r="G209" t="str">
            <v>tier - 3</v>
          </cell>
          <cell r="H209" t="str">
            <v>R1021</v>
          </cell>
        </row>
        <row r="210">
          <cell r="A210" t="str">
            <v>ID1186</v>
          </cell>
          <cell r="B210" t="str">
            <v>29-Nov-1971</v>
          </cell>
          <cell r="C210">
            <v>54</v>
          </cell>
          <cell r="D210">
            <v>0</v>
          </cell>
          <cell r="E210">
            <v>9528.9</v>
          </cell>
          <cell r="F210" t="str">
            <v>tier - 2</v>
          </cell>
          <cell r="G210" t="str">
            <v>tier - 2</v>
          </cell>
          <cell r="H210" t="str">
            <v>R1011</v>
          </cell>
        </row>
        <row r="211">
          <cell r="A211" t="str">
            <v>ID1187</v>
          </cell>
          <cell r="B211" t="str">
            <v>22-Aug-1992</v>
          </cell>
          <cell r="C211">
            <v>34</v>
          </cell>
          <cell r="D211">
            <v>0</v>
          </cell>
          <cell r="E211">
            <v>9507.68</v>
          </cell>
          <cell r="F211" t="str">
            <v>tier - 2</v>
          </cell>
          <cell r="G211" t="str">
            <v>tier - 1</v>
          </cell>
          <cell r="H211" t="str">
            <v>R1012</v>
          </cell>
        </row>
        <row r="212">
          <cell r="A212" t="str">
            <v>ID1188</v>
          </cell>
          <cell r="B212" t="str">
            <v>24-Aug-1969</v>
          </cell>
          <cell r="C212">
            <v>57</v>
          </cell>
          <cell r="D212">
            <v>0</v>
          </cell>
          <cell r="E212">
            <v>9504.31</v>
          </cell>
          <cell r="F212" t="str">
            <v>tier - 3</v>
          </cell>
          <cell r="G212" t="str">
            <v>tier - 2</v>
          </cell>
          <cell r="H212" t="str">
            <v>R1013</v>
          </cell>
        </row>
        <row r="213">
          <cell r="A213" t="str">
            <v>ID1189</v>
          </cell>
          <cell r="B213" t="str">
            <v>28-Nov-1976</v>
          </cell>
          <cell r="C213">
            <v>49</v>
          </cell>
          <cell r="D213">
            <v>3</v>
          </cell>
          <cell r="E213">
            <v>9500.57</v>
          </cell>
          <cell r="F213" t="str">
            <v>tier - 2</v>
          </cell>
          <cell r="G213" t="str">
            <v>tier - 3</v>
          </cell>
          <cell r="H213" t="str">
            <v>R1017</v>
          </cell>
        </row>
        <row r="214">
          <cell r="A214" t="str">
            <v>ID119</v>
          </cell>
          <cell r="B214" t="str">
            <v>17-Dec-1977</v>
          </cell>
          <cell r="C214">
            <v>48</v>
          </cell>
          <cell r="D214">
            <v>2</v>
          </cell>
          <cell r="E214">
            <v>39670.44</v>
          </cell>
          <cell r="F214" t="str">
            <v>tier - 2</v>
          </cell>
          <cell r="G214" t="str">
            <v>tier - 1</v>
          </cell>
          <cell r="H214" t="str">
            <v>R1012</v>
          </cell>
        </row>
        <row r="215">
          <cell r="A215" t="str">
            <v>ID1190</v>
          </cell>
          <cell r="B215" t="str">
            <v>4-Jun-1969</v>
          </cell>
          <cell r="C215">
            <v>57</v>
          </cell>
          <cell r="D215">
            <v>0</v>
          </cell>
          <cell r="E215">
            <v>9487.64</v>
          </cell>
          <cell r="F215" t="str">
            <v>tier - 2</v>
          </cell>
          <cell r="G215" t="str">
            <v>tier - 2</v>
          </cell>
          <cell r="H215" t="str">
            <v>R1013</v>
          </cell>
        </row>
        <row r="216">
          <cell r="A216" t="str">
            <v>ID1191</v>
          </cell>
          <cell r="B216" t="str">
            <v>17-Jul-1979</v>
          </cell>
          <cell r="C216">
            <v>47</v>
          </cell>
          <cell r="D216">
            <v>2</v>
          </cell>
          <cell r="E216">
            <v>9453.92</v>
          </cell>
          <cell r="F216" t="str">
            <v>tier - 2</v>
          </cell>
          <cell r="G216" t="str">
            <v>tier - 2</v>
          </cell>
          <cell r="H216" t="str">
            <v>R1021</v>
          </cell>
        </row>
        <row r="217">
          <cell r="A217" t="str">
            <v>ID1192</v>
          </cell>
          <cell r="B217" t="str">
            <v>14-Nov-1987</v>
          </cell>
          <cell r="C217">
            <v>38</v>
          </cell>
          <cell r="D217">
            <v>3</v>
          </cell>
          <cell r="E217">
            <v>9448.42</v>
          </cell>
          <cell r="F217" t="str">
            <v>tier - 2</v>
          </cell>
          <cell r="G217" t="str">
            <v>tier - 3</v>
          </cell>
          <cell r="H217" t="str">
            <v>R1021</v>
          </cell>
        </row>
        <row r="218">
          <cell r="A218" t="str">
            <v>ID1193</v>
          </cell>
          <cell r="B218" t="str">
            <v>8-Jun-1974</v>
          </cell>
          <cell r="C218">
            <v>52</v>
          </cell>
          <cell r="D218">
            <v>1</v>
          </cell>
          <cell r="E218">
            <v>9447.3799999999992</v>
          </cell>
          <cell r="F218" t="str">
            <v>tier - 2</v>
          </cell>
          <cell r="G218" t="str">
            <v>tier - 3</v>
          </cell>
          <cell r="H218" t="str">
            <v>R1024</v>
          </cell>
        </row>
        <row r="219">
          <cell r="A219" t="str">
            <v>ID1194</v>
          </cell>
          <cell r="B219" t="str">
            <v>27-Nov-1974</v>
          </cell>
          <cell r="C219">
            <v>51</v>
          </cell>
          <cell r="D219">
            <v>1</v>
          </cell>
          <cell r="E219">
            <v>9447.25</v>
          </cell>
          <cell r="F219" t="str">
            <v>tier - 2</v>
          </cell>
          <cell r="G219" t="str">
            <v>tier - 1</v>
          </cell>
          <cell r="H219" t="str">
            <v>R1024</v>
          </cell>
        </row>
        <row r="220">
          <cell r="A220" t="str">
            <v>ID1195</v>
          </cell>
          <cell r="B220" t="str">
            <v>3-Nov-1976</v>
          </cell>
          <cell r="C220">
            <v>49</v>
          </cell>
          <cell r="D220">
            <v>2</v>
          </cell>
          <cell r="E220">
            <v>9432.93</v>
          </cell>
          <cell r="F220" t="str">
            <v>tier - 2</v>
          </cell>
          <cell r="G220" t="str">
            <v>tier - 1</v>
          </cell>
          <cell r="H220" t="str">
            <v>R1024</v>
          </cell>
        </row>
        <row r="221">
          <cell r="A221" t="str">
            <v>ID1196</v>
          </cell>
          <cell r="B221" t="str">
            <v>30-Oct-1976</v>
          </cell>
          <cell r="C221">
            <v>49</v>
          </cell>
          <cell r="D221">
            <v>3</v>
          </cell>
          <cell r="E221">
            <v>9414.92</v>
          </cell>
          <cell r="F221" t="str">
            <v>tier - 2</v>
          </cell>
          <cell r="G221" t="str">
            <v>tier - 2</v>
          </cell>
          <cell r="H221" t="str">
            <v>R1011</v>
          </cell>
        </row>
        <row r="222">
          <cell r="A222" t="str">
            <v>ID1197</v>
          </cell>
          <cell r="B222" t="str">
            <v>17-Oct-1976</v>
          </cell>
          <cell r="C222">
            <v>50</v>
          </cell>
          <cell r="D222">
            <v>2</v>
          </cell>
          <cell r="E222">
            <v>9411.01</v>
          </cell>
          <cell r="F222" t="str">
            <v>tier - 2</v>
          </cell>
          <cell r="G222" t="str">
            <v>tier - 3</v>
          </cell>
          <cell r="H222" t="str">
            <v>R1024</v>
          </cell>
        </row>
        <row r="223">
          <cell r="A223" t="str">
            <v>ID1198</v>
          </cell>
          <cell r="B223" t="str">
            <v>20-Oct-1971</v>
          </cell>
          <cell r="C223">
            <v>54</v>
          </cell>
          <cell r="D223">
            <v>1</v>
          </cell>
          <cell r="E223">
            <v>9391.35</v>
          </cell>
          <cell r="F223" t="str">
            <v>tier - 3</v>
          </cell>
          <cell r="G223" t="str">
            <v>tier - 3</v>
          </cell>
          <cell r="H223" t="str">
            <v>R1011</v>
          </cell>
        </row>
        <row r="224">
          <cell r="A224" t="str">
            <v>ID1199</v>
          </cell>
          <cell r="B224" t="str">
            <v>29-Dec-1971</v>
          </cell>
          <cell r="C224">
            <v>54</v>
          </cell>
          <cell r="D224">
            <v>1</v>
          </cell>
          <cell r="E224">
            <v>9386.16</v>
          </cell>
          <cell r="F224" t="str">
            <v>tier - 3</v>
          </cell>
          <cell r="G224" t="str">
            <v>tier - 2</v>
          </cell>
          <cell r="H224" t="str">
            <v>R1013</v>
          </cell>
        </row>
        <row r="225">
          <cell r="A225" t="str">
            <v>ID12</v>
          </cell>
          <cell r="B225" t="str">
            <v>27-Oct-1965</v>
          </cell>
          <cell r="C225">
            <v>60</v>
          </cell>
          <cell r="D225">
            <v>1</v>
          </cell>
          <cell r="E225">
            <v>48675.519999999997</v>
          </cell>
          <cell r="F225" t="str">
            <v>tier - 1</v>
          </cell>
          <cell r="G225" t="str">
            <v>tier - 2</v>
          </cell>
          <cell r="H225" t="str">
            <v>R1013</v>
          </cell>
        </row>
        <row r="226">
          <cell r="A226" t="str">
            <v>ID120</v>
          </cell>
          <cell r="B226" t="str">
            <v>7-Aug-1995</v>
          </cell>
          <cell r="C226">
            <v>31</v>
          </cell>
          <cell r="D226">
            <v>0</v>
          </cell>
          <cell r="E226">
            <v>39611.760000000002</v>
          </cell>
          <cell r="F226" t="str">
            <v>tier - 1</v>
          </cell>
          <cell r="G226" t="str">
            <v>tier - 3</v>
          </cell>
          <cell r="H226" t="str">
            <v>R1013</v>
          </cell>
        </row>
        <row r="227">
          <cell r="A227" t="str">
            <v>ID1200</v>
          </cell>
          <cell r="B227" t="str">
            <v>2-Dec-1975</v>
          </cell>
          <cell r="C227">
            <v>50</v>
          </cell>
          <cell r="D227">
            <v>1</v>
          </cell>
          <cell r="E227">
            <v>9380.75</v>
          </cell>
          <cell r="F227" t="str">
            <v>tier - 2</v>
          </cell>
          <cell r="G227" t="str">
            <v>tier - 2</v>
          </cell>
          <cell r="H227" t="str">
            <v>R1024</v>
          </cell>
        </row>
        <row r="228">
          <cell r="A228" t="str">
            <v>ID1201</v>
          </cell>
          <cell r="B228" t="str">
            <v>26-Nov-1971</v>
          </cell>
          <cell r="C228">
            <v>54</v>
          </cell>
          <cell r="D228">
            <v>1</v>
          </cell>
          <cell r="E228">
            <v>9377.9</v>
          </cell>
          <cell r="F228" t="str">
            <v>tier - 2</v>
          </cell>
          <cell r="G228" t="str">
            <v>tier - 1</v>
          </cell>
          <cell r="H228" t="str">
            <v>R1013</v>
          </cell>
        </row>
        <row r="229">
          <cell r="A229" t="str">
            <v>ID1202</v>
          </cell>
          <cell r="B229" t="str">
            <v>24-Nov-1969</v>
          </cell>
          <cell r="C229">
            <v>56</v>
          </cell>
          <cell r="D229">
            <v>0</v>
          </cell>
          <cell r="E229">
            <v>9377.4500000000007</v>
          </cell>
          <cell r="F229" t="str">
            <v>tier - 2</v>
          </cell>
          <cell r="G229" t="str">
            <v>tier - 3</v>
          </cell>
          <cell r="H229" t="str">
            <v>R1013</v>
          </cell>
        </row>
        <row r="230">
          <cell r="A230" t="str">
            <v>ID1203</v>
          </cell>
          <cell r="B230" t="str">
            <v>8-Oct-1971</v>
          </cell>
          <cell r="C230">
            <v>55</v>
          </cell>
          <cell r="D230">
            <v>0</v>
          </cell>
          <cell r="E230">
            <v>9361.33</v>
          </cell>
          <cell r="F230" t="str">
            <v>tier - 3</v>
          </cell>
          <cell r="G230" t="str">
            <v>tier - 1</v>
          </cell>
          <cell r="H230" t="str">
            <v>R1016</v>
          </cell>
        </row>
        <row r="231">
          <cell r="A231" t="str">
            <v>ID1204</v>
          </cell>
          <cell r="B231" t="str">
            <v>1-Jul-1988</v>
          </cell>
          <cell r="C231">
            <v>38</v>
          </cell>
          <cell r="D231">
            <v>3</v>
          </cell>
          <cell r="E231">
            <v>9344.2000000000007</v>
          </cell>
          <cell r="F231" t="str">
            <v>tier - 2</v>
          </cell>
          <cell r="G231" t="str">
            <v>tier - 1</v>
          </cell>
          <cell r="H231" t="str">
            <v>R1021</v>
          </cell>
        </row>
        <row r="232">
          <cell r="A232" t="str">
            <v>ID1205</v>
          </cell>
          <cell r="B232" t="str">
            <v>12-Oct-1996</v>
          </cell>
          <cell r="C232">
            <v>30</v>
          </cell>
          <cell r="D232">
            <v>0</v>
          </cell>
          <cell r="E232">
            <v>9338.61</v>
          </cell>
          <cell r="F232" t="str">
            <v>tier - 2</v>
          </cell>
          <cell r="G232" t="str">
            <v>tier - 1</v>
          </cell>
          <cell r="H232" t="str">
            <v>R1026</v>
          </cell>
        </row>
        <row r="233">
          <cell r="A233" t="str">
            <v>ID1206</v>
          </cell>
          <cell r="B233" t="str">
            <v>9-Jul-1988</v>
          </cell>
          <cell r="C233">
            <v>38</v>
          </cell>
          <cell r="D233">
            <v>3</v>
          </cell>
          <cell r="E233">
            <v>9320.26</v>
          </cell>
          <cell r="F233" t="str">
            <v>tier - 2</v>
          </cell>
          <cell r="G233" t="str">
            <v>tier - 1</v>
          </cell>
          <cell r="H233" t="str">
            <v>R1012</v>
          </cell>
        </row>
        <row r="234">
          <cell r="A234" t="str">
            <v>ID1207</v>
          </cell>
          <cell r="B234" t="str">
            <v>12-Oct-1977</v>
          </cell>
          <cell r="C234">
            <v>49</v>
          </cell>
          <cell r="D234">
            <v>2</v>
          </cell>
          <cell r="E234">
            <v>9315.41</v>
          </cell>
          <cell r="F234" t="str">
            <v>tier - 2</v>
          </cell>
          <cell r="G234" t="str">
            <v>tier - 1</v>
          </cell>
          <cell r="H234" t="str">
            <v>R1024</v>
          </cell>
        </row>
        <row r="235">
          <cell r="A235" t="str">
            <v>ID1208</v>
          </cell>
          <cell r="B235" t="str">
            <v>8-Jun-1963</v>
          </cell>
          <cell r="C235">
            <v>63</v>
          </cell>
          <cell r="D235">
            <v>0</v>
          </cell>
          <cell r="E235">
            <v>9310.81</v>
          </cell>
          <cell r="F235" t="str">
            <v>tier - 3</v>
          </cell>
          <cell r="G235" t="str">
            <v>tier - 1</v>
          </cell>
          <cell r="H235" t="str">
            <v>R1013</v>
          </cell>
        </row>
        <row r="236">
          <cell r="A236" t="str">
            <v>ID1209</v>
          </cell>
          <cell r="B236" t="str">
            <v>16-Oct-1973</v>
          </cell>
          <cell r="C236">
            <v>53</v>
          </cell>
          <cell r="D236">
            <v>2</v>
          </cell>
          <cell r="E236">
            <v>9304.7000000000007</v>
          </cell>
          <cell r="F236" t="str">
            <v>tier - 3</v>
          </cell>
          <cell r="G236" t="str">
            <v>tier - 3</v>
          </cell>
          <cell r="H236" t="str">
            <v>R1013</v>
          </cell>
        </row>
        <row r="237">
          <cell r="A237" t="str">
            <v>ID121</v>
          </cell>
          <cell r="B237" t="str">
            <v>5-Jul-1981</v>
          </cell>
          <cell r="C237">
            <v>45</v>
          </cell>
          <cell r="D237">
            <v>3</v>
          </cell>
          <cell r="E237">
            <v>39597.410000000003</v>
          </cell>
          <cell r="F237" t="str">
            <v>tier - 1</v>
          </cell>
          <cell r="G237" t="str">
            <v>tier - 2</v>
          </cell>
          <cell r="H237" t="str">
            <v>R1017</v>
          </cell>
        </row>
        <row r="238">
          <cell r="A238" t="str">
            <v>ID1210</v>
          </cell>
          <cell r="B238" t="str">
            <v>3-Nov-1976</v>
          </cell>
          <cell r="C238">
            <v>49</v>
          </cell>
          <cell r="D238">
            <v>3</v>
          </cell>
          <cell r="E238">
            <v>9301.89</v>
          </cell>
          <cell r="F238" t="str">
            <v>tier - 2</v>
          </cell>
          <cell r="G238" t="str">
            <v>tier - 1</v>
          </cell>
          <cell r="H238" t="str">
            <v>R1012</v>
          </cell>
        </row>
        <row r="239">
          <cell r="A239" t="str">
            <v>ID1211</v>
          </cell>
          <cell r="B239" t="str">
            <v>18-Sep-1973</v>
          </cell>
          <cell r="C239">
            <v>53</v>
          </cell>
          <cell r="D239">
            <v>1</v>
          </cell>
          <cell r="E239">
            <v>9290.14</v>
          </cell>
          <cell r="F239" t="str">
            <v>tier - 3</v>
          </cell>
          <cell r="G239" t="str">
            <v>tier - 3</v>
          </cell>
          <cell r="H239" t="str">
            <v>R1016</v>
          </cell>
        </row>
        <row r="240">
          <cell r="A240" t="str">
            <v>ID1212</v>
          </cell>
          <cell r="B240" t="str">
            <v>16-Oct-1973</v>
          </cell>
          <cell r="C240">
            <v>53</v>
          </cell>
          <cell r="D240">
            <v>1</v>
          </cell>
          <cell r="E240">
            <v>9288.0300000000007</v>
          </cell>
          <cell r="F240" t="str">
            <v>tier - 2</v>
          </cell>
          <cell r="G240" t="str">
            <v>tier - 3</v>
          </cell>
          <cell r="H240" t="str">
            <v>R1018</v>
          </cell>
        </row>
        <row r="241">
          <cell r="A241" t="str">
            <v>ID1213</v>
          </cell>
          <cell r="B241" t="str">
            <v>26-Nov-1969</v>
          </cell>
          <cell r="C241">
            <v>56</v>
          </cell>
          <cell r="D241">
            <v>0</v>
          </cell>
          <cell r="E241">
            <v>9285.8700000000008</v>
          </cell>
          <cell r="F241" t="str">
            <v>tier - 2</v>
          </cell>
          <cell r="G241" t="str">
            <v>tier - 3</v>
          </cell>
          <cell r="H241" t="str">
            <v>R1013</v>
          </cell>
        </row>
        <row r="242">
          <cell r="A242" t="str">
            <v>ID1214</v>
          </cell>
          <cell r="B242" t="str">
            <v>2-Jul-1971</v>
          </cell>
          <cell r="C242">
            <v>55</v>
          </cell>
          <cell r="D242">
            <v>0</v>
          </cell>
          <cell r="E242">
            <v>9283.56</v>
          </cell>
          <cell r="F242" t="str">
            <v>tier - 2</v>
          </cell>
          <cell r="G242" t="str">
            <v>tier - 3</v>
          </cell>
          <cell r="H242" t="str">
            <v>R1013</v>
          </cell>
        </row>
        <row r="243">
          <cell r="A243" t="str">
            <v>ID1215</v>
          </cell>
          <cell r="B243" t="str">
            <v>27-Oct-1973</v>
          </cell>
          <cell r="C243">
            <v>52</v>
          </cell>
          <cell r="D243">
            <v>1</v>
          </cell>
          <cell r="E243">
            <v>9282.48</v>
          </cell>
          <cell r="F243" t="str">
            <v>tier - 3</v>
          </cell>
          <cell r="G243" t="str">
            <v>tier - 2</v>
          </cell>
          <cell r="H243" t="str">
            <v>R1016</v>
          </cell>
        </row>
        <row r="244">
          <cell r="A244" t="str">
            <v>ID1216</v>
          </cell>
          <cell r="B244" t="str">
            <v>6-Aug-1971</v>
          </cell>
          <cell r="C244">
            <v>55</v>
          </cell>
          <cell r="D244">
            <v>0</v>
          </cell>
          <cell r="E244">
            <v>9264.7999999999993</v>
          </cell>
          <cell r="F244" t="str">
            <v>tier - 2</v>
          </cell>
          <cell r="G244" t="str">
            <v>tier - 1</v>
          </cell>
          <cell r="H244" t="str">
            <v>R1011</v>
          </cell>
        </row>
        <row r="245">
          <cell r="A245" t="str">
            <v>ID1217</v>
          </cell>
          <cell r="B245" t="str">
            <v>21-Aug-1974</v>
          </cell>
          <cell r="C245">
            <v>52</v>
          </cell>
          <cell r="D245">
            <v>1</v>
          </cell>
          <cell r="E245">
            <v>9249.5</v>
          </cell>
          <cell r="F245" t="str">
            <v>tier - 2</v>
          </cell>
          <cell r="G245" t="str">
            <v>tier - 1</v>
          </cell>
          <cell r="H245" t="str">
            <v>R1012</v>
          </cell>
        </row>
        <row r="246">
          <cell r="A246" t="str">
            <v>ID1218</v>
          </cell>
          <cell r="B246" t="str">
            <v>5-Oct-1980</v>
          </cell>
          <cell r="C246">
            <v>46</v>
          </cell>
          <cell r="D246">
            <v>2</v>
          </cell>
          <cell r="E246">
            <v>9247.94</v>
          </cell>
          <cell r="F246" t="str">
            <v>tier - 2</v>
          </cell>
          <cell r="G246" t="str">
            <v>tier - 1</v>
          </cell>
          <cell r="H246" t="str">
            <v>R1021</v>
          </cell>
        </row>
        <row r="247">
          <cell r="A247" t="str">
            <v>ID1219</v>
          </cell>
          <cell r="B247" t="str">
            <v>6-Dec-1975</v>
          </cell>
          <cell r="C247">
            <v>50</v>
          </cell>
          <cell r="D247">
            <v>2</v>
          </cell>
          <cell r="E247">
            <v>9225.26</v>
          </cell>
          <cell r="F247" t="str">
            <v>tier - 3</v>
          </cell>
          <cell r="G247" t="str">
            <v>tier - 3</v>
          </cell>
          <cell r="H247" t="str">
            <v>R1015</v>
          </cell>
        </row>
        <row r="248">
          <cell r="A248" t="str">
            <v>ID122</v>
          </cell>
          <cell r="B248" t="str">
            <v>12-Jul-1978</v>
          </cell>
          <cell r="C248">
            <v>48</v>
          </cell>
          <cell r="D248">
            <v>1</v>
          </cell>
          <cell r="E248">
            <v>39556.49</v>
          </cell>
          <cell r="F248" t="str">
            <v>tier - 1</v>
          </cell>
          <cell r="G248" t="str">
            <v>tier - 2</v>
          </cell>
          <cell r="H248" t="str">
            <v>R1015</v>
          </cell>
        </row>
        <row r="249">
          <cell r="A249" t="str">
            <v>ID1220</v>
          </cell>
          <cell r="B249" t="str">
            <v>5-Dec-1981</v>
          </cell>
          <cell r="C249">
            <v>44</v>
          </cell>
          <cell r="D249">
            <v>5</v>
          </cell>
          <cell r="E249">
            <v>9222.4</v>
          </cell>
          <cell r="F249" t="str">
            <v>tier - 2</v>
          </cell>
          <cell r="G249" t="str">
            <v>tier - 3</v>
          </cell>
          <cell r="H249" t="str">
            <v>R1019</v>
          </cell>
        </row>
        <row r="250">
          <cell r="A250" t="str">
            <v>ID1221</v>
          </cell>
          <cell r="B250" t="str">
            <v>25-Dec-1986</v>
          </cell>
          <cell r="C250">
            <v>39</v>
          </cell>
          <cell r="D250">
            <v>3</v>
          </cell>
          <cell r="E250">
            <v>9210.06</v>
          </cell>
          <cell r="F250" t="str">
            <v>tier - 2</v>
          </cell>
          <cell r="G250" t="str">
            <v>tier - 3</v>
          </cell>
          <cell r="H250" t="str">
            <v>R1021</v>
          </cell>
        </row>
        <row r="251">
          <cell r="A251" t="str">
            <v>ID1222</v>
          </cell>
          <cell r="B251" t="str">
            <v>10-Sep-1976</v>
          </cell>
          <cell r="C251">
            <v>50</v>
          </cell>
          <cell r="D251">
            <v>2</v>
          </cell>
          <cell r="E251">
            <v>9193.84</v>
          </cell>
          <cell r="F251" t="str">
            <v>tier - 2</v>
          </cell>
          <cell r="G251" t="str">
            <v>tier - 1</v>
          </cell>
          <cell r="H251" t="str">
            <v>R1012</v>
          </cell>
        </row>
        <row r="252">
          <cell r="A252" t="str">
            <v>ID1223</v>
          </cell>
          <cell r="B252" t="str">
            <v>25-Dec-1973</v>
          </cell>
          <cell r="C252">
            <v>52</v>
          </cell>
          <cell r="D252">
            <v>1</v>
          </cell>
          <cell r="E252">
            <v>9182.17</v>
          </cell>
          <cell r="F252" t="str">
            <v>tier - 2</v>
          </cell>
          <cell r="G252" t="str">
            <v>tier - 3</v>
          </cell>
          <cell r="H252" t="str">
            <v>R1011</v>
          </cell>
        </row>
        <row r="253">
          <cell r="A253" t="str">
            <v>ID1224</v>
          </cell>
          <cell r="B253" t="str">
            <v>29-Dec-1971</v>
          </cell>
          <cell r="C253">
            <v>54</v>
          </cell>
          <cell r="D253">
            <v>0</v>
          </cell>
          <cell r="E253">
            <v>9174.14</v>
          </cell>
          <cell r="F253" t="str">
            <v>tier - 3</v>
          </cell>
          <cell r="G253" t="str">
            <v>tier - 1</v>
          </cell>
          <cell r="H253" t="str">
            <v>R1012</v>
          </cell>
        </row>
        <row r="254">
          <cell r="A254" t="str">
            <v>ID1225</v>
          </cell>
          <cell r="B254" t="str">
            <v>24-Oct-1970</v>
          </cell>
          <cell r="C254">
            <v>55</v>
          </cell>
          <cell r="D254">
            <v>0</v>
          </cell>
          <cell r="E254">
            <v>9171.75</v>
          </cell>
          <cell r="F254" t="str">
            <v>tier - 2</v>
          </cell>
          <cell r="G254" t="str">
            <v>tier - 2</v>
          </cell>
          <cell r="H254" t="str">
            <v>R1012</v>
          </cell>
        </row>
        <row r="255">
          <cell r="A255" t="str">
            <v>ID1226</v>
          </cell>
          <cell r="B255" t="str">
            <v>23-Aug-1990</v>
          </cell>
          <cell r="C255">
            <v>36</v>
          </cell>
          <cell r="D255">
            <v>3</v>
          </cell>
          <cell r="E255">
            <v>9159.51</v>
          </cell>
          <cell r="F255" t="str">
            <v>tier - 2</v>
          </cell>
          <cell r="G255" t="str">
            <v>tier - 2</v>
          </cell>
          <cell r="H255" t="str">
            <v>R1021</v>
          </cell>
        </row>
        <row r="256">
          <cell r="A256" t="str">
            <v>ID1227</v>
          </cell>
          <cell r="B256" t="str">
            <v>8-Dec-1982</v>
          </cell>
          <cell r="C256">
            <v>43</v>
          </cell>
          <cell r="D256">
            <v>3</v>
          </cell>
          <cell r="E256">
            <v>9147.5</v>
          </cell>
          <cell r="F256" t="str">
            <v>tier - 2</v>
          </cell>
          <cell r="G256" t="str">
            <v>tier - 1</v>
          </cell>
          <cell r="H256" t="str">
            <v>R1012</v>
          </cell>
        </row>
        <row r="257">
          <cell r="A257" t="str">
            <v>ID1228</v>
          </cell>
          <cell r="B257" t="str">
            <v>18-Oct-1970</v>
          </cell>
          <cell r="C257">
            <v>56</v>
          </cell>
          <cell r="D257">
            <v>0</v>
          </cell>
          <cell r="E257">
            <v>9144.57</v>
          </cell>
          <cell r="F257" t="str">
            <v>tier - 3</v>
          </cell>
          <cell r="G257" t="str">
            <v>tier - 2</v>
          </cell>
          <cell r="H257" t="str">
            <v>R1011</v>
          </cell>
        </row>
        <row r="258">
          <cell r="A258" t="str">
            <v>ID1229</v>
          </cell>
          <cell r="B258" t="str">
            <v>12-Aug-1970</v>
          </cell>
          <cell r="C258">
            <v>56</v>
          </cell>
          <cell r="D258">
            <v>0</v>
          </cell>
          <cell r="E258">
            <v>9140.9500000000007</v>
          </cell>
          <cell r="F258" t="str">
            <v>tier - 3</v>
          </cell>
          <cell r="G258" t="str">
            <v>tier - 3</v>
          </cell>
          <cell r="H258" t="str">
            <v>R1013</v>
          </cell>
        </row>
        <row r="259">
          <cell r="A259" t="str">
            <v>ID123</v>
          </cell>
          <cell r="B259" t="str">
            <v>24-Jun-1966</v>
          </cell>
          <cell r="C259">
            <v>60</v>
          </cell>
          <cell r="D259">
            <v>0</v>
          </cell>
          <cell r="E259">
            <v>39396.86</v>
          </cell>
          <cell r="F259" t="str">
            <v>tier - 2</v>
          </cell>
          <cell r="G259" t="str">
            <v>tier - 2</v>
          </cell>
          <cell r="H259" t="str">
            <v>R1011</v>
          </cell>
        </row>
        <row r="260">
          <cell r="A260" t="str">
            <v>ID1230</v>
          </cell>
          <cell r="B260" t="str">
            <v>2-Dec-1977</v>
          </cell>
          <cell r="C260">
            <v>48</v>
          </cell>
          <cell r="D260">
            <v>3</v>
          </cell>
          <cell r="E260">
            <v>9101.7999999999993</v>
          </cell>
          <cell r="F260" t="str">
            <v>tier - 2</v>
          </cell>
          <cell r="G260" t="str">
            <v>tier - 1</v>
          </cell>
          <cell r="H260" t="str">
            <v>R1011</v>
          </cell>
        </row>
        <row r="261">
          <cell r="A261" t="str">
            <v>ID1231</v>
          </cell>
          <cell r="B261" t="str">
            <v>9-Nov-1965</v>
          </cell>
          <cell r="C261">
            <v>60</v>
          </cell>
          <cell r="D261">
            <v>0</v>
          </cell>
          <cell r="E261">
            <v>9095.94</v>
          </cell>
          <cell r="F261" t="str">
            <v>tier - 3</v>
          </cell>
          <cell r="G261" t="str">
            <v>tier - 1</v>
          </cell>
          <cell r="H261" t="str">
            <v>R1011</v>
          </cell>
        </row>
        <row r="262">
          <cell r="A262" t="str">
            <v>ID1232</v>
          </cell>
          <cell r="B262" t="str">
            <v>4-Nov-1977</v>
          </cell>
          <cell r="C262">
            <v>48</v>
          </cell>
          <cell r="D262">
            <v>2</v>
          </cell>
          <cell r="E262">
            <v>9095.07</v>
          </cell>
          <cell r="F262" t="str">
            <v>tier - 2</v>
          </cell>
          <cell r="G262" t="str">
            <v>tier - 2</v>
          </cell>
          <cell r="H262" t="str">
            <v>R1024</v>
          </cell>
        </row>
        <row r="263">
          <cell r="A263" t="str">
            <v>ID1233</v>
          </cell>
          <cell r="B263" t="str">
            <v>2-Dec-1972</v>
          </cell>
          <cell r="C263">
            <v>53</v>
          </cell>
          <cell r="D263">
            <v>1</v>
          </cell>
          <cell r="E263">
            <v>9058.73</v>
          </cell>
          <cell r="F263" t="str">
            <v>tier - 3</v>
          </cell>
          <cell r="G263" t="str">
            <v>tier - 2</v>
          </cell>
          <cell r="H263" t="str">
            <v>R1013</v>
          </cell>
        </row>
        <row r="264">
          <cell r="A264" t="str">
            <v>ID1234</v>
          </cell>
          <cell r="B264" t="str">
            <v>7-Dec-1972</v>
          </cell>
          <cell r="C264">
            <v>53</v>
          </cell>
          <cell r="D264">
            <v>1</v>
          </cell>
          <cell r="E264">
            <v>9048.0300000000007</v>
          </cell>
          <cell r="F264" t="str">
            <v>tier - 2</v>
          </cell>
          <cell r="G264" t="str">
            <v>tier - 2</v>
          </cell>
          <cell r="H264" t="str">
            <v>R1013</v>
          </cell>
        </row>
        <row r="265">
          <cell r="A265" t="str">
            <v>ID1235</v>
          </cell>
          <cell r="B265" t="str">
            <v>1-Dec-1993</v>
          </cell>
          <cell r="C265">
            <v>32</v>
          </cell>
          <cell r="D265">
            <v>0</v>
          </cell>
          <cell r="E265">
            <v>9010.2000000000007</v>
          </cell>
          <cell r="F265" t="str">
            <v>tier - 2</v>
          </cell>
          <cell r="G265" t="str">
            <v>tier - 3</v>
          </cell>
          <cell r="H265" t="str">
            <v>R1026</v>
          </cell>
        </row>
        <row r="266">
          <cell r="A266" t="str">
            <v>ID1236</v>
          </cell>
          <cell r="B266" t="str">
            <v>16-Dec-1979</v>
          </cell>
          <cell r="C266">
            <v>46</v>
          </cell>
          <cell r="D266">
            <v>2</v>
          </cell>
          <cell r="E266">
            <v>8998.43</v>
          </cell>
          <cell r="F266" t="str">
            <v>tier - 2</v>
          </cell>
          <cell r="G266" t="str">
            <v>tier - 1</v>
          </cell>
          <cell r="H266" t="str">
            <v>R1025</v>
          </cell>
        </row>
        <row r="267">
          <cell r="A267" t="str">
            <v>ID1237</v>
          </cell>
          <cell r="B267" t="str">
            <v>11-Oct-1973</v>
          </cell>
          <cell r="C267">
            <v>53</v>
          </cell>
          <cell r="D267">
            <v>0</v>
          </cell>
          <cell r="E267">
            <v>8988.16</v>
          </cell>
          <cell r="F267" t="str">
            <v>tier - 2</v>
          </cell>
          <cell r="G267" t="str">
            <v>tier - 1</v>
          </cell>
          <cell r="H267" t="str">
            <v>R1012</v>
          </cell>
        </row>
        <row r="268">
          <cell r="A268" t="str">
            <v>ID1238</v>
          </cell>
          <cell r="B268" t="str">
            <v>21-Jul-1974</v>
          </cell>
          <cell r="C268">
            <v>52</v>
          </cell>
          <cell r="D268">
            <v>2</v>
          </cell>
          <cell r="E268">
            <v>8978.19</v>
          </cell>
          <cell r="F268" t="str">
            <v>tier - 2</v>
          </cell>
          <cell r="G268" t="str">
            <v>tier - 2</v>
          </cell>
          <cell r="H268" t="str">
            <v>R1013</v>
          </cell>
        </row>
        <row r="269">
          <cell r="A269" t="str">
            <v>ID1239</v>
          </cell>
          <cell r="B269" t="str">
            <v>8-Sep-1974</v>
          </cell>
          <cell r="C269">
            <v>52</v>
          </cell>
          <cell r="D269">
            <v>2</v>
          </cell>
          <cell r="E269">
            <v>8968.33</v>
          </cell>
          <cell r="F269" t="str">
            <v>tier - 3</v>
          </cell>
          <cell r="G269" t="str">
            <v>tier - 2</v>
          </cell>
          <cell r="H269" t="str">
            <v>R1011</v>
          </cell>
        </row>
        <row r="270">
          <cell r="A270" t="str">
            <v>ID124</v>
          </cell>
          <cell r="B270" t="str">
            <v>5-Aug-1978</v>
          </cell>
          <cell r="C270">
            <v>48</v>
          </cell>
          <cell r="D270">
            <v>2</v>
          </cell>
          <cell r="E270">
            <v>39352.6</v>
          </cell>
          <cell r="F270" t="str">
            <v>tier - 2</v>
          </cell>
          <cell r="G270" t="str">
            <v>tier - 3</v>
          </cell>
          <cell r="H270" t="str">
            <v>R1011</v>
          </cell>
        </row>
        <row r="271">
          <cell r="A271" t="str">
            <v>ID1240</v>
          </cell>
          <cell r="B271" t="str">
            <v>15-Jul-1983</v>
          </cell>
          <cell r="C271">
            <v>43</v>
          </cell>
          <cell r="D271">
            <v>5</v>
          </cell>
          <cell r="E271">
            <v>8965.7999999999993</v>
          </cell>
          <cell r="F271" t="str">
            <v>tier - 2</v>
          </cell>
          <cell r="G271" t="str">
            <v>tier - 3</v>
          </cell>
          <cell r="H271" t="str">
            <v>R1012</v>
          </cell>
        </row>
        <row r="272">
          <cell r="A272" t="str">
            <v>ID1241</v>
          </cell>
          <cell r="B272" t="str">
            <v>17-Aug-1974</v>
          </cell>
          <cell r="C272">
            <v>52</v>
          </cell>
          <cell r="D272">
            <v>1</v>
          </cell>
          <cell r="E272">
            <v>8964.06</v>
          </cell>
          <cell r="F272" t="str">
            <v>tier - 3</v>
          </cell>
          <cell r="G272" t="str">
            <v>tier - 2</v>
          </cell>
          <cell r="H272" t="str">
            <v>R1016</v>
          </cell>
        </row>
        <row r="273">
          <cell r="A273" t="str">
            <v>ID1242</v>
          </cell>
          <cell r="B273" t="str">
            <v>27-Sep-1992</v>
          </cell>
          <cell r="C273">
            <v>34</v>
          </cell>
          <cell r="D273">
            <v>0</v>
          </cell>
          <cell r="E273">
            <v>8954.99</v>
          </cell>
          <cell r="F273" t="str">
            <v>tier - 2</v>
          </cell>
          <cell r="G273" t="str">
            <v>tier - 3</v>
          </cell>
          <cell r="H273" t="str">
            <v>R1026</v>
          </cell>
        </row>
        <row r="274">
          <cell r="A274" t="str">
            <v>ID1243</v>
          </cell>
          <cell r="B274" t="str">
            <v>25-Dec-1976</v>
          </cell>
          <cell r="C274">
            <v>49</v>
          </cell>
          <cell r="D274">
            <v>3</v>
          </cell>
          <cell r="E274">
            <v>8944.1200000000008</v>
          </cell>
          <cell r="F274" t="str">
            <v>tier - 3</v>
          </cell>
          <cell r="G274" t="str">
            <v>tier - 2</v>
          </cell>
          <cell r="H274" t="str">
            <v>R1013</v>
          </cell>
        </row>
        <row r="275">
          <cell r="A275" t="str">
            <v>ID1244</v>
          </cell>
          <cell r="B275" t="str">
            <v>6-Jun-1972</v>
          </cell>
          <cell r="C275">
            <v>54</v>
          </cell>
          <cell r="D275">
            <v>0</v>
          </cell>
          <cell r="E275">
            <v>8932.08</v>
          </cell>
          <cell r="F275" t="str">
            <v>tier - 2</v>
          </cell>
          <cell r="G275" t="str">
            <v>tier - 1</v>
          </cell>
          <cell r="H275" t="str">
            <v>R1011</v>
          </cell>
        </row>
        <row r="276">
          <cell r="A276" t="str">
            <v>ID1245</v>
          </cell>
          <cell r="B276" t="str">
            <v>7-Jul-1975</v>
          </cell>
          <cell r="C276">
            <v>51</v>
          </cell>
          <cell r="D276">
            <v>1</v>
          </cell>
          <cell r="E276">
            <v>8930.93</v>
          </cell>
          <cell r="F276" t="str">
            <v>tier - 2</v>
          </cell>
          <cell r="G276" t="str">
            <v>tier - 2</v>
          </cell>
          <cell r="H276" t="str">
            <v>R1012</v>
          </cell>
        </row>
        <row r="277">
          <cell r="A277" t="str">
            <v>ID1246</v>
          </cell>
          <cell r="B277" t="str">
            <v>6-Sep-1967</v>
          </cell>
          <cell r="C277">
            <v>59</v>
          </cell>
          <cell r="D277">
            <v>0</v>
          </cell>
          <cell r="E277">
            <v>8908.4699999999993</v>
          </cell>
          <cell r="F277" t="str">
            <v>tier - 3</v>
          </cell>
          <cell r="G277" t="str">
            <v>tier - 2</v>
          </cell>
          <cell r="H277" t="str">
            <v>R1013</v>
          </cell>
        </row>
        <row r="278">
          <cell r="A278" t="str">
            <v>ID1247</v>
          </cell>
          <cell r="B278" t="str">
            <v>28-Nov-1997</v>
          </cell>
          <cell r="C278">
            <v>28</v>
          </cell>
          <cell r="D278">
            <v>0</v>
          </cell>
          <cell r="E278">
            <v>8906.14</v>
          </cell>
          <cell r="F278" t="str">
            <v>tier - 2</v>
          </cell>
          <cell r="G278" t="str">
            <v>tier - 2</v>
          </cell>
          <cell r="H278" t="str">
            <v>R1012</v>
          </cell>
        </row>
        <row r="279">
          <cell r="A279" t="str">
            <v>ID1248</v>
          </cell>
          <cell r="B279" t="str">
            <v>16-Dec-1978</v>
          </cell>
          <cell r="C279">
            <v>47</v>
          </cell>
          <cell r="D279">
            <v>3</v>
          </cell>
          <cell r="E279">
            <v>8891.14</v>
          </cell>
          <cell r="F279" t="str">
            <v>tier - 2</v>
          </cell>
          <cell r="G279" t="str">
            <v>tier - 3</v>
          </cell>
          <cell r="H279" t="str">
            <v>R1017</v>
          </cell>
        </row>
        <row r="280">
          <cell r="A280" t="str">
            <v>ID1249</v>
          </cell>
          <cell r="B280" t="str">
            <v>9-Sep-1973</v>
          </cell>
          <cell r="C280">
            <v>53</v>
          </cell>
          <cell r="D280">
            <v>0</v>
          </cell>
          <cell r="E280">
            <v>8890.59</v>
          </cell>
          <cell r="F280" t="str">
            <v>tier - 2</v>
          </cell>
          <cell r="G280" t="str">
            <v>tier - 3</v>
          </cell>
          <cell r="H280" t="str">
            <v>R1012</v>
          </cell>
        </row>
        <row r="281">
          <cell r="A281" t="str">
            <v>ID125</v>
          </cell>
          <cell r="B281" t="str">
            <v>16-Aug-1982</v>
          </cell>
          <cell r="C281">
            <v>44</v>
          </cell>
          <cell r="D281">
            <v>3</v>
          </cell>
          <cell r="E281">
            <v>39315.279999999999</v>
          </cell>
          <cell r="F281" t="str">
            <v>tier - 2</v>
          </cell>
          <cell r="G281" t="str">
            <v>tier - 3</v>
          </cell>
          <cell r="H281" t="str">
            <v>R1011</v>
          </cell>
        </row>
        <row r="282">
          <cell r="A282" t="str">
            <v>ID1250</v>
          </cell>
          <cell r="B282" t="str">
            <v>18-Jun-1974</v>
          </cell>
          <cell r="C282">
            <v>52</v>
          </cell>
          <cell r="D282">
            <v>1</v>
          </cell>
          <cell r="E282">
            <v>8871.15</v>
          </cell>
          <cell r="F282" t="str">
            <v>tier - 2</v>
          </cell>
          <cell r="G282" t="str">
            <v>tier - 3</v>
          </cell>
          <cell r="H282" t="str">
            <v>R1013</v>
          </cell>
        </row>
        <row r="283">
          <cell r="A283" t="str">
            <v>ID1251</v>
          </cell>
          <cell r="B283" t="str">
            <v>22-Nov-1972</v>
          </cell>
          <cell r="C283">
            <v>53</v>
          </cell>
          <cell r="D283">
            <v>0</v>
          </cell>
          <cell r="E283">
            <v>8835.26</v>
          </cell>
          <cell r="F283" t="str">
            <v>tier - 3</v>
          </cell>
          <cell r="G283" t="str">
            <v>tier - 2</v>
          </cell>
          <cell r="H283" t="str">
            <v>R1012</v>
          </cell>
        </row>
        <row r="284">
          <cell r="A284" t="str">
            <v>ID1252</v>
          </cell>
          <cell r="B284" t="str">
            <v>14-Nov-1972</v>
          </cell>
          <cell r="C284">
            <v>53</v>
          </cell>
          <cell r="D284">
            <v>0</v>
          </cell>
          <cell r="E284">
            <v>8827.2099999999991</v>
          </cell>
          <cell r="F284" t="str">
            <v>tier - 3</v>
          </cell>
          <cell r="G284" t="str">
            <v>tier - 1</v>
          </cell>
          <cell r="H284" t="str">
            <v>R1012</v>
          </cell>
        </row>
        <row r="285">
          <cell r="A285" t="str">
            <v>ID1253</v>
          </cell>
          <cell r="B285" t="str">
            <v>14-Jul-1976</v>
          </cell>
          <cell r="C285">
            <v>50</v>
          </cell>
          <cell r="D285">
            <v>2</v>
          </cell>
          <cell r="E285">
            <v>8825.09</v>
          </cell>
          <cell r="F285" t="str">
            <v>tier - 2</v>
          </cell>
          <cell r="G285" t="str">
            <v>tier - 3</v>
          </cell>
          <cell r="H285" t="str">
            <v>R1011</v>
          </cell>
        </row>
        <row r="286">
          <cell r="A286" t="str">
            <v>ID1254</v>
          </cell>
          <cell r="B286" t="str">
            <v>22-Aug-1988</v>
          </cell>
          <cell r="C286">
            <v>38</v>
          </cell>
          <cell r="D286">
            <v>3</v>
          </cell>
          <cell r="E286">
            <v>8824.27</v>
          </cell>
          <cell r="F286" t="str">
            <v>tier - 2</v>
          </cell>
          <cell r="G286" t="str">
            <v>tier - 1</v>
          </cell>
          <cell r="H286" t="str">
            <v>R1025</v>
          </cell>
        </row>
        <row r="287">
          <cell r="A287" t="str">
            <v>ID1255</v>
          </cell>
          <cell r="B287" t="str">
            <v>19-Oct-1976</v>
          </cell>
          <cell r="C287">
            <v>49</v>
          </cell>
          <cell r="D287">
            <v>1</v>
          </cell>
          <cell r="E287">
            <v>8823.99</v>
          </cell>
          <cell r="F287" t="str">
            <v>tier - 2</v>
          </cell>
          <cell r="G287" t="str">
            <v>tier - 3</v>
          </cell>
          <cell r="H287" t="str">
            <v>R1024</v>
          </cell>
        </row>
        <row r="288">
          <cell r="A288" t="str">
            <v>ID1256</v>
          </cell>
          <cell r="B288" t="str">
            <v>14-Jun-1976</v>
          </cell>
          <cell r="C288">
            <v>50</v>
          </cell>
          <cell r="D288">
            <v>2</v>
          </cell>
          <cell r="E288">
            <v>8823.2800000000007</v>
          </cell>
          <cell r="F288" t="str">
            <v>tier - 2</v>
          </cell>
          <cell r="G288" t="str">
            <v>tier - 1</v>
          </cell>
          <cell r="H288" t="str">
            <v>R1011</v>
          </cell>
        </row>
        <row r="289">
          <cell r="A289" t="str">
            <v>ID1257</v>
          </cell>
          <cell r="B289" t="str">
            <v>7-Nov-2001</v>
          </cell>
          <cell r="C289">
            <v>24</v>
          </cell>
          <cell r="D289">
            <v>0</v>
          </cell>
          <cell r="E289">
            <v>8821.8799999999992</v>
          </cell>
          <cell r="F289" t="str">
            <v>tier - 2</v>
          </cell>
          <cell r="G289" t="str">
            <v>tier - 3</v>
          </cell>
          <cell r="H289" t="str">
            <v>R1023</v>
          </cell>
        </row>
        <row r="290">
          <cell r="A290" t="str">
            <v>ID1258</v>
          </cell>
          <cell r="B290" t="str">
            <v>29-Aug-1965</v>
          </cell>
          <cell r="C290">
            <v>61</v>
          </cell>
          <cell r="D290">
            <v>0</v>
          </cell>
          <cell r="E290">
            <v>8800.49</v>
          </cell>
          <cell r="F290" t="str">
            <v>tier - 3</v>
          </cell>
          <cell r="G290" t="str">
            <v>tier - 2</v>
          </cell>
          <cell r="H290" t="str">
            <v>R1013</v>
          </cell>
        </row>
        <row r="291">
          <cell r="A291" t="str">
            <v>ID1259</v>
          </cell>
          <cell r="B291" t="str">
            <v>18-Jun-1971</v>
          </cell>
          <cell r="C291">
            <v>55</v>
          </cell>
          <cell r="D291">
            <v>0</v>
          </cell>
          <cell r="E291">
            <v>8798.59</v>
          </cell>
          <cell r="F291" t="str">
            <v>tier - 2</v>
          </cell>
          <cell r="G291" t="str">
            <v>tier - 1</v>
          </cell>
          <cell r="H291" t="str">
            <v>R1011</v>
          </cell>
        </row>
        <row r="292">
          <cell r="A292" t="str">
            <v>ID126</v>
          </cell>
          <cell r="B292" t="str">
            <v>30-Nov-1992</v>
          </cell>
          <cell r="C292">
            <v>33</v>
          </cell>
          <cell r="D292">
            <v>2</v>
          </cell>
          <cell r="E292">
            <v>39241.440000000002</v>
          </cell>
          <cell r="F292" t="str">
            <v>tier - 1</v>
          </cell>
          <cell r="G292" t="str">
            <v>tier - 3</v>
          </cell>
          <cell r="H292" t="str">
            <v>R1011</v>
          </cell>
        </row>
        <row r="293">
          <cell r="A293" t="str">
            <v>ID1260</v>
          </cell>
          <cell r="B293" t="str">
            <v>23-Aug-1971</v>
          </cell>
          <cell r="C293">
            <v>55</v>
          </cell>
          <cell r="D293">
            <v>0</v>
          </cell>
          <cell r="E293">
            <v>8782.4699999999993</v>
          </cell>
          <cell r="F293" t="str">
            <v>tier - 2</v>
          </cell>
          <cell r="G293" t="str">
            <v>tier - 3</v>
          </cell>
          <cell r="H293" t="str">
            <v>R1011</v>
          </cell>
        </row>
        <row r="294">
          <cell r="A294" t="str">
            <v>ID1261</v>
          </cell>
          <cell r="B294" t="str">
            <v>6-Sep-1974</v>
          </cell>
          <cell r="C294">
            <v>52</v>
          </cell>
          <cell r="D294">
            <v>1</v>
          </cell>
          <cell r="E294">
            <v>8765.25</v>
          </cell>
          <cell r="F294" t="str">
            <v>tier - 2</v>
          </cell>
          <cell r="G294" t="str">
            <v>tier - 3</v>
          </cell>
          <cell r="H294" t="str">
            <v>R1012</v>
          </cell>
        </row>
        <row r="295">
          <cell r="A295" t="str">
            <v>ID1262</v>
          </cell>
          <cell r="B295" t="str">
            <v>9-Sep-1969</v>
          </cell>
          <cell r="C295">
            <v>57</v>
          </cell>
          <cell r="D295">
            <v>0</v>
          </cell>
          <cell r="E295">
            <v>8760.1200000000008</v>
          </cell>
          <cell r="F295" t="str">
            <v>tier - 2</v>
          </cell>
          <cell r="G295" t="str">
            <v>tier - 1</v>
          </cell>
          <cell r="H295" t="str">
            <v>R1013</v>
          </cell>
        </row>
        <row r="296">
          <cell r="A296" t="str">
            <v>ID1263</v>
          </cell>
          <cell r="B296" t="str">
            <v>23-Aug-1999</v>
          </cell>
          <cell r="C296">
            <v>27</v>
          </cell>
          <cell r="D296">
            <v>0</v>
          </cell>
          <cell r="E296">
            <v>8747.68</v>
          </cell>
          <cell r="F296" t="str">
            <v>tier - 2</v>
          </cell>
          <cell r="G296" t="str">
            <v>tier - 3</v>
          </cell>
          <cell r="H296" t="str">
            <v>R1011</v>
          </cell>
        </row>
        <row r="297">
          <cell r="A297" t="str">
            <v>ID1264</v>
          </cell>
          <cell r="B297" t="str">
            <v>17-Jun-1976</v>
          </cell>
          <cell r="C297">
            <v>50</v>
          </cell>
          <cell r="D297">
            <v>2</v>
          </cell>
          <cell r="E297">
            <v>8733.23</v>
          </cell>
          <cell r="F297" t="str">
            <v>tier - 2</v>
          </cell>
          <cell r="G297" t="str">
            <v>tier - 3</v>
          </cell>
          <cell r="H297" t="str">
            <v>R1012</v>
          </cell>
        </row>
        <row r="298">
          <cell r="A298" t="str">
            <v>ID1265</v>
          </cell>
          <cell r="B298" t="str">
            <v>25-Jun-1973</v>
          </cell>
          <cell r="C298">
            <v>53</v>
          </cell>
          <cell r="D298">
            <v>1</v>
          </cell>
          <cell r="E298">
            <v>8703.4599999999991</v>
          </cell>
          <cell r="F298" t="str">
            <v>tier - 3</v>
          </cell>
          <cell r="G298" t="str">
            <v>tier - 3</v>
          </cell>
          <cell r="H298" t="str">
            <v>R1011</v>
          </cell>
        </row>
        <row r="299">
          <cell r="A299" t="str">
            <v>ID1266</v>
          </cell>
          <cell r="B299" t="str">
            <v>28-Oct-1980</v>
          </cell>
          <cell r="C299">
            <v>45</v>
          </cell>
          <cell r="D299">
            <v>2</v>
          </cell>
          <cell r="E299">
            <v>8701.84</v>
          </cell>
          <cell r="F299" t="str">
            <v>tier - 2</v>
          </cell>
          <cell r="G299" t="str">
            <v>tier - 3</v>
          </cell>
          <cell r="H299" t="str">
            <v>R1021</v>
          </cell>
        </row>
        <row r="300">
          <cell r="A300" t="str">
            <v>ID1267</v>
          </cell>
          <cell r="B300" t="str">
            <v>11-Oct-1973</v>
          </cell>
          <cell r="C300">
            <v>53</v>
          </cell>
          <cell r="D300">
            <v>0</v>
          </cell>
          <cell r="E300">
            <v>8688.86</v>
          </cell>
          <cell r="F300" t="str">
            <v>tier - 2</v>
          </cell>
          <cell r="G300" t="str">
            <v>tier - 1</v>
          </cell>
          <cell r="H300" t="str">
            <v>R1017</v>
          </cell>
        </row>
        <row r="301">
          <cell r="A301" t="str">
            <v>ID1268</v>
          </cell>
          <cell r="B301" t="str">
            <v>16-Aug-1974</v>
          </cell>
          <cell r="C301">
            <v>52</v>
          </cell>
          <cell r="D301">
            <v>0</v>
          </cell>
          <cell r="E301">
            <v>8671.19</v>
          </cell>
          <cell r="F301" t="str">
            <v>tier - 2</v>
          </cell>
          <cell r="G301" t="str">
            <v>tier - 1</v>
          </cell>
          <cell r="H301" t="str">
            <v>R1012</v>
          </cell>
        </row>
        <row r="302">
          <cell r="A302" t="str">
            <v>ID1269</v>
          </cell>
          <cell r="B302" t="str">
            <v>10-Aug-1969</v>
          </cell>
          <cell r="C302">
            <v>57</v>
          </cell>
          <cell r="D302">
            <v>0</v>
          </cell>
          <cell r="E302">
            <v>8665.14</v>
          </cell>
          <cell r="F302" t="str">
            <v>tier - 2</v>
          </cell>
          <cell r="G302" t="str">
            <v>tier - 3</v>
          </cell>
          <cell r="H302" t="str">
            <v>R1013</v>
          </cell>
        </row>
        <row r="303">
          <cell r="A303" t="str">
            <v>ID127</v>
          </cell>
          <cell r="B303" t="str">
            <v>7-Jul-1962</v>
          </cell>
          <cell r="C303">
            <v>64</v>
          </cell>
          <cell r="D303">
            <v>0</v>
          </cell>
          <cell r="E303">
            <v>39221.120000000003</v>
          </cell>
          <cell r="F303" t="str">
            <v>tier - 2</v>
          </cell>
          <cell r="G303" t="str">
            <v>tier - 1</v>
          </cell>
          <cell r="H303" t="str">
            <v>R1011</v>
          </cell>
        </row>
        <row r="304">
          <cell r="A304" t="str">
            <v>ID1270</v>
          </cell>
          <cell r="B304" t="str">
            <v>21-Oct-1965</v>
          </cell>
          <cell r="C304">
            <v>60</v>
          </cell>
          <cell r="D304">
            <v>0</v>
          </cell>
          <cell r="E304">
            <v>8665.09</v>
          </cell>
          <cell r="F304" t="str">
            <v>tier - 3</v>
          </cell>
          <cell r="G304" t="str">
            <v>tier - 2</v>
          </cell>
          <cell r="H304" t="str">
            <v>R1012</v>
          </cell>
        </row>
        <row r="305">
          <cell r="A305" t="str">
            <v>ID1271</v>
          </cell>
          <cell r="B305" t="str">
            <v>3-Aug-1975</v>
          </cell>
          <cell r="C305">
            <v>51</v>
          </cell>
          <cell r="D305">
            <v>1</v>
          </cell>
          <cell r="E305">
            <v>8627.5400000000009</v>
          </cell>
          <cell r="F305" t="str">
            <v>tier - 2</v>
          </cell>
          <cell r="G305" t="str">
            <v>tier - 2</v>
          </cell>
          <cell r="H305" t="str">
            <v>R1017</v>
          </cell>
        </row>
        <row r="306">
          <cell r="A306" t="str">
            <v>ID1272</v>
          </cell>
          <cell r="B306" t="str">
            <v>2-Sep-1977</v>
          </cell>
          <cell r="C306">
            <v>49</v>
          </cell>
          <cell r="D306">
            <v>3</v>
          </cell>
          <cell r="E306">
            <v>8615.2999999999993</v>
          </cell>
          <cell r="F306" t="str">
            <v>tier - 2</v>
          </cell>
          <cell r="G306" t="str">
            <v>tier - 3</v>
          </cell>
          <cell r="H306" t="str">
            <v>R1011</v>
          </cell>
        </row>
        <row r="307">
          <cell r="A307" t="str">
            <v>ID1273</v>
          </cell>
          <cell r="B307" t="str">
            <v>17-Jul-1979</v>
          </cell>
          <cell r="C307">
            <v>47</v>
          </cell>
          <cell r="D307">
            <v>3</v>
          </cell>
          <cell r="E307">
            <v>8606.2199999999993</v>
          </cell>
          <cell r="F307" t="str">
            <v>tier - 1</v>
          </cell>
          <cell r="G307" t="str">
            <v>tier - 2</v>
          </cell>
          <cell r="H307" t="str">
            <v>R1014</v>
          </cell>
        </row>
        <row r="308">
          <cell r="A308" t="str">
            <v>ID1274</v>
          </cell>
          <cell r="B308" t="str">
            <v>15-Oct-1977</v>
          </cell>
          <cell r="C308">
            <v>49</v>
          </cell>
          <cell r="D308">
            <v>3</v>
          </cell>
          <cell r="E308">
            <v>8605.36</v>
          </cell>
          <cell r="F308" t="str">
            <v>tier - 2</v>
          </cell>
          <cell r="G308" t="str">
            <v>tier - 2</v>
          </cell>
          <cell r="H308" t="str">
            <v>R1013</v>
          </cell>
        </row>
        <row r="309">
          <cell r="A309" t="str">
            <v>ID1275</v>
          </cell>
          <cell r="B309" t="str">
            <v>12-Nov-1977</v>
          </cell>
          <cell r="C309">
            <v>48</v>
          </cell>
          <cell r="D309">
            <v>2</v>
          </cell>
          <cell r="E309">
            <v>8604.48</v>
          </cell>
          <cell r="F309" t="str">
            <v>tier - 3</v>
          </cell>
          <cell r="G309" t="str">
            <v>tier - 2</v>
          </cell>
          <cell r="H309" t="str">
            <v>R1016</v>
          </cell>
        </row>
        <row r="310">
          <cell r="A310" t="str">
            <v>ID1276</v>
          </cell>
          <cell r="B310" t="str">
            <v>24-Sep-1977</v>
          </cell>
          <cell r="C310">
            <v>49</v>
          </cell>
          <cell r="D310">
            <v>2</v>
          </cell>
          <cell r="E310">
            <v>8603.82</v>
          </cell>
          <cell r="F310" t="str">
            <v>tier - 2</v>
          </cell>
          <cell r="G310" t="str">
            <v>tier - 1</v>
          </cell>
          <cell r="H310" t="str">
            <v>R1019</v>
          </cell>
        </row>
        <row r="311">
          <cell r="A311" t="str">
            <v>ID1277</v>
          </cell>
          <cell r="B311" t="str">
            <v>11-Jul-1973</v>
          </cell>
          <cell r="C311">
            <v>53</v>
          </cell>
          <cell r="D311">
            <v>0</v>
          </cell>
          <cell r="E311">
            <v>8601.33</v>
          </cell>
          <cell r="F311" t="str">
            <v>tier - 2</v>
          </cell>
          <cell r="G311" t="str">
            <v>tier - 1</v>
          </cell>
          <cell r="H311" t="str">
            <v>R1013</v>
          </cell>
        </row>
        <row r="312">
          <cell r="A312" t="str">
            <v>ID1278</v>
          </cell>
          <cell r="B312" t="str">
            <v>25-Jul-1983</v>
          </cell>
          <cell r="C312">
            <v>43</v>
          </cell>
          <cell r="D312">
            <v>5</v>
          </cell>
          <cell r="E312">
            <v>8596.83</v>
          </cell>
          <cell r="F312" t="str">
            <v>tier - 2</v>
          </cell>
          <cell r="G312" t="str">
            <v>tier - 3</v>
          </cell>
          <cell r="H312" t="str">
            <v>R1013</v>
          </cell>
        </row>
        <row r="313">
          <cell r="A313" t="str">
            <v>ID1279</v>
          </cell>
          <cell r="B313" t="str">
            <v>30-Dec-1983</v>
          </cell>
          <cell r="C313">
            <v>42</v>
          </cell>
          <cell r="D313">
            <v>5</v>
          </cell>
          <cell r="E313">
            <v>8582.2999999999993</v>
          </cell>
          <cell r="F313" t="str">
            <v>tier - 2</v>
          </cell>
          <cell r="G313" t="str">
            <v>tier - 1</v>
          </cell>
          <cell r="H313" t="str">
            <v>R1013</v>
          </cell>
        </row>
        <row r="314">
          <cell r="A314" t="str">
            <v>ID128</v>
          </cell>
          <cell r="B314" t="str">
            <v>4-Aug-1982</v>
          </cell>
          <cell r="C314">
            <v>44</v>
          </cell>
          <cell r="D314">
            <v>1</v>
          </cell>
          <cell r="E314">
            <v>39125.33</v>
          </cell>
          <cell r="F314" t="str">
            <v>tier - 1</v>
          </cell>
          <cell r="G314" t="str">
            <v>tier - 1</v>
          </cell>
          <cell r="H314" t="str">
            <v>R1016</v>
          </cell>
        </row>
        <row r="315">
          <cell r="A315" t="str">
            <v>ID1280</v>
          </cell>
          <cell r="B315" t="str">
            <v>11-Nov-1987</v>
          </cell>
          <cell r="C315">
            <v>38</v>
          </cell>
          <cell r="D315">
            <v>3</v>
          </cell>
          <cell r="E315">
            <v>8573.2999999999993</v>
          </cell>
          <cell r="F315" t="str">
            <v>tier - 2</v>
          </cell>
          <cell r="G315" t="str">
            <v>tier - 2</v>
          </cell>
          <cell r="H315" t="str">
            <v>R1021</v>
          </cell>
        </row>
        <row r="316">
          <cell r="A316" t="str">
            <v>ID1281</v>
          </cell>
          <cell r="B316" t="str">
            <v>6-Dec-1982</v>
          </cell>
          <cell r="C316">
            <v>43</v>
          </cell>
          <cell r="D316">
            <v>3</v>
          </cell>
          <cell r="E316">
            <v>8572.0400000000009</v>
          </cell>
          <cell r="F316" t="str">
            <v>tier - 2</v>
          </cell>
          <cell r="G316" t="str">
            <v>tier - 2</v>
          </cell>
          <cell r="H316" t="str">
            <v>R1021</v>
          </cell>
        </row>
        <row r="317">
          <cell r="A317" t="str">
            <v>ID1282</v>
          </cell>
          <cell r="B317" t="str">
            <v>26-Sep-1975</v>
          </cell>
          <cell r="C317">
            <v>51</v>
          </cell>
          <cell r="D317">
            <v>1</v>
          </cell>
          <cell r="E317">
            <v>8569.86</v>
          </cell>
          <cell r="F317" t="str">
            <v>tier - 2</v>
          </cell>
          <cell r="G317" t="str">
            <v>tier - 3</v>
          </cell>
          <cell r="H317" t="str">
            <v>R1013</v>
          </cell>
        </row>
        <row r="318">
          <cell r="A318" t="str">
            <v>ID1283</v>
          </cell>
          <cell r="B318" t="str">
            <v>21-Sep-1988</v>
          </cell>
          <cell r="C318">
            <v>38</v>
          </cell>
          <cell r="D318">
            <v>3</v>
          </cell>
          <cell r="E318">
            <v>8567.25</v>
          </cell>
          <cell r="F318" t="str">
            <v>tier - 2</v>
          </cell>
          <cell r="G318" t="str">
            <v>tier - 1</v>
          </cell>
          <cell r="H318" t="str">
            <v>R1012</v>
          </cell>
        </row>
        <row r="319">
          <cell r="A319" t="str">
            <v>ID1284</v>
          </cell>
          <cell r="B319" t="str">
            <v>21-Aug-1975</v>
          </cell>
          <cell r="C319">
            <v>51</v>
          </cell>
          <cell r="D319">
            <v>1</v>
          </cell>
          <cell r="E319">
            <v>8556.91</v>
          </cell>
          <cell r="F319" t="str">
            <v>tier - 2</v>
          </cell>
          <cell r="G319" t="str">
            <v>tier - 1</v>
          </cell>
          <cell r="H319" t="str">
            <v>R1011</v>
          </cell>
        </row>
        <row r="320">
          <cell r="A320" t="str">
            <v>ID1285</v>
          </cell>
          <cell r="B320" t="str">
            <v>6-Aug-1975</v>
          </cell>
          <cell r="C320">
            <v>51</v>
          </cell>
          <cell r="D320">
            <v>1</v>
          </cell>
          <cell r="E320">
            <v>8551.35</v>
          </cell>
          <cell r="F320" t="str">
            <v>tier - 2</v>
          </cell>
          <cell r="G320" t="str">
            <v>tier - 2</v>
          </cell>
          <cell r="H320" t="str">
            <v>R1011</v>
          </cell>
        </row>
        <row r="321">
          <cell r="A321" t="str">
            <v>ID1286</v>
          </cell>
          <cell r="B321" t="str">
            <v>12-Dec-</v>
          </cell>
          <cell r="C321" t="e">
            <v>#VALUE!</v>
          </cell>
          <cell r="D321">
            <v>1</v>
          </cell>
          <cell r="E321">
            <v>8547.69</v>
          </cell>
          <cell r="F321" t="str">
            <v>tier - 2</v>
          </cell>
          <cell r="G321" t="str">
            <v>tier - 1</v>
          </cell>
          <cell r="H321" t="str">
            <v>R1013</v>
          </cell>
        </row>
        <row r="322">
          <cell r="A322" t="str">
            <v>ID1287</v>
          </cell>
          <cell r="B322" t="str">
            <v>6-Nov-1975</v>
          </cell>
          <cell r="C322">
            <v>50</v>
          </cell>
          <cell r="D322">
            <v>1</v>
          </cell>
          <cell r="E322">
            <v>8539.67</v>
          </cell>
          <cell r="F322" t="str">
            <v>tier - 2</v>
          </cell>
          <cell r="G322" t="str">
            <v>tier - 3</v>
          </cell>
          <cell r="H322" t="str">
            <v>R1011</v>
          </cell>
        </row>
        <row r="323">
          <cell r="A323" t="str">
            <v>ID1288</v>
          </cell>
          <cell r="B323" t="str">
            <v>27-Dec-1981</v>
          </cell>
          <cell r="C323">
            <v>44</v>
          </cell>
          <cell r="D323">
            <v>3</v>
          </cell>
          <cell r="E323">
            <v>8538.2900000000009</v>
          </cell>
          <cell r="F323" t="str">
            <v>tier - 2</v>
          </cell>
          <cell r="G323" t="str">
            <v>tier - 3</v>
          </cell>
          <cell r="H323" t="str">
            <v>R1024</v>
          </cell>
        </row>
        <row r="324">
          <cell r="A324" t="str">
            <v>ID1289</v>
          </cell>
          <cell r="B324" t="str">
            <v>24-Jul-</v>
          </cell>
          <cell r="C324" t="e">
            <v>#VALUE!</v>
          </cell>
          <cell r="D324">
            <v>0</v>
          </cell>
          <cell r="E324">
            <v>8534.67</v>
          </cell>
          <cell r="F324" t="str">
            <v>tier - 2</v>
          </cell>
          <cell r="G324" t="str">
            <v>tier - 3</v>
          </cell>
          <cell r="H324" t="str">
            <v>R1024</v>
          </cell>
        </row>
        <row r="325">
          <cell r="A325" t="str">
            <v>ID129</v>
          </cell>
          <cell r="B325" t="str">
            <v>20-Sep-1985</v>
          </cell>
          <cell r="C325">
            <v>41</v>
          </cell>
          <cell r="D325">
            <v>1</v>
          </cell>
          <cell r="E325">
            <v>39047.29</v>
          </cell>
          <cell r="F325" t="str">
            <v>tier - 1</v>
          </cell>
          <cell r="G325" t="str">
            <v>tier - 3</v>
          </cell>
          <cell r="H325" t="str">
            <v>R1017</v>
          </cell>
        </row>
        <row r="326">
          <cell r="A326" t="str">
            <v>ID1290</v>
          </cell>
          <cell r="B326" t="str">
            <v>26-Jul-1977</v>
          </cell>
          <cell r="C326">
            <v>49</v>
          </cell>
          <cell r="D326">
            <v>2</v>
          </cell>
          <cell r="E326">
            <v>8527.5300000000007</v>
          </cell>
          <cell r="F326" t="str">
            <v>tier - 2</v>
          </cell>
          <cell r="G326" t="str">
            <v>tier - 2</v>
          </cell>
          <cell r="H326" t="str">
            <v>R1013</v>
          </cell>
        </row>
        <row r="327">
          <cell r="A327" t="str">
            <v>ID1291</v>
          </cell>
          <cell r="B327" t="str">
            <v>13-Aug-1979</v>
          </cell>
          <cell r="C327">
            <v>47</v>
          </cell>
          <cell r="D327">
            <v>3</v>
          </cell>
          <cell r="E327">
            <v>8522</v>
          </cell>
          <cell r="F327" t="str">
            <v>tier - 2</v>
          </cell>
          <cell r="G327" t="str">
            <v>tier - 2</v>
          </cell>
          <cell r="H327" t="str">
            <v>R1011</v>
          </cell>
        </row>
        <row r="328">
          <cell r="A328" t="str">
            <v>ID1292</v>
          </cell>
          <cell r="B328" t="str">
            <v>29-Dec-1977</v>
          </cell>
          <cell r="C328">
            <v>48</v>
          </cell>
          <cell r="D328">
            <v>2</v>
          </cell>
          <cell r="E328">
            <v>8520.0300000000007</v>
          </cell>
          <cell r="F328" t="str">
            <v>tier - 2</v>
          </cell>
          <cell r="G328" t="str">
            <v>tier - 3</v>
          </cell>
          <cell r="H328" t="str">
            <v>R1011</v>
          </cell>
        </row>
        <row r="329">
          <cell r="A329" t="str">
            <v>ID1293</v>
          </cell>
          <cell r="B329" t="str">
            <v>21-Jun-1977</v>
          </cell>
          <cell r="C329">
            <v>49</v>
          </cell>
          <cell r="D329">
            <v>2</v>
          </cell>
          <cell r="E329">
            <v>8516.83</v>
          </cell>
          <cell r="F329" t="str">
            <v>tier - 2</v>
          </cell>
          <cell r="G329" t="str">
            <v>tier - 1</v>
          </cell>
          <cell r="H329" t="str">
            <v>R1013</v>
          </cell>
        </row>
        <row r="330">
          <cell r="A330" t="str">
            <v>ID1294</v>
          </cell>
          <cell r="B330" t="str">
            <v>26-Dec-1977</v>
          </cell>
          <cell r="C330">
            <v>48</v>
          </cell>
          <cell r="D330">
            <v>2</v>
          </cell>
          <cell r="E330">
            <v>8515.76</v>
          </cell>
          <cell r="F330" t="str">
            <v>tier - 2</v>
          </cell>
          <cell r="G330" t="str">
            <v>tier - 2</v>
          </cell>
          <cell r="H330" t="str">
            <v>R1013</v>
          </cell>
        </row>
        <row r="331">
          <cell r="A331" t="str">
            <v>ID1295</v>
          </cell>
          <cell r="B331" t="str">
            <v>10-Nov-1993</v>
          </cell>
          <cell r="C331">
            <v>32</v>
          </cell>
          <cell r="D331">
            <v>0</v>
          </cell>
          <cell r="E331">
            <v>8471.65</v>
          </cell>
          <cell r="F331" t="str">
            <v>tier - 2</v>
          </cell>
          <cell r="G331" t="str">
            <v>tier - 1</v>
          </cell>
          <cell r="H331" t="str">
            <v>R1012</v>
          </cell>
        </row>
        <row r="332">
          <cell r="A332" t="str">
            <v>ID1296</v>
          </cell>
          <cell r="B332" t="str">
            <v>9-Sep-1992</v>
          </cell>
          <cell r="C332">
            <v>34</v>
          </cell>
          <cell r="D332">
            <v>0</v>
          </cell>
          <cell r="E332">
            <v>8466.35</v>
          </cell>
          <cell r="F332" t="str">
            <v>tier - 2</v>
          </cell>
          <cell r="G332" t="str">
            <v>tier - 2</v>
          </cell>
          <cell r="H332" t="str">
            <v>R1012</v>
          </cell>
        </row>
        <row r="333">
          <cell r="A333" t="str">
            <v>ID1297</v>
          </cell>
          <cell r="B333" t="str">
            <v>26-Dec-1972</v>
          </cell>
          <cell r="C333">
            <v>53</v>
          </cell>
          <cell r="D333">
            <v>0</v>
          </cell>
          <cell r="E333">
            <v>8457.82</v>
          </cell>
          <cell r="F333" t="str">
            <v>tier - 2</v>
          </cell>
          <cell r="G333" t="str">
            <v>tier - 3</v>
          </cell>
          <cell r="H333" t="str">
            <v>R1011</v>
          </cell>
        </row>
        <row r="334">
          <cell r="A334" t="str">
            <v>ID1298</v>
          </cell>
          <cell r="B334" t="str">
            <v>19-Jun-1984</v>
          </cell>
          <cell r="C334">
            <v>42</v>
          </cell>
          <cell r="D334">
            <v>3</v>
          </cell>
          <cell r="E334">
            <v>8450.82</v>
          </cell>
          <cell r="F334" t="str">
            <v>tier - 2</v>
          </cell>
          <cell r="G334" t="str">
            <v>tier - 2</v>
          </cell>
          <cell r="H334" t="str">
            <v>R1025</v>
          </cell>
        </row>
        <row r="335">
          <cell r="A335" t="str">
            <v>ID1299</v>
          </cell>
          <cell r="B335" t="str">
            <v>12-Jun-1966</v>
          </cell>
          <cell r="C335">
            <v>60</v>
          </cell>
          <cell r="D335">
            <v>0</v>
          </cell>
          <cell r="E335">
            <v>8448.66</v>
          </cell>
          <cell r="F335" t="str">
            <v>tier - 3</v>
          </cell>
          <cell r="G335" t="str">
            <v>tier - 1</v>
          </cell>
          <cell r="H335" t="str">
            <v>R1013</v>
          </cell>
        </row>
        <row r="336">
          <cell r="A336" t="str">
            <v>ID13</v>
          </cell>
          <cell r="B336" t="str">
            <v>11-Oct-1962</v>
          </cell>
          <cell r="C336">
            <v>64</v>
          </cell>
          <cell r="D336">
            <v>0</v>
          </cell>
          <cell r="E336">
            <v>48673.56</v>
          </cell>
          <cell r="F336" t="str">
            <v>tier - 1</v>
          </cell>
          <cell r="G336" t="str">
            <v>tier - 2</v>
          </cell>
          <cell r="H336" t="str">
            <v>R1013</v>
          </cell>
        </row>
        <row r="337">
          <cell r="A337" t="str">
            <v>ID130</v>
          </cell>
          <cell r="B337" t="str">
            <v>12-Oct-1978</v>
          </cell>
          <cell r="C337">
            <v>48</v>
          </cell>
          <cell r="D337">
            <v>2</v>
          </cell>
          <cell r="E337">
            <v>38998.550000000003</v>
          </cell>
          <cell r="F337" t="str">
            <v>tier - 1</v>
          </cell>
          <cell r="G337" t="str">
            <v>tier - 1</v>
          </cell>
          <cell r="H337" t="str">
            <v>R1011</v>
          </cell>
        </row>
        <row r="338">
          <cell r="A338" t="str">
            <v>ID1300</v>
          </cell>
          <cell r="B338" t="str">
            <v>4-Sep-1972</v>
          </cell>
          <cell r="C338">
            <v>54</v>
          </cell>
          <cell r="D338">
            <v>0</v>
          </cell>
          <cell r="E338">
            <v>8444.4699999999993</v>
          </cell>
          <cell r="F338" t="str">
            <v>tier - 3</v>
          </cell>
          <cell r="G338" t="str">
            <v>tier - 1</v>
          </cell>
          <cell r="H338" t="str">
            <v>R1011</v>
          </cell>
        </row>
        <row r="339">
          <cell r="A339" t="str">
            <v>ID1301</v>
          </cell>
          <cell r="B339" t="str">
            <v>9-Sep-1972</v>
          </cell>
          <cell r="C339">
            <v>54</v>
          </cell>
          <cell r="D339">
            <v>0</v>
          </cell>
          <cell r="E339">
            <v>8442.67</v>
          </cell>
          <cell r="F339" t="str">
            <v>tier - 2</v>
          </cell>
          <cell r="G339" t="str">
            <v>tier - 3</v>
          </cell>
          <cell r="H339" t="str">
            <v>R1013</v>
          </cell>
        </row>
        <row r="340">
          <cell r="A340" t="str">
            <v>ID1302</v>
          </cell>
          <cell r="B340" t="str">
            <v>24-Sep-1963</v>
          </cell>
          <cell r="C340">
            <v>63</v>
          </cell>
          <cell r="D340">
            <v>0</v>
          </cell>
          <cell r="E340">
            <v>8440.0499999999993</v>
          </cell>
          <cell r="F340" t="str">
            <v>tier - 3</v>
          </cell>
          <cell r="G340" t="str">
            <v>tier - 2</v>
          </cell>
          <cell r="H340" t="str">
            <v>R1013</v>
          </cell>
        </row>
        <row r="341">
          <cell r="A341" t="str">
            <v>ID1303</v>
          </cell>
          <cell r="B341" t="str">
            <v>28-Sep-1975</v>
          </cell>
          <cell r="C341">
            <v>51</v>
          </cell>
          <cell r="D341">
            <v>1</v>
          </cell>
          <cell r="E341">
            <v>8428.07</v>
          </cell>
          <cell r="F341" t="str">
            <v>tier - 3</v>
          </cell>
          <cell r="G341" t="str">
            <v>tier - 2</v>
          </cell>
          <cell r="H341" t="str">
            <v>R1012</v>
          </cell>
        </row>
        <row r="342">
          <cell r="A342" t="str">
            <v>ID1304</v>
          </cell>
          <cell r="B342" t="str">
            <v>4-Sep-1977</v>
          </cell>
          <cell r="C342">
            <v>49</v>
          </cell>
          <cell r="D342">
            <v>2</v>
          </cell>
          <cell r="E342">
            <v>8413.4599999999991</v>
          </cell>
          <cell r="F342" t="str">
            <v>tier - 3</v>
          </cell>
          <cell r="G342" t="str">
            <v>tier - 1</v>
          </cell>
          <cell r="H342" t="str">
            <v>R1012</v>
          </cell>
        </row>
        <row r="343">
          <cell r="A343" t="str">
            <v>ID1305</v>
          </cell>
          <cell r="B343" t="str">
            <v>11-Jun-1979</v>
          </cell>
          <cell r="C343">
            <v>47</v>
          </cell>
          <cell r="D343">
            <v>3</v>
          </cell>
          <cell r="E343">
            <v>8410.0499999999993</v>
          </cell>
          <cell r="F343" t="str">
            <v>tier - 2</v>
          </cell>
          <cell r="G343" t="str">
            <v>tier - 2</v>
          </cell>
          <cell r="H343" t="str">
            <v>R1012</v>
          </cell>
        </row>
        <row r="344">
          <cell r="A344" t="str">
            <v>ID1306</v>
          </cell>
          <cell r="B344" t="str">
            <v>18-Sep-1971</v>
          </cell>
          <cell r="C344">
            <v>55</v>
          </cell>
          <cell r="D344">
            <v>0</v>
          </cell>
          <cell r="E344">
            <v>8400.01</v>
          </cell>
          <cell r="F344" t="str">
            <v>tier - 2</v>
          </cell>
          <cell r="G344" t="str">
            <v>tier - 3</v>
          </cell>
          <cell r="H344" t="str">
            <v>R1013</v>
          </cell>
        </row>
        <row r="345">
          <cell r="A345" t="str">
            <v>ID1307</v>
          </cell>
          <cell r="B345" t="str">
            <v>4-Sep-1971</v>
          </cell>
          <cell r="C345">
            <v>55</v>
          </cell>
          <cell r="D345">
            <v>0</v>
          </cell>
          <cell r="E345">
            <v>8396.6200000000008</v>
          </cell>
          <cell r="F345" t="str">
            <v>tier - 2</v>
          </cell>
          <cell r="G345" t="str">
            <v>tier - 3</v>
          </cell>
          <cell r="H345" t="str">
            <v>R1013</v>
          </cell>
        </row>
        <row r="346">
          <cell r="A346" t="str">
            <v>ID1308</v>
          </cell>
          <cell r="B346" t="str">
            <v>21-Sep-1963</v>
          </cell>
          <cell r="C346">
            <v>63</v>
          </cell>
          <cell r="D346">
            <v>0</v>
          </cell>
          <cell r="E346">
            <v>8355.5400000000009</v>
          </cell>
          <cell r="F346" t="str">
            <v>tier - 3</v>
          </cell>
          <cell r="G346" t="str">
            <v>tier - 3</v>
          </cell>
          <cell r="H346" t="str">
            <v>R1012</v>
          </cell>
        </row>
        <row r="347">
          <cell r="A347" t="str">
            <v>ID1309</v>
          </cell>
          <cell r="B347" t="str">
            <v>12-Jun-1976</v>
          </cell>
          <cell r="C347">
            <v>50</v>
          </cell>
          <cell r="D347">
            <v>2</v>
          </cell>
          <cell r="E347">
            <v>8347.16</v>
          </cell>
          <cell r="F347" t="str">
            <v>tier - 2</v>
          </cell>
          <cell r="G347" t="str">
            <v>tier - 1</v>
          </cell>
          <cell r="H347" t="str">
            <v>R1013</v>
          </cell>
        </row>
        <row r="348">
          <cell r="A348" t="str">
            <v>ID131</v>
          </cell>
          <cell r="B348" t="str">
            <v>24-Sep-1980</v>
          </cell>
          <cell r="C348">
            <v>46</v>
          </cell>
          <cell r="D348">
            <v>2</v>
          </cell>
          <cell r="E348">
            <v>38947.43</v>
          </cell>
          <cell r="F348" t="str">
            <v>tier - 2</v>
          </cell>
          <cell r="G348" t="str">
            <v>tier - 3</v>
          </cell>
          <cell r="H348" t="str">
            <v>R1011</v>
          </cell>
        </row>
        <row r="349">
          <cell r="A349" t="str">
            <v>ID1310</v>
          </cell>
          <cell r="B349" t="str">
            <v>7-Jul-1976</v>
          </cell>
          <cell r="C349">
            <v>50</v>
          </cell>
          <cell r="D349">
            <v>1</v>
          </cell>
          <cell r="E349">
            <v>8342.91</v>
          </cell>
          <cell r="F349" t="str">
            <v>tier - 3</v>
          </cell>
          <cell r="G349" t="str">
            <v>tier - 1</v>
          </cell>
          <cell r="H349" t="str">
            <v>R1016</v>
          </cell>
        </row>
        <row r="350">
          <cell r="A350" t="str">
            <v>ID1311</v>
          </cell>
          <cell r="B350" t="str">
            <v>20-Jul-1976</v>
          </cell>
          <cell r="C350">
            <v>50</v>
          </cell>
          <cell r="D350">
            <v>1</v>
          </cell>
          <cell r="E350">
            <v>8334.59</v>
          </cell>
          <cell r="F350" t="str">
            <v>tier - 3</v>
          </cell>
          <cell r="G350" t="str">
            <v>tier - 2</v>
          </cell>
          <cell r="H350" t="str">
            <v>R1016</v>
          </cell>
        </row>
        <row r="351">
          <cell r="A351" t="str">
            <v>ID1312</v>
          </cell>
          <cell r="B351" t="str">
            <v>12-Jul-1976</v>
          </cell>
          <cell r="C351">
            <v>50</v>
          </cell>
          <cell r="D351">
            <v>1</v>
          </cell>
          <cell r="E351">
            <v>8334.4599999999991</v>
          </cell>
          <cell r="F351" t="str">
            <v>tier - 3</v>
          </cell>
          <cell r="G351" t="str">
            <v>tier - 2</v>
          </cell>
          <cell r="H351" t="str">
            <v>R1016</v>
          </cell>
        </row>
        <row r="352">
          <cell r="A352" t="str">
            <v>ID1313</v>
          </cell>
          <cell r="B352" t="str">
            <v>22-Jun-1993</v>
          </cell>
          <cell r="C352">
            <v>33</v>
          </cell>
          <cell r="D352">
            <v>0</v>
          </cell>
          <cell r="E352">
            <v>8314.65</v>
          </cell>
          <cell r="F352" t="str">
            <v>tier - 2</v>
          </cell>
          <cell r="G352" t="str">
            <v>tier - 1</v>
          </cell>
          <cell r="H352" t="str">
            <v>R1012</v>
          </cell>
        </row>
        <row r="353">
          <cell r="A353" t="str">
            <v>ID1314</v>
          </cell>
          <cell r="B353" t="str">
            <v>7-Aug-1979</v>
          </cell>
          <cell r="C353">
            <v>47</v>
          </cell>
          <cell r="D353">
            <v>2</v>
          </cell>
          <cell r="E353">
            <v>8310.84</v>
          </cell>
          <cell r="F353" t="str">
            <v>tier - 2</v>
          </cell>
          <cell r="G353" t="str">
            <v>tier - 2</v>
          </cell>
          <cell r="H353" t="str">
            <v>R1012</v>
          </cell>
        </row>
        <row r="354">
          <cell r="A354" t="str">
            <v>ID1315</v>
          </cell>
          <cell r="B354" t="str">
            <v>26-Jun-1978</v>
          </cell>
          <cell r="C354">
            <v>48</v>
          </cell>
          <cell r="D354">
            <v>2</v>
          </cell>
          <cell r="E354">
            <v>8302.5400000000009</v>
          </cell>
          <cell r="F354" t="str">
            <v>tier - 3</v>
          </cell>
          <cell r="G354" t="str">
            <v>tier - 3</v>
          </cell>
          <cell r="H354" t="str">
            <v>R1016</v>
          </cell>
        </row>
        <row r="355">
          <cell r="A355" t="str">
            <v>ID1316</v>
          </cell>
          <cell r="B355" t="str">
            <v>6-Jun-1974</v>
          </cell>
          <cell r="C355">
            <v>52</v>
          </cell>
          <cell r="D355">
            <v>0</v>
          </cell>
          <cell r="E355">
            <v>8283.68</v>
          </cell>
          <cell r="F355" t="str">
            <v>tier - 2</v>
          </cell>
          <cell r="G355" t="str">
            <v>tier - 3</v>
          </cell>
          <cell r="H355" t="str">
            <v>R1013</v>
          </cell>
        </row>
        <row r="356">
          <cell r="A356" t="str">
            <v>ID1317</v>
          </cell>
          <cell r="B356" t="str">
            <v>22-Dec-1974</v>
          </cell>
          <cell r="C356">
            <v>51</v>
          </cell>
          <cell r="D356">
            <v>0</v>
          </cell>
          <cell r="E356">
            <v>8280.6200000000008</v>
          </cell>
          <cell r="F356" t="str">
            <v>tier - 2</v>
          </cell>
          <cell r="G356" t="str">
            <v>tier - 2</v>
          </cell>
          <cell r="H356" t="str">
            <v>R1013</v>
          </cell>
        </row>
        <row r="357">
          <cell r="A357" t="str">
            <v>ID1318</v>
          </cell>
          <cell r="B357" t="str">
            <v>26-Sep-1974</v>
          </cell>
          <cell r="C357">
            <v>52</v>
          </cell>
          <cell r="D357">
            <v>0</v>
          </cell>
          <cell r="E357">
            <v>8277.52</v>
          </cell>
          <cell r="F357" t="str">
            <v>tier - 2</v>
          </cell>
          <cell r="G357" t="str">
            <v>tier - 2</v>
          </cell>
          <cell r="H357" t="str">
            <v>R1011</v>
          </cell>
        </row>
        <row r="358">
          <cell r="A358" t="str">
            <v>ID1319</v>
          </cell>
          <cell r="B358" t="str">
            <v>28-Nov-2000</v>
          </cell>
          <cell r="C358">
            <v>25</v>
          </cell>
          <cell r="D358">
            <v>0</v>
          </cell>
          <cell r="E358">
            <v>8271.4599999999991</v>
          </cell>
          <cell r="F358" t="str">
            <v>tier - 2</v>
          </cell>
          <cell r="G358" t="str">
            <v>tier - 1</v>
          </cell>
          <cell r="H358" t="str">
            <v>R1023</v>
          </cell>
        </row>
        <row r="359">
          <cell r="A359" t="str">
            <v>ID132</v>
          </cell>
          <cell r="B359" t="str">
            <v>15-Dec-1976</v>
          </cell>
          <cell r="C359">
            <v>49</v>
          </cell>
          <cell r="D359">
            <v>2</v>
          </cell>
          <cell r="E359">
            <v>38932.559999999998</v>
          </cell>
          <cell r="F359" t="str">
            <v>tier - 2</v>
          </cell>
          <cell r="G359" t="str">
            <v>tier - 3</v>
          </cell>
          <cell r="H359" t="str">
            <v>R1011</v>
          </cell>
        </row>
        <row r="360">
          <cell r="A360" t="str">
            <v>ID1320</v>
          </cell>
          <cell r="B360" t="str">
            <v>5-Aug-1974</v>
          </cell>
          <cell r="C360">
            <v>52</v>
          </cell>
          <cell r="D360">
            <v>0</v>
          </cell>
          <cell r="E360">
            <v>8269.0400000000009</v>
          </cell>
          <cell r="F360" t="str">
            <v>tier - 2</v>
          </cell>
          <cell r="G360" t="str">
            <v>tier - 1</v>
          </cell>
          <cell r="H360" t="str">
            <v>R1011</v>
          </cell>
        </row>
        <row r="361">
          <cell r="A361" t="str">
            <v>ID1321</v>
          </cell>
          <cell r="B361" t="str">
            <v>5-Sep-1964</v>
          </cell>
          <cell r="C361">
            <v>62</v>
          </cell>
          <cell r="D361">
            <v>0</v>
          </cell>
          <cell r="E361">
            <v>8268</v>
          </cell>
          <cell r="F361" t="str">
            <v>tier - 3</v>
          </cell>
          <cell r="G361" t="str">
            <v>tier - 3</v>
          </cell>
          <cell r="H361" t="str">
            <v>R1013</v>
          </cell>
        </row>
        <row r="362">
          <cell r="A362" t="str">
            <v>ID1322</v>
          </cell>
          <cell r="B362" t="str">
            <v>27-Sep-1982</v>
          </cell>
          <cell r="C362">
            <v>44</v>
          </cell>
          <cell r="D362">
            <v>3</v>
          </cell>
          <cell r="E362">
            <v>8252.2800000000007</v>
          </cell>
          <cell r="F362" t="str">
            <v>tier - 2</v>
          </cell>
          <cell r="G362" t="str">
            <v>tier - 2</v>
          </cell>
          <cell r="H362" t="str">
            <v>R1024</v>
          </cell>
        </row>
        <row r="363">
          <cell r="A363" t="str">
            <v>ID1323</v>
          </cell>
          <cell r="B363" t="str">
            <v>2-Sep-1976</v>
          </cell>
          <cell r="C363">
            <v>50</v>
          </cell>
          <cell r="D363">
            <v>1</v>
          </cell>
          <cell r="E363">
            <v>8240.59</v>
          </cell>
          <cell r="F363" t="str">
            <v>tier - 2</v>
          </cell>
          <cell r="G363" t="str">
            <v>tier - 2</v>
          </cell>
          <cell r="H363" t="str">
            <v>R1013</v>
          </cell>
        </row>
        <row r="364">
          <cell r="A364" t="str">
            <v>ID1324</v>
          </cell>
          <cell r="B364" t="str">
            <v>30-Jun-1976</v>
          </cell>
          <cell r="C364">
            <v>50</v>
          </cell>
          <cell r="D364">
            <v>1</v>
          </cell>
          <cell r="E364">
            <v>8233.1</v>
          </cell>
          <cell r="F364" t="str">
            <v>tier - 2</v>
          </cell>
          <cell r="G364" t="str">
            <v>tier - 2</v>
          </cell>
          <cell r="H364" t="str">
            <v>R1013</v>
          </cell>
        </row>
        <row r="365">
          <cell r="A365" t="str">
            <v>ID1325</v>
          </cell>
          <cell r="B365" t="str">
            <v>3-Sep-1976</v>
          </cell>
          <cell r="C365">
            <v>50</v>
          </cell>
          <cell r="D365">
            <v>1</v>
          </cell>
          <cell r="E365">
            <v>8232.64</v>
          </cell>
          <cell r="F365" t="str">
            <v>tier - 2</v>
          </cell>
          <cell r="G365" t="str">
            <v>tier - 3</v>
          </cell>
          <cell r="H365" t="str">
            <v>R1013</v>
          </cell>
        </row>
        <row r="366">
          <cell r="A366" t="str">
            <v>ID1326</v>
          </cell>
          <cell r="B366" t="str">
            <v>30-Jun-1978</v>
          </cell>
          <cell r="C366">
            <v>48</v>
          </cell>
          <cell r="D366">
            <v>2</v>
          </cell>
          <cell r="E366">
            <v>8219.2000000000007</v>
          </cell>
          <cell r="F366" t="str">
            <v>tier - 2</v>
          </cell>
          <cell r="G366" t="str">
            <v>tier - 2</v>
          </cell>
          <cell r="H366" t="str">
            <v>R1013</v>
          </cell>
        </row>
        <row r="367">
          <cell r="A367" t="str">
            <v>ID1327</v>
          </cell>
          <cell r="B367" t="str">
            <v>24-Oct-1978</v>
          </cell>
          <cell r="C367">
            <v>47</v>
          </cell>
          <cell r="D367">
            <v>2</v>
          </cell>
          <cell r="E367">
            <v>8211.1</v>
          </cell>
          <cell r="F367" t="str">
            <v>tier - 2</v>
          </cell>
          <cell r="G367" t="str">
            <v>tier - 3</v>
          </cell>
          <cell r="H367" t="str">
            <v>R1013</v>
          </cell>
        </row>
        <row r="368">
          <cell r="A368" t="str">
            <v>ID1328</v>
          </cell>
          <cell r="B368" t="str">
            <v>23-Nov-1962</v>
          </cell>
          <cell r="C368">
            <v>63</v>
          </cell>
          <cell r="D368">
            <v>0</v>
          </cell>
          <cell r="E368">
            <v>8188.12</v>
          </cell>
          <cell r="F368" t="str">
            <v>tier - 3</v>
          </cell>
          <cell r="G368" t="str">
            <v>tier - 3</v>
          </cell>
          <cell r="H368" t="str">
            <v>R1013</v>
          </cell>
        </row>
        <row r="369">
          <cell r="A369" t="str">
            <v>ID1329</v>
          </cell>
          <cell r="B369" t="str">
            <v>21-Oct-1997</v>
          </cell>
          <cell r="C369">
            <v>28</v>
          </cell>
          <cell r="D369">
            <v>0</v>
          </cell>
          <cell r="E369">
            <v>8182.89</v>
          </cell>
          <cell r="F369" t="str">
            <v>tier - 2</v>
          </cell>
          <cell r="G369" t="str">
            <v>tier - 1</v>
          </cell>
          <cell r="H369" t="str">
            <v>R1026</v>
          </cell>
        </row>
        <row r="370">
          <cell r="A370" t="str">
            <v>ID133</v>
          </cell>
          <cell r="B370" t="str">
            <v>16-Jun-1987</v>
          </cell>
          <cell r="C370">
            <v>39</v>
          </cell>
          <cell r="D370">
            <v>3</v>
          </cell>
          <cell r="E370">
            <v>38924.04</v>
          </cell>
          <cell r="F370" t="str">
            <v>tier - 2</v>
          </cell>
          <cell r="G370" t="str">
            <v>tier - 2</v>
          </cell>
          <cell r="H370" t="str">
            <v>R1011</v>
          </cell>
        </row>
        <row r="371">
          <cell r="A371" t="str">
            <v>ID1330</v>
          </cell>
          <cell r="B371" t="str">
            <v>8-Jun-1983</v>
          </cell>
          <cell r="C371">
            <v>43</v>
          </cell>
          <cell r="D371">
            <v>3</v>
          </cell>
          <cell r="E371">
            <v>8179.51</v>
          </cell>
          <cell r="F371" t="str">
            <v>tier - 2</v>
          </cell>
          <cell r="G371" t="str">
            <v>tier - 2</v>
          </cell>
          <cell r="H371" t="str">
            <v>R1020</v>
          </cell>
        </row>
        <row r="372">
          <cell r="A372" t="str">
            <v>ID1331</v>
          </cell>
          <cell r="B372" t="str">
            <v>5-Nov-1963</v>
          </cell>
          <cell r="C372">
            <v>62</v>
          </cell>
          <cell r="D372">
            <v>0</v>
          </cell>
          <cell r="E372">
            <v>8177.9</v>
          </cell>
          <cell r="F372" t="str">
            <v>tier - 3</v>
          </cell>
          <cell r="G372" t="str">
            <v>tier - 1</v>
          </cell>
          <cell r="H372" t="str">
            <v>R1013</v>
          </cell>
        </row>
        <row r="373">
          <cell r="A373" t="str">
            <v>ID1332</v>
          </cell>
          <cell r="B373" t="str">
            <v>28-Jun-1982</v>
          </cell>
          <cell r="C373">
            <v>44</v>
          </cell>
          <cell r="D373">
            <v>4</v>
          </cell>
          <cell r="E373">
            <v>8162.72</v>
          </cell>
          <cell r="F373" t="str">
            <v>tier - 3</v>
          </cell>
          <cell r="G373" t="str">
            <v>tier - 3</v>
          </cell>
          <cell r="H373" t="str">
            <v>R1012</v>
          </cell>
        </row>
        <row r="374">
          <cell r="A374" t="str">
            <v>ID1333</v>
          </cell>
          <cell r="B374" t="str">
            <v>21-Jun-1990</v>
          </cell>
          <cell r="C374">
            <v>36</v>
          </cell>
          <cell r="D374">
            <v>3</v>
          </cell>
          <cell r="E374">
            <v>8157.92</v>
          </cell>
          <cell r="F374" t="str">
            <v>tier - 2</v>
          </cell>
          <cell r="G374" t="str">
            <v>tier - 3</v>
          </cell>
          <cell r="H374" t="str">
            <v>R1025</v>
          </cell>
        </row>
        <row r="375">
          <cell r="A375" t="str">
            <v>ID1334</v>
          </cell>
          <cell r="B375" t="str">
            <v>3-Sep-1973</v>
          </cell>
          <cell r="C375">
            <v>53</v>
          </cell>
          <cell r="D375">
            <v>0</v>
          </cell>
          <cell r="E375">
            <v>8125.78</v>
          </cell>
          <cell r="F375" t="str">
            <v>tier - 2</v>
          </cell>
          <cell r="G375" t="str">
            <v>tier - 2</v>
          </cell>
          <cell r="H375" t="str">
            <v>R1013</v>
          </cell>
        </row>
        <row r="376">
          <cell r="A376" t="str">
            <v>ID1335</v>
          </cell>
          <cell r="B376" t="str">
            <v>30-Aug-1973</v>
          </cell>
          <cell r="C376">
            <v>53</v>
          </cell>
          <cell r="D376">
            <v>0</v>
          </cell>
          <cell r="E376">
            <v>8124.41</v>
          </cell>
          <cell r="F376" t="str">
            <v>tier - 3</v>
          </cell>
          <cell r="G376" t="str">
            <v>tier - 1</v>
          </cell>
          <cell r="H376" t="str">
            <v>R1013</v>
          </cell>
        </row>
        <row r="377">
          <cell r="A377" t="str">
            <v>ID1336</v>
          </cell>
          <cell r="B377" t="str">
            <v>16-Dec-1973</v>
          </cell>
          <cell r="C377">
            <v>52</v>
          </cell>
          <cell r="D377">
            <v>0</v>
          </cell>
          <cell r="E377">
            <v>8116.68</v>
          </cell>
          <cell r="F377" t="str">
            <v>tier - 3</v>
          </cell>
          <cell r="G377" t="str">
            <v>tier - 1</v>
          </cell>
          <cell r="H377" t="str">
            <v>R1011</v>
          </cell>
        </row>
        <row r="378">
          <cell r="A378" t="str">
            <v>ID1337</v>
          </cell>
          <cell r="B378" t="str">
            <v>1-Sep-1978</v>
          </cell>
          <cell r="C378">
            <v>48</v>
          </cell>
          <cell r="D378">
            <v>2</v>
          </cell>
          <cell r="E378">
            <v>8116.27</v>
          </cell>
          <cell r="F378" t="str">
            <v>tier - 3</v>
          </cell>
          <cell r="G378" t="str">
            <v>tier - 1</v>
          </cell>
          <cell r="H378" t="str">
            <v>R1012</v>
          </cell>
        </row>
        <row r="379">
          <cell r="A379" t="str">
            <v>ID1338</v>
          </cell>
          <cell r="B379" t="str">
            <v>11-Oct-1973</v>
          </cell>
          <cell r="C379">
            <v>53</v>
          </cell>
          <cell r="D379">
            <v>0</v>
          </cell>
          <cell r="E379">
            <v>8112.59</v>
          </cell>
          <cell r="F379" t="str">
            <v>tier - 2</v>
          </cell>
          <cell r="G379" t="str">
            <v>tier - 2</v>
          </cell>
          <cell r="H379" t="str">
            <v>R1013</v>
          </cell>
        </row>
        <row r="380">
          <cell r="A380" t="str">
            <v>ID1339</v>
          </cell>
          <cell r="B380" t="str">
            <v>10-Jun-1967</v>
          </cell>
          <cell r="C380">
            <v>59</v>
          </cell>
          <cell r="D380">
            <v>0</v>
          </cell>
          <cell r="E380">
            <v>8091.3</v>
          </cell>
          <cell r="F380" t="str">
            <v>tier - 3</v>
          </cell>
          <cell r="G380" t="str">
            <v>tier - 1</v>
          </cell>
          <cell r="H380" t="str">
            <v>R1012</v>
          </cell>
        </row>
        <row r="381">
          <cell r="A381" t="str">
            <v>ID134</v>
          </cell>
          <cell r="B381" t="str">
            <v>30-Jul-1967</v>
          </cell>
          <cell r="C381">
            <v>59</v>
          </cell>
          <cell r="D381">
            <v>0</v>
          </cell>
          <cell r="E381">
            <v>38893.360000000001</v>
          </cell>
          <cell r="F381" t="str">
            <v>tier - 1</v>
          </cell>
          <cell r="G381" t="str">
            <v>tier - 2</v>
          </cell>
          <cell r="H381" t="str">
            <v>R1011</v>
          </cell>
        </row>
        <row r="382">
          <cell r="A382" t="str">
            <v>ID1340</v>
          </cell>
          <cell r="B382" t="str">
            <v>21-Dec-1975</v>
          </cell>
          <cell r="C382">
            <v>50</v>
          </cell>
          <cell r="D382">
            <v>1</v>
          </cell>
          <cell r="E382">
            <v>8083.92</v>
          </cell>
          <cell r="F382" t="str">
            <v>tier - 3</v>
          </cell>
          <cell r="G382" t="str">
            <v>tier - 3</v>
          </cell>
          <cell r="H382" t="str">
            <v>R1013</v>
          </cell>
        </row>
        <row r="383">
          <cell r="A383" t="str">
            <v>ID1341</v>
          </cell>
          <cell r="B383" t="str">
            <v>12-Oct-1994</v>
          </cell>
          <cell r="C383">
            <v>32</v>
          </cell>
          <cell r="D383">
            <v>0</v>
          </cell>
          <cell r="E383">
            <v>8081.74</v>
          </cell>
          <cell r="F383" t="str">
            <v>tier - 2</v>
          </cell>
          <cell r="G383" t="str">
            <v>tier - 2</v>
          </cell>
          <cell r="H383" t="str">
            <v>R1026</v>
          </cell>
        </row>
        <row r="384">
          <cell r="A384" t="str">
            <v>ID1342</v>
          </cell>
          <cell r="B384" t="str">
            <v>28-Aug-2001</v>
          </cell>
          <cell r="C384">
            <v>25</v>
          </cell>
          <cell r="D384">
            <v>0</v>
          </cell>
          <cell r="E384">
            <v>8081.26</v>
          </cell>
          <cell r="F384" t="str">
            <v>tier - 2</v>
          </cell>
          <cell r="G384" t="str">
            <v>tier - 2</v>
          </cell>
          <cell r="H384" t="str">
            <v>R1012</v>
          </cell>
        </row>
        <row r="385">
          <cell r="A385" t="str">
            <v>ID1343</v>
          </cell>
          <cell r="B385" t="str">
            <v>7-Nov-1993</v>
          </cell>
          <cell r="C385">
            <v>32</v>
          </cell>
          <cell r="D385">
            <v>0</v>
          </cell>
          <cell r="E385">
            <v>8077.41</v>
          </cell>
          <cell r="F385" t="str">
            <v>tier - 2</v>
          </cell>
          <cell r="G385" t="str">
            <v>tier - 1</v>
          </cell>
          <cell r="H385" t="str">
            <v>R1026</v>
          </cell>
        </row>
        <row r="386">
          <cell r="A386" t="str">
            <v>ID1344</v>
          </cell>
          <cell r="B386" t="str">
            <v>21-Oct-1965</v>
          </cell>
          <cell r="C386">
            <v>60</v>
          </cell>
          <cell r="D386">
            <v>0</v>
          </cell>
          <cell r="E386">
            <v>8071.57</v>
          </cell>
          <cell r="F386" t="str">
            <v>tier - 3</v>
          </cell>
          <cell r="G386" t="str">
            <v>tier - 1</v>
          </cell>
          <cell r="H386" t="str">
            <v>R1011</v>
          </cell>
        </row>
        <row r="387">
          <cell r="A387" t="str">
            <v>ID1345</v>
          </cell>
          <cell r="B387" t="str">
            <v>15-Dec-1975</v>
          </cell>
          <cell r="C387">
            <v>50</v>
          </cell>
          <cell r="D387">
            <v>1</v>
          </cell>
          <cell r="E387">
            <v>8068.19</v>
          </cell>
          <cell r="F387" t="str">
            <v>tier - 3</v>
          </cell>
          <cell r="G387" t="str">
            <v>tier - 2</v>
          </cell>
          <cell r="H387" t="str">
            <v>R1011</v>
          </cell>
        </row>
        <row r="388">
          <cell r="A388" t="str">
            <v>ID1346</v>
          </cell>
          <cell r="B388" t="str">
            <v>11-Aug-1965</v>
          </cell>
          <cell r="C388">
            <v>61</v>
          </cell>
          <cell r="D388">
            <v>0</v>
          </cell>
          <cell r="E388">
            <v>8067.83</v>
          </cell>
          <cell r="F388" t="str">
            <v>tier - 3</v>
          </cell>
          <cell r="G388" t="str">
            <v>tier - 1</v>
          </cell>
          <cell r="H388" t="str">
            <v>R1013</v>
          </cell>
        </row>
        <row r="389">
          <cell r="A389" t="str">
            <v>ID1347</v>
          </cell>
          <cell r="B389" t="str">
            <v>28-Jun-1975</v>
          </cell>
          <cell r="C389">
            <v>51</v>
          </cell>
          <cell r="D389">
            <v>1</v>
          </cell>
          <cell r="E389">
            <v>8062.76</v>
          </cell>
          <cell r="F389" t="str">
            <v>tier - 3</v>
          </cell>
          <cell r="G389" t="str">
            <v>tier - 3</v>
          </cell>
          <cell r="H389" t="str">
            <v>R1011</v>
          </cell>
        </row>
        <row r="390">
          <cell r="A390" t="str">
            <v>ID1348</v>
          </cell>
          <cell r="B390" t="str">
            <v>12-Dec-1970</v>
          </cell>
          <cell r="C390">
            <v>55</v>
          </cell>
          <cell r="D390">
            <v>0</v>
          </cell>
          <cell r="E390">
            <v>8062.31</v>
          </cell>
          <cell r="F390" t="str">
            <v>tier - 2</v>
          </cell>
          <cell r="G390" t="str">
            <v>tier - 1</v>
          </cell>
          <cell r="H390" t="str">
            <v>R1013</v>
          </cell>
        </row>
        <row r="391">
          <cell r="A391" t="str">
            <v>ID1349</v>
          </cell>
          <cell r="B391" t="str">
            <v>27-Dec-1982</v>
          </cell>
          <cell r="C391">
            <v>43</v>
          </cell>
          <cell r="D391">
            <v>3</v>
          </cell>
          <cell r="E391">
            <v>8059.68</v>
          </cell>
          <cell r="F391" t="str">
            <v>tier - 2</v>
          </cell>
          <cell r="G391" t="str">
            <v>tier - 3</v>
          </cell>
          <cell r="H391" t="str">
            <v>R1012</v>
          </cell>
        </row>
        <row r="392">
          <cell r="A392" t="str">
            <v>ID135</v>
          </cell>
          <cell r="B392" t="str">
            <v>6-Jun-1964</v>
          </cell>
          <cell r="C392">
            <v>62</v>
          </cell>
          <cell r="D392">
            <v>0</v>
          </cell>
          <cell r="E392">
            <v>38869.25</v>
          </cell>
          <cell r="F392" t="str">
            <v>tier - 2</v>
          </cell>
          <cell r="G392" t="str">
            <v>tier - 2</v>
          </cell>
          <cell r="H392" t="str">
            <v>R1011</v>
          </cell>
        </row>
        <row r="393">
          <cell r="A393" t="str">
            <v>ID1350</v>
          </cell>
          <cell r="B393" t="str">
            <v>28-Nov-1985</v>
          </cell>
          <cell r="C393">
            <v>40</v>
          </cell>
          <cell r="D393">
            <v>3</v>
          </cell>
          <cell r="E393">
            <v>8059.06</v>
          </cell>
          <cell r="F393" t="str">
            <v>tier - 2</v>
          </cell>
          <cell r="G393" t="str">
            <v>tier - 3</v>
          </cell>
          <cell r="H393" t="str">
            <v>R1012</v>
          </cell>
        </row>
        <row r="394">
          <cell r="A394" t="str">
            <v>ID1351</v>
          </cell>
          <cell r="B394" t="str">
            <v>12-Dec-2003</v>
          </cell>
          <cell r="C394">
            <v>22</v>
          </cell>
          <cell r="D394">
            <v>0</v>
          </cell>
          <cell r="E394">
            <v>8035.64</v>
          </cell>
          <cell r="F394" t="str">
            <v>tier - 2</v>
          </cell>
          <cell r="G394" t="str">
            <v>tier - 2</v>
          </cell>
          <cell r="H394" t="str">
            <v>R1012</v>
          </cell>
        </row>
        <row r="395">
          <cell r="A395" t="str">
            <v>ID1352</v>
          </cell>
          <cell r="B395" t="str">
            <v>6-Nov-1977</v>
          </cell>
          <cell r="C395">
            <v>48</v>
          </cell>
          <cell r="D395">
            <v>2</v>
          </cell>
          <cell r="E395">
            <v>8027.97</v>
          </cell>
          <cell r="F395" t="str">
            <v>tier - 3</v>
          </cell>
          <cell r="G395" t="str">
            <v>tier - 2</v>
          </cell>
          <cell r="H395" t="str">
            <v>R1011</v>
          </cell>
        </row>
        <row r="396">
          <cell r="A396" t="str">
            <v>ID1353</v>
          </cell>
          <cell r="B396" t="str">
            <v>20-Dec-1976</v>
          </cell>
          <cell r="C396">
            <v>49</v>
          </cell>
          <cell r="D396">
            <v>0</v>
          </cell>
          <cell r="E396">
            <v>8026.67</v>
          </cell>
          <cell r="F396" t="str">
            <v>tier - 2</v>
          </cell>
          <cell r="G396" t="str">
            <v>tier - 2</v>
          </cell>
          <cell r="H396" t="str">
            <v>R1012</v>
          </cell>
        </row>
        <row r="397">
          <cell r="A397" t="str">
            <v>ID1354</v>
          </cell>
          <cell r="B397" t="str">
            <v>17-Jul-1978</v>
          </cell>
          <cell r="C397">
            <v>48</v>
          </cell>
          <cell r="D397">
            <v>1</v>
          </cell>
          <cell r="E397">
            <v>8023.14</v>
          </cell>
          <cell r="F397" t="str">
            <v>tier - 2</v>
          </cell>
          <cell r="G397" t="str">
            <v>tier - 3</v>
          </cell>
          <cell r="H397" t="str">
            <v>R1012</v>
          </cell>
        </row>
        <row r="398">
          <cell r="A398" t="str">
            <v>ID1355</v>
          </cell>
          <cell r="B398" t="str">
            <v>3-Nov-1989</v>
          </cell>
          <cell r="C398">
            <v>36</v>
          </cell>
          <cell r="D398">
            <v>3</v>
          </cell>
          <cell r="E398">
            <v>8021.11</v>
          </cell>
          <cell r="F398" t="str">
            <v>tier - 2</v>
          </cell>
          <cell r="G398" t="str">
            <v>tier - 1</v>
          </cell>
          <cell r="H398" t="str">
            <v>R1012</v>
          </cell>
        </row>
        <row r="399">
          <cell r="A399" t="str">
            <v>ID1356</v>
          </cell>
          <cell r="B399" t="str">
            <v>8-Nov-1980</v>
          </cell>
          <cell r="C399">
            <v>45</v>
          </cell>
          <cell r="D399">
            <v>2</v>
          </cell>
          <cell r="E399">
            <v>8017.06</v>
          </cell>
          <cell r="F399" t="str">
            <v>tier - 2</v>
          </cell>
          <cell r="G399" t="str">
            <v>tier - 2</v>
          </cell>
          <cell r="H399" t="str">
            <v>R1012</v>
          </cell>
        </row>
        <row r="400">
          <cell r="A400" t="str">
            <v>ID1357</v>
          </cell>
          <cell r="B400" t="str">
            <v>18-Sep-1995</v>
          </cell>
          <cell r="C400">
            <v>31</v>
          </cell>
          <cell r="D400">
            <v>0</v>
          </cell>
          <cell r="E400">
            <v>8014.62</v>
          </cell>
          <cell r="F400" t="str">
            <v>tier - 2</v>
          </cell>
          <cell r="G400" t="str">
            <v>tier - 3</v>
          </cell>
          <cell r="H400" t="str">
            <v>R1012</v>
          </cell>
        </row>
        <row r="401">
          <cell r="A401" t="str">
            <v>ID1358</v>
          </cell>
          <cell r="B401" t="str">
            <v>22-Aug-1962</v>
          </cell>
          <cell r="C401">
            <v>64</v>
          </cell>
          <cell r="D401">
            <v>0</v>
          </cell>
          <cell r="E401">
            <v>8004.96</v>
          </cell>
          <cell r="F401" t="str">
            <v>tier - 3</v>
          </cell>
          <cell r="G401" t="str">
            <v>tier - 1</v>
          </cell>
          <cell r="H401" t="str">
            <v>R1013</v>
          </cell>
        </row>
        <row r="402">
          <cell r="A402" t="str">
            <v>ID1359</v>
          </cell>
          <cell r="B402" t="str">
            <v>20-Aug-1983</v>
          </cell>
          <cell r="C402">
            <v>43</v>
          </cell>
          <cell r="D402">
            <v>3</v>
          </cell>
          <cell r="E402">
            <v>7986.48</v>
          </cell>
          <cell r="F402" t="str">
            <v>tier - 2</v>
          </cell>
          <cell r="G402" t="str">
            <v>tier - 3</v>
          </cell>
          <cell r="H402" t="str">
            <v>R1024</v>
          </cell>
        </row>
        <row r="403">
          <cell r="A403" t="str">
            <v>ID136</v>
          </cell>
          <cell r="B403" t="str">
            <v>3-Dec-1979</v>
          </cell>
          <cell r="C403">
            <v>46</v>
          </cell>
          <cell r="D403">
            <v>2</v>
          </cell>
          <cell r="E403">
            <v>38836.980000000003</v>
          </cell>
          <cell r="F403" t="str">
            <v>tier - 2</v>
          </cell>
          <cell r="G403" t="str">
            <v>tier - 1</v>
          </cell>
          <cell r="H403" t="str">
            <v>R1011</v>
          </cell>
        </row>
        <row r="404">
          <cell r="A404" t="str">
            <v>ID1360</v>
          </cell>
          <cell r="B404" t="str">
            <v>28-Aug-1983</v>
          </cell>
          <cell r="C404">
            <v>43</v>
          </cell>
          <cell r="D404">
            <v>3</v>
          </cell>
          <cell r="E404">
            <v>7985.82</v>
          </cell>
          <cell r="F404" t="str">
            <v>tier - 2</v>
          </cell>
          <cell r="G404" t="str">
            <v>tier - 1</v>
          </cell>
          <cell r="H404" t="str">
            <v>R1024</v>
          </cell>
        </row>
        <row r="405">
          <cell r="A405" t="str">
            <v>ID1361</v>
          </cell>
          <cell r="B405" t="str">
            <v>23-Nov-1972</v>
          </cell>
          <cell r="C405">
            <v>53</v>
          </cell>
          <cell r="D405">
            <v>0</v>
          </cell>
          <cell r="E405">
            <v>7980.34</v>
          </cell>
          <cell r="F405" t="str">
            <v>tier - 2</v>
          </cell>
          <cell r="G405" t="str">
            <v>tier - 2</v>
          </cell>
          <cell r="H405" t="str">
            <v>R1013</v>
          </cell>
        </row>
        <row r="406">
          <cell r="A406" t="str">
            <v>ID1362</v>
          </cell>
          <cell r="B406" t="str">
            <v>10-Aug-1975</v>
          </cell>
          <cell r="C406">
            <v>51</v>
          </cell>
          <cell r="D406">
            <v>1</v>
          </cell>
          <cell r="E406">
            <v>7966.81</v>
          </cell>
          <cell r="F406" t="str">
            <v>tier - 2</v>
          </cell>
          <cell r="G406" t="str">
            <v>tier - 2</v>
          </cell>
          <cell r="H406" t="str">
            <v>R1013</v>
          </cell>
        </row>
        <row r="407">
          <cell r="A407" t="str">
            <v>ID1363</v>
          </cell>
          <cell r="B407" t="str">
            <v>19-Jun-1970</v>
          </cell>
          <cell r="C407">
            <v>56</v>
          </cell>
          <cell r="D407">
            <v>0</v>
          </cell>
          <cell r="E407">
            <v>7958.13</v>
          </cell>
          <cell r="F407" t="str">
            <v>tier - 2</v>
          </cell>
          <cell r="G407" t="str">
            <v>tier - 2</v>
          </cell>
          <cell r="H407" t="str">
            <v>R1013</v>
          </cell>
        </row>
        <row r="408">
          <cell r="A408" t="str">
            <v>ID1364</v>
          </cell>
          <cell r="B408" t="str">
            <v>28-Dec-1981</v>
          </cell>
          <cell r="C408">
            <v>44</v>
          </cell>
          <cell r="D408">
            <v>3</v>
          </cell>
          <cell r="E408">
            <v>7954.52</v>
          </cell>
          <cell r="F408" t="str">
            <v>tier - 2</v>
          </cell>
          <cell r="G408" t="str">
            <v>tier - 2</v>
          </cell>
          <cell r="H408" t="str">
            <v>R1011</v>
          </cell>
        </row>
        <row r="409">
          <cell r="A409" t="str">
            <v>ID1365</v>
          </cell>
          <cell r="B409" t="str">
            <v>9-Jul-1966</v>
          </cell>
          <cell r="C409">
            <v>60</v>
          </cell>
          <cell r="D409">
            <v>0</v>
          </cell>
          <cell r="E409">
            <v>7953.72</v>
          </cell>
          <cell r="F409" t="str">
            <v>tier - 3</v>
          </cell>
          <cell r="G409" t="str">
            <v>tier - 3</v>
          </cell>
          <cell r="H409" t="str">
            <v>R1012</v>
          </cell>
        </row>
        <row r="410">
          <cell r="A410" t="str">
            <v>ID1366</v>
          </cell>
          <cell r="B410" t="str">
            <v>29-Oct-1987</v>
          </cell>
          <cell r="C410">
            <v>38</v>
          </cell>
          <cell r="D410">
            <v>3</v>
          </cell>
          <cell r="E410">
            <v>7948.22</v>
          </cell>
          <cell r="F410" t="str">
            <v>tier - 2</v>
          </cell>
          <cell r="G410" t="str">
            <v>tier - 3</v>
          </cell>
          <cell r="H410" t="str">
            <v>R1025</v>
          </cell>
        </row>
        <row r="411">
          <cell r="A411" t="str">
            <v>ID1367</v>
          </cell>
          <cell r="B411" t="str">
            <v>20-Jul-1977</v>
          </cell>
          <cell r="C411">
            <v>49</v>
          </cell>
          <cell r="D411">
            <v>0</v>
          </cell>
          <cell r="E411">
            <v>7935.29</v>
          </cell>
          <cell r="F411" t="str">
            <v>tier - 2</v>
          </cell>
          <cell r="G411" t="str">
            <v>tier - 1</v>
          </cell>
          <cell r="H411" t="str">
            <v>R1024</v>
          </cell>
        </row>
        <row r="412">
          <cell r="A412" t="str">
            <v>ID1368</v>
          </cell>
          <cell r="B412" t="str">
            <v>10-Oct-1962</v>
          </cell>
          <cell r="C412">
            <v>64</v>
          </cell>
          <cell r="D412">
            <v>0</v>
          </cell>
          <cell r="E412">
            <v>7896.41</v>
          </cell>
          <cell r="F412" t="str">
            <v>tier - 3</v>
          </cell>
          <cell r="G412" t="str">
            <v>tier - 2</v>
          </cell>
          <cell r="H412" t="str">
            <v>R1013</v>
          </cell>
        </row>
        <row r="413">
          <cell r="A413" t="str">
            <v>ID1369</v>
          </cell>
          <cell r="B413" t="str">
            <v>17-Nov-1994</v>
          </cell>
          <cell r="C413">
            <v>31</v>
          </cell>
          <cell r="D413">
            <v>0</v>
          </cell>
          <cell r="E413">
            <v>7851.85</v>
          </cell>
          <cell r="F413" t="str">
            <v>tier - 2</v>
          </cell>
          <cell r="G413" t="str">
            <v>tier - 3</v>
          </cell>
          <cell r="H413" t="str">
            <v>R1012</v>
          </cell>
        </row>
        <row r="414">
          <cell r="A414" t="str">
            <v>ID137</v>
          </cell>
          <cell r="B414" t="str">
            <v>5-Dec-2004</v>
          </cell>
          <cell r="C414">
            <v>21</v>
          </cell>
          <cell r="D414">
            <v>0</v>
          </cell>
          <cell r="E414">
            <v>38792.69</v>
          </cell>
          <cell r="F414" t="str">
            <v>tier - 2</v>
          </cell>
          <cell r="G414" t="str">
            <v>tier - 2</v>
          </cell>
          <cell r="H414" t="str">
            <v>R1013</v>
          </cell>
        </row>
        <row r="415">
          <cell r="A415" t="str">
            <v>ID1370</v>
          </cell>
          <cell r="B415" t="str">
            <v>5-Oct-2001</v>
          </cell>
          <cell r="C415">
            <v>25</v>
          </cell>
          <cell r="D415">
            <v>0</v>
          </cell>
          <cell r="E415">
            <v>7844.8</v>
          </cell>
          <cell r="F415" t="str">
            <v>tier - 2</v>
          </cell>
          <cell r="G415" t="str">
            <v>tier - 2</v>
          </cell>
          <cell r="H415" t="str">
            <v>R1012</v>
          </cell>
        </row>
        <row r="416">
          <cell r="A416" t="str">
            <v>ID1371</v>
          </cell>
          <cell r="B416" t="str">
            <v>12-Oct-1989</v>
          </cell>
          <cell r="C416">
            <v>37</v>
          </cell>
          <cell r="D416">
            <v>3</v>
          </cell>
          <cell r="E416">
            <v>7824.37</v>
          </cell>
          <cell r="F416" t="str">
            <v>tier - 2</v>
          </cell>
          <cell r="G416" t="str">
            <v>tier - 2</v>
          </cell>
          <cell r="H416" t="str">
            <v>R1012</v>
          </cell>
        </row>
        <row r="417">
          <cell r="A417" t="str">
            <v>ID1372</v>
          </cell>
          <cell r="B417" t="str">
            <v>21-Dec-1991</v>
          </cell>
          <cell r="C417">
            <v>34</v>
          </cell>
          <cell r="D417">
            <v>3</v>
          </cell>
          <cell r="E417">
            <v>7812.67</v>
          </cell>
          <cell r="F417" t="str">
            <v>tier - 2</v>
          </cell>
          <cell r="G417" t="str">
            <v>tier - 1</v>
          </cell>
          <cell r="H417" t="str">
            <v>R1012</v>
          </cell>
        </row>
        <row r="418">
          <cell r="A418" t="str">
            <v>ID1373</v>
          </cell>
          <cell r="B418" t="str">
            <v>9-Nov-1974</v>
          </cell>
          <cell r="C418">
            <v>51</v>
          </cell>
          <cell r="D418">
            <v>0</v>
          </cell>
          <cell r="E418">
            <v>7804.16</v>
          </cell>
          <cell r="F418" t="str">
            <v>tier - 2</v>
          </cell>
          <cell r="G418" t="str">
            <v>tier - 3</v>
          </cell>
          <cell r="H418" t="str">
            <v>R1013</v>
          </cell>
        </row>
        <row r="419">
          <cell r="A419" t="str">
            <v>ID1374</v>
          </cell>
          <cell r="B419" t="str">
            <v>2-Dec-1997</v>
          </cell>
          <cell r="C419">
            <v>28</v>
          </cell>
          <cell r="D419">
            <v>0</v>
          </cell>
          <cell r="E419">
            <v>7803.77</v>
          </cell>
          <cell r="F419" t="str">
            <v>tier - 2</v>
          </cell>
          <cell r="G419" t="str">
            <v>tier - 3</v>
          </cell>
          <cell r="H419" t="str">
            <v>R1012</v>
          </cell>
        </row>
        <row r="420">
          <cell r="A420" t="str">
            <v>ID1375</v>
          </cell>
          <cell r="B420" t="str">
            <v>25-Dec-1999</v>
          </cell>
          <cell r="C420">
            <v>26</v>
          </cell>
          <cell r="D420">
            <v>0</v>
          </cell>
          <cell r="E420">
            <v>7794.68</v>
          </cell>
          <cell r="F420" t="str">
            <v>tier - 2</v>
          </cell>
          <cell r="G420" t="str">
            <v>tier - 2</v>
          </cell>
          <cell r="H420" t="str">
            <v>R1026</v>
          </cell>
        </row>
        <row r="421">
          <cell r="A421" t="str">
            <v>ID1376</v>
          </cell>
          <cell r="B421" t="str">
            <v>6-Dec-1974</v>
          </cell>
          <cell r="C421">
            <v>51</v>
          </cell>
          <cell r="D421">
            <v>0</v>
          </cell>
          <cell r="E421">
            <v>7789.64</v>
          </cell>
          <cell r="F421" t="str">
            <v>tier - 1</v>
          </cell>
          <cell r="G421" t="str">
            <v>tier - 3</v>
          </cell>
          <cell r="H421" t="str">
            <v>R1013</v>
          </cell>
        </row>
        <row r="422">
          <cell r="A422" t="str">
            <v>ID1377</v>
          </cell>
          <cell r="B422" t="str">
            <v>21-Dec-1997</v>
          </cell>
          <cell r="C422">
            <v>28</v>
          </cell>
          <cell r="D422">
            <v>0</v>
          </cell>
          <cell r="E422">
            <v>7763.06</v>
          </cell>
          <cell r="F422" t="str">
            <v>tier - 2</v>
          </cell>
          <cell r="G422" t="str">
            <v>tier - 1</v>
          </cell>
          <cell r="H422" t="str">
            <v>R1012</v>
          </cell>
        </row>
        <row r="423">
          <cell r="A423" t="str">
            <v>ID1378</v>
          </cell>
          <cell r="B423" t="str">
            <v>30-Jun-1981</v>
          </cell>
          <cell r="C423">
            <v>45</v>
          </cell>
          <cell r="D423">
            <v>2</v>
          </cell>
          <cell r="E423">
            <v>7749.16</v>
          </cell>
          <cell r="F423" t="str">
            <v>tier - 2</v>
          </cell>
          <cell r="G423" t="str">
            <v>tier - 1</v>
          </cell>
          <cell r="H423" t="str">
            <v>R1012</v>
          </cell>
        </row>
        <row r="424">
          <cell r="A424" t="str">
            <v>ID1379</v>
          </cell>
          <cell r="B424" t="str">
            <v>12-Dec-1976</v>
          </cell>
          <cell r="C424">
            <v>49</v>
          </cell>
          <cell r="D424">
            <v>1</v>
          </cell>
          <cell r="E424">
            <v>7742.11</v>
          </cell>
          <cell r="F424" t="str">
            <v>tier - 3</v>
          </cell>
          <cell r="G424" t="str">
            <v>tier - 2</v>
          </cell>
          <cell r="H424" t="str">
            <v>R1013</v>
          </cell>
        </row>
        <row r="425">
          <cell r="A425" t="str">
            <v>ID138</v>
          </cell>
          <cell r="B425" t="str">
            <v>8-Nov-1991</v>
          </cell>
          <cell r="C425">
            <v>34</v>
          </cell>
          <cell r="D425">
            <v>3</v>
          </cell>
          <cell r="E425">
            <v>38746.36</v>
          </cell>
          <cell r="F425" t="str">
            <v>tier - 1</v>
          </cell>
          <cell r="G425" t="str">
            <v>tier - 2</v>
          </cell>
          <cell r="H425" t="str">
            <v>R1012</v>
          </cell>
        </row>
        <row r="426">
          <cell r="A426" t="str">
            <v>ID1380</v>
          </cell>
          <cell r="B426" t="str">
            <v>4-Sep-1978</v>
          </cell>
          <cell r="C426">
            <v>48</v>
          </cell>
          <cell r="D426">
            <v>2</v>
          </cell>
          <cell r="E426">
            <v>7740.34</v>
          </cell>
          <cell r="F426" t="str">
            <v>tier - 1</v>
          </cell>
          <cell r="G426" t="str">
            <v>tier - 1</v>
          </cell>
          <cell r="H426" t="str">
            <v>R1011</v>
          </cell>
        </row>
        <row r="427">
          <cell r="A427" t="str">
            <v>ID1381</v>
          </cell>
          <cell r="B427" t="str">
            <v>18-Jul-1965</v>
          </cell>
          <cell r="C427">
            <v>61</v>
          </cell>
          <cell r="D427">
            <v>0</v>
          </cell>
          <cell r="E427">
            <v>7736.39</v>
          </cell>
          <cell r="F427" t="str">
            <v>tier - 3</v>
          </cell>
          <cell r="G427" t="str">
            <v>tier - 2</v>
          </cell>
          <cell r="H427" t="str">
            <v>R1013</v>
          </cell>
        </row>
        <row r="428">
          <cell r="A428" t="str">
            <v>ID1382</v>
          </cell>
          <cell r="B428" t="str">
            <v>29-Aug-1977</v>
          </cell>
          <cell r="C428">
            <v>49</v>
          </cell>
          <cell r="D428">
            <v>0</v>
          </cell>
          <cell r="E428">
            <v>7731.86</v>
          </cell>
          <cell r="F428" t="str">
            <v>tier - 2</v>
          </cell>
          <cell r="G428" t="str">
            <v>tier - 3</v>
          </cell>
          <cell r="H428" t="str">
            <v>R1012</v>
          </cell>
        </row>
        <row r="429">
          <cell r="A429" t="str">
            <v>ID1383</v>
          </cell>
          <cell r="B429" t="str">
            <v>4-Dec-1978</v>
          </cell>
          <cell r="C429">
            <v>47</v>
          </cell>
          <cell r="D429">
            <v>2</v>
          </cell>
          <cell r="E429">
            <v>7731.43</v>
          </cell>
          <cell r="F429" t="str">
            <v>tier - 3</v>
          </cell>
          <cell r="G429" t="str">
            <v>tier - 2</v>
          </cell>
          <cell r="H429" t="str">
            <v>R1013</v>
          </cell>
        </row>
        <row r="430">
          <cell r="A430" t="str">
            <v>ID1384</v>
          </cell>
          <cell r="B430" t="str">
            <v>10-Sep-1980</v>
          </cell>
          <cell r="C430">
            <v>46</v>
          </cell>
          <cell r="D430">
            <v>2</v>
          </cell>
          <cell r="E430">
            <v>7729.65</v>
          </cell>
          <cell r="F430" t="str">
            <v>tier - 3</v>
          </cell>
          <cell r="G430" t="str">
            <v>tier - 1</v>
          </cell>
          <cell r="H430" t="str">
            <v>R1016</v>
          </cell>
        </row>
        <row r="431">
          <cell r="A431" t="str">
            <v>ID1385</v>
          </cell>
          <cell r="B431" t="str">
            <v>2-Jun-1979</v>
          </cell>
          <cell r="C431">
            <v>47</v>
          </cell>
          <cell r="D431">
            <v>1</v>
          </cell>
          <cell r="E431">
            <v>7727.25</v>
          </cell>
          <cell r="F431" t="str">
            <v>tier - 2</v>
          </cell>
          <cell r="G431" t="str">
            <v>tier - 3</v>
          </cell>
          <cell r="H431" t="str">
            <v>R1012</v>
          </cell>
        </row>
        <row r="432">
          <cell r="A432" t="str">
            <v>ID1386</v>
          </cell>
          <cell r="B432" t="str">
            <v>29-Dec-1978</v>
          </cell>
          <cell r="C432">
            <v>47</v>
          </cell>
          <cell r="D432">
            <v>2</v>
          </cell>
          <cell r="E432">
            <v>7726.85</v>
          </cell>
          <cell r="F432" t="str">
            <v>tier - 1</v>
          </cell>
          <cell r="G432" t="str">
            <v>tier - 2</v>
          </cell>
          <cell r="H432" t="str">
            <v>R1011</v>
          </cell>
        </row>
        <row r="433">
          <cell r="A433" t="str">
            <v>ID1387</v>
          </cell>
          <cell r="B433" t="str">
            <v>12-Jul-1987</v>
          </cell>
          <cell r="C433">
            <v>39</v>
          </cell>
          <cell r="D433">
            <v>3</v>
          </cell>
          <cell r="E433">
            <v>7684.62</v>
          </cell>
          <cell r="F433" t="str">
            <v>tier - 2</v>
          </cell>
          <cell r="G433" t="str">
            <v>tier - 3</v>
          </cell>
          <cell r="H433" t="str">
            <v>R1021</v>
          </cell>
        </row>
        <row r="434">
          <cell r="A434" t="str">
            <v>ID1388</v>
          </cell>
          <cell r="B434" t="str">
            <v>18-Dec-1982</v>
          </cell>
          <cell r="C434">
            <v>43</v>
          </cell>
          <cell r="D434">
            <v>3</v>
          </cell>
          <cell r="E434">
            <v>7682.67</v>
          </cell>
          <cell r="F434" t="str">
            <v>tier - 2</v>
          </cell>
          <cell r="G434" t="str">
            <v>tier - 1</v>
          </cell>
          <cell r="H434" t="str">
            <v>R1013</v>
          </cell>
        </row>
        <row r="435">
          <cell r="A435" t="str">
            <v>ID1389</v>
          </cell>
          <cell r="B435" t="str">
            <v>19-Dec-1981</v>
          </cell>
          <cell r="C435">
            <v>44</v>
          </cell>
          <cell r="D435">
            <v>1</v>
          </cell>
          <cell r="E435">
            <v>7681.17</v>
          </cell>
          <cell r="F435" t="str">
            <v>tier - 2</v>
          </cell>
          <cell r="G435" t="str">
            <v>tier - 2</v>
          </cell>
          <cell r="H435" t="str">
            <v>R1020</v>
          </cell>
        </row>
        <row r="436">
          <cell r="A436" t="str">
            <v>ID139</v>
          </cell>
          <cell r="B436" t="str">
            <v>15-Jun-1976</v>
          </cell>
          <cell r="C436">
            <v>50</v>
          </cell>
          <cell r="D436">
            <v>2</v>
          </cell>
          <cell r="E436">
            <v>38740.120000000003</v>
          </cell>
          <cell r="F436" t="str">
            <v>tier - 2</v>
          </cell>
          <cell r="G436" t="str">
            <v>tier - 2</v>
          </cell>
          <cell r="H436" t="str">
            <v>R1012</v>
          </cell>
        </row>
        <row r="437">
          <cell r="A437" t="str">
            <v>ID1390</v>
          </cell>
          <cell r="B437" t="str">
            <v>11-Oct-1971</v>
          </cell>
          <cell r="C437">
            <v>55</v>
          </cell>
          <cell r="D437">
            <v>0</v>
          </cell>
          <cell r="E437">
            <v>7680.92</v>
          </cell>
          <cell r="F437" t="str">
            <v>tier - 2</v>
          </cell>
          <cell r="G437" t="str">
            <v>tier - 1</v>
          </cell>
          <cell r="H437" t="str">
            <v>R1013</v>
          </cell>
        </row>
        <row r="438">
          <cell r="A438" t="str">
            <v>ID1391</v>
          </cell>
          <cell r="B438" t="str">
            <v>13-Sep-1995</v>
          </cell>
          <cell r="C438">
            <v>31</v>
          </cell>
          <cell r="D438">
            <v>0</v>
          </cell>
          <cell r="E438">
            <v>7676.4</v>
          </cell>
          <cell r="F438" t="str">
            <v>tier - 2</v>
          </cell>
          <cell r="G438" t="str">
            <v>tier - 1</v>
          </cell>
          <cell r="H438" t="str">
            <v>R1012</v>
          </cell>
        </row>
        <row r="439">
          <cell r="A439" t="str">
            <v>ID1392</v>
          </cell>
          <cell r="B439" t="str">
            <v>24-Nov-1996</v>
          </cell>
          <cell r="C439">
            <v>29</v>
          </cell>
          <cell r="D439">
            <v>0</v>
          </cell>
          <cell r="E439">
            <v>7670.75</v>
          </cell>
          <cell r="F439" t="str">
            <v>tier - 2</v>
          </cell>
          <cell r="G439" t="str">
            <v>tier - 2</v>
          </cell>
          <cell r="H439" t="str">
            <v>R1022</v>
          </cell>
        </row>
        <row r="440">
          <cell r="A440" t="str">
            <v>ID1393</v>
          </cell>
          <cell r="B440" t="str">
            <v>9-Oct-1976</v>
          </cell>
          <cell r="C440">
            <v>50</v>
          </cell>
          <cell r="D440">
            <v>2</v>
          </cell>
          <cell r="E440">
            <v>7662.47</v>
          </cell>
          <cell r="F440" t="str">
            <v>tier - 2</v>
          </cell>
          <cell r="G440" t="str">
            <v>tier - 1</v>
          </cell>
          <cell r="H440" t="str">
            <v>R1011</v>
          </cell>
        </row>
        <row r="441">
          <cell r="A441" t="str">
            <v>ID1394</v>
          </cell>
          <cell r="B441" t="str">
            <v>27-Dec-1965</v>
          </cell>
          <cell r="C441">
            <v>60</v>
          </cell>
          <cell r="D441">
            <v>0</v>
          </cell>
          <cell r="E441">
            <v>7657.69</v>
          </cell>
          <cell r="F441" t="str">
            <v>tier - 3</v>
          </cell>
          <cell r="G441" t="str">
            <v>tier - 3</v>
          </cell>
          <cell r="H441" t="str">
            <v>R1012</v>
          </cell>
        </row>
        <row r="442">
          <cell r="A442" t="str">
            <v>ID1395</v>
          </cell>
          <cell r="B442" t="str">
            <v>30-Sep-1998</v>
          </cell>
          <cell r="C442">
            <v>28</v>
          </cell>
          <cell r="D442">
            <v>0</v>
          </cell>
          <cell r="E442">
            <v>7652.26</v>
          </cell>
          <cell r="F442" t="str">
            <v>tier - 2</v>
          </cell>
          <cell r="G442" t="str">
            <v>tier - 3</v>
          </cell>
          <cell r="H442" t="str">
            <v>R1023</v>
          </cell>
        </row>
        <row r="443">
          <cell r="A443" t="str">
            <v>ID1396</v>
          </cell>
          <cell r="B443" t="str">
            <v>10-Aug-1993</v>
          </cell>
          <cell r="C443">
            <v>33</v>
          </cell>
          <cell r="D443">
            <v>0</v>
          </cell>
          <cell r="E443">
            <v>7650.8</v>
          </cell>
          <cell r="F443" t="str">
            <v>tier - 2</v>
          </cell>
          <cell r="G443" t="str">
            <v>tier - 2</v>
          </cell>
          <cell r="H443" t="str">
            <v>R1012</v>
          </cell>
        </row>
        <row r="444">
          <cell r="A444" t="str">
            <v>ID1397</v>
          </cell>
          <cell r="B444" t="str">
            <v>16-Oct-1980</v>
          </cell>
          <cell r="C444">
            <v>46</v>
          </cell>
          <cell r="D444">
            <v>1</v>
          </cell>
          <cell r="E444">
            <v>7650.77</v>
          </cell>
          <cell r="F444" t="str">
            <v>tier - 2</v>
          </cell>
          <cell r="G444" t="str">
            <v>tier - 2</v>
          </cell>
          <cell r="H444" t="str">
            <v>R1024</v>
          </cell>
        </row>
        <row r="445">
          <cell r="A445" t="str">
            <v>ID1398</v>
          </cell>
          <cell r="B445" t="str">
            <v>15-Jun-1999</v>
          </cell>
          <cell r="C445">
            <v>27</v>
          </cell>
          <cell r="D445">
            <v>0</v>
          </cell>
          <cell r="E445">
            <v>7642.05</v>
          </cell>
          <cell r="F445" t="str">
            <v>tier - 2</v>
          </cell>
          <cell r="G445" t="str">
            <v>tier - 2</v>
          </cell>
          <cell r="H445" t="str">
            <v>R1026</v>
          </cell>
        </row>
        <row r="446">
          <cell r="A446" t="str">
            <v>ID1399</v>
          </cell>
          <cell r="B446" t="str">
            <v>24-Jul-1980</v>
          </cell>
          <cell r="C446">
            <v>46</v>
          </cell>
          <cell r="D446">
            <v>2</v>
          </cell>
          <cell r="E446">
            <v>7640.31</v>
          </cell>
          <cell r="F446" t="str">
            <v>tier - 2</v>
          </cell>
          <cell r="G446" t="str">
            <v>tier - 1</v>
          </cell>
          <cell r="H446" t="str">
            <v>R1013</v>
          </cell>
        </row>
        <row r="447">
          <cell r="A447" t="str">
            <v>ID14</v>
          </cell>
          <cell r="B447" t="str">
            <v>1-Dec-1968</v>
          </cell>
          <cell r="C447">
            <v>57</v>
          </cell>
          <cell r="D447">
            <v>3</v>
          </cell>
          <cell r="E447">
            <v>48549.18</v>
          </cell>
          <cell r="F447" t="str">
            <v>tier - 1</v>
          </cell>
          <cell r="G447" t="str">
            <v>tier - 3</v>
          </cell>
          <cell r="H447" t="str">
            <v>R1016</v>
          </cell>
        </row>
        <row r="448">
          <cell r="A448" t="str">
            <v>ID140</v>
          </cell>
          <cell r="B448" t="str">
            <v>2-Nov-1991</v>
          </cell>
          <cell r="C448">
            <v>34</v>
          </cell>
          <cell r="D448">
            <v>2</v>
          </cell>
          <cell r="E448">
            <v>38711</v>
          </cell>
          <cell r="F448" t="str">
            <v>tier - 2</v>
          </cell>
          <cell r="G448" t="str">
            <v>tier - 2</v>
          </cell>
          <cell r="H448" t="str">
            <v>R1011</v>
          </cell>
        </row>
        <row r="449">
          <cell r="A449" t="str">
            <v>ID1400</v>
          </cell>
          <cell r="B449" t="str">
            <v>20-Jun-1980</v>
          </cell>
          <cell r="C449">
            <v>46</v>
          </cell>
          <cell r="D449">
            <v>1</v>
          </cell>
          <cell r="E449">
            <v>7639.42</v>
          </cell>
          <cell r="F449" t="str">
            <v>tier - 2</v>
          </cell>
          <cell r="G449" t="str">
            <v>tier - 2</v>
          </cell>
          <cell r="H449" t="str">
            <v>R1024</v>
          </cell>
        </row>
        <row r="450">
          <cell r="A450" t="str">
            <v>ID1401</v>
          </cell>
          <cell r="B450" t="str">
            <v>13-Dec-2001</v>
          </cell>
          <cell r="C450">
            <v>24</v>
          </cell>
          <cell r="D450">
            <v>0</v>
          </cell>
          <cell r="E450">
            <v>7636.92</v>
          </cell>
          <cell r="F450" t="str">
            <v>tier - 2</v>
          </cell>
          <cell r="G450" t="str">
            <v>tier - 3</v>
          </cell>
          <cell r="H450" t="str">
            <v>R1012</v>
          </cell>
        </row>
        <row r="451">
          <cell r="A451" t="str">
            <v>ID1402</v>
          </cell>
          <cell r="B451" t="str">
            <v>24-Aug-1978</v>
          </cell>
          <cell r="C451">
            <v>48</v>
          </cell>
          <cell r="D451">
            <v>1</v>
          </cell>
          <cell r="E451">
            <v>7633.72</v>
          </cell>
          <cell r="F451" t="str">
            <v>tier - 2</v>
          </cell>
          <cell r="G451" t="str">
            <v>tier - 1</v>
          </cell>
          <cell r="H451" t="str">
            <v>R1013</v>
          </cell>
        </row>
        <row r="452">
          <cell r="A452" t="str">
            <v>ID1403</v>
          </cell>
          <cell r="B452" t="str">
            <v>29-Nov-1978</v>
          </cell>
          <cell r="C452">
            <v>47</v>
          </cell>
          <cell r="D452">
            <v>1</v>
          </cell>
          <cell r="E452">
            <v>7626.99</v>
          </cell>
          <cell r="F452" t="str">
            <v>tier - 2</v>
          </cell>
          <cell r="G452" t="str">
            <v>tier - 2</v>
          </cell>
          <cell r="H452" t="str">
            <v>R1011</v>
          </cell>
        </row>
        <row r="453">
          <cell r="A453" t="str">
            <v>ID1404</v>
          </cell>
          <cell r="B453" t="str">
            <v>6-Nov-1978</v>
          </cell>
          <cell r="C453">
            <v>47</v>
          </cell>
          <cell r="D453">
            <v>1</v>
          </cell>
          <cell r="E453">
            <v>7624.63</v>
          </cell>
          <cell r="F453" t="str">
            <v>tier - 2</v>
          </cell>
          <cell r="G453" t="str">
            <v>tier - 1</v>
          </cell>
          <cell r="H453" t="str">
            <v>R1011</v>
          </cell>
        </row>
        <row r="454">
          <cell r="A454" t="str">
            <v>ID1405</v>
          </cell>
          <cell r="B454" t="str">
            <v>28-Nov-1978</v>
          </cell>
          <cell r="C454">
            <v>47</v>
          </cell>
          <cell r="D454">
            <v>1</v>
          </cell>
          <cell r="E454">
            <v>7623.52</v>
          </cell>
          <cell r="F454" t="str">
            <v>tier - 2</v>
          </cell>
          <cell r="G454" t="str">
            <v>tier - 1</v>
          </cell>
          <cell r="H454" t="str">
            <v>R1011</v>
          </cell>
        </row>
        <row r="455">
          <cell r="A455" t="str">
            <v>ID1406</v>
          </cell>
          <cell r="B455" t="str">
            <v>17-Sep-1996</v>
          </cell>
          <cell r="C455">
            <v>30</v>
          </cell>
          <cell r="D455">
            <v>0</v>
          </cell>
          <cell r="E455">
            <v>7623.13</v>
          </cell>
          <cell r="F455" t="str">
            <v>tier - 2</v>
          </cell>
          <cell r="G455" t="str">
            <v>tier - 3</v>
          </cell>
          <cell r="H455" t="str">
            <v>R1011</v>
          </cell>
        </row>
        <row r="456">
          <cell r="A456" t="str">
            <v>ID1407</v>
          </cell>
          <cell r="B456" t="str">
            <v>3-Jul-1968</v>
          </cell>
          <cell r="C456">
            <v>58</v>
          </cell>
          <cell r="D456">
            <v>0</v>
          </cell>
          <cell r="E456">
            <v>7609.6</v>
          </cell>
          <cell r="F456" t="str">
            <v>tier - 3</v>
          </cell>
          <cell r="G456" t="str">
            <v>tier - 2</v>
          </cell>
          <cell r="H456" t="str">
            <v>R1012</v>
          </cell>
        </row>
        <row r="457">
          <cell r="A457" t="str">
            <v>ID1408</v>
          </cell>
          <cell r="B457" t="str">
            <v>30-Sep-1997</v>
          </cell>
          <cell r="C457">
            <v>29</v>
          </cell>
          <cell r="D457">
            <v>0</v>
          </cell>
          <cell r="E457">
            <v>7607.03</v>
          </cell>
          <cell r="F457" t="str">
            <v>tier - 2</v>
          </cell>
          <cell r="G457" t="str">
            <v>tier - 2</v>
          </cell>
          <cell r="H457" t="str">
            <v>R1012</v>
          </cell>
        </row>
        <row r="458">
          <cell r="A458" t="str">
            <v>ID1409</v>
          </cell>
          <cell r="B458" t="str">
            <v>17-Jul-1967</v>
          </cell>
          <cell r="C458">
            <v>59</v>
          </cell>
          <cell r="D458">
            <v>0</v>
          </cell>
          <cell r="E458">
            <v>7585.62</v>
          </cell>
          <cell r="F458" t="str">
            <v>tier - 3</v>
          </cell>
          <cell r="G458" t="str">
            <v>tier - 2</v>
          </cell>
          <cell r="H458" t="str">
            <v>R1013</v>
          </cell>
        </row>
        <row r="459">
          <cell r="A459" t="str">
            <v>ID141</v>
          </cell>
          <cell r="B459" t="str">
            <v>20-Jul-1986</v>
          </cell>
          <cell r="C459">
            <v>40</v>
          </cell>
          <cell r="D459">
            <v>1</v>
          </cell>
          <cell r="E459">
            <v>38709.18</v>
          </cell>
          <cell r="F459" t="str">
            <v>tier - 1</v>
          </cell>
          <cell r="G459" t="str">
            <v>tier - 3</v>
          </cell>
          <cell r="H459" t="str">
            <v>R1013</v>
          </cell>
        </row>
        <row r="460">
          <cell r="A460" t="str">
            <v>ID1410</v>
          </cell>
          <cell r="B460" t="str">
            <v>14-Aug-1994</v>
          </cell>
          <cell r="C460">
            <v>32</v>
          </cell>
          <cell r="D460">
            <v>0</v>
          </cell>
          <cell r="E460">
            <v>7567.13</v>
          </cell>
          <cell r="F460" t="str">
            <v>tier - 2</v>
          </cell>
          <cell r="G460" t="str">
            <v>tier - 2</v>
          </cell>
          <cell r="H460" t="str">
            <v>R1021</v>
          </cell>
        </row>
        <row r="461">
          <cell r="A461" t="str">
            <v>ID1411</v>
          </cell>
          <cell r="B461" t="str">
            <v>15-Dec-1988</v>
          </cell>
          <cell r="C461">
            <v>37</v>
          </cell>
          <cell r="D461">
            <v>3</v>
          </cell>
          <cell r="E461">
            <v>7538.52</v>
          </cell>
          <cell r="F461" t="str">
            <v>tier - 2</v>
          </cell>
          <cell r="G461" t="str">
            <v>tier - 2</v>
          </cell>
          <cell r="H461" t="str">
            <v>R1012</v>
          </cell>
        </row>
        <row r="462">
          <cell r="A462" t="str">
            <v>ID1412</v>
          </cell>
          <cell r="B462" t="str">
            <v>22-Aug-1984</v>
          </cell>
          <cell r="C462">
            <v>42</v>
          </cell>
          <cell r="D462">
            <v>3</v>
          </cell>
          <cell r="E462">
            <v>7537.16</v>
          </cell>
          <cell r="F462" t="str">
            <v>tier - 2</v>
          </cell>
          <cell r="G462" t="str">
            <v>tier - 2</v>
          </cell>
          <cell r="H462" t="str">
            <v>R1012</v>
          </cell>
        </row>
        <row r="463">
          <cell r="A463" t="str">
            <v>ID1413</v>
          </cell>
          <cell r="B463" t="str">
            <v>14-Dec-1978</v>
          </cell>
          <cell r="C463">
            <v>47</v>
          </cell>
          <cell r="D463">
            <v>2</v>
          </cell>
          <cell r="E463">
            <v>7531.7</v>
          </cell>
          <cell r="F463" t="str">
            <v>tier - 2</v>
          </cell>
          <cell r="G463" t="str">
            <v>tier - 1</v>
          </cell>
          <cell r="H463" t="str">
            <v>R1013</v>
          </cell>
        </row>
        <row r="464">
          <cell r="A464" t="str">
            <v>ID1414</v>
          </cell>
          <cell r="B464" t="str">
            <v>10-Oct-1976</v>
          </cell>
          <cell r="C464">
            <v>50</v>
          </cell>
          <cell r="D464">
            <v>0</v>
          </cell>
          <cell r="E464">
            <v>7526.71</v>
          </cell>
          <cell r="F464" t="str">
            <v>tier - 3</v>
          </cell>
          <cell r="G464" t="str">
            <v>tier - 1</v>
          </cell>
          <cell r="H464" t="str">
            <v>R1012</v>
          </cell>
        </row>
        <row r="465">
          <cell r="A465" t="str">
            <v>ID1415</v>
          </cell>
          <cell r="B465" t="str">
            <v>18-Oct-1978</v>
          </cell>
          <cell r="C465">
            <v>48</v>
          </cell>
          <cell r="D465">
            <v>1</v>
          </cell>
          <cell r="E465">
            <v>7518.03</v>
          </cell>
          <cell r="F465" t="str">
            <v>tier - 2</v>
          </cell>
          <cell r="G465" t="str">
            <v>tier - 3</v>
          </cell>
          <cell r="H465" t="str">
            <v>R1012</v>
          </cell>
        </row>
        <row r="466">
          <cell r="A466" t="str">
            <v>ID1416</v>
          </cell>
          <cell r="B466" t="str">
            <v>10-Jul-1983</v>
          </cell>
          <cell r="C466">
            <v>43</v>
          </cell>
          <cell r="D466">
            <v>4</v>
          </cell>
          <cell r="E466">
            <v>7512.27</v>
          </cell>
          <cell r="F466" t="str">
            <v>tier - 3</v>
          </cell>
          <cell r="G466" t="str">
            <v>tier - 2</v>
          </cell>
          <cell r="H466" t="str">
            <v>R1011</v>
          </cell>
        </row>
        <row r="467">
          <cell r="A467" t="str">
            <v>ID1417</v>
          </cell>
          <cell r="B467" t="str">
            <v>28-Oct-1997</v>
          </cell>
          <cell r="C467">
            <v>28</v>
          </cell>
          <cell r="D467">
            <v>0</v>
          </cell>
          <cell r="E467">
            <v>7504.3</v>
          </cell>
          <cell r="F467" t="str">
            <v>tier - 2</v>
          </cell>
          <cell r="G467" t="str">
            <v>tier - 1</v>
          </cell>
          <cell r="H467" t="str">
            <v>R1012</v>
          </cell>
        </row>
        <row r="468">
          <cell r="A468" t="str">
            <v>ID1418</v>
          </cell>
          <cell r="B468" t="str">
            <v>15-Dec-1988</v>
          </cell>
          <cell r="C468">
            <v>37</v>
          </cell>
          <cell r="D468">
            <v>3</v>
          </cell>
          <cell r="E468">
            <v>7494.63</v>
          </cell>
          <cell r="F468" t="str">
            <v>tier - 2</v>
          </cell>
          <cell r="G468" t="str">
            <v>tier - 3</v>
          </cell>
          <cell r="H468" t="str">
            <v>R1025</v>
          </cell>
        </row>
        <row r="469">
          <cell r="A469" t="str">
            <v>ID1419</v>
          </cell>
          <cell r="B469" t="str">
            <v>14-Jun-1996</v>
          </cell>
          <cell r="C469">
            <v>30</v>
          </cell>
          <cell r="D469">
            <v>0</v>
          </cell>
          <cell r="E469">
            <v>7487.38</v>
          </cell>
          <cell r="F469" t="str">
            <v>tier - 2</v>
          </cell>
          <cell r="G469" t="str">
            <v>tier - 3</v>
          </cell>
          <cell r="H469" t="str">
            <v>R1012</v>
          </cell>
        </row>
        <row r="470">
          <cell r="A470" t="str">
            <v>ID142</v>
          </cell>
          <cell r="B470" t="str">
            <v>13-Jul-1990</v>
          </cell>
          <cell r="C470">
            <v>36</v>
          </cell>
          <cell r="D470">
            <v>3</v>
          </cell>
          <cell r="E470">
            <v>38652.089999999997</v>
          </cell>
          <cell r="F470" t="str">
            <v>tier - 2</v>
          </cell>
          <cell r="G470" t="str">
            <v>tier - 2</v>
          </cell>
          <cell r="H470" t="str">
            <v>R1011</v>
          </cell>
        </row>
        <row r="471">
          <cell r="A471" t="str">
            <v>ID1420</v>
          </cell>
          <cell r="B471" t="str">
            <v>4-Aug-1967</v>
          </cell>
          <cell r="C471">
            <v>59</v>
          </cell>
          <cell r="D471">
            <v>0</v>
          </cell>
          <cell r="E471">
            <v>7463.51</v>
          </cell>
          <cell r="F471" t="str">
            <v>tier - 3</v>
          </cell>
          <cell r="G471" t="str">
            <v>tier - 3</v>
          </cell>
          <cell r="H471" t="str">
            <v>R1013</v>
          </cell>
        </row>
        <row r="472">
          <cell r="A472" t="str">
            <v>ID1421</v>
          </cell>
          <cell r="B472" t="str">
            <v>1-Jun-2001</v>
          </cell>
          <cell r="C472">
            <v>25</v>
          </cell>
          <cell r="D472">
            <v>0</v>
          </cell>
          <cell r="E472">
            <v>7450.36</v>
          </cell>
          <cell r="F472" t="str">
            <v>tier - 2</v>
          </cell>
          <cell r="G472" t="str">
            <v>tier - 2</v>
          </cell>
          <cell r="H472" t="str">
            <v>R1012</v>
          </cell>
        </row>
        <row r="473">
          <cell r="A473" t="str">
            <v>ID1422</v>
          </cell>
          <cell r="B473" t="str">
            <v>30-Sep-1977</v>
          </cell>
          <cell r="C473">
            <v>49</v>
          </cell>
          <cell r="D473">
            <v>0</v>
          </cell>
          <cell r="E473">
            <v>7448.4</v>
          </cell>
          <cell r="F473" t="str">
            <v>tier - 3</v>
          </cell>
          <cell r="G473" t="str">
            <v>tier - 3</v>
          </cell>
          <cell r="H473" t="str">
            <v>R1017</v>
          </cell>
        </row>
        <row r="474">
          <cell r="A474" t="str">
            <v>ID1423</v>
          </cell>
          <cell r="B474" t="str">
            <v>25-Sep-1977</v>
          </cell>
          <cell r="C474">
            <v>49</v>
          </cell>
          <cell r="D474">
            <v>1</v>
          </cell>
          <cell r="E474">
            <v>7445.92</v>
          </cell>
          <cell r="F474" t="str">
            <v>tier - 3</v>
          </cell>
          <cell r="G474" t="str">
            <v>tier - 1</v>
          </cell>
          <cell r="H474" t="str">
            <v>R1011</v>
          </cell>
        </row>
        <row r="475">
          <cell r="A475" t="str">
            <v>ID1424</v>
          </cell>
          <cell r="B475" t="str">
            <v>7-Jul-1980</v>
          </cell>
          <cell r="C475">
            <v>46</v>
          </cell>
          <cell r="D475">
            <v>1</v>
          </cell>
          <cell r="E475">
            <v>7443.64</v>
          </cell>
          <cell r="F475" t="str">
            <v>tier - 2</v>
          </cell>
          <cell r="G475" t="str">
            <v>tier - 3</v>
          </cell>
          <cell r="H475" t="str">
            <v>R1012</v>
          </cell>
        </row>
        <row r="476">
          <cell r="A476" t="str">
            <v>ID1425</v>
          </cell>
          <cell r="B476" t="str">
            <v>1-Sep-1979</v>
          </cell>
          <cell r="C476">
            <v>47</v>
          </cell>
          <cell r="D476">
            <v>2</v>
          </cell>
          <cell r="E476">
            <v>7441.5</v>
          </cell>
          <cell r="F476" t="str">
            <v>tier - 3</v>
          </cell>
          <cell r="G476" t="str">
            <v>tier - 2</v>
          </cell>
          <cell r="H476" t="str">
            <v>R1011</v>
          </cell>
        </row>
        <row r="477">
          <cell r="A477" t="str">
            <v>ID1426</v>
          </cell>
          <cell r="B477" t="str">
            <v>25-Aug-1977</v>
          </cell>
          <cell r="C477">
            <v>49</v>
          </cell>
          <cell r="D477">
            <v>1</v>
          </cell>
          <cell r="E477">
            <v>7441.05</v>
          </cell>
          <cell r="F477" t="str">
            <v>tier - 3</v>
          </cell>
          <cell r="G477" t="str">
            <v>tier - 2</v>
          </cell>
          <cell r="H477" t="str">
            <v>R1011</v>
          </cell>
        </row>
        <row r="478">
          <cell r="A478" t="str">
            <v>ID1427</v>
          </cell>
          <cell r="B478" t="str">
            <v>2-Dec-1978</v>
          </cell>
          <cell r="C478">
            <v>47</v>
          </cell>
          <cell r="D478">
            <v>0</v>
          </cell>
          <cell r="E478">
            <v>7421.19</v>
          </cell>
          <cell r="F478" t="str">
            <v>tier - 2</v>
          </cell>
          <cell r="G478" t="str">
            <v>tier - 3</v>
          </cell>
          <cell r="H478" t="str">
            <v>R1012</v>
          </cell>
        </row>
        <row r="479">
          <cell r="A479" t="str">
            <v>ID1428</v>
          </cell>
          <cell r="B479" t="str">
            <v>12-Nov-1978</v>
          </cell>
          <cell r="C479">
            <v>47</v>
          </cell>
          <cell r="D479">
            <v>0</v>
          </cell>
          <cell r="E479">
            <v>7419.48</v>
          </cell>
          <cell r="F479" t="str">
            <v>tier - 2</v>
          </cell>
          <cell r="G479" t="str">
            <v>tier - 2</v>
          </cell>
          <cell r="H479" t="str">
            <v>R1012</v>
          </cell>
        </row>
        <row r="480">
          <cell r="A480" t="str">
            <v>ID1429</v>
          </cell>
          <cell r="B480" t="str">
            <v>19-Sep-1983</v>
          </cell>
          <cell r="C480">
            <v>43</v>
          </cell>
          <cell r="D480">
            <v>3</v>
          </cell>
          <cell r="E480">
            <v>7418.52</v>
          </cell>
          <cell r="F480" t="str">
            <v>tier - 2</v>
          </cell>
          <cell r="G480" t="str">
            <v>tier - 2</v>
          </cell>
          <cell r="H480" t="str">
            <v>R1011</v>
          </cell>
        </row>
        <row r="481">
          <cell r="A481" t="str">
            <v>ID143</v>
          </cell>
          <cell r="B481" t="str">
            <v>12-Nov-1999</v>
          </cell>
          <cell r="C481">
            <v>26</v>
          </cell>
          <cell r="D481">
            <v>2</v>
          </cell>
          <cell r="E481">
            <v>38511.629999999997</v>
          </cell>
          <cell r="F481" t="str">
            <v>tier - 2</v>
          </cell>
          <cell r="G481" t="str">
            <v>tier - 2</v>
          </cell>
          <cell r="H481" t="str">
            <v>R1024</v>
          </cell>
        </row>
        <row r="482">
          <cell r="A482" t="str">
            <v>ID1430</v>
          </cell>
          <cell r="B482" t="str">
            <v>5-Dec-1965</v>
          </cell>
          <cell r="C482">
            <v>60</v>
          </cell>
          <cell r="D482">
            <v>0</v>
          </cell>
          <cell r="E482">
            <v>7403.98</v>
          </cell>
          <cell r="F482" t="str">
            <v>tier - 3</v>
          </cell>
          <cell r="G482" t="str">
            <v>tier - 2</v>
          </cell>
          <cell r="H482" t="str">
            <v>R1013</v>
          </cell>
        </row>
        <row r="483">
          <cell r="A483" t="str">
            <v>ID1431</v>
          </cell>
          <cell r="B483" t="str">
            <v>22-Jul-1993</v>
          </cell>
          <cell r="C483">
            <v>33</v>
          </cell>
          <cell r="D483">
            <v>0</v>
          </cell>
          <cell r="E483">
            <v>7388.85</v>
          </cell>
          <cell r="F483" t="str">
            <v>tier - 2</v>
          </cell>
          <cell r="G483" t="str">
            <v>tier - 2</v>
          </cell>
          <cell r="H483" t="str">
            <v>R1026</v>
          </cell>
        </row>
        <row r="484">
          <cell r="A484" t="str">
            <v>ID1432</v>
          </cell>
          <cell r="B484" t="str">
            <v>24-Nov-1981</v>
          </cell>
          <cell r="C484">
            <v>44</v>
          </cell>
          <cell r="D484">
            <v>2</v>
          </cell>
          <cell r="E484">
            <v>7371.77</v>
          </cell>
          <cell r="F484" t="str">
            <v>tier - 2</v>
          </cell>
          <cell r="G484" t="str">
            <v>tier - 1</v>
          </cell>
          <cell r="H484" t="str">
            <v>R1011</v>
          </cell>
        </row>
        <row r="485">
          <cell r="A485" t="str">
            <v>ID1433</v>
          </cell>
          <cell r="B485" t="str">
            <v>9-Dec-1965</v>
          </cell>
          <cell r="C485">
            <v>60</v>
          </cell>
          <cell r="D485">
            <v>0</v>
          </cell>
          <cell r="E485">
            <v>7362.31</v>
          </cell>
          <cell r="F485" t="str">
            <v>tier - 3</v>
          </cell>
          <cell r="G485" t="str">
            <v>tier - 3</v>
          </cell>
          <cell r="H485" t="str">
            <v>R1013</v>
          </cell>
        </row>
        <row r="486">
          <cell r="A486" t="str">
            <v>ID1434</v>
          </cell>
          <cell r="B486" t="str">
            <v>16-Jul-1981</v>
          </cell>
          <cell r="C486">
            <v>45</v>
          </cell>
          <cell r="D486">
            <v>1</v>
          </cell>
          <cell r="E486">
            <v>7358.18</v>
          </cell>
          <cell r="F486" t="str">
            <v>tier - 2</v>
          </cell>
          <cell r="G486" t="str">
            <v>tier - 3</v>
          </cell>
          <cell r="H486" t="str">
            <v>R1024</v>
          </cell>
        </row>
        <row r="487">
          <cell r="A487" t="str">
            <v>ID1435</v>
          </cell>
          <cell r="B487" t="str">
            <v>21-Jun-1983</v>
          </cell>
          <cell r="C487">
            <v>43</v>
          </cell>
          <cell r="D487">
            <v>3</v>
          </cell>
          <cell r="E487">
            <v>7357.49</v>
          </cell>
          <cell r="F487" t="str">
            <v>tier - 2</v>
          </cell>
          <cell r="G487" t="str">
            <v>tier - 2</v>
          </cell>
          <cell r="H487" t="str">
            <v>R1012</v>
          </cell>
        </row>
        <row r="488">
          <cell r="A488" t="str">
            <v>ID1436</v>
          </cell>
          <cell r="B488" t="str">
            <v>5-Oct-1993</v>
          </cell>
          <cell r="C488">
            <v>33</v>
          </cell>
          <cell r="D488">
            <v>0</v>
          </cell>
          <cell r="E488">
            <v>7349.12</v>
          </cell>
          <cell r="F488" t="str">
            <v>tier - 2</v>
          </cell>
          <cell r="G488" t="str">
            <v>tier - 2</v>
          </cell>
          <cell r="H488" t="str">
            <v>R1021</v>
          </cell>
        </row>
        <row r="489">
          <cell r="A489" t="str">
            <v>ID1437</v>
          </cell>
          <cell r="B489" t="str">
            <v>1-Dec-1977</v>
          </cell>
          <cell r="C489">
            <v>48</v>
          </cell>
          <cell r="D489">
            <v>0</v>
          </cell>
          <cell r="E489">
            <v>7348.14</v>
          </cell>
          <cell r="F489" t="str">
            <v>tier - 2</v>
          </cell>
          <cell r="G489" t="str">
            <v>tier - 1</v>
          </cell>
          <cell r="H489" t="str">
            <v>R1011</v>
          </cell>
        </row>
        <row r="490">
          <cell r="A490" t="str">
            <v>ID1438</v>
          </cell>
          <cell r="B490" t="str">
            <v>26-Jun-1979</v>
          </cell>
          <cell r="C490">
            <v>47</v>
          </cell>
          <cell r="D490">
            <v>1</v>
          </cell>
          <cell r="E490">
            <v>7345.73</v>
          </cell>
          <cell r="F490" t="str">
            <v>tier - 2</v>
          </cell>
          <cell r="G490" t="str">
            <v>tier - 1</v>
          </cell>
          <cell r="H490" t="str">
            <v>R1013</v>
          </cell>
        </row>
        <row r="491">
          <cell r="A491" t="str">
            <v>ID1439</v>
          </cell>
          <cell r="B491" t="str">
            <v>18-Dec-1977</v>
          </cell>
          <cell r="C491">
            <v>48</v>
          </cell>
          <cell r="D491">
            <v>0</v>
          </cell>
          <cell r="E491">
            <v>7345.08</v>
          </cell>
          <cell r="F491" t="str">
            <v>tier - 2</v>
          </cell>
          <cell r="G491" t="str">
            <v>tier - 1</v>
          </cell>
          <cell r="H491" t="str">
            <v>R1011</v>
          </cell>
        </row>
        <row r="492">
          <cell r="A492" t="str">
            <v>ID144</v>
          </cell>
          <cell r="B492" t="str">
            <v>21-Jun-1986</v>
          </cell>
          <cell r="C492">
            <v>40</v>
          </cell>
          <cell r="D492">
            <v>2</v>
          </cell>
          <cell r="E492">
            <v>38415.47</v>
          </cell>
          <cell r="F492" t="str">
            <v>tier - 1</v>
          </cell>
          <cell r="G492" t="str">
            <v>tier - 2</v>
          </cell>
          <cell r="H492" t="str">
            <v>R1011</v>
          </cell>
        </row>
        <row r="493">
          <cell r="A493" t="str">
            <v>ID1440</v>
          </cell>
          <cell r="B493" t="str">
            <v>15-Jun-1986</v>
          </cell>
          <cell r="C493">
            <v>40</v>
          </cell>
          <cell r="D493">
            <v>3</v>
          </cell>
          <cell r="E493">
            <v>7339.93</v>
          </cell>
          <cell r="F493" t="str">
            <v>tier - 2</v>
          </cell>
          <cell r="G493" t="str">
            <v>tier - 2</v>
          </cell>
          <cell r="H493" t="str">
            <v>R1012</v>
          </cell>
        </row>
        <row r="494">
          <cell r="A494" t="str">
            <v>ID1441</v>
          </cell>
          <cell r="B494" t="str">
            <v>19-Sep-1979</v>
          </cell>
          <cell r="C494">
            <v>47</v>
          </cell>
          <cell r="D494">
            <v>1</v>
          </cell>
          <cell r="E494">
            <v>7337.75</v>
          </cell>
          <cell r="F494" t="str">
            <v>tier - 2</v>
          </cell>
          <cell r="G494" t="str">
            <v>tier - 3</v>
          </cell>
          <cell r="H494" t="str">
            <v>R1011</v>
          </cell>
        </row>
        <row r="495">
          <cell r="A495" t="str">
            <v>ID1442</v>
          </cell>
          <cell r="B495" t="str">
            <v>25-Jul-1984</v>
          </cell>
          <cell r="C495">
            <v>42</v>
          </cell>
          <cell r="D495">
            <v>3</v>
          </cell>
          <cell r="E495">
            <v>7325.47</v>
          </cell>
          <cell r="F495" t="str">
            <v>tier - 2</v>
          </cell>
          <cell r="G495" t="str">
            <v>tier - 1</v>
          </cell>
          <cell r="H495" t="str">
            <v>R1012</v>
          </cell>
        </row>
        <row r="496">
          <cell r="A496" t="str">
            <v>ID1443</v>
          </cell>
          <cell r="B496" t="str">
            <v>19-Jun-1979</v>
          </cell>
          <cell r="C496">
            <v>47</v>
          </cell>
          <cell r="D496">
            <v>0</v>
          </cell>
          <cell r="E496">
            <v>7325.05</v>
          </cell>
          <cell r="F496" t="str">
            <v>tier - 2</v>
          </cell>
          <cell r="G496" t="str">
            <v>tier - 3</v>
          </cell>
          <cell r="H496" t="str">
            <v>R1024</v>
          </cell>
        </row>
        <row r="497">
          <cell r="A497" t="str">
            <v>ID1444</v>
          </cell>
          <cell r="B497" t="str">
            <v>15-Nov-2004</v>
          </cell>
          <cell r="C497">
            <v>21</v>
          </cell>
          <cell r="D497">
            <v>0</v>
          </cell>
          <cell r="E497">
            <v>7323.73</v>
          </cell>
          <cell r="F497" t="str">
            <v>tier - 2</v>
          </cell>
          <cell r="G497" t="str">
            <v>tier - 2</v>
          </cell>
          <cell r="H497" t="str">
            <v>R1024</v>
          </cell>
        </row>
        <row r="498">
          <cell r="A498" t="str">
            <v>ID1445</v>
          </cell>
          <cell r="B498" t="str">
            <v>11-Jul-1965</v>
          </cell>
          <cell r="C498">
            <v>61</v>
          </cell>
          <cell r="D498">
            <v>0</v>
          </cell>
          <cell r="E498">
            <v>7322.86</v>
          </cell>
          <cell r="F498" t="str">
            <v>tier - 3</v>
          </cell>
          <cell r="G498" t="str">
            <v>tier - 3</v>
          </cell>
          <cell r="H498" t="str">
            <v>R1012</v>
          </cell>
        </row>
        <row r="499">
          <cell r="A499" t="str">
            <v>ID1446</v>
          </cell>
          <cell r="B499" t="str">
            <v>11-Aug-1972</v>
          </cell>
          <cell r="C499">
            <v>54</v>
          </cell>
          <cell r="D499">
            <v>0</v>
          </cell>
          <cell r="E499">
            <v>7318.22</v>
          </cell>
          <cell r="F499" t="str">
            <v>tier - 2</v>
          </cell>
          <cell r="G499" t="str">
            <v>tier - 3</v>
          </cell>
          <cell r="H499" t="str">
            <v>R1012</v>
          </cell>
        </row>
        <row r="500">
          <cell r="A500" t="str">
            <v>ID1447</v>
          </cell>
          <cell r="B500" t="str">
            <v>25-Jun-1965</v>
          </cell>
          <cell r="C500">
            <v>61</v>
          </cell>
          <cell r="D500">
            <v>0</v>
          </cell>
          <cell r="E500">
            <v>7318.21</v>
          </cell>
          <cell r="F500" t="str">
            <v>tier - 3</v>
          </cell>
          <cell r="G500" t="str">
            <v>tier - 1</v>
          </cell>
          <cell r="H500" t="str">
            <v>R1013</v>
          </cell>
        </row>
        <row r="501">
          <cell r="A501" t="str">
            <v>ID1448</v>
          </cell>
          <cell r="B501" t="str">
            <v>6-Jun-1965</v>
          </cell>
          <cell r="C501">
            <v>61</v>
          </cell>
          <cell r="D501">
            <v>0</v>
          </cell>
          <cell r="E501">
            <v>7304.65</v>
          </cell>
          <cell r="F501" t="str">
            <v>tier - 3</v>
          </cell>
          <cell r="G501" t="str">
            <v>tier - 3</v>
          </cell>
          <cell r="H501" t="str">
            <v>R1013</v>
          </cell>
        </row>
        <row r="502">
          <cell r="A502" t="str">
            <v>ID1449</v>
          </cell>
          <cell r="B502" t="str">
            <v>26-Dec-1966</v>
          </cell>
          <cell r="C502">
            <v>59</v>
          </cell>
          <cell r="D502">
            <v>0</v>
          </cell>
          <cell r="E502">
            <v>7302.46</v>
          </cell>
          <cell r="F502" t="str">
            <v>tier - 3</v>
          </cell>
          <cell r="G502" t="str">
            <v>tier - 1</v>
          </cell>
          <cell r="H502" t="str">
            <v>R1012</v>
          </cell>
        </row>
        <row r="503">
          <cell r="A503" t="str">
            <v>ID145</v>
          </cell>
          <cell r="B503" t="str">
            <v>23-Dec-1971</v>
          </cell>
          <cell r="C503">
            <v>54</v>
          </cell>
          <cell r="D503">
            <v>0</v>
          </cell>
          <cell r="E503">
            <v>38405.26</v>
          </cell>
          <cell r="F503" t="str">
            <v>tier - 2</v>
          </cell>
          <cell r="G503" t="str">
            <v>tier - 1</v>
          </cell>
          <cell r="H503" t="str">
            <v>R1011</v>
          </cell>
        </row>
        <row r="504">
          <cell r="A504" t="str">
            <v>ID1450</v>
          </cell>
          <cell r="B504" t="str">
            <v>2-Nov-1985</v>
          </cell>
          <cell r="C504">
            <v>40</v>
          </cell>
          <cell r="D504">
            <v>3</v>
          </cell>
          <cell r="E504">
            <v>7281.51</v>
          </cell>
          <cell r="F504" t="str">
            <v>tier - 2</v>
          </cell>
          <cell r="G504" t="str">
            <v>tier - 1</v>
          </cell>
          <cell r="H504" t="str">
            <v>R1012</v>
          </cell>
        </row>
        <row r="505">
          <cell r="A505" t="str">
            <v>ID1451</v>
          </cell>
          <cell r="B505" t="str">
            <v>18-Dec-1976</v>
          </cell>
          <cell r="C505">
            <v>49</v>
          </cell>
          <cell r="D505">
            <v>2</v>
          </cell>
          <cell r="E505">
            <v>7273.02</v>
          </cell>
          <cell r="F505" t="str">
            <v>tier - 2</v>
          </cell>
          <cell r="G505" t="str">
            <v>tier - 1</v>
          </cell>
          <cell r="H505" t="str">
            <v>R1013</v>
          </cell>
        </row>
        <row r="506">
          <cell r="A506" t="str">
            <v>ID1452</v>
          </cell>
          <cell r="B506" t="str">
            <v>4-Aug-1981</v>
          </cell>
          <cell r="C506">
            <v>45</v>
          </cell>
          <cell r="D506">
            <v>2</v>
          </cell>
          <cell r="E506">
            <v>7265.7</v>
          </cell>
          <cell r="F506" t="str">
            <v>tier - 3</v>
          </cell>
          <cell r="G506" t="str">
            <v>tier - 3</v>
          </cell>
          <cell r="H506" t="str">
            <v>R1012</v>
          </cell>
        </row>
        <row r="507">
          <cell r="A507" t="str">
            <v>ID1453</v>
          </cell>
          <cell r="B507" t="str">
            <v>25-Oct-1973</v>
          </cell>
          <cell r="C507">
            <v>52</v>
          </cell>
          <cell r="D507">
            <v>0</v>
          </cell>
          <cell r="E507">
            <v>7265.58</v>
          </cell>
          <cell r="F507" t="str">
            <v>tier - 2</v>
          </cell>
          <cell r="G507" t="str">
            <v>tier - 2</v>
          </cell>
          <cell r="H507" t="str">
            <v>R1013</v>
          </cell>
        </row>
        <row r="508">
          <cell r="A508" t="str">
            <v>ID1454</v>
          </cell>
          <cell r="B508" t="str">
            <v>13-Jun-1981</v>
          </cell>
          <cell r="C508">
            <v>45</v>
          </cell>
          <cell r="D508">
            <v>2</v>
          </cell>
          <cell r="E508">
            <v>7261.74</v>
          </cell>
          <cell r="F508" t="str">
            <v>tier - 3</v>
          </cell>
          <cell r="G508" t="str">
            <v>tier - 3</v>
          </cell>
          <cell r="H508" t="str">
            <v>R1012</v>
          </cell>
        </row>
        <row r="509">
          <cell r="A509" t="str">
            <v>ID1455</v>
          </cell>
          <cell r="B509" t="str">
            <v>14-Aug-1981</v>
          </cell>
          <cell r="C509">
            <v>45</v>
          </cell>
          <cell r="D509">
            <v>2</v>
          </cell>
          <cell r="E509">
            <v>7256.72</v>
          </cell>
          <cell r="F509" t="str">
            <v>tier - 3</v>
          </cell>
          <cell r="G509" t="str">
            <v>tier - 2</v>
          </cell>
          <cell r="H509" t="str">
            <v>R1012</v>
          </cell>
        </row>
        <row r="510">
          <cell r="A510" t="str">
            <v>ID1456</v>
          </cell>
          <cell r="B510" t="str">
            <v>24-Jul-1982</v>
          </cell>
          <cell r="C510">
            <v>44</v>
          </cell>
          <cell r="D510">
            <v>3</v>
          </cell>
          <cell r="E510">
            <v>7248.71</v>
          </cell>
          <cell r="F510" t="str">
            <v>tier - 2</v>
          </cell>
          <cell r="G510" t="str">
            <v>tier - 1</v>
          </cell>
          <cell r="H510" t="str">
            <v>R1013</v>
          </cell>
        </row>
        <row r="511">
          <cell r="A511" t="str">
            <v>ID1457</v>
          </cell>
          <cell r="B511" t="str">
            <v>2-Sep-1986</v>
          </cell>
          <cell r="C511">
            <v>40</v>
          </cell>
          <cell r="D511">
            <v>4</v>
          </cell>
          <cell r="E511">
            <v>7243.81</v>
          </cell>
          <cell r="F511" t="str">
            <v>tier - 2</v>
          </cell>
          <cell r="G511" t="str">
            <v>tier - 3</v>
          </cell>
          <cell r="H511" t="str">
            <v>R1013</v>
          </cell>
        </row>
        <row r="512">
          <cell r="A512" t="str">
            <v>ID1458</v>
          </cell>
          <cell r="B512" t="str">
            <v>13-Jul-1986</v>
          </cell>
          <cell r="C512">
            <v>40</v>
          </cell>
          <cell r="D512">
            <v>3</v>
          </cell>
          <cell r="E512">
            <v>7228.22</v>
          </cell>
          <cell r="F512" t="str">
            <v>tier - 2</v>
          </cell>
          <cell r="G512" t="str">
            <v>tier - 1</v>
          </cell>
          <cell r="H512" t="str">
            <v>R1024</v>
          </cell>
        </row>
        <row r="513">
          <cell r="A513" t="str">
            <v>ID1459</v>
          </cell>
          <cell r="B513" t="str">
            <v>15-Sep-1977</v>
          </cell>
          <cell r="C513">
            <v>49</v>
          </cell>
          <cell r="D513">
            <v>0</v>
          </cell>
          <cell r="E513">
            <v>7222.79</v>
          </cell>
          <cell r="F513" t="str">
            <v>tier - 3</v>
          </cell>
          <cell r="G513" t="str">
            <v>tier - 3</v>
          </cell>
          <cell r="H513" t="str">
            <v>R1012</v>
          </cell>
        </row>
        <row r="514">
          <cell r="A514" t="str">
            <v>ID146</v>
          </cell>
          <cell r="B514" t="str">
            <v>22-Aug-1970</v>
          </cell>
          <cell r="C514">
            <v>56</v>
          </cell>
          <cell r="D514">
            <v>0</v>
          </cell>
          <cell r="E514">
            <v>38389.79</v>
          </cell>
          <cell r="F514" t="str">
            <v>tier - 2</v>
          </cell>
          <cell r="G514" t="str">
            <v>tier - 3</v>
          </cell>
          <cell r="H514" t="str">
            <v>R1011</v>
          </cell>
        </row>
        <row r="515">
          <cell r="A515" t="str">
            <v>ID1460</v>
          </cell>
          <cell r="B515" t="str">
            <v>28-Jun-1991</v>
          </cell>
          <cell r="C515">
            <v>35</v>
          </cell>
          <cell r="D515">
            <v>3</v>
          </cell>
          <cell r="E515">
            <v>7220.25</v>
          </cell>
          <cell r="F515" t="str">
            <v>tier - 2</v>
          </cell>
          <cell r="G515" t="str">
            <v>tier - 2</v>
          </cell>
          <cell r="H515" t="str">
            <v>R1021</v>
          </cell>
        </row>
        <row r="516">
          <cell r="A516" t="str">
            <v>ID1461</v>
          </cell>
          <cell r="B516" t="str">
            <v>21-Nov-1983</v>
          </cell>
          <cell r="C516">
            <v>42</v>
          </cell>
          <cell r="D516">
            <v>2</v>
          </cell>
          <cell r="E516">
            <v>7209.49</v>
          </cell>
          <cell r="F516" t="str">
            <v>tier - 2</v>
          </cell>
          <cell r="G516" t="str">
            <v>tier - 3</v>
          </cell>
          <cell r="H516" t="str">
            <v>R1012</v>
          </cell>
        </row>
        <row r="517">
          <cell r="A517" t="str">
            <v>ID1462</v>
          </cell>
          <cell r="B517" t="str">
            <v>11-Aug-1983</v>
          </cell>
          <cell r="C517">
            <v>43</v>
          </cell>
          <cell r="D517">
            <v>2</v>
          </cell>
          <cell r="E517">
            <v>7201.7</v>
          </cell>
          <cell r="F517" t="str">
            <v>tier - 2</v>
          </cell>
          <cell r="G517" t="str">
            <v>tier - 3</v>
          </cell>
          <cell r="H517" t="str">
            <v>R1012</v>
          </cell>
        </row>
        <row r="518">
          <cell r="A518" t="str">
            <v>ID1463</v>
          </cell>
          <cell r="B518" t="str">
            <v>14-Sep-1982</v>
          </cell>
          <cell r="C518">
            <v>44</v>
          </cell>
          <cell r="D518">
            <v>3</v>
          </cell>
          <cell r="E518">
            <v>7196.87</v>
          </cell>
          <cell r="F518" t="str">
            <v>tier - 3</v>
          </cell>
          <cell r="G518" t="str">
            <v>tier - 2</v>
          </cell>
          <cell r="H518" t="str">
            <v>R1011</v>
          </cell>
        </row>
        <row r="519">
          <cell r="A519" t="str">
            <v>ID1464</v>
          </cell>
          <cell r="B519" t="str">
            <v>26-Aug-1968</v>
          </cell>
          <cell r="C519">
            <v>58</v>
          </cell>
          <cell r="D519">
            <v>0</v>
          </cell>
          <cell r="E519">
            <v>7179.52</v>
          </cell>
          <cell r="F519" t="str">
            <v>tier - 3</v>
          </cell>
          <cell r="G519" t="str">
            <v>tier - 3</v>
          </cell>
          <cell r="H519" t="str">
            <v>R1013</v>
          </cell>
        </row>
        <row r="520">
          <cell r="A520" t="str">
            <v>ID1465</v>
          </cell>
          <cell r="B520" t="str">
            <v>19-Jul-1975</v>
          </cell>
          <cell r="C520">
            <v>51</v>
          </cell>
          <cell r="D520">
            <v>1</v>
          </cell>
          <cell r="E520">
            <v>7175.51</v>
          </cell>
          <cell r="F520" t="str">
            <v>tier - 2</v>
          </cell>
          <cell r="G520" t="str">
            <v>tier - 3</v>
          </cell>
          <cell r="H520" t="str">
            <v>R1013</v>
          </cell>
        </row>
        <row r="521">
          <cell r="A521" t="str">
            <v>ID1466</v>
          </cell>
          <cell r="B521" t="str">
            <v>16-Aug-1982</v>
          </cell>
          <cell r="C521">
            <v>44</v>
          </cell>
          <cell r="D521">
            <v>2</v>
          </cell>
          <cell r="E521">
            <v>7173.36</v>
          </cell>
          <cell r="F521" t="str">
            <v>tier - 3</v>
          </cell>
          <cell r="G521" t="str">
            <v>tier - 2</v>
          </cell>
          <cell r="H521" t="str">
            <v>R1016</v>
          </cell>
        </row>
        <row r="522">
          <cell r="A522" t="str">
            <v>ID1467</v>
          </cell>
          <cell r="B522" t="str">
            <v>30-Sep-1980</v>
          </cell>
          <cell r="C522">
            <v>46</v>
          </cell>
          <cell r="D522">
            <v>2</v>
          </cell>
          <cell r="E522">
            <v>7162.01</v>
          </cell>
          <cell r="F522" t="str">
            <v>tier - 2</v>
          </cell>
          <cell r="G522" t="str">
            <v>tier - 3</v>
          </cell>
          <cell r="H522" t="str">
            <v>R1013</v>
          </cell>
        </row>
        <row r="523">
          <cell r="A523" t="str">
            <v>ID1468</v>
          </cell>
          <cell r="B523" t="str">
            <v>7-Oct-1980</v>
          </cell>
          <cell r="C523">
            <v>46</v>
          </cell>
          <cell r="D523">
            <v>2</v>
          </cell>
          <cell r="E523">
            <v>7160.33</v>
          </cell>
          <cell r="F523" t="str">
            <v>tier - 2</v>
          </cell>
          <cell r="G523" t="str">
            <v>tier - 1</v>
          </cell>
          <cell r="H523" t="str">
            <v>R1013</v>
          </cell>
        </row>
        <row r="524">
          <cell r="A524" t="str">
            <v>ID1469</v>
          </cell>
          <cell r="B524" t="str">
            <v>22-Jun-1980</v>
          </cell>
          <cell r="C524">
            <v>46</v>
          </cell>
          <cell r="D524">
            <v>2</v>
          </cell>
          <cell r="E524">
            <v>7160.09</v>
          </cell>
          <cell r="F524" t="str">
            <v>tier - 2</v>
          </cell>
          <cell r="G524" t="str">
            <v>tier - 2</v>
          </cell>
          <cell r="H524" t="str">
            <v>R1011</v>
          </cell>
        </row>
        <row r="525">
          <cell r="A525" t="str">
            <v>ID147</v>
          </cell>
          <cell r="B525" t="str">
            <v>17-Sep-2002</v>
          </cell>
          <cell r="C525">
            <v>24</v>
          </cell>
          <cell r="D525">
            <v>2</v>
          </cell>
          <cell r="E525">
            <v>38344.57</v>
          </cell>
          <cell r="F525" t="str">
            <v>tier - 1</v>
          </cell>
          <cell r="G525" t="str">
            <v>tier - 3</v>
          </cell>
          <cell r="H525" t="str">
            <v>R1011</v>
          </cell>
        </row>
        <row r="526">
          <cell r="A526" t="str">
            <v>ID1470</v>
          </cell>
          <cell r="B526" t="str">
            <v>17-Jul-1981</v>
          </cell>
          <cell r="C526">
            <v>45</v>
          </cell>
          <cell r="D526">
            <v>1</v>
          </cell>
          <cell r="E526">
            <v>7153.55</v>
          </cell>
          <cell r="F526" t="str">
            <v>tier - 2</v>
          </cell>
          <cell r="G526" t="str">
            <v>tier - 1</v>
          </cell>
          <cell r="H526" t="str">
            <v>R1012</v>
          </cell>
        </row>
        <row r="527">
          <cell r="A527" t="str">
            <v>ID1471</v>
          </cell>
          <cell r="B527" t="str">
            <v>6-Sep-1978</v>
          </cell>
          <cell r="C527">
            <v>48</v>
          </cell>
          <cell r="D527">
            <v>1</v>
          </cell>
          <cell r="E527">
            <v>7152.67</v>
          </cell>
          <cell r="F527" t="str">
            <v>tier - 3</v>
          </cell>
          <cell r="G527" t="str">
            <v>tier - 2</v>
          </cell>
          <cell r="H527" t="str">
            <v>R1013</v>
          </cell>
        </row>
        <row r="528">
          <cell r="A528" t="str">
            <v>ID1472</v>
          </cell>
          <cell r="B528" t="str">
            <v>29-Jun-1984</v>
          </cell>
          <cell r="C528">
            <v>42</v>
          </cell>
          <cell r="D528">
            <v>3</v>
          </cell>
          <cell r="E528">
            <v>7151.09</v>
          </cell>
          <cell r="F528" t="str">
            <v>tier - 2</v>
          </cell>
          <cell r="G528" t="str">
            <v>tier - 2</v>
          </cell>
          <cell r="H528" t="str">
            <v>R1011</v>
          </cell>
        </row>
        <row r="529">
          <cell r="A529" t="str">
            <v>ID1473</v>
          </cell>
          <cell r="B529" t="str">
            <v>30-Jul-1978</v>
          </cell>
          <cell r="C529">
            <v>48</v>
          </cell>
          <cell r="D529">
            <v>1</v>
          </cell>
          <cell r="E529">
            <v>7147.47</v>
          </cell>
          <cell r="F529" t="str">
            <v>tier - 2</v>
          </cell>
          <cell r="G529" t="str">
            <v>tier - 3</v>
          </cell>
          <cell r="H529" t="str">
            <v>R1013</v>
          </cell>
        </row>
        <row r="530">
          <cell r="A530" t="str">
            <v>ID1474</v>
          </cell>
          <cell r="B530" t="str">
            <v>24-Jun-1976</v>
          </cell>
          <cell r="C530">
            <v>50</v>
          </cell>
          <cell r="D530">
            <v>0</v>
          </cell>
          <cell r="E530">
            <v>7147.11</v>
          </cell>
          <cell r="F530" t="str">
            <v>tier - 3</v>
          </cell>
          <cell r="G530" t="str">
            <v>tier - 2</v>
          </cell>
          <cell r="H530" t="str">
            <v>R1011</v>
          </cell>
        </row>
        <row r="531">
          <cell r="A531" t="str">
            <v>ID1475</v>
          </cell>
          <cell r="B531" t="str">
            <v>21-Nov-1984</v>
          </cell>
          <cell r="C531">
            <v>41</v>
          </cell>
          <cell r="D531">
            <v>2</v>
          </cell>
          <cell r="E531">
            <v>7144.86</v>
          </cell>
          <cell r="F531" t="str">
            <v>tier - 2</v>
          </cell>
          <cell r="G531" t="str">
            <v>tier - 2</v>
          </cell>
          <cell r="H531" t="str">
            <v>R1024</v>
          </cell>
        </row>
        <row r="532">
          <cell r="A532" t="str">
            <v>ID1476</v>
          </cell>
          <cell r="B532" t="str">
            <v>8-Aug-1999</v>
          </cell>
          <cell r="C532">
            <v>27</v>
          </cell>
          <cell r="D532">
            <v>0</v>
          </cell>
          <cell r="E532">
            <v>7144.4</v>
          </cell>
          <cell r="F532" t="str">
            <v>tier - 2</v>
          </cell>
          <cell r="G532" t="str">
            <v>tier - 1</v>
          </cell>
          <cell r="H532" t="str">
            <v>R1022</v>
          </cell>
        </row>
        <row r="533">
          <cell r="A533" t="str">
            <v>ID1477</v>
          </cell>
          <cell r="B533" t="str">
            <v>7-Jul-1984</v>
          </cell>
          <cell r="C533">
            <v>42</v>
          </cell>
          <cell r="D533">
            <v>2</v>
          </cell>
          <cell r="E533">
            <v>7133.9</v>
          </cell>
          <cell r="F533" t="str">
            <v>tier - 2</v>
          </cell>
          <cell r="G533" t="str">
            <v>tier - 1</v>
          </cell>
          <cell r="H533" t="str">
            <v>R1024</v>
          </cell>
        </row>
        <row r="534">
          <cell r="A534" t="str">
            <v>ID1478</v>
          </cell>
          <cell r="B534" t="str">
            <v>1-Aug-1993</v>
          </cell>
          <cell r="C534">
            <v>33</v>
          </cell>
          <cell r="D534">
            <v>0</v>
          </cell>
          <cell r="E534">
            <v>7128.64</v>
          </cell>
          <cell r="F534" t="str">
            <v>tier - 2</v>
          </cell>
          <cell r="G534" t="str">
            <v>tier - 2</v>
          </cell>
          <cell r="H534" t="str">
            <v>R1021</v>
          </cell>
        </row>
        <row r="535">
          <cell r="A535" t="str">
            <v>ID1479</v>
          </cell>
          <cell r="B535" t="str">
            <v>29-Jun-1968</v>
          </cell>
          <cell r="C535">
            <v>58</v>
          </cell>
          <cell r="D535">
            <v>0</v>
          </cell>
          <cell r="E535">
            <v>7125.25</v>
          </cell>
          <cell r="F535" t="str">
            <v>tier - 3</v>
          </cell>
          <cell r="G535" t="str">
            <v>tier - 2</v>
          </cell>
          <cell r="H535" t="str">
            <v>R1013</v>
          </cell>
        </row>
        <row r="536">
          <cell r="A536" t="str">
            <v>ID148</v>
          </cell>
          <cell r="B536" t="str">
            <v>12-Jun-1980</v>
          </cell>
          <cell r="C536">
            <v>46</v>
          </cell>
          <cell r="D536">
            <v>2</v>
          </cell>
          <cell r="E536">
            <v>38313.129999999997</v>
          </cell>
          <cell r="F536" t="str">
            <v>tier - 1</v>
          </cell>
          <cell r="G536" t="str">
            <v>tier - 3</v>
          </cell>
          <cell r="H536" t="str">
            <v>R1011</v>
          </cell>
        </row>
        <row r="537">
          <cell r="A537" t="str">
            <v>ID1480</v>
          </cell>
          <cell r="B537" t="str">
            <v>11-Aug-1987</v>
          </cell>
          <cell r="C537">
            <v>39</v>
          </cell>
          <cell r="D537">
            <v>3</v>
          </cell>
          <cell r="E537">
            <v>7106.81</v>
          </cell>
          <cell r="F537" t="str">
            <v>tier - 2</v>
          </cell>
          <cell r="G537" t="str">
            <v>tier - 1</v>
          </cell>
          <cell r="H537" t="str">
            <v>R1012</v>
          </cell>
        </row>
        <row r="538">
          <cell r="A538" t="str">
            <v>ID1481</v>
          </cell>
          <cell r="B538" t="str">
            <v>18-Jun-1992</v>
          </cell>
          <cell r="C538">
            <v>34</v>
          </cell>
          <cell r="D538">
            <v>0</v>
          </cell>
          <cell r="E538">
            <v>7096.98</v>
          </cell>
          <cell r="F538" t="str">
            <v>tier - 2</v>
          </cell>
          <cell r="G538" t="str">
            <v>tier - 2</v>
          </cell>
          <cell r="H538" t="str">
            <v>R1012</v>
          </cell>
        </row>
        <row r="539">
          <cell r="A539" t="str">
            <v>ID1482</v>
          </cell>
          <cell r="B539" t="str">
            <v>6-Oct-1982</v>
          </cell>
          <cell r="C539">
            <v>44</v>
          </cell>
          <cell r="D539">
            <v>1</v>
          </cell>
          <cell r="E539">
            <v>7077.19</v>
          </cell>
          <cell r="F539" t="str">
            <v>tier - 2</v>
          </cell>
          <cell r="G539" t="str">
            <v>tier - 3</v>
          </cell>
          <cell r="H539" t="str">
            <v>R1024</v>
          </cell>
        </row>
        <row r="540">
          <cell r="A540" t="str">
            <v>ID1483</v>
          </cell>
          <cell r="B540" t="str">
            <v>24-Jun-1978</v>
          </cell>
          <cell r="C540">
            <v>48</v>
          </cell>
          <cell r="D540">
            <v>2</v>
          </cell>
          <cell r="E540">
            <v>7054.41</v>
          </cell>
          <cell r="F540" t="str">
            <v>tier - 2</v>
          </cell>
          <cell r="G540" t="str">
            <v>tier - 2</v>
          </cell>
          <cell r="H540" t="str">
            <v>R1013</v>
          </cell>
        </row>
        <row r="541">
          <cell r="A541" t="str">
            <v>ID1484</v>
          </cell>
          <cell r="B541" t="str">
            <v>28-Jun-1980</v>
          </cell>
          <cell r="C541">
            <v>46</v>
          </cell>
          <cell r="D541">
            <v>1</v>
          </cell>
          <cell r="E541">
            <v>7050.64</v>
          </cell>
          <cell r="F541" t="str">
            <v>tier - 2</v>
          </cell>
          <cell r="G541" t="str">
            <v>tier - 3</v>
          </cell>
          <cell r="H541" t="str">
            <v>R1011</v>
          </cell>
        </row>
        <row r="542">
          <cell r="A542" t="str">
            <v>ID1485</v>
          </cell>
          <cell r="B542" t="str">
            <v>21-Jul-1980</v>
          </cell>
          <cell r="C542">
            <v>46</v>
          </cell>
          <cell r="D542">
            <v>0</v>
          </cell>
          <cell r="E542">
            <v>7050.02</v>
          </cell>
          <cell r="F542" t="str">
            <v>tier - 2</v>
          </cell>
          <cell r="G542" t="str">
            <v>tier - 1</v>
          </cell>
          <cell r="H542" t="str">
            <v>R1024</v>
          </cell>
        </row>
        <row r="543">
          <cell r="A543" t="str">
            <v>ID1486</v>
          </cell>
          <cell r="B543" t="str">
            <v>22-Oct-1980</v>
          </cell>
          <cell r="C543">
            <v>45</v>
          </cell>
          <cell r="D543">
            <v>1</v>
          </cell>
          <cell r="E543">
            <v>7046.72</v>
          </cell>
          <cell r="F543" t="str">
            <v>tier - 2</v>
          </cell>
          <cell r="G543" t="str">
            <v>tier - 3</v>
          </cell>
          <cell r="H543" t="str">
            <v>R1013</v>
          </cell>
        </row>
        <row r="544">
          <cell r="A544" t="str">
            <v>ID1487</v>
          </cell>
          <cell r="B544" t="str">
            <v>26-Jul-1980</v>
          </cell>
          <cell r="C544">
            <v>46</v>
          </cell>
          <cell r="D544">
            <v>1</v>
          </cell>
          <cell r="E544">
            <v>7045.5</v>
          </cell>
          <cell r="F544" t="str">
            <v>tier - 2</v>
          </cell>
          <cell r="G544" t="str">
            <v>tier - 1</v>
          </cell>
          <cell r="H544" t="str">
            <v>R1011</v>
          </cell>
        </row>
        <row r="545">
          <cell r="A545" t="str">
            <v>ID1488</v>
          </cell>
          <cell r="B545" t="str">
            <v>29-Oct-1995</v>
          </cell>
          <cell r="C545">
            <v>30</v>
          </cell>
          <cell r="D545">
            <v>0</v>
          </cell>
          <cell r="E545">
            <v>7042.11</v>
          </cell>
          <cell r="F545" t="str">
            <v>tier - 2</v>
          </cell>
          <cell r="G545" t="str">
            <v>tier - 3</v>
          </cell>
          <cell r="H545" t="str">
            <v>R1012</v>
          </cell>
        </row>
        <row r="546">
          <cell r="A546" t="str">
            <v>ID1489</v>
          </cell>
          <cell r="B546" t="str">
            <v>2-Jun-1978</v>
          </cell>
          <cell r="C546">
            <v>48</v>
          </cell>
          <cell r="D546">
            <v>2</v>
          </cell>
          <cell r="E546">
            <v>7033.08</v>
          </cell>
          <cell r="F546" t="str">
            <v>tier - 2</v>
          </cell>
          <cell r="G546" t="str">
            <v>tier - 2</v>
          </cell>
          <cell r="H546" t="str">
            <v>R1013</v>
          </cell>
        </row>
        <row r="547">
          <cell r="A547" t="str">
            <v>ID149</v>
          </cell>
          <cell r="B547" t="str">
            <v>30-Oct-1989</v>
          </cell>
          <cell r="C547">
            <v>36</v>
          </cell>
          <cell r="D547">
            <v>1</v>
          </cell>
          <cell r="E547">
            <v>38282.75</v>
          </cell>
          <cell r="F547" t="str">
            <v>tier - 1</v>
          </cell>
          <cell r="G547" t="str">
            <v>tier - 2</v>
          </cell>
          <cell r="H547" t="str">
            <v>R1013</v>
          </cell>
        </row>
        <row r="548">
          <cell r="A548" t="str">
            <v>ID1490</v>
          </cell>
          <cell r="B548" t="str">
            <v>6-Jul-1969</v>
          </cell>
          <cell r="C548">
            <v>57</v>
          </cell>
          <cell r="D548">
            <v>0</v>
          </cell>
          <cell r="E548">
            <v>7003.1</v>
          </cell>
          <cell r="F548" t="str">
            <v>tier - 2</v>
          </cell>
          <cell r="G548" t="str">
            <v>tier - 3</v>
          </cell>
          <cell r="H548" t="str">
            <v>R1013</v>
          </cell>
        </row>
        <row r="549">
          <cell r="A549" t="str">
            <v>ID1491</v>
          </cell>
          <cell r="B549" t="str">
            <v>1-Sep-1982</v>
          </cell>
          <cell r="C549">
            <v>44</v>
          </cell>
          <cell r="D549">
            <v>3</v>
          </cell>
          <cell r="E549">
            <v>6989.95</v>
          </cell>
          <cell r="F549" t="str">
            <v>tier - 2</v>
          </cell>
          <cell r="G549" t="str">
            <v>tier - 1</v>
          </cell>
          <cell r="H549" t="str">
            <v>R1013</v>
          </cell>
        </row>
        <row r="550">
          <cell r="A550" t="str">
            <v>ID1492</v>
          </cell>
          <cell r="B550" t="str">
            <v>18-Oct-1982</v>
          </cell>
          <cell r="C550">
            <v>44</v>
          </cell>
          <cell r="D550">
            <v>2</v>
          </cell>
          <cell r="E550">
            <v>6986.7</v>
          </cell>
          <cell r="F550" t="str">
            <v>tier - 3</v>
          </cell>
          <cell r="G550" t="str">
            <v>tier - 1</v>
          </cell>
          <cell r="H550" t="str">
            <v>R1012</v>
          </cell>
        </row>
        <row r="551">
          <cell r="A551" t="str">
            <v>ID1493</v>
          </cell>
          <cell r="B551" t="str">
            <v>10-Dec-1985</v>
          </cell>
          <cell r="C551">
            <v>40</v>
          </cell>
          <cell r="D551">
            <v>3</v>
          </cell>
          <cell r="E551">
            <v>6985.51</v>
          </cell>
          <cell r="F551" t="str">
            <v>tier - 2</v>
          </cell>
          <cell r="G551" t="str">
            <v>tier - 2</v>
          </cell>
          <cell r="H551" t="str">
            <v>R1019</v>
          </cell>
        </row>
        <row r="552">
          <cell r="A552" t="str">
            <v>ID1494</v>
          </cell>
          <cell r="B552" t="str">
            <v>3-Jun-1975</v>
          </cell>
          <cell r="C552">
            <v>51</v>
          </cell>
          <cell r="D552">
            <v>1</v>
          </cell>
          <cell r="E552">
            <v>6965.21</v>
          </cell>
          <cell r="F552" t="str">
            <v>tier - 2</v>
          </cell>
          <cell r="G552" t="str">
            <v>tier - 3</v>
          </cell>
          <cell r="H552" t="str">
            <v>R1013</v>
          </cell>
        </row>
        <row r="553">
          <cell r="A553" t="str">
            <v>ID1495</v>
          </cell>
          <cell r="B553" t="str">
            <v>18-Aug-1980</v>
          </cell>
          <cell r="C553">
            <v>46</v>
          </cell>
          <cell r="D553">
            <v>2</v>
          </cell>
          <cell r="E553">
            <v>6951.12</v>
          </cell>
          <cell r="F553" t="str">
            <v>tier - 2</v>
          </cell>
          <cell r="G553" t="str">
            <v>tier - 2</v>
          </cell>
          <cell r="H553" t="str">
            <v>R1013</v>
          </cell>
        </row>
        <row r="554">
          <cell r="A554" t="str">
            <v>ID1496</v>
          </cell>
          <cell r="B554" t="str">
            <v>15-Dec-1978</v>
          </cell>
          <cell r="C554">
            <v>47</v>
          </cell>
          <cell r="D554">
            <v>0</v>
          </cell>
          <cell r="E554">
            <v>6948.7</v>
          </cell>
          <cell r="F554" t="str">
            <v>tier - 1</v>
          </cell>
          <cell r="G554" t="str">
            <v>tier - 2</v>
          </cell>
          <cell r="H554" t="str">
            <v>R1012</v>
          </cell>
        </row>
        <row r="555">
          <cell r="A555" t="str">
            <v>ID1497</v>
          </cell>
          <cell r="B555" t="str">
            <v>5-Oct-1980</v>
          </cell>
          <cell r="C555">
            <v>46</v>
          </cell>
          <cell r="D555">
            <v>2</v>
          </cell>
          <cell r="E555">
            <v>6940.94</v>
          </cell>
          <cell r="F555" t="str">
            <v>tier - 2</v>
          </cell>
          <cell r="G555" t="str">
            <v>tier - 3</v>
          </cell>
          <cell r="H555" t="str">
            <v>R1013</v>
          </cell>
        </row>
        <row r="556">
          <cell r="A556" t="str">
            <v>ID1498</v>
          </cell>
          <cell r="B556" t="str">
            <v>30-Aug-1980</v>
          </cell>
          <cell r="C556">
            <v>46</v>
          </cell>
          <cell r="D556">
            <v>1</v>
          </cell>
          <cell r="E556">
            <v>6940.91</v>
          </cell>
          <cell r="F556" t="str">
            <v>tier - 2</v>
          </cell>
          <cell r="G556" t="str">
            <v>tier - 2</v>
          </cell>
          <cell r="H556" t="str">
            <v>R1012</v>
          </cell>
        </row>
        <row r="557">
          <cell r="A557" t="str">
            <v>ID1499</v>
          </cell>
          <cell r="B557" t="str">
            <v>29-Nov-1978</v>
          </cell>
          <cell r="C557">
            <v>47</v>
          </cell>
          <cell r="D557">
            <v>2</v>
          </cell>
          <cell r="E557">
            <v>6938.11</v>
          </cell>
          <cell r="F557" t="str">
            <v>tier - 2</v>
          </cell>
          <cell r="G557" t="str">
            <v>tier - 2</v>
          </cell>
          <cell r="H557" t="str">
            <v>R1013</v>
          </cell>
        </row>
        <row r="558">
          <cell r="A558" t="str">
            <v>ID15</v>
          </cell>
          <cell r="B558" t="str">
            <v>21-Dec-1961</v>
          </cell>
          <cell r="C558">
            <v>64</v>
          </cell>
          <cell r="D558">
            <v>1</v>
          </cell>
          <cell r="E558">
            <v>48517.56</v>
          </cell>
          <cell r="F558" t="str">
            <v>tier - 1</v>
          </cell>
          <cell r="G558" t="str">
            <v>tier - 3</v>
          </cell>
          <cell r="H558" t="str">
            <v>R1024</v>
          </cell>
        </row>
        <row r="559">
          <cell r="A559" t="str">
            <v>ID150</v>
          </cell>
          <cell r="B559" t="str">
            <v>16-Aug-1980</v>
          </cell>
          <cell r="C559">
            <v>46</v>
          </cell>
          <cell r="D559">
            <v>1</v>
          </cell>
          <cell r="E559">
            <v>38245.589999999997</v>
          </cell>
          <cell r="F559" t="str">
            <v>tier - 1</v>
          </cell>
          <cell r="G559" t="str">
            <v>tier - 2</v>
          </cell>
          <cell r="H559" t="str">
            <v>R1013</v>
          </cell>
        </row>
        <row r="560">
          <cell r="A560" t="str">
            <v>ID1500</v>
          </cell>
          <cell r="B560" t="str">
            <v>5-Sep-1984</v>
          </cell>
          <cell r="C560">
            <v>42</v>
          </cell>
          <cell r="D560">
            <v>2</v>
          </cell>
          <cell r="E560">
            <v>6933.24</v>
          </cell>
          <cell r="F560" t="str">
            <v>tier - 2</v>
          </cell>
          <cell r="G560" t="str">
            <v>tier - 3</v>
          </cell>
          <cell r="H560" t="str">
            <v>R1012</v>
          </cell>
        </row>
        <row r="561">
          <cell r="A561" t="str">
            <v>ID1501</v>
          </cell>
          <cell r="B561" t="str">
            <v>21-Dec-1989</v>
          </cell>
          <cell r="C561">
            <v>36</v>
          </cell>
          <cell r="D561">
            <v>3</v>
          </cell>
          <cell r="E561">
            <v>6895.19</v>
          </cell>
          <cell r="F561" t="str">
            <v>tier - 2</v>
          </cell>
          <cell r="G561" t="str">
            <v>tier - 3</v>
          </cell>
          <cell r="H561" t="str">
            <v>R1024</v>
          </cell>
        </row>
        <row r="562">
          <cell r="A562" t="str">
            <v>ID1502</v>
          </cell>
          <cell r="B562" t="str">
            <v>10-Sep-1985</v>
          </cell>
          <cell r="C562">
            <v>41</v>
          </cell>
          <cell r="D562">
            <v>2</v>
          </cell>
          <cell r="E562">
            <v>6877.98</v>
          </cell>
          <cell r="F562" t="str">
            <v>tier - 2</v>
          </cell>
          <cell r="G562" t="str">
            <v>tier - 1</v>
          </cell>
          <cell r="H562" t="str">
            <v>R1024</v>
          </cell>
        </row>
        <row r="563">
          <cell r="A563" t="str">
            <v>ID1503</v>
          </cell>
          <cell r="B563" t="str">
            <v>24-Dec-2004</v>
          </cell>
          <cell r="C563">
            <v>21</v>
          </cell>
          <cell r="D563">
            <v>0</v>
          </cell>
          <cell r="E563">
            <v>6876.53</v>
          </cell>
          <cell r="F563" t="str">
            <v>tier - 2</v>
          </cell>
          <cell r="G563" t="str">
            <v>tier - 1</v>
          </cell>
          <cell r="H563" t="str">
            <v>R1012</v>
          </cell>
        </row>
        <row r="564">
          <cell r="A564" t="str">
            <v>ID1504</v>
          </cell>
          <cell r="B564" t="str">
            <v>23-Jun-1981</v>
          </cell>
          <cell r="C564">
            <v>45</v>
          </cell>
          <cell r="D564">
            <v>2</v>
          </cell>
          <cell r="E564">
            <v>6875.96</v>
          </cell>
          <cell r="F564" t="str">
            <v>tier - 2</v>
          </cell>
          <cell r="G564" t="str">
            <v>tier - 2</v>
          </cell>
          <cell r="H564" t="str">
            <v>R1011</v>
          </cell>
        </row>
        <row r="565">
          <cell r="A565" t="str">
            <v>ID1505</v>
          </cell>
          <cell r="B565" t="str">
            <v>23-Oct-1969</v>
          </cell>
          <cell r="C565">
            <v>56</v>
          </cell>
          <cell r="D565">
            <v>0</v>
          </cell>
          <cell r="E565">
            <v>6868.39</v>
          </cell>
          <cell r="F565" t="str">
            <v>tier - 2</v>
          </cell>
          <cell r="G565" t="str">
            <v>tier - 2</v>
          </cell>
          <cell r="H565" t="str">
            <v>R1013</v>
          </cell>
        </row>
        <row r="566">
          <cell r="A566" t="str">
            <v>ID1506</v>
          </cell>
          <cell r="B566" t="str">
            <v>5-Aug-1978</v>
          </cell>
          <cell r="C566">
            <v>48</v>
          </cell>
          <cell r="D566">
            <v>2</v>
          </cell>
          <cell r="E566">
            <v>6863.49</v>
          </cell>
          <cell r="F566" t="str">
            <v>tier - 2</v>
          </cell>
          <cell r="G566" t="str">
            <v>tier - 1</v>
          </cell>
          <cell r="H566" t="str">
            <v>R1013</v>
          </cell>
        </row>
        <row r="567">
          <cell r="A567" t="str">
            <v>ID1507</v>
          </cell>
          <cell r="B567" t="str">
            <v>19-Jun-1981</v>
          </cell>
          <cell r="C567">
            <v>45</v>
          </cell>
          <cell r="D567">
            <v>1</v>
          </cell>
          <cell r="E567">
            <v>6858.48</v>
          </cell>
          <cell r="F567" t="str">
            <v>tier - 2</v>
          </cell>
          <cell r="G567" t="str">
            <v>tier - 2</v>
          </cell>
          <cell r="H567" t="str">
            <v>R1019</v>
          </cell>
        </row>
        <row r="568">
          <cell r="A568" t="str">
            <v>ID1508</v>
          </cell>
          <cell r="B568" t="str">
            <v>4-Nov-1979</v>
          </cell>
          <cell r="C568">
            <v>46</v>
          </cell>
          <cell r="D568">
            <v>1</v>
          </cell>
          <cell r="E568">
            <v>6849.03</v>
          </cell>
          <cell r="F568" t="str">
            <v>tier - 2</v>
          </cell>
          <cell r="G568" t="str">
            <v>tier - 2</v>
          </cell>
          <cell r="H568" t="str">
            <v>R1011</v>
          </cell>
        </row>
        <row r="569">
          <cell r="A569" t="str">
            <v>ID1509</v>
          </cell>
          <cell r="B569" t="str">
            <v>15-Jun-1977</v>
          </cell>
          <cell r="C569">
            <v>49</v>
          </cell>
          <cell r="D569">
            <v>2</v>
          </cell>
          <cell r="E569">
            <v>6843.17</v>
          </cell>
          <cell r="F569" t="str">
            <v>tier - 2</v>
          </cell>
          <cell r="G569" t="str">
            <v>tier - 1</v>
          </cell>
          <cell r="H569" t="str">
            <v>R1013</v>
          </cell>
        </row>
        <row r="570">
          <cell r="A570" t="str">
            <v>ID151</v>
          </cell>
          <cell r="B570" t="str">
            <v>16-Jun-1964</v>
          </cell>
          <cell r="C570">
            <v>62</v>
          </cell>
          <cell r="D570">
            <v>0</v>
          </cell>
          <cell r="E570">
            <v>38241.74</v>
          </cell>
          <cell r="F570" t="str">
            <v>tier - 2</v>
          </cell>
          <cell r="G570" t="str">
            <v>tier - 3</v>
          </cell>
          <cell r="H570" t="str">
            <v>R1011</v>
          </cell>
        </row>
        <row r="571">
          <cell r="A571" t="str">
            <v>ID1510</v>
          </cell>
          <cell r="B571" t="str">
            <v>30-Nov-2000</v>
          </cell>
          <cell r="C571">
            <v>25</v>
          </cell>
          <cell r="D571">
            <v>0</v>
          </cell>
          <cell r="E571">
            <v>6842.28</v>
          </cell>
          <cell r="F571" t="str">
            <v>tier - 2</v>
          </cell>
          <cell r="G571" t="str">
            <v>tier - 1</v>
          </cell>
          <cell r="H571" t="str">
            <v>R1012</v>
          </cell>
        </row>
        <row r="572">
          <cell r="A572" t="str">
            <v>ID1511</v>
          </cell>
          <cell r="B572" t="str">
            <v>15-Jul-1979</v>
          </cell>
          <cell r="C572">
            <v>47</v>
          </cell>
          <cell r="D572">
            <v>0</v>
          </cell>
          <cell r="E572">
            <v>6837.37</v>
          </cell>
          <cell r="F572" t="str">
            <v>tier - 3</v>
          </cell>
          <cell r="G572" t="str">
            <v>tier - 1</v>
          </cell>
          <cell r="H572" t="str">
            <v>R1016</v>
          </cell>
        </row>
        <row r="573">
          <cell r="A573" t="str">
            <v>ID1512</v>
          </cell>
          <cell r="B573" t="str">
            <v>8-Jul-1994</v>
          </cell>
          <cell r="C573">
            <v>32</v>
          </cell>
          <cell r="D573">
            <v>0</v>
          </cell>
          <cell r="E573">
            <v>6827.69</v>
          </cell>
          <cell r="F573" t="str">
            <v>tier - 2</v>
          </cell>
          <cell r="G573" t="str">
            <v>tier - 2</v>
          </cell>
          <cell r="H573" t="str">
            <v>R1021</v>
          </cell>
        </row>
        <row r="574">
          <cell r="A574" t="str">
            <v>ID1513</v>
          </cell>
          <cell r="B574" t="str">
            <v>17-Aug-1975</v>
          </cell>
          <cell r="C574">
            <v>51</v>
          </cell>
          <cell r="D574">
            <v>1</v>
          </cell>
          <cell r="E574">
            <v>6809.46</v>
          </cell>
          <cell r="F574" t="str">
            <v>tier - 2</v>
          </cell>
          <cell r="G574" t="str">
            <v>tier - 1</v>
          </cell>
          <cell r="H574" t="str">
            <v>R1012</v>
          </cell>
        </row>
        <row r="575">
          <cell r="A575" t="str">
            <v>ID1514</v>
          </cell>
          <cell r="B575" t="str">
            <v>29-Jun-1991</v>
          </cell>
          <cell r="C575">
            <v>35</v>
          </cell>
          <cell r="D575">
            <v>5</v>
          </cell>
          <cell r="E575">
            <v>6799.46</v>
          </cell>
          <cell r="F575" t="str">
            <v>tier - 1</v>
          </cell>
          <cell r="G575" t="str">
            <v>tier - 2</v>
          </cell>
          <cell r="H575" t="str">
            <v>R1014</v>
          </cell>
        </row>
        <row r="576">
          <cell r="A576" t="str">
            <v>ID1515</v>
          </cell>
          <cell r="B576" t="str">
            <v>24-Dec-1985</v>
          </cell>
          <cell r="C576">
            <v>40</v>
          </cell>
          <cell r="D576">
            <v>3</v>
          </cell>
          <cell r="E576">
            <v>6796.86</v>
          </cell>
          <cell r="F576" t="str">
            <v>tier - 3</v>
          </cell>
          <cell r="G576" t="str">
            <v>tier - 3</v>
          </cell>
          <cell r="H576" t="str">
            <v>R1012</v>
          </cell>
        </row>
        <row r="577">
          <cell r="A577" t="str">
            <v>ID1516</v>
          </cell>
          <cell r="B577" t="str">
            <v>23-Nov-1980</v>
          </cell>
          <cell r="C577">
            <v>45</v>
          </cell>
          <cell r="D577">
            <v>2</v>
          </cell>
          <cell r="E577">
            <v>6781.52</v>
          </cell>
          <cell r="F577" t="str">
            <v>tier - 2</v>
          </cell>
          <cell r="G577" t="str">
            <v>tier - 2</v>
          </cell>
          <cell r="H577" t="str">
            <v>R1013</v>
          </cell>
        </row>
        <row r="578">
          <cell r="A578" t="str">
            <v>ID1517</v>
          </cell>
          <cell r="B578" t="str">
            <v>8-Oct-1981</v>
          </cell>
          <cell r="C578">
            <v>45</v>
          </cell>
          <cell r="D578">
            <v>1</v>
          </cell>
          <cell r="E578">
            <v>6781.35</v>
          </cell>
          <cell r="F578" t="str">
            <v>tier - 2</v>
          </cell>
          <cell r="G578" t="str">
            <v>tier - 1</v>
          </cell>
          <cell r="H578" t="str">
            <v>R1013</v>
          </cell>
        </row>
        <row r="579">
          <cell r="A579" t="str">
            <v>ID1518</v>
          </cell>
          <cell r="B579" t="str">
            <v>3-Sep-1981</v>
          </cell>
          <cell r="C579">
            <v>45</v>
          </cell>
          <cell r="D579">
            <v>1</v>
          </cell>
          <cell r="E579">
            <v>6775.96</v>
          </cell>
          <cell r="F579" t="str">
            <v>tier - 2</v>
          </cell>
          <cell r="G579" t="str">
            <v>tier - 3</v>
          </cell>
          <cell r="H579" t="str">
            <v>R1011</v>
          </cell>
        </row>
        <row r="580">
          <cell r="A580" t="str">
            <v>ID1519</v>
          </cell>
          <cell r="B580" t="str">
            <v>21-Sep-1981</v>
          </cell>
          <cell r="C580">
            <v>45</v>
          </cell>
          <cell r="D580">
            <v>1</v>
          </cell>
          <cell r="E580">
            <v>6770.19</v>
          </cell>
          <cell r="F580" t="str">
            <v>tier - 2</v>
          </cell>
          <cell r="G580" t="str">
            <v>tier - 3</v>
          </cell>
          <cell r="H580" t="str">
            <v>R1013</v>
          </cell>
        </row>
        <row r="581">
          <cell r="A581" t="str">
            <v>ID152</v>
          </cell>
          <cell r="B581" t="str">
            <v>8-Sep-1989</v>
          </cell>
          <cell r="C581">
            <v>37</v>
          </cell>
          <cell r="D581">
            <v>3</v>
          </cell>
          <cell r="E581">
            <v>38237.339999999997</v>
          </cell>
          <cell r="F581" t="str">
            <v>tier - 2</v>
          </cell>
          <cell r="G581" t="str">
            <v>tier - 3</v>
          </cell>
          <cell r="H581" t="str">
            <v>R1011</v>
          </cell>
        </row>
        <row r="582">
          <cell r="A582" t="str">
            <v>ID1520</v>
          </cell>
          <cell r="B582" t="str">
            <v>10-Oct-1988</v>
          </cell>
          <cell r="C582">
            <v>38</v>
          </cell>
          <cell r="D582">
            <v>3</v>
          </cell>
          <cell r="E582">
            <v>6753.04</v>
          </cell>
          <cell r="F582" t="str">
            <v>tier - 2</v>
          </cell>
          <cell r="G582" t="str">
            <v>tier - 2</v>
          </cell>
          <cell r="H582" t="str">
            <v>R1024</v>
          </cell>
        </row>
        <row r="583">
          <cell r="A583" t="str">
            <v>ID1521</v>
          </cell>
          <cell r="B583" t="str">
            <v>9-Dec-1966</v>
          </cell>
          <cell r="C583">
            <v>59</v>
          </cell>
          <cell r="D583">
            <v>0</v>
          </cell>
          <cell r="E583">
            <v>6750.27</v>
          </cell>
          <cell r="F583" t="str">
            <v>tier - 3</v>
          </cell>
          <cell r="G583" t="str">
            <v>tier - 2</v>
          </cell>
          <cell r="H583" t="str">
            <v>R1013</v>
          </cell>
        </row>
        <row r="584">
          <cell r="A584" t="str">
            <v>ID1522</v>
          </cell>
          <cell r="B584" t="str">
            <v>17-Jun-1970</v>
          </cell>
          <cell r="C584">
            <v>56</v>
          </cell>
          <cell r="D584">
            <v>0</v>
          </cell>
          <cell r="E584">
            <v>6749.63</v>
          </cell>
          <cell r="F584" t="str">
            <v>tier - 2</v>
          </cell>
          <cell r="G584" t="str">
            <v>tier - 1</v>
          </cell>
          <cell r="H584" t="str">
            <v>R1013</v>
          </cell>
        </row>
        <row r="585">
          <cell r="A585" t="str">
            <v>ID1523</v>
          </cell>
          <cell r="B585" t="str">
            <v>5-Jun-1986</v>
          </cell>
          <cell r="C585">
            <v>40</v>
          </cell>
          <cell r="D585">
            <v>3</v>
          </cell>
          <cell r="E585">
            <v>6748.59</v>
          </cell>
          <cell r="F585" t="str">
            <v>tier - 3</v>
          </cell>
          <cell r="G585" t="str">
            <v>tier - 1</v>
          </cell>
          <cell r="H585" t="str">
            <v>R1016</v>
          </cell>
        </row>
        <row r="586">
          <cell r="A586" t="str">
            <v>ID1524</v>
          </cell>
          <cell r="B586" t="str">
            <v>7-Aug-1986</v>
          </cell>
          <cell r="C586">
            <v>40</v>
          </cell>
          <cell r="D586">
            <v>3</v>
          </cell>
          <cell r="E586">
            <v>6746.74</v>
          </cell>
          <cell r="F586" t="str">
            <v>tier - 3</v>
          </cell>
          <cell r="G586" t="str">
            <v>tier - 2</v>
          </cell>
          <cell r="H586" t="str">
            <v>R1016</v>
          </cell>
        </row>
        <row r="587">
          <cell r="A587" t="str">
            <v>ID1525</v>
          </cell>
          <cell r="B587" t="str">
            <v>18-Jul-1968</v>
          </cell>
          <cell r="C587">
            <v>58</v>
          </cell>
          <cell r="D587">
            <v>0</v>
          </cell>
          <cell r="E587">
            <v>6738.84</v>
          </cell>
          <cell r="F587" t="str">
            <v>tier - 3</v>
          </cell>
          <cell r="G587" t="str">
            <v>tier - 1</v>
          </cell>
          <cell r="H587" t="str">
            <v>R1012</v>
          </cell>
        </row>
        <row r="588">
          <cell r="A588" t="str">
            <v>ID1526</v>
          </cell>
          <cell r="B588" t="str">
            <v>21-Oct-1978</v>
          </cell>
          <cell r="C588">
            <v>47</v>
          </cell>
          <cell r="D588">
            <v>2</v>
          </cell>
          <cell r="E588">
            <v>6737.98</v>
          </cell>
          <cell r="F588" t="str">
            <v>tier - 2</v>
          </cell>
          <cell r="G588" t="str">
            <v>tier - 3</v>
          </cell>
          <cell r="H588" t="str">
            <v>R1013</v>
          </cell>
        </row>
        <row r="589">
          <cell r="A589" t="str">
            <v>ID1527</v>
          </cell>
          <cell r="B589" t="str">
            <v>13-Jun-1994</v>
          </cell>
          <cell r="C589">
            <v>32</v>
          </cell>
          <cell r="D589">
            <v>0</v>
          </cell>
          <cell r="E589">
            <v>6721.37</v>
          </cell>
          <cell r="F589" t="str">
            <v>tier - 2</v>
          </cell>
          <cell r="G589" t="str">
            <v>tier - 1</v>
          </cell>
          <cell r="H589" t="str">
            <v>R1012</v>
          </cell>
        </row>
        <row r="590">
          <cell r="A590" t="str">
            <v>ID1528</v>
          </cell>
          <cell r="B590" t="str">
            <v>12-Jun-1983</v>
          </cell>
          <cell r="C590">
            <v>43</v>
          </cell>
          <cell r="D590">
            <v>2</v>
          </cell>
          <cell r="E590">
            <v>6710.19</v>
          </cell>
          <cell r="F590" t="str">
            <v>tier - 3</v>
          </cell>
          <cell r="G590" t="str">
            <v>tier - 3</v>
          </cell>
          <cell r="H590" t="str">
            <v>R1012</v>
          </cell>
        </row>
        <row r="591">
          <cell r="A591" t="str">
            <v>ID1529</v>
          </cell>
          <cell r="B591" t="str">
            <v>12-Dec-1971</v>
          </cell>
          <cell r="C591">
            <v>54</v>
          </cell>
          <cell r="D591">
            <v>0</v>
          </cell>
          <cell r="E591">
            <v>6706.47</v>
          </cell>
          <cell r="F591" t="str">
            <v>tier - 2</v>
          </cell>
          <cell r="G591" t="str">
            <v>tier - 1</v>
          </cell>
          <cell r="H591" t="str">
            <v>R1013</v>
          </cell>
        </row>
        <row r="592">
          <cell r="A592" t="str">
            <v>ID153</v>
          </cell>
          <cell r="B592" t="str">
            <v>19-Nov-1972</v>
          </cell>
          <cell r="C592">
            <v>53</v>
          </cell>
          <cell r="D592">
            <v>0</v>
          </cell>
          <cell r="E592">
            <v>38189.1</v>
          </cell>
          <cell r="F592" t="str">
            <v>tier - 2</v>
          </cell>
          <cell r="G592" t="str">
            <v>tier - 2</v>
          </cell>
          <cell r="H592" t="str">
            <v>R1011</v>
          </cell>
        </row>
        <row r="593">
          <cell r="A593" t="str">
            <v>ID1530</v>
          </cell>
          <cell r="B593" t="str">
            <v>13-Jul-1968</v>
          </cell>
          <cell r="C593">
            <v>58</v>
          </cell>
          <cell r="D593">
            <v>0</v>
          </cell>
          <cell r="E593">
            <v>6700.56</v>
          </cell>
          <cell r="F593" t="str">
            <v>tier - 3</v>
          </cell>
          <cell r="G593" t="str">
            <v>tier - 1</v>
          </cell>
          <cell r="H593" t="str">
            <v>R1012</v>
          </cell>
        </row>
        <row r="594">
          <cell r="A594" t="str">
            <v>ID1531</v>
          </cell>
          <cell r="B594" t="str">
            <v>9-Jul-1985</v>
          </cell>
          <cell r="C594">
            <v>41</v>
          </cell>
          <cell r="D594">
            <v>2</v>
          </cell>
          <cell r="E594">
            <v>6686.43</v>
          </cell>
          <cell r="F594" t="str">
            <v>tier - 2</v>
          </cell>
          <cell r="G594" t="str">
            <v>tier - 3</v>
          </cell>
          <cell r="H594" t="str">
            <v>R1012</v>
          </cell>
        </row>
        <row r="595">
          <cell r="A595" t="str">
            <v>ID1532</v>
          </cell>
          <cell r="B595" t="str">
            <v>20-Oct-1989</v>
          </cell>
          <cell r="C595">
            <v>36</v>
          </cell>
          <cell r="D595">
            <v>5</v>
          </cell>
          <cell r="E595">
            <v>6666.24</v>
          </cell>
          <cell r="F595" t="str">
            <v>tier - 3</v>
          </cell>
          <cell r="G595" t="str">
            <v>tier - 1</v>
          </cell>
          <cell r="H595" t="str">
            <v>R1011</v>
          </cell>
        </row>
        <row r="596">
          <cell r="A596" t="str">
            <v>ID1533</v>
          </cell>
          <cell r="B596" t="str">
            <v>17-Sep-1981</v>
          </cell>
          <cell r="C596">
            <v>45</v>
          </cell>
          <cell r="D596">
            <v>1</v>
          </cell>
          <cell r="E596">
            <v>6664.69</v>
          </cell>
          <cell r="F596" t="str">
            <v>tier - 3</v>
          </cell>
          <cell r="G596" t="str">
            <v>tier - 1</v>
          </cell>
          <cell r="H596" t="str">
            <v>R1012</v>
          </cell>
        </row>
        <row r="597">
          <cell r="A597" t="str">
            <v>ID1534</v>
          </cell>
          <cell r="B597" t="str">
            <v>27-Sep-1982</v>
          </cell>
          <cell r="C597">
            <v>44</v>
          </cell>
          <cell r="D597">
            <v>3</v>
          </cell>
          <cell r="E597">
            <v>6664.32</v>
          </cell>
          <cell r="F597" t="str">
            <v>tier - 2</v>
          </cell>
          <cell r="G597" t="str">
            <v>tier - 2</v>
          </cell>
          <cell r="H597" t="str">
            <v>R1013</v>
          </cell>
        </row>
        <row r="598">
          <cell r="A598" t="str">
            <v>ID1535</v>
          </cell>
          <cell r="B598" t="str">
            <v>19-Nov-1989</v>
          </cell>
          <cell r="C598">
            <v>36</v>
          </cell>
          <cell r="D598">
            <v>5</v>
          </cell>
          <cell r="E598">
            <v>6653.79</v>
          </cell>
          <cell r="F598" t="str">
            <v>tier - 2</v>
          </cell>
          <cell r="G598" t="str">
            <v>tier - 1</v>
          </cell>
          <cell r="H598" t="str">
            <v>R1013</v>
          </cell>
        </row>
        <row r="599">
          <cell r="A599" t="str">
            <v>ID1536</v>
          </cell>
          <cell r="B599" t="str">
            <v>1-Jul-1984</v>
          </cell>
          <cell r="C599">
            <v>42</v>
          </cell>
          <cell r="D599">
            <v>3</v>
          </cell>
          <cell r="E599">
            <v>6652.53</v>
          </cell>
          <cell r="F599" t="str">
            <v>tier - 3</v>
          </cell>
          <cell r="G599" t="str">
            <v>tier - 2</v>
          </cell>
          <cell r="H599" t="str">
            <v>R1013</v>
          </cell>
        </row>
        <row r="600">
          <cell r="A600" t="str">
            <v>ID1537</v>
          </cell>
          <cell r="B600" t="str">
            <v>8-Nov-1970</v>
          </cell>
          <cell r="C600">
            <v>55</v>
          </cell>
          <cell r="D600">
            <v>0</v>
          </cell>
          <cell r="E600">
            <v>6651.26</v>
          </cell>
          <cell r="F600" t="str">
            <v>tier - 2</v>
          </cell>
          <cell r="G600" t="str">
            <v>tier - 3</v>
          </cell>
          <cell r="H600" t="str">
            <v>R1013</v>
          </cell>
        </row>
        <row r="601">
          <cell r="A601" t="str">
            <v>ID1538</v>
          </cell>
          <cell r="B601" t="str">
            <v>8-Dec-1984</v>
          </cell>
          <cell r="C601">
            <v>41</v>
          </cell>
          <cell r="D601">
            <v>2</v>
          </cell>
          <cell r="E601">
            <v>6640.54</v>
          </cell>
          <cell r="F601" t="str">
            <v>tier - 2</v>
          </cell>
          <cell r="G601" t="str">
            <v>tier - 3</v>
          </cell>
          <cell r="H601" t="str">
            <v>R1019</v>
          </cell>
        </row>
        <row r="602">
          <cell r="A602" t="str">
            <v>ID1539</v>
          </cell>
          <cell r="B602" t="str">
            <v>6-Jun-1990</v>
          </cell>
          <cell r="C602">
            <v>36</v>
          </cell>
          <cell r="D602">
            <v>3</v>
          </cell>
          <cell r="E602">
            <v>6639.3</v>
          </cell>
          <cell r="F602" t="str">
            <v>tier - 2</v>
          </cell>
          <cell r="G602" t="str">
            <v>tier - 2</v>
          </cell>
          <cell r="H602" t="str">
            <v>R1021</v>
          </cell>
        </row>
        <row r="603">
          <cell r="A603" t="str">
            <v>ID154</v>
          </cell>
          <cell r="B603" t="str">
            <v>29-Jul-1998</v>
          </cell>
          <cell r="C603">
            <v>28</v>
          </cell>
          <cell r="D603">
            <v>0</v>
          </cell>
          <cell r="E603">
            <v>38126.25</v>
          </cell>
          <cell r="F603" t="str">
            <v>tier - 1</v>
          </cell>
          <cell r="G603" t="str">
            <v>tier - 3</v>
          </cell>
          <cell r="H603" t="str">
            <v>R1013</v>
          </cell>
        </row>
        <row r="604">
          <cell r="A604" t="str">
            <v>ID1540</v>
          </cell>
          <cell r="B604" t="str">
            <v>4-Sep-2003</v>
          </cell>
          <cell r="C604">
            <v>23</v>
          </cell>
          <cell r="D604">
            <v>0</v>
          </cell>
          <cell r="E604">
            <v>6638.16</v>
          </cell>
          <cell r="F604" t="str">
            <v>tier - 2</v>
          </cell>
          <cell r="G604" t="str">
            <v>tier - 1</v>
          </cell>
          <cell r="H604" t="str">
            <v>R1012</v>
          </cell>
        </row>
        <row r="605">
          <cell r="A605" t="str">
            <v>ID1541</v>
          </cell>
          <cell r="B605" t="str">
            <v>29-Aug-1973</v>
          </cell>
          <cell r="C605">
            <v>53</v>
          </cell>
          <cell r="D605">
            <v>0</v>
          </cell>
          <cell r="E605">
            <v>6630.31</v>
          </cell>
          <cell r="F605" t="str">
            <v>tier - 2</v>
          </cell>
          <cell r="G605" t="str">
            <v>tier - 1</v>
          </cell>
          <cell r="H605" t="str">
            <v>R1013</v>
          </cell>
        </row>
        <row r="606">
          <cell r="A606" t="str">
            <v>ID1542</v>
          </cell>
          <cell r="B606" t="str">
            <v>28-Aug-1982</v>
          </cell>
          <cell r="C606">
            <v>44</v>
          </cell>
          <cell r="D606">
            <v>1</v>
          </cell>
          <cell r="E606">
            <v>6610.11</v>
          </cell>
          <cell r="F606" t="str">
            <v>tier - 3</v>
          </cell>
          <cell r="G606" t="str">
            <v>tier - 2</v>
          </cell>
          <cell r="H606" t="str">
            <v>R1015</v>
          </cell>
        </row>
        <row r="607">
          <cell r="A607" t="str">
            <v>ID1543</v>
          </cell>
          <cell r="B607" t="str">
            <v>7-Nov-1982</v>
          </cell>
          <cell r="C607">
            <v>43</v>
          </cell>
          <cell r="D607">
            <v>2</v>
          </cell>
          <cell r="E607">
            <v>6600.36</v>
          </cell>
          <cell r="F607" t="str">
            <v>tier - 2</v>
          </cell>
          <cell r="G607" t="str">
            <v>tier - 3</v>
          </cell>
          <cell r="H607" t="str">
            <v>R1011</v>
          </cell>
        </row>
        <row r="608">
          <cell r="A608" t="str">
            <v>ID1544</v>
          </cell>
          <cell r="B608" t="str">
            <v>29-Dec-1982</v>
          </cell>
          <cell r="C608">
            <v>43</v>
          </cell>
          <cell r="D608">
            <v>1</v>
          </cell>
          <cell r="E608">
            <v>6600.21</v>
          </cell>
          <cell r="F608" t="str">
            <v>tier - 3</v>
          </cell>
          <cell r="G608" t="str">
            <v>tier - 2</v>
          </cell>
          <cell r="H608" t="str">
            <v>R1016</v>
          </cell>
        </row>
        <row r="609">
          <cell r="A609" t="str">
            <v>ID1545</v>
          </cell>
          <cell r="B609" t="str">
            <v>22-Nov-1982</v>
          </cell>
          <cell r="C609">
            <v>43</v>
          </cell>
          <cell r="D609">
            <v>2</v>
          </cell>
          <cell r="E609">
            <v>6593.51</v>
          </cell>
          <cell r="F609" t="str">
            <v>tier - 2</v>
          </cell>
          <cell r="G609" t="str">
            <v>tier - 1</v>
          </cell>
          <cell r="H609" t="str">
            <v>R1013</v>
          </cell>
        </row>
        <row r="610">
          <cell r="A610" t="str">
            <v>ID1546</v>
          </cell>
          <cell r="B610" t="str">
            <v>5-Oct-1984</v>
          </cell>
          <cell r="C610">
            <v>42</v>
          </cell>
          <cell r="D610">
            <v>2</v>
          </cell>
          <cell r="E610">
            <v>6571.54</v>
          </cell>
          <cell r="F610" t="str">
            <v>tier - 2</v>
          </cell>
          <cell r="G610" t="str">
            <v>tier - 3</v>
          </cell>
          <cell r="H610" t="str">
            <v>R1011</v>
          </cell>
        </row>
        <row r="611">
          <cell r="A611" t="str">
            <v>ID1547</v>
          </cell>
          <cell r="B611" t="str">
            <v>20-Jul-1981</v>
          </cell>
          <cell r="C611">
            <v>45</v>
          </cell>
          <cell r="D611">
            <v>0</v>
          </cell>
          <cell r="E611">
            <v>6571.02</v>
          </cell>
          <cell r="F611" t="str">
            <v>tier - 2</v>
          </cell>
          <cell r="G611" t="str">
            <v>tier - 1</v>
          </cell>
          <cell r="H611" t="str">
            <v>R1012</v>
          </cell>
        </row>
        <row r="612">
          <cell r="A612" t="str">
            <v>ID1548</v>
          </cell>
          <cell r="B612" t="str">
            <v>20-Sep-1984</v>
          </cell>
          <cell r="C612">
            <v>42</v>
          </cell>
          <cell r="D612">
            <v>1</v>
          </cell>
          <cell r="E612">
            <v>6555.07</v>
          </cell>
          <cell r="F612" t="str">
            <v>tier - 2</v>
          </cell>
          <cell r="G612" t="str">
            <v>tier - 2</v>
          </cell>
          <cell r="H612" t="str">
            <v>R1024</v>
          </cell>
        </row>
        <row r="613">
          <cell r="A613" t="str">
            <v>ID1549</v>
          </cell>
          <cell r="B613" t="str">
            <v>11-Dec-1968</v>
          </cell>
          <cell r="C613">
            <v>57</v>
          </cell>
          <cell r="D613">
            <v>0</v>
          </cell>
          <cell r="E613">
            <v>6552.01</v>
          </cell>
          <cell r="F613" t="str">
            <v>tier - 3</v>
          </cell>
          <cell r="G613" t="str">
            <v>tier - 2</v>
          </cell>
          <cell r="H613" t="str">
            <v>R1013</v>
          </cell>
        </row>
        <row r="614">
          <cell r="A614" t="str">
            <v>ID155</v>
          </cell>
          <cell r="B614" t="str">
            <v>9-Sep-1979</v>
          </cell>
          <cell r="C614">
            <v>47</v>
          </cell>
          <cell r="D614">
            <v>0</v>
          </cell>
          <cell r="E614">
            <v>37829.72</v>
          </cell>
          <cell r="F614" t="str">
            <v>tier - 1</v>
          </cell>
          <cell r="G614" t="str">
            <v>tier - 2</v>
          </cell>
          <cell r="H614" t="str">
            <v>R1011</v>
          </cell>
        </row>
        <row r="615">
          <cell r="A615" t="str">
            <v>ID1550</v>
          </cell>
          <cell r="B615" t="str">
            <v>6-Aug-1989</v>
          </cell>
          <cell r="C615">
            <v>37</v>
          </cell>
          <cell r="D615">
            <v>3</v>
          </cell>
          <cell r="E615">
            <v>6551.75</v>
          </cell>
          <cell r="F615" t="str">
            <v>tier - 2</v>
          </cell>
          <cell r="G615" t="str">
            <v>tier - 2</v>
          </cell>
          <cell r="H615" t="str">
            <v>R1024</v>
          </cell>
        </row>
        <row r="616">
          <cell r="A616" t="str">
            <v>ID1551</v>
          </cell>
          <cell r="B616" t="str">
            <v>18-Dec-1986</v>
          </cell>
          <cell r="C616">
            <v>39</v>
          </cell>
          <cell r="D616">
            <v>3</v>
          </cell>
          <cell r="E616">
            <v>6548.2</v>
          </cell>
          <cell r="F616" t="str">
            <v>tier - 2</v>
          </cell>
          <cell r="G616" t="str">
            <v>tier - 3</v>
          </cell>
          <cell r="H616" t="str">
            <v>R1012</v>
          </cell>
        </row>
        <row r="617">
          <cell r="A617" t="str">
            <v>ID1552</v>
          </cell>
          <cell r="B617" t="str">
            <v>3-Dec-1969</v>
          </cell>
          <cell r="C617">
            <v>56</v>
          </cell>
          <cell r="D617">
            <v>0</v>
          </cell>
          <cell r="E617">
            <v>6546.16</v>
          </cell>
          <cell r="F617" t="str">
            <v>tier - 2</v>
          </cell>
          <cell r="G617" t="str">
            <v>tier - 3</v>
          </cell>
          <cell r="H617" t="str">
            <v>R1013</v>
          </cell>
        </row>
        <row r="618">
          <cell r="A618" t="str">
            <v>ID1553</v>
          </cell>
          <cell r="B618" t="str">
            <v>2-Oct-1982</v>
          </cell>
          <cell r="C618">
            <v>44</v>
          </cell>
          <cell r="D618">
            <v>3</v>
          </cell>
          <cell r="E618">
            <v>6536.68</v>
          </cell>
          <cell r="F618" t="str">
            <v>tier - 2</v>
          </cell>
          <cell r="G618" t="str">
            <v>tier - 2</v>
          </cell>
          <cell r="H618" t="str">
            <v>R1012</v>
          </cell>
        </row>
        <row r="619">
          <cell r="A619" t="str">
            <v>ID1554</v>
          </cell>
          <cell r="B619" t="str">
            <v>12-Aug-1982</v>
          </cell>
          <cell r="C619">
            <v>44</v>
          </cell>
          <cell r="D619">
            <v>3</v>
          </cell>
          <cell r="E619">
            <v>6532.04</v>
          </cell>
          <cell r="F619" t="str">
            <v>tier - 2</v>
          </cell>
          <cell r="G619" t="str">
            <v>tier - 1</v>
          </cell>
          <cell r="H619" t="str">
            <v>R1013</v>
          </cell>
        </row>
        <row r="620">
          <cell r="A620" t="str">
            <v>ID1555</v>
          </cell>
          <cell r="B620" t="str">
            <v>23-Oct-1976</v>
          </cell>
          <cell r="C620">
            <v>49</v>
          </cell>
          <cell r="D620">
            <v>2</v>
          </cell>
          <cell r="E620">
            <v>6529.21</v>
          </cell>
          <cell r="F620" t="str">
            <v>tier - 2</v>
          </cell>
          <cell r="G620" t="str">
            <v>tier - 1</v>
          </cell>
          <cell r="H620" t="str">
            <v>R1013</v>
          </cell>
        </row>
        <row r="621">
          <cell r="A621" t="str">
            <v>ID1556</v>
          </cell>
          <cell r="B621" t="str">
            <v>7-Jul-1994</v>
          </cell>
          <cell r="C621">
            <v>32</v>
          </cell>
          <cell r="D621">
            <v>0</v>
          </cell>
          <cell r="E621">
            <v>6512.24</v>
          </cell>
          <cell r="F621" t="str">
            <v>tier - 2</v>
          </cell>
          <cell r="G621" t="str">
            <v>tier - 1</v>
          </cell>
          <cell r="H621" t="str">
            <v>R1021</v>
          </cell>
        </row>
        <row r="622">
          <cell r="A622" t="str">
            <v>ID1557</v>
          </cell>
          <cell r="B622" t="str">
            <v>28-Aug-1982</v>
          </cell>
          <cell r="C622">
            <v>44</v>
          </cell>
          <cell r="D622">
            <v>1</v>
          </cell>
          <cell r="E622">
            <v>6500.24</v>
          </cell>
          <cell r="F622" t="str">
            <v>tier - 2</v>
          </cell>
          <cell r="G622" t="str">
            <v>tier - 2</v>
          </cell>
          <cell r="H622" t="str">
            <v>R1013</v>
          </cell>
        </row>
        <row r="623">
          <cell r="A623" t="str">
            <v>ID1558</v>
          </cell>
          <cell r="B623" t="str">
            <v>9-Oct-1982</v>
          </cell>
          <cell r="C623">
            <v>44</v>
          </cell>
          <cell r="D623">
            <v>1</v>
          </cell>
          <cell r="E623">
            <v>6496.89</v>
          </cell>
          <cell r="F623" t="str">
            <v>tier - 2</v>
          </cell>
          <cell r="G623" t="str">
            <v>tier - 3</v>
          </cell>
          <cell r="H623" t="str">
            <v>R1011</v>
          </cell>
        </row>
        <row r="624">
          <cell r="A624" t="str">
            <v>ID1559</v>
          </cell>
          <cell r="B624" t="str">
            <v>1-Dec-1970</v>
          </cell>
          <cell r="C624">
            <v>55</v>
          </cell>
          <cell r="D624">
            <v>0</v>
          </cell>
          <cell r="E624">
            <v>6481.67</v>
          </cell>
          <cell r="F624" t="str">
            <v>tier - 2</v>
          </cell>
          <cell r="G624" t="str">
            <v>tier - 2</v>
          </cell>
          <cell r="H624" t="str">
            <v>R1013</v>
          </cell>
        </row>
        <row r="625">
          <cell r="A625" t="str">
            <v>ID156</v>
          </cell>
          <cell r="B625" t="str">
            <v>26-Jul-1983</v>
          </cell>
          <cell r="C625">
            <v>43</v>
          </cell>
          <cell r="D625">
            <v>3</v>
          </cell>
          <cell r="E625">
            <v>37800.980000000003</v>
          </cell>
          <cell r="F625" t="str">
            <v>tier - 2</v>
          </cell>
          <cell r="G625" t="str">
            <v>tier - 2</v>
          </cell>
          <cell r="H625" t="str">
            <v>R1011</v>
          </cell>
        </row>
        <row r="626">
          <cell r="A626" t="str">
            <v>ID1560</v>
          </cell>
          <cell r="B626" t="str">
            <v>8-Jun-1980</v>
          </cell>
          <cell r="C626">
            <v>46</v>
          </cell>
          <cell r="D626">
            <v>0</v>
          </cell>
          <cell r="E626">
            <v>6474.01</v>
          </cell>
          <cell r="F626" t="str">
            <v>tier - 2</v>
          </cell>
          <cell r="G626" t="str">
            <v>tier - 3</v>
          </cell>
          <cell r="H626" t="str">
            <v>R1011</v>
          </cell>
        </row>
        <row r="627">
          <cell r="A627" t="str">
            <v>ID1561</v>
          </cell>
          <cell r="B627" t="str">
            <v>27-Jul-1981</v>
          </cell>
          <cell r="C627">
            <v>45</v>
          </cell>
          <cell r="D627">
            <v>1</v>
          </cell>
          <cell r="E627">
            <v>6473.15</v>
          </cell>
          <cell r="F627" t="str">
            <v>tier - 2</v>
          </cell>
          <cell r="G627" t="str">
            <v>tier - 2</v>
          </cell>
          <cell r="H627" t="str">
            <v>R1013</v>
          </cell>
        </row>
        <row r="628">
          <cell r="A628" t="str">
            <v>ID1562</v>
          </cell>
          <cell r="B628" t="str">
            <v>1-Nov-1984</v>
          </cell>
          <cell r="C628">
            <v>41</v>
          </cell>
          <cell r="D628">
            <v>2</v>
          </cell>
          <cell r="E628">
            <v>6457.84</v>
          </cell>
          <cell r="F628" t="str">
            <v>tier - 2</v>
          </cell>
          <cell r="G628" t="str">
            <v>tier - 3</v>
          </cell>
          <cell r="H628" t="str">
            <v>R1012</v>
          </cell>
        </row>
        <row r="629">
          <cell r="A629" t="str">
            <v>ID1563</v>
          </cell>
          <cell r="B629" t="str">
            <v>26-Aug-1984</v>
          </cell>
          <cell r="C629">
            <v>42</v>
          </cell>
          <cell r="D629">
            <v>2</v>
          </cell>
          <cell r="E629">
            <v>6455.86</v>
          </cell>
          <cell r="F629" t="str">
            <v>tier - 3</v>
          </cell>
          <cell r="G629" t="str">
            <v>tier - 3</v>
          </cell>
          <cell r="H629" t="str">
            <v>R1012</v>
          </cell>
        </row>
        <row r="630">
          <cell r="A630" t="str">
            <v>ID1564</v>
          </cell>
          <cell r="B630" t="str">
            <v>22-Jul-1985</v>
          </cell>
          <cell r="C630">
            <v>41</v>
          </cell>
          <cell r="D630">
            <v>3</v>
          </cell>
          <cell r="E630">
            <v>6435.62</v>
          </cell>
          <cell r="F630" t="str">
            <v>tier - 3</v>
          </cell>
          <cell r="G630" t="str">
            <v>tier - 2</v>
          </cell>
          <cell r="H630" t="str">
            <v>R1013</v>
          </cell>
        </row>
        <row r="631">
          <cell r="A631" t="str">
            <v>ID1565</v>
          </cell>
          <cell r="B631" t="str">
            <v>5-Aug-1975</v>
          </cell>
          <cell r="C631">
            <v>51</v>
          </cell>
          <cell r="D631">
            <v>1</v>
          </cell>
          <cell r="E631">
            <v>6423.48</v>
          </cell>
          <cell r="F631" t="str">
            <v>tier - 2</v>
          </cell>
          <cell r="G631" t="str">
            <v>tier - 3</v>
          </cell>
          <cell r="H631" t="str">
            <v>R1013</v>
          </cell>
        </row>
        <row r="632">
          <cell r="A632" t="str">
            <v>ID1566</v>
          </cell>
          <cell r="B632" t="str">
            <v>30-Dec-1976</v>
          </cell>
          <cell r="C632">
            <v>49</v>
          </cell>
          <cell r="D632">
            <v>2</v>
          </cell>
          <cell r="E632">
            <v>6417.28</v>
          </cell>
          <cell r="F632" t="str">
            <v>tier - 2</v>
          </cell>
          <cell r="G632" t="str">
            <v>tier - 3</v>
          </cell>
          <cell r="H632" t="str">
            <v>R1013</v>
          </cell>
        </row>
        <row r="633">
          <cell r="A633" t="str">
            <v>ID1567</v>
          </cell>
          <cell r="B633" t="str">
            <v>4-Sep-1987</v>
          </cell>
          <cell r="C633">
            <v>39</v>
          </cell>
          <cell r="D633">
            <v>3</v>
          </cell>
          <cell r="E633">
            <v>6414.18</v>
          </cell>
          <cell r="F633" t="str">
            <v>tier - 2</v>
          </cell>
          <cell r="G633" t="str">
            <v>tier - 2</v>
          </cell>
          <cell r="H633" t="str">
            <v>R1011</v>
          </cell>
        </row>
        <row r="634">
          <cell r="A634" t="str">
            <v>ID1568</v>
          </cell>
          <cell r="B634" t="str">
            <v>22-Aug-1971</v>
          </cell>
          <cell r="C634">
            <v>55</v>
          </cell>
          <cell r="D634">
            <v>0</v>
          </cell>
          <cell r="E634">
            <v>6412.34</v>
          </cell>
          <cell r="F634" t="str">
            <v>tier - 2</v>
          </cell>
          <cell r="G634" t="str">
            <v>tier - 3</v>
          </cell>
          <cell r="H634" t="str">
            <v>R1013</v>
          </cell>
        </row>
        <row r="635">
          <cell r="A635" t="str">
            <v>ID1569</v>
          </cell>
          <cell r="B635" t="str">
            <v>20-Aug-1970</v>
          </cell>
          <cell r="C635">
            <v>56</v>
          </cell>
          <cell r="D635">
            <v>0</v>
          </cell>
          <cell r="E635">
            <v>6407.05</v>
          </cell>
          <cell r="F635" t="str">
            <v>tier - 2</v>
          </cell>
          <cell r="G635" t="str">
            <v>tier - 1</v>
          </cell>
          <cell r="H635" t="str">
            <v>R1013</v>
          </cell>
        </row>
        <row r="636">
          <cell r="A636" t="str">
            <v>ID157</v>
          </cell>
          <cell r="B636" t="str">
            <v>15-Aug-1986</v>
          </cell>
          <cell r="C636">
            <v>40</v>
          </cell>
          <cell r="D636">
            <v>0</v>
          </cell>
          <cell r="E636">
            <v>37742.58</v>
          </cell>
          <cell r="F636" t="str">
            <v>tier - 1</v>
          </cell>
          <cell r="G636" t="str">
            <v>tier - 1</v>
          </cell>
          <cell r="H636" t="str">
            <v>R1013</v>
          </cell>
        </row>
        <row r="637">
          <cell r="A637" t="str">
            <v>ID1570</v>
          </cell>
          <cell r="B637" t="str">
            <v>10-Dec-1985</v>
          </cell>
          <cell r="C637">
            <v>40</v>
          </cell>
          <cell r="D637">
            <v>2</v>
          </cell>
          <cell r="E637">
            <v>6406.41</v>
          </cell>
          <cell r="F637" t="str">
            <v>tier - 1</v>
          </cell>
          <cell r="G637" t="str">
            <v>tier - 3</v>
          </cell>
          <cell r="H637" t="str">
            <v>R1014</v>
          </cell>
        </row>
        <row r="638">
          <cell r="A638" t="str">
            <v>ID1571</v>
          </cell>
          <cell r="B638" t="str">
            <v>9-Sep-1987</v>
          </cell>
          <cell r="C638">
            <v>39</v>
          </cell>
          <cell r="D638">
            <v>2</v>
          </cell>
          <cell r="E638">
            <v>6402.29</v>
          </cell>
          <cell r="F638" t="str">
            <v>tier - 2</v>
          </cell>
          <cell r="G638" t="str">
            <v>tier - 3</v>
          </cell>
          <cell r="H638" t="str">
            <v>R1024</v>
          </cell>
        </row>
        <row r="639">
          <cell r="A639" t="str">
            <v>ID1572</v>
          </cell>
          <cell r="B639" t="str">
            <v>28-Oct-1982</v>
          </cell>
          <cell r="C639">
            <v>43</v>
          </cell>
          <cell r="D639">
            <v>1</v>
          </cell>
          <cell r="E639">
            <v>6393.6</v>
          </cell>
          <cell r="F639" t="str">
            <v>tier - 2</v>
          </cell>
          <cell r="G639" t="str">
            <v>tier - 1</v>
          </cell>
          <cell r="H639" t="str">
            <v>R1012</v>
          </cell>
        </row>
        <row r="640">
          <cell r="A640" t="str">
            <v>ID1573</v>
          </cell>
          <cell r="B640" t="str">
            <v>16-Aug-1997</v>
          </cell>
          <cell r="C640">
            <v>29</v>
          </cell>
          <cell r="D640">
            <v>0</v>
          </cell>
          <cell r="E640">
            <v>6389.53</v>
          </cell>
          <cell r="F640" t="str">
            <v>tier - 2</v>
          </cell>
          <cell r="G640" t="str">
            <v>tier - 2</v>
          </cell>
          <cell r="H640" t="str">
            <v>R1021</v>
          </cell>
        </row>
        <row r="641">
          <cell r="A641" t="str">
            <v>ID1574</v>
          </cell>
          <cell r="B641" t="str">
            <v>6-Aug-1982</v>
          </cell>
          <cell r="C641">
            <v>44</v>
          </cell>
          <cell r="D641">
            <v>1</v>
          </cell>
          <cell r="E641">
            <v>6389.38</v>
          </cell>
          <cell r="F641" t="str">
            <v>tier - 1</v>
          </cell>
          <cell r="G641" t="str">
            <v>tier - 2</v>
          </cell>
          <cell r="H641" t="str">
            <v>R1012</v>
          </cell>
        </row>
        <row r="642">
          <cell r="A642" t="str">
            <v>ID1575</v>
          </cell>
          <cell r="B642" t="str">
            <v>18-Nov-1976</v>
          </cell>
          <cell r="C642">
            <v>49</v>
          </cell>
          <cell r="D642">
            <v>2</v>
          </cell>
          <cell r="E642">
            <v>6374.16</v>
          </cell>
          <cell r="F642" t="str">
            <v>tier - 2</v>
          </cell>
          <cell r="G642" t="str">
            <v>tier - 2</v>
          </cell>
          <cell r="H642" t="str">
            <v>R1013</v>
          </cell>
        </row>
        <row r="643">
          <cell r="A643" t="str">
            <v>ID1576</v>
          </cell>
          <cell r="B643" t="str">
            <v>13-Aug-1984</v>
          </cell>
          <cell r="C643">
            <v>42</v>
          </cell>
          <cell r="D643">
            <v>1</v>
          </cell>
          <cell r="E643">
            <v>6373.56</v>
          </cell>
          <cell r="F643" t="str">
            <v>tier - 2</v>
          </cell>
          <cell r="G643" t="str">
            <v>tier - 1</v>
          </cell>
          <cell r="H643" t="str">
            <v>R1012</v>
          </cell>
        </row>
        <row r="644">
          <cell r="A644" t="str">
            <v>ID1577</v>
          </cell>
          <cell r="B644" t="str">
            <v>9-Nov-1970</v>
          </cell>
          <cell r="C644">
            <v>55</v>
          </cell>
          <cell r="D644">
            <v>0</v>
          </cell>
          <cell r="E644">
            <v>6367.31</v>
          </cell>
          <cell r="F644" t="str">
            <v>tier - 2</v>
          </cell>
          <cell r="G644" t="str">
            <v>tier - 1</v>
          </cell>
          <cell r="H644" t="str">
            <v>R1013</v>
          </cell>
        </row>
        <row r="645">
          <cell r="A645" t="str">
            <v>ID1578</v>
          </cell>
          <cell r="B645" t="str">
            <v>7-Jul-1996</v>
          </cell>
          <cell r="C645">
            <v>30</v>
          </cell>
          <cell r="D645">
            <v>0</v>
          </cell>
          <cell r="E645">
            <v>6361.47</v>
          </cell>
          <cell r="F645" t="str">
            <v>tier - 2</v>
          </cell>
          <cell r="G645" t="str">
            <v>tier - 3</v>
          </cell>
          <cell r="H645" t="str">
            <v>R1021</v>
          </cell>
        </row>
        <row r="646">
          <cell r="A646" t="str">
            <v>ID1579</v>
          </cell>
          <cell r="B646" t="str">
            <v>24-Jun-1989</v>
          </cell>
          <cell r="C646">
            <v>37</v>
          </cell>
          <cell r="D646">
            <v>3</v>
          </cell>
          <cell r="E646">
            <v>6360.99</v>
          </cell>
          <cell r="F646" t="str">
            <v>tier - 2</v>
          </cell>
          <cell r="G646" t="str">
            <v>tier - 2</v>
          </cell>
          <cell r="H646" t="str">
            <v>R1012</v>
          </cell>
        </row>
        <row r="647">
          <cell r="A647" t="str">
            <v>ID158</v>
          </cell>
          <cell r="B647" t="str">
            <v>18-Sep-1976</v>
          </cell>
          <cell r="C647">
            <v>50</v>
          </cell>
          <cell r="D647">
            <v>2</v>
          </cell>
          <cell r="E647">
            <v>37735.199999999997</v>
          </cell>
          <cell r="F647" t="str">
            <v>tier - 2</v>
          </cell>
          <cell r="G647" t="str">
            <v>tier - 2</v>
          </cell>
          <cell r="H647" t="str">
            <v>R1011</v>
          </cell>
        </row>
        <row r="648">
          <cell r="A648" t="str">
            <v>ID1580</v>
          </cell>
          <cell r="B648" t="str">
            <v>30-Oct-1980</v>
          </cell>
          <cell r="C648">
            <v>45</v>
          </cell>
          <cell r="D648">
            <v>0</v>
          </cell>
          <cell r="E648">
            <v>6358.78</v>
          </cell>
          <cell r="F648" t="str">
            <v>tier - 2</v>
          </cell>
          <cell r="G648" t="str">
            <v>tier - 1</v>
          </cell>
          <cell r="H648" t="str">
            <v>R1012</v>
          </cell>
        </row>
        <row r="649">
          <cell r="A649" t="str">
            <v>ID1581</v>
          </cell>
          <cell r="B649" t="str">
            <v>19-Aug-1983</v>
          </cell>
          <cell r="C649">
            <v>43</v>
          </cell>
          <cell r="D649">
            <v>2</v>
          </cell>
          <cell r="E649">
            <v>6356.27</v>
          </cell>
          <cell r="F649" t="str">
            <v>tier - 3</v>
          </cell>
          <cell r="G649" t="str">
            <v>tier - 2</v>
          </cell>
          <cell r="H649" t="str">
            <v>R1013</v>
          </cell>
        </row>
        <row r="650">
          <cell r="A650" t="str">
            <v>ID1582</v>
          </cell>
          <cell r="B650" t="str">
            <v>21-Oct-1983</v>
          </cell>
          <cell r="C650">
            <v>42</v>
          </cell>
          <cell r="D650">
            <v>2</v>
          </cell>
          <cell r="E650">
            <v>6338.08</v>
          </cell>
          <cell r="F650" t="str">
            <v>tier - 2</v>
          </cell>
          <cell r="G650" t="str">
            <v>tier - 1</v>
          </cell>
          <cell r="H650" t="str">
            <v>R1013</v>
          </cell>
        </row>
        <row r="651">
          <cell r="A651" t="str">
            <v>ID1583</v>
          </cell>
          <cell r="B651" t="str">
            <v>25-Sep-1986</v>
          </cell>
          <cell r="C651">
            <v>40</v>
          </cell>
          <cell r="D651">
            <v>3</v>
          </cell>
          <cell r="E651">
            <v>6335.64</v>
          </cell>
          <cell r="F651" t="str">
            <v>tier - 2</v>
          </cell>
          <cell r="G651" t="str">
            <v>tier - 2</v>
          </cell>
          <cell r="H651" t="str">
            <v>R1013</v>
          </cell>
        </row>
        <row r="652">
          <cell r="A652" t="str">
            <v>ID1584</v>
          </cell>
          <cell r="B652" t="str">
            <v>13-Aug-1990</v>
          </cell>
          <cell r="C652">
            <v>36</v>
          </cell>
          <cell r="D652">
            <v>3</v>
          </cell>
          <cell r="E652">
            <v>6334.34</v>
          </cell>
          <cell r="F652" t="str">
            <v>tier - 2</v>
          </cell>
          <cell r="G652" t="str">
            <v>tier - 2</v>
          </cell>
          <cell r="H652" t="str">
            <v>R1024</v>
          </cell>
        </row>
        <row r="653">
          <cell r="A653" t="str">
            <v>ID1585</v>
          </cell>
          <cell r="B653" t="str">
            <v>15-Dec-1985</v>
          </cell>
          <cell r="C653">
            <v>40</v>
          </cell>
          <cell r="D653">
            <v>2</v>
          </cell>
          <cell r="E653">
            <v>6313.76</v>
          </cell>
          <cell r="F653" t="str">
            <v>tier - 2</v>
          </cell>
          <cell r="G653" t="str">
            <v>tier - 1</v>
          </cell>
          <cell r="H653" t="str">
            <v>R1013</v>
          </cell>
        </row>
        <row r="654">
          <cell r="A654" t="str">
            <v>ID1586</v>
          </cell>
          <cell r="B654" t="str">
            <v>19-Nov-1985</v>
          </cell>
          <cell r="C654">
            <v>40</v>
          </cell>
          <cell r="D654">
            <v>2</v>
          </cell>
          <cell r="E654">
            <v>6311.95</v>
          </cell>
          <cell r="F654" t="str">
            <v>tier - 2</v>
          </cell>
          <cell r="G654" t="str">
            <v>tier - 1</v>
          </cell>
          <cell r="H654" t="str">
            <v>R1011</v>
          </cell>
        </row>
        <row r="655">
          <cell r="A655" t="str">
            <v>ID1587</v>
          </cell>
          <cell r="B655" t="str">
            <v>27-Jul-2004</v>
          </cell>
          <cell r="C655">
            <v>22</v>
          </cell>
          <cell r="D655">
            <v>0</v>
          </cell>
          <cell r="E655">
            <v>6311.11</v>
          </cell>
          <cell r="F655" t="str">
            <v>tier - 2</v>
          </cell>
          <cell r="G655" t="str">
            <v>tier - 2</v>
          </cell>
          <cell r="H655" t="str">
            <v>R1011</v>
          </cell>
        </row>
        <row r="656">
          <cell r="A656" t="str">
            <v>ID1588</v>
          </cell>
          <cell r="B656" t="str">
            <v>4-Sep-1969</v>
          </cell>
          <cell r="C656">
            <v>57</v>
          </cell>
          <cell r="D656">
            <v>0</v>
          </cell>
          <cell r="E656">
            <v>6305.61</v>
          </cell>
          <cell r="F656" t="str">
            <v>tier - 2</v>
          </cell>
          <cell r="G656" t="str">
            <v>tier - 2</v>
          </cell>
          <cell r="H656" t="str">
            <v>R1012</v>
          </cell>
        </row>
        <row r="657">
          <cell r="A657" t="str">
            <v>ID1589</v>
          </cell>
          <cell r="B657" t="str">
            <v>17-Sep-1974</v>
          </cell>
          <cell r="C657">
            <v>52</v>
          </cell>
          <cell r="D657">
            <v>0</v>
          </cell>
          <cell r="E657">
            <v>6302.23</v>
          </cell>
          <cell r="F657" t="str">
            <v>tier - 2</v>
          </cell>
          <cell r="G657" t="str">
            <v>tier - 1</v>
          </cell>
          <cell r="H657" t="str">
            <v>R1013</v>
          </cell>
        </row>
        <row r="658">
          <cell r="A658" t="str">
            <v>ID159</v>
          </cell>
          <cell r="B658" t="str">
            <v>10-Oct-1988</v>
          </cell>
          <cell r="C658">
            <v>38</v>
          </cell>
          <cell r="D658">
            <v>1</v>
          </cell>
          <cell r="E658">
            <v>37701.879999999997</v>
          </cell>
          <cell r="F658" t="str">
            <v>tier - 2</v>
          </cell>
          <cell r="G658" t="str">
            <v>tier - 3</v>
          </cell>
          <cell r="H658" t="str">
            <v>R1023</v>
          </cell>
        </row>
        <row r="659">
          <cell r="A659" t="str">
            <v>ID1590</v>
          </cell>
          <cell r="B659" t="str">
            <v>4-Jul-1996</v>
          </cell>
          <cell r="C659">
            <v>30</v>
          </cell>
          <cell r="D659">
            <v>0</v>
          </cell>
          <cell r="E659">
            <v>6293.63</v>
          </cell>
          <cell r="F659" t="str">
            <v>tier - 2</v>
          </cell>
          <cell r="G659" t="str">
            <v>tier - 3</v>
          </cell>
          <cell r="H659" t="str">
            <v>R1021</v>
          </cell>
        </row>
        <row r="660">
          <cell r="A660" t="str">
            <v>ID1591</v>
          </cell>
          <cell r="B660" t="str">
            <v>26-Aug-1981</v>
          </cell>
          <cell r="C660">
            <v>45</v>
          </cell>
          <cell r="D660">
            <v>1</v>
          </cell>
          <cell r="E660">
            <v>6289.75</v>
          </cell>
          <cell r="F660" t="str">
            <v>tier - 2</v>
          </cell>
          <cell r="G660" t="str">
            <v>tier - 3</v>
          </cell>
          <cell r="H660" t="str">
            <v>R1013</v>
          </cell>
        </row>
        <row r="661">
          <cell r="A661" t="str">
            <v>ID1592</v>
          </cell>
          <cell r="B661" t="str">
            <v>24-Nov-1981</v>
          </cell>
          <cell r="C661">
            <v>44</v>
          </cell>
          <cell r="D661">
            <v>1</v>
          </cell>
          <cell r="E661">
            <v>6282.24</v>
          </cell>
          <cell r="F661" t="str">
            <v>tier - 2</v>
          </cell>
          <cell r="G661" t="str">
            <v>tier - 1</v>
          </cell>
          <cell r="H661" t="str">
            <v>R1011</v>
          </cell>
        </row>
        <row r="662">
          <cell r="A662" t="str">
            <v>ID1593</v>
          </cell>
          <cell r="B662" t="str">
            <v>16-Oct-1993</v>
          </cell>
          <cell r="C662">
            <v>33</v>
          </cell>
          <cell r="D662">
            <v>0</v>
          </cell>
          <cell r="E662">
            <v>6276.3</v>
          </cell>
          <cell r="F662" t="str">
            <v>tier - 2</v>
          </cell>
          <cell r="G662" t="str">
            <v>tier - 1</v>
          </cell>
          <cell r="H662" t="str">
            <v>R1025</v>
          </cell>
        </row>
        <row r="663">
          <cell r="A663" t="str">
            <v>ID1594</v>
          </cell>
          <cell r="B663" t="str">
            <v>30-Jun-1981</v>
          </cell>
          <cell r="C663">
            <v>45</v>
          </cell>
          <cell r="D663">
            <v>1</v>
          </cell>
          <cell r="E663">
            <v>6272.48</v>
          </cell>
          <cell r="F663" t="str">
            <v>tier - 1</v>
          </cell>
          <cell r="G663" t="str">
            <v>tier - 3</v>
          </cell>
          <cell r="H663" t="str">
            <v>R1013</v>
          </cell>
        </row>
        <row r="664">
          <cell r="A664" t="str">
            <v>ID1595</v>
          </cell>
          <cell r="B664" t="str">
            <v>25-Sep-1984</v>
          </cell>
          <cell r="C664">
            <v>42</v>
          </cell>
          <cell r="D664">
            <v>3</v>
          </cell>
          <cell r="E664">
            <v>6269.33</v>
          </cell>
          <cell r="F664" t="str">
            <v>tier - 2</v>
          </cell>
          <cell r="G664" t="str">
            <v>tier - 1</v>
          </cell>
          <cell r="H664" t="str">
            <v>R1013</v>
          </cell>
        </row>
        <row r="665">
          <cell r="A665" t="str">
            <v>ID1596</v>
          </cell>
          <cell r="B665" t="str">
            <v>17-Oct-1995</v>
          </cell>
          <cell r="C665">
            <v>31</v>
          </cell>
          <cell r="D665">
            <v>0</v>
          </cell>
          <cell r="E665">
            <v>6261.2</v>
          </cell>
          <cell r="F665" t="str">
            <v>tier - 2</v>
          </cell>
          <cell r="G665" t="str">
            <v>tier - 1</v>
          </cell>
          <cell r="H665" t="str">
            <v>R1026</v>
          </cell>
        </row>
        <row r="666">
          <cell r="A666" t="str">
            <v>ID1597</v>
          </cell>
          <cell r="B666" t="str">
            <v>11-Oct-1970</v>
          </cell>
          <cell r="C666">
            <v>56</v>
          </cell>
          <cell r="D666">
            <v>0</v>
          </cell>
          <cell r="E666">
            <v>6255.38</v>
          </cell>
          <cell r="F666" t="str">
            <v>tier - 2</v>
          </cell>
          <cell r="G666" t="str">
            <v>tier - 2</v>
          </cell>
          <cell r="H666" t="str">
            <v>R1013</v>
          </cell>
        </row>
        <row r="667">
          <cell r="A667" t="str">
            <v>ID1598</v>
          </cell>
          <cell r="B667" t="str">
            <v>8-Sep-1972</v>
          </cell>
          <cell r="C667">
            <v>54</v>
          </cell>
          <cell r="D667">
            <v>0</v>
          </cell>
          <cell r="E667">
            <v>6254.13</v>
          </cell>
          <cell r="F667" t="str">
            <v>tier - 2</v>
          </cell>
          <cell r="G667" t="str">
            <v>tier - 2</v>
          </cell>
          <cell r="H667" t="str">
            <v>R1012</v>
          </cell>
        </row>
        <row r="668">
          <cell r="A668" t="str">
            <v>ID1599</v>
          </cell>
          <cell r="B668" t="str">
            <v>11-Nov-1972</v>
          </cell>
          <cell r="C668">
            <v>53</v>
          </cell>
          <cell r="D668">
            <v>0</v>
          </cell>
          <cell r="E668">
            <v>6253.85</v>
          </cell>
          <cell r="F668" t="str">
            <v>tier - 2</v>
          </cell>
          <cell r="G668" t="str">
            <v>tier - 2</v>
          </cell>
          <cell r="H668" t="str">
            <v>R1013</v>
          </cell>
        </row>
        <row r="669">
          <cell r="A669" t="str">
            <v>ID16</v>
          </cell>
          <cell r="B669" t="str">
            <v>27-Aug-1962</v>
          </cell>
          <cell r="C669">
            <v>64</v>
          </cell>
          <cell r="D669">
            <v>0</v>
          </cell>
          <cell r="E669">
            <v>48173.36</v>
          </cell>
          <cell r="F669" t="str">
            <v>tier - 1</v>
          </cell>
          <cell r="G669" t="str">
            <v>tier - 3</v>
          </cell>
          <cell r="H669" t="str">
            <v>R1011</v>
          </cell>
        </row>
        <row r="670">
          <cell r="A670" t="str">
            <v>ID160</v>
          </cell>
          <cell r="B670" t="str">
            <v>28-Oct-1970</v>
          </cell>
          <cell r="C670">
            <v>55</v>
          </cell>
          <cell r="D670">
            <v>0</v>
          </cell>
          <cell r="E670">
            <v>37675.06</v>
          </cell>
          <cell r="F670" t="str">
            <v>tier - 2</v>
          </cell>
          <cell r="G670" t="str">
            <v>tier - 3</v>
          </cell>
          <cell r="H670" t="str">
            <v>R1011</v>
          </cell>
        </row>
        <row r="671">
          <cell r="A671" t="str">
            <v>ID1600</v>
          </cell>
          <cell r="B671" t="str">
            <v>10-Oct-1979</v>
          </cell>
          <cell r="C671">
            <v>47</v>
          </cell>
          <cell r="D671">
            <v>0</v>
          </cell>
          <cell r="E671">
            <v>6250.44</v>
          </cell>
          <cell r="F671" t="str">
            <v>tier - 2</v>
          </cell>
          <cell r="G671" t="str">
            <v>tier - 1</v>
          </cell>
          <cell r="H671" t="str">
            <v>R1011</v>
          </cell>
        </row>
        <row r="672">
          <cell r="A672" t="str">
            <v>ID1601</v>
          </cell>
          <cell r="B672" t="str">
            <v>11-Aug-1983</v>
          </cell>
          <cell r="C672">
            <v>43</v>
          </cell>
          <cell r="D672">
            <v>1</v>
          </cell>
          <cell r="E672">
            <v>6238.3</v>
          </cell>
          <cell r="F672" t="str">
            <v>tier - 2</v>
          </cell>
          <cell r="G672" t="str">
            <v>tier - 1</v>
          </cell>
          <cell r="H672" t="str">
            <v>R1011</v>
          </cell>
        </row>
        <row r="673">
          <cell r="A673" t="str">
            <v>ID1602</v>
          </cell>
          <cell r="B673" t="str">
            <v>19-Sep-1978</v>
          </cell>
          <cell r="C673">
            <v>48</v>
          </cell>
          <cell r="D673">
            <v>2</v>
          </cell>
          <cell r="E673">
            <v>6236.95</v>
          </cell>
          <cell r="F673" t="str">
            <v>tier - 2</v>
          </cell>
          <cell r="G673" t="str">
            <v>tier - 2</v>
          </cell>
          <cell r="H673" t="str">
            <v>R1013</v>
          </cell>
        </row>
        <row r="674">
          <cell r="A674" t="str">
            <v>ID1603</v>
          </cell>
          <cell r="B674" t="str">
            <v>29-Jun-1972</v>
          </cell>
          <cell r="C674">
            <v>54</v>
          </cell>
          <cell r="D674">
            <v>0</v>
          </cell>
          <cell r="E674">
            <v>6219.93</v>
          </cell>
          <cell r="F674" t="str">
            <v>tier - 2</v>
          </cell>
          <cell r="G674" t="str">
            <v>tier - 2</v>
          </cell>
          <cell r="H674" t="str">
            <v>R1013</v>
          </cell>
        </row>
        <row r="675">
          <cell r="A675" t="str">
            <v>ID1604</v>
          </cell>
          <cell r="B675" t="str">
            <v>12-Aug-1992</v>
          </cell>
          <cell r="C675">
            <v>34</v>
          </cell>
          <cell r="D675">
            <v>0</v>
          </cell>
          <cell r="E675">
            <v>6208.5</v>
          </cell>
          <cell r="F675" t="str">
            <v>tier - 2</v>
          </cell>
          <cell r="G675" t="str">
            <v>tier - 1</v>
          </cell>
          <cell r="H675" t="str">
            <v>R1021</v>
          </cell>
        </row>
        <row r="676">
          <cell r="A676" t="str">
            <v>ID1605</v>
          </cell>
          <cell r="B676" t="str">
            <v>10-Sep-1999</v>
          </cell>
          <cell r="C676">
            <v>27</v>
          </cell>
          <cell r="D676">
            <v>0</v>
          </cell>
          <cell r="E676">
            <v>6207.26</v>
          </cell>
          <cell r="F676" t="str">
            <v>tier - 2</v>
          </cell>
          <cell r="G676" t="str">
            <v>tier - 2</v>
          </cell>
          <cell r="H676" t="str">
            <v>R1026</v>
          </cell>
        </row>
        <row r="677">
          <cell r="A677" t="str">
            <v>ID1606</v>
          </cell>
          <cell r="B677" t="str">
            <v>22-Sep-1985</v>
          </cell>
          <cell r="C677">
            <v>41</v>
          </cell>
          <cell r="D677">
            <v>2</v>
          </cell>
          <cell r="E677">
            <v>6203.9</v>
          </cell>
          <cell r="F677" t="str">
            <v>tier - 2</v>
          </cell>
          <cell r="G677" t="str">
            <v>tier - 2</v>
          </cell>
          <cell r="H677" t="str">
            <v>R1012</v>
          </cell>
        </row>
        <row r="678">
          <cell r="A678" t="str">
            <v>ID1607</v>
          </cell>
          <cell r="B678" t="str">
            <v>22-Jul-1985</v>
          </cell>
          <cell r="C678">
            <v>41</v>
          </cell>
          <cell r="D678">
            <v>2</v>
          </cell>
          <cell r="E678">
            <v>6198.75</v>
          </cell>
          <cell r="F678" t="str">
            <v>tier - 2</v>
          </cell>
          <cell r="G678" t="str">
            <v>tier - 1</v>
          </cell>
          <cell r="H678" t="str">
            <v>R1012</v>
          </cell>
        </row>
        <row r="679">
          <cell r="A679" t="str">
            <v>ID1608</v>
          </cell>
          <cell r="B679" t="str">
            <v>23-Oct-1988</v>
          </cell>
          <cell r="C679">
            <v>37</v>
          </cell>
          <cell r="D679">
            <v>3</v>
          </cell>
          <cell r="E679">
            <v>6196.45</v>
          </cell>
          <cell r="F679" t="str">
            <v>tier - 2</v>
          </cell>
          <cell r="G679" t="str">
            <v>tier - 1</v>
          </cell>
          <cell r="H679" t="str">
            <v>R1011</v>
          </cell>
        </row>
        <row r="680">
          <cell r="A680" t="str">
            <v>ID1609</v>
          </cell>
          <cell r="B680" t="str">
            <v>1-Oct-1981</v>
          </cell>
          <cell r="C680">
            <v>45</v>
          </cell>
          <cell r="D680">
            <v>0</v>
          </cell>
          <cell r="E680">
            <v>6186.13</v>
          </cell>
          <cell r="F680" t="str">
            <v>tier - 2</v>
          </cell>
          <cell r="G680" t="str">
            <v>tier - 3</v>
          </cell>
          <cell r="H680" t="str">
            <v>R1011</v>
          </cell>
        </row>
        <row r="681">
          <cell r="A681" t="str">
            <v>ID161</v>
          </cell>
          <cell r="B681" t="str">
            <v>20-Jun-1982</v>
          </cell>
          <cell r="C681">
            <v>44</v>
          </cell>
          <cell r="D681">
            <v>3</v>
          </cell>
          <cell r="E681">
            <v>37650.74</v>
          </cell>
          <cell r="F681" t="str">
            <v>tier - 2</v>
          </cell>
          <cell r="G681" t="str">
            <v>tier - 2</v>
          </cell>
          <cell r="H681" t="str">
            <v>R1012</v>
          </cell>
        </row>
        <row r="682">
          <cell r="A682" t="str">
            <v>ID1610</v>
          </cell>
          <cell r="B682" t="str">
            <v>22-Nov-1981</v>
          </cell>
          <cell r="C682">
            <v>44</v>
          </cell>
          <cell r="D682">
            <v>0</v>
          </cell>
          <cell r="E682">
            <v>6185.32</v>
          </cell>
          <cell r="F682" t="str">
            <v>tier - 2</v>
          </cell>
          <cell r="G682" t="str">
            <v>tier - 1</v>
          </cell>
          <cell r="H682" t="str">
            <v>R1013</v>
          </cell>
        </row>
        <row r="683">
          <cell r="A683" t="str">
            <v>ID1611</v>
          </cell>
          <cell r="B683" t="str">
            <v>1-Nov-1988</v>
          </cell>
          <cell r="C683">
            <v>37</v>
          </cell>
          <cell r="D683">
            <v>3</v>
          </cell>
          <cell r="E683">
            <v>6184.3</v>
          </cell>
          <cell r="F683" t="str">
            <v>tier - 2</v>
          </cell>
          <cell r="G683" t="str">
            <v>tier - 3</v>
          </cell>
          <cell r="H683" t="str">
            <v>R1013</v>
          </cell>
        </row>
        <row r="684">
          <cell r="A684" t="str">
            <v>ID1612</v>
          </cell>
          <cell r="B684" t="str">
            <v>5-Oct-1970</v>
          </cell>
          <cell r="C684">
            <v>56</v>
          </cell>
          <cell r="D684">
            <v>0</v>
          </cell>
          <cell r="E684">
            <v>6183.46</v>
          </cell>
          <cell r="F684" t="str">
            <v>tier - 2</v>
          </cell>
          <cell r="G684" t="str">
            <v>tier - 2</v>
          </cell>
          <cell r="H684" t="str">
            <v>R1012</v>
          </cell>
        </row>
        <row r="685">
          <cell r="A685" t="str">
            <v>ID1613</v>
          </cell>
          <cell r="B685" t="str">
            <v>9-Aug-1985</v>
          </cell>
          <cell r="C685">
            <v>41</v>
          </cell>
          <cell r="D685">
            <v>3</v>
          </cell>
          <cell r="E685">
            <v>6183.32</v>
          </cell>
          <cell r="F685" t="str">
            <v>tier - 2</v>
          </cell>
          <cell r="G685" t="str">
            <v>tier - 2</v>
          </cell>
          <cell r="H685" t="str">
            <v>R1012</v>
          </cell>
        </row>
        <row r="686">
          <cell r="A686" t="str">
            <v>ID1614</v>
          </cell>
          <cell r="B686" t="str">
            <v>6-Oct-1984</v>
          </cell>
          <cell r="C686">
            <v>42</v>
          </cell>
          <cell r="D686">
            <v>3</v>
          </cell>
          <cell r="E686">
            <v>6170.96</v>
          </cell>
          <cell r="F686" t="str">
            <v>tier - 2</v>
          </cell>
          <cell r="G686" t="str">
            <v>tier - 1</v>
          </cell>
          <cell r="H686" t="str">
            <v>R1013</v>
          </cell>
        </row>
        <row r="687">
          <cell r="A687" t="str">
            <v>ID1615</v>
          </cell>
          <cell r="B687" t="str">
            <v>15-Oct-1985</v>
          </cell>
          <cell r="C687">
            <v>41</v>
          </cell>
          <cell r="D687">
            <v>3</v>
          </cell>
          <cell r="E687">
            <v>6159.57</v>
          </cell>
          <cell r="F687" t="str">
            <v>tier - 2</v>
          </cell>
          <cell r="G687" t="str">
            <v>tier - 1</v>
          </cell>
          <cell r="H687" t="str">
            <v>R1012</v>
          </cell>
        </row>
        <row r="688">
          <cell r="A688" t="str">
            <v>ID1616</v>
          </cell>
          <cell r="B688" t="str">
            <v>6-Nov-1973</v>
          </cell>
          <cell r="C688">
            <v>52</v>
          </cell>
          <cell r="D688">
            <v>0</v>
          </cell>
          <cell r="E688">
            <v>6152.05</v>
          </cell>
          <cell r="F688" t="str">
            <v>tier - 2</v>
          </cell>
          <cell r="G688" t="str">
            <v>tier - 3</v>
          </cell>
          <cell r="H688" t="str">
            <v>R1013</v>
          </cell>
        </row>
        <row r="689">
          <cell r="A689" t="str">
            <v>ID1617</v>
          </cell>
          <cell r="B689" t="str">
            <v>14-Oct-1970</v>
          </cell>
          <cell r="C689">
            <v>56</v>
          </cell>
          <cell r="D689">
            <v>0</v>
          </cell>
          <cell r="E689">
            <v>6147.12</v>
          </cell>
          <cell r="F689" t="str">
            <v>tier - 2</v>
          </cell>
          <cell r="G689" t="str">
            <v>tier - 3</v>
          </cell>
          <cell r="H689" t="str">
            <v>R1012</v>
          </cell>
        </row>
        <row r="690">
          <cell r="A690" t="str">
            <v>ID1618</v>
          </cell>
          <cell r="B690" t="str">
            <v>12-Dec-1976</v>
          </cell>
          <cell r="C690">
            <v>49</v>
          </cell>
          <cell r="D690">
            <v>2</v>
          </cell>
          <cell r="E690">
            <v>6139.14</v>
          </cell>
          <cell r="F690" t="str">
            <v>tier - 2</v>
          </cell>
          <cell r="G690" t="str">
            <v>tier - 3</v>
          </cell>
          <cell r="H690" t="str">
            <v>R1013</v>
          </cell>
        </row>
        <row r="691">
          <cell r="A691" t="str">
            <v>ID1619</v>
          </cell>
          <cell r="B691" t="str">
            <v>5-Sep-1978</v>
          </cell>
          <cell r="C691">
            <v>48</v>
          </cell>
          <cell r="D691">
            <v>2</v>
          </cell>
          <cell r="E691">
            <v>6138.58</v>
          </cell>
          <cell r="F691" t="str">
            <v>tier - 2</v>
          </cell>
          <cell r="G691" t="str">
            <v>tier - 1</v>
          </cell>
          <cell r="H691" t="str">
            <v>R1013</v>
          </cell>
        </row>
        <row r="692">
          <cell r="A692" t="str">
            <v>ID162</v>
          </cell>
          <cell r="B692" t="str">
            <v>16-Nov-1990</v>
          </cell>
          <cell r="C692">
            <v>35</v>
          </cell>
          <cell r="D692">
            <v>1</v>
          </cell>
          <cell r="E692">
            <v>37607.53</v>
          </cell>
          <cell r="F692" t="str">
            <v>tier - 1</v>
          </cell>
          <cell r="G692" t="str">
            <v>tier - 2</v>
          </cell>
          <cell r="H692" t="str">
            <v>R1019</v>
          </cell>
        </row>
        <row r="693">
          <cell r="A693" t="str">
            <v>ID1620</v>
          </cell>
          <cell r="B693" t="str">
            <v>9-Nov-1969</v>
          </cell>
          <cell r="C693">
            <v>56</v>
          </cell>
          <cell r="D693">
            <v>0</v>
          </cell>
          <cell r="E693">
            <v>6138.5</v>
          </cell>
          <cell r="F693" t="str">
            <v>tier - 2</v>
          </cell>
          <cell r="G693" t="str">
            <v>tier - 2</v>
          </cell>
          <cell r="H693" t="str">
            <v>R1011</v>
          </cell>
        </row>
        <row r="694">
          <cell r="A694" t="str">
            <v>ID1621</v>
          </cell>
          <cell r="B694" t="str">
            <v>18-Aug-1990</v>
          </cell>
          <cell r="C694">
            <v>36</v>
          </cell>
          <cell r="D694">
            <v>3</v>
          </cell>
          <cell r="E694">
            <v>6128.8</v>
          </cell>
          <cell r="F694" t="str">
            <v>tier - 2</v>
          </cell>
          <cell r="G694" t="str">
            <v>tier - 3</v>
          </cell>
          <cell r="H694" t="str">
            <v>R1012</v>
          </cell>
        </row>
        <row r="695">
          <cell r="A695" t="str">
            <v>ID1622</v>
          </cell>
          <cell r="B695" t="str">
            <v>16-Nov-1983</v>
          </cell>
          <cell r="C695">
            <v>42</v>
          </cell>
          <cell r="D695">
            <v>1</v>
          </cell>
          <cell r="E695">
            <v>6123.57</v>
          </cell>
          <cell r="F695" t="str">
            <v>tier - 3</v>
          </cell>
          <cell r="G695" t="str">
            <v>tier - 2</v>
          </cell>
          <cell r="H695" t="str">
            <v>R1012</v>
          </cell>
        </row>
        <row r="696">
          <cell r="A696" t="str">
            <v>ID1623</v>
          </cell>
          <cell r="B696" t="str">
            <v>11-Aug-1983</v>
          </cell>
          <cell r="C696">
            <v>43</v>
          </cell>
          <cell r="D696">
            <v>1</v>
          </cell>
          <cell r="E696">
            <v>6117.49</v>
          </cell>
          <cell r="F696" t="str">
            <v>tier - 2</v>
          </cell>
          <cell r="G696" t="str">
            <v>tier - 3</v>
          </cell>
          <cell r="H696" t="str">
            <v>R1012</v>
          </cell>
        </row>
        <row r="697">
          <cell r="A697" t="str">
            <v>ID1624</v>
          </cell>
          <cell r="B697" t="str">
            <v>25-Jul-1991</v>
          </cell>
          <cell r="C697">
            <v>35</v>
          </cell>
          <cell r="D697">
            <v>3</v>
          </cell>
          <cell r="E697">
            <v>6113.23</v>
          </cell>
          <cell r="F697" t="str">
            <v>tier - 2</v>
          </cell>
          <cell r="G697" t="str">
            <v>tier - 2</v>
          </cell>
          <cell r="H697" t="str">
            <v>R1024</v>
          </cell>
        </row>
        <row r="698">
          <cell r="A698" t="str">
            <v>ID1625</v>
          </cell>
          <cell r="B698" t="str">
            <v>21-Jul-1985</v>
          </cell>
          <cell r="C698">
            <v>41</v>
          </cell>
          <cell r="D698">
            <v>1</v>
          </cell>
          <cell r="E698">
            <v>6112.35</v>
          </cell>
          <cell r="F698" t="str">
            <v>tier - 2</v>
          </cell>
          <cell r="G698" t="str">
            <v>tier - 1</v>
          </cell>
          <cell r="H698" t="str">
            <v>R1012</v>
          </cell>
        </row>
        <row r="699">
          <cell r="A699" t="str">
            <v>ID1626</v>
          </cell>
          <cell r="B699" t="str">
            <v>9-Sep-1995</v>
          </cell>
          <cell r="C699">
            <v>31</v>
          </cell>
          <cell r="D699">
            <v>0</v>
          </cell>
          <cell r="E699">
            <v>6111.95</v>
          </cell>
          <cell r="F699" t="str">
            <v>tier - 2</v>
          </cell>
          <cell r="G699" t="str">
            <v>tier - 3</v>
          </cell>
          <cell r="H699" t="str">
            <v>R1026</v>
          </cell>
        </row>
        <row r="700">
          <cell r="A700" t="str">
            <v>ID1627</v>
          </cell>
          <cell r="B700" t="str">
            <v>9-Jun-1970</v>
          </cell>
          <cell r="C700">
            <v>56</v>
          </cell>
          <cell r="D700">
            <v>0</v>
          </cell>
          <cell r="E700">
            <v>6098.38</v>
          </cell>
          <cell r="F700" t="str">
            <v>tier - 2</v>
          </cell>
          <cell r="G700" t="str">
            <v>tier - 2</v>
          </cell>
          <cell r="H700" t="str">
            <v>R1013</v>
          </cell>
        </row>
        <row r="701">
          <cell r="A701" t="str">
            <v>ID1628</v>
          </cell>
          <cell r="B701" t="str">
            <v>25-Jul-1984</v>
          </cell>
          <cell r="C701">
            <v>42</v>
          </cell>
          <cell r="D701">
            <v>2</v>
          </cell>
          <cell r="E701">
            <v>6082.41</v>
          </cell>
          <cell r="F701" t="str">
            <v>tier - 1</v>
          </cell>
          <cell r="G701" t="str">
            <v>tier - 2</v>
          </cell>
          <cell r="H701" t="str">
            <v>R1011</v>
          </cell>
        </row>
        <row r="702">
          <cell r="A702" t="str">
            <v>ID1629</v>
          </cell>
          <cell r="B702" t="str">
            <v>14-Oct-1984</v>
          </cell>
          <cell r="C702">
            <v>42</v>
          </cell>
          <cell r="D702">
            <v>1</v>
          </cell>
          <cell r="E702">
            <v>6079.67</v>
          </cell>
          <cell r="F702" t="str">
            <v>tier - 1</v>
          </cell>
          <cell r="G702" t="str">
            <v>tier - 1</v>
          </cell>
          <cell r="H702" t="str">
            <v>R1014</v>
          </cell>
        </row>
        <row r="703">
          <cell r="A703" t="str">
            <v>ID163</v>
          </cell>
          <cell r="B703" t="str">
            <v>12-Oct-2000</v>
          </cell>
          <cell r="C703">
            <v>26</v>
          </cell>
          <cell r="D703">
            <v>2</v>
          </cell>
          <cell r="E703">
            <v>37484.449999999997</v>
          </cell>
          <cell r="F703" t="str">
            <v>tier - 1</v>
          </cell>
          <cell r="G703" t="str">
            <v>tier - 1</v>
          </cell>
          <cell r="H703" t="str">
            <v>R1013</v>
          </cell>
        </row>
        <row r="704">
          <cell r="A704" t="str">
            <v>ID1630</v>
          </cell>
          <cell r="B704" t="str">
            <v>8-Aug-1979</v>
          </cell>
          <cell r="C704">
            <v>47</v>
          </cell>
          <cell r="D704">
            <v>2</v>
          </cell>
          <cell r="E704">
            <v>6074.37</v>
          </cell>
          <cell r="F704" t="str">
            <v>tier - 2</v>
          </cell>
          <cell r="G704" t="str">
            <v>tier - 2</v>
          </cell>
          <cell r="H704" t="str">
            <v>R1012</v>
          </cell>
        </row>
        <row r="705">
          <cell r="A705" t="str">
            <v>ID1631</v>
          </cell>
          <cell r="B705" t="str">
            <v>21-Sep-1984</v>
          </cell>
          <cell r="C705">
            <v>42</v>
          </cell>
          <cell r="D705">
            <v>1</v>
          </cell>
          <cell r="E705">
            <v>6067.13</v>
          </cell>
          <cell r="F705" t="str">
            <v>tier - 3</v>
          </cell>
          <cell r="G705" t="str">
            <v>tier - 1</v>
          </cell>
          <cell r="H705" t="str">
            <v>R1016</v>
          </cell>
        </row>
        <row r="706">
          <cell r="A706" t="str">
            <v>ID1632</v>
          </cell>
          <cell r="B706" t="str">
            <v>8-Nov-1994</v>
          </cell>
          <cell r="C706">
            <v>31</v>
          </cell>
          <cell r="D706">
            <v>0</v>
          </cell>
          <cell r="E706">
            <v>6064.37</v>
          </cell>
          <cell r="F706" t="str">
            <v>tier - 2</v>
          </cell>
          <cell r="G706" t="str">
            <v>tier - 2</v>
          </cell>
          <cell r="H706" t="str">
            <v>R1011</v>
          </cell>
        </row>
        <row r="707">
          <cell r="A707" t="str">
            <v>ID1633</v>
          </cell>
          <cell r="B707" t="str">
            <v>28-Jul-1996</v>
          </cell>
          <cell r="C707">
            <v>30</v>
          </cell>
          <cell r="D707">
            <v>0</v>
          </cell>
          <cell r="E707">
            <v>6061.8</v>
          </cell>
          <cell r="F707" t="str">
            <v>tier - 2</v>
          </cell>
          <cell r="G707" t="str">
            <v>tier - 3</v>
          </cell>
          <cell r="H707" t="str">
            <v>R1012</v>
          </cell>
        </row>
        <row r="708">
          <cell r="A708" t="str">
            <v>ID1634</v>
          </cell>
          <cell r="B708" t="str">
            <v>16-Aug-1989</v>
          </cell>
          <cell r="C708">
            <v>37</v>
          </cell>
          <cell r="D708">
            <v>4</v>
          </cell>
          <cell r="E708">
            <v>6059.17</v>
          </cell>
          <cell r="F708" t="str">
            <v>tier - 2</v>
          </cell>
          <cell r="G708" t="str">
            <v>tier - 1</v>
          </cell>
          <cell r="H708" t="str">
            <v>R1011</v>
          </cell>
        </row>
        <row r="709">
          <cell r="A709" t="str">
            <v>ID1635</v>
          </cell>
          <cell r="B709" t="str">
            <v>8-Aug-1980</v>
          </cell>
          <cell r="C709">
            <v>46</v>
          </cell>
          <cell r="D709">
            <v>2</v>
          </cell>
          <cell r="E709">
            <v>5993.62</v>
          </cell>
          <cell r="F709" t="str">
            <v>tier - 2</v>
          </cell>
          <cell r="G709" t="str">
            <v>tier - 3</v>
          </cell>
          <cell r="H709" t="str">
            <v>R1013</v>
          </cell>
        </row>
        <row r="710">
          <cell r="A710" t="str">
            <v>ID1636</v>
          </cell>
          <cell r="B710" t="str">
            <v>17-Aug-1974</v>
          </cell>
          <cell r="C710">
            <v>52</v>
          </cell>
          <cell r="D710">
            <v>0</v>
          </cell>
          <cell r="E710">
            <v>5990.17</v>
          </cell>
          <cell r="F710" t="str">
            <v>tier - 2</v>
          </cell>
          <cell r="G710" t="str">
            <v>tier - 2</v>
          </cell>
          <cell r="H710" t="str">
            <v>R1013</v>
          </cell>
        </row>
        <row r="711">
          <cell r="A711" t="str">
            <v>ID1637</v>
          </cell>
          <cell r="B711" t="str">
            <v>10-Jun-1988</v>
          </cell>
          <cell r="C711">
            <v>38</v>
          </cell>
          <cell r="D711">
            <v>2</v>
          </cell>
          <cell r="E711">
            <v>5989.52</v>
          </cell>
          <cell r="F711" t="str">
            <v>tier - 2</v>
          </cell>
          <cell r="G711" t="str">
            <v>tier - 1</v>
          </cell>
          <cell r="H711" t="str">
            <v>R1012</v>
          </cell>
        </row>
        <row r="712">
          <cell r="A712" t="str">
            <v>ID1638</v>
          </cell>
          <cell r="B712" t="str">
            <v>11-Oct-1974</v>
          </cell>
          <cell r="C712">
            <v>52</v>
          </cell>
          <cell r="D712">
            <v>0</v>
          </cell>
          <cell r="E712">
            <v>5979.99</v>
          </cell>
          <cell r="F712" t="str">
            <v>tier - 2</v>
          </cell>
          <cell r="G712" t="str">
            <v>tier - 3</v>
          </cell>
          <cell r="H712" t="str">
            <v>R1013</v>
          </cell>
        </row>
        <row r="713">
          <cell r="A713" t="str">
            <v>ID1639</v>
          </cell>
          <cell r="B713" t="str">
            <v>10-Oct-1980</v>
          </cell>
          <cell r="C713">
            <v>46</v>
          </cell>
          <cell r="D713">
            <v>0</v>
          </cell>
          <cell r="E713">
            <v>5979.73</v>
          </cell>
          <cell r="F713" t="str">
            <v>tier - 2</v>
          </cell>
          <cell r="G713" t="str">
            <v>tier - 2</v>
          </cell>
          <cell r="H713" t="str">
            <v>R1011</v>
          </cell>
        </row>
        <row r="714">
          <cell r="A714" t="str">
            <v>ID164</v>
          </cell>
          <cell r="B714" t="str">
            <v>27-Sep-2002</v>
          </cell>
          <cell r="C714">
            <v>24</v>
          </cell>
          <cell r="D714">
            <v>3</v>
          </cell>
          <cell r="E714">
            <v>37465.339999999997</v>
          </cell>
          <cell r="F714" t="str">
            <v>tier - 1</v>
          </cell>
          <cell r="G714" t="str">
            <v>tier - 2</v>
          </cell>
          <cell r="H714" t="str">
            <v>R1012</v>
          </cell>
        </row>
        <row r="715">
          <cell r="A715" t="str">
            <v>ID1640</v>
          </cell>
          <cell r="B715" t="str">
            <v>25-Jun-1970</v>
          </cell>
          <cell r="C715">
            <v>56</v>
          </cell>
          <cell r="D715">
            <v>0</v>
          </cell>
          <cell r="E715">
            <v>5979.66</v>
          </cell>
          <cell r="F715" t="str">
            <v>tier - 2</v>
          </cell>
          <cell r="G715" t="str">
            <v>tier - 3</v>
          </cell>
          <cell r="H715" t="str">
            <v>R1013</v>
          </cell>
        </row>
        <row r="716">
          <cell r="A716" t="str">
            <v>ID1641</v>
          </cell>
          <cell r="B716" t="str">
            <v>11-Nov-1984</v>
          </cell>
          <cell r="C716">
            <v>41</v>
          </cell>
          <cell r="D716">
            <v>1</v>
          </cell>
          <cell r="E716">
            <v>5976.83</v>
          </cell>
          <cell r="F716" t="str">
            <v>tier - 2</v>
          </cell>
          <cell r="G716" t="str">
            <v>tier - 2</v>
          </cell>
          <cell r="H716" t="str">
            <v>R1013</v>
          </cell>
        </row>
        <row r="717">
          <cell r="A717" t="str">
            <v>ID1642</v>
          </cell>
          <cell r="B717" t="str">
            <v>19-Sep-1984</v>
          </cell>
          <cell r="C717">
            <v>42</v>
          </cell>
          <cell r="D717">
            <v>1</v>
          </cell>
          <cell r="E717">
            <v>5974.38</v>
          </cell>
          <cell r="F717" t="str">
            <v>tier - 2</v>
          </cell>
          <cell r="G717" t="str">
            <v>tier - 3</v>
          </cell>
          <cell r="H717" t="str">
            <v>R1013</v>
          </cell>
        </row>
        <row r="718">
          <cell r="A718" t="str">
            <v>ID1643</v>
          </cell>
          <cell r="B718" t="str">
            <v>22-Jul-1989</v>
          </cell>
          <cell r="C718">
            <v>37</v>
          </cell>
          <cell r="D718">
            <v>3</v>
          </cell>
          <cell r="E718">
            <v>5972.38</v>
          </cell>
          <cell r="F718" t="str">
            <v>tier - 2</v>
          </cell>
          <cell r="G718" t="str">
            <v>tier - 2</v>
          </cell>
          <cell r="H718" t="str">
            <v>R1011</v>
          </cell>
        </row>
        <row r="719">
          <cell r="A719" t="str">
            <v>ID1644</v>
          </cell>
          <cell r="B719" t="str">
            <v>21-Jul-1980</v>
          </cell>
          <cell r="C719">
            <v>46</v>
          </cell>
          <cell r="D719">
            <v>0</v>
          </cell>
          <cell r="E719">
            <v>5969.72</v>
          </cell>
          <cell r="F719" t="str">
            <v>tier - 3</v>
          </cell>
          <cell r="G719" t="str">
            <v>tier - 3</v>
          </cell>
          <cell r="H719" t="str">
            <v>R1011</v>
          </cell>
        </row>
        <row r="720">
          <cell r="A720" t="str">
            <v>ID1645</v>
          </cell>
          <cell r="B720" t="str">
            <v>5-Aug-1980</v>
          </cell>
          <cell r="C720">
            <v>46</v>
          </cell>
          <cell r="D720">
            <v>0</v>
          </cell>
          <cell r="E720">
            <v>5966.89</v>
          </cell>
          <cell r="F720" t="str">
            <v>tier - 2</v>
          </cell>
          <cell r="G720" t="str">
            <v>tier - 3</v>
          </cell>
          <cell r="H720" t="str">
            <v>R1013</v>
          </cell>
        </row>
        <row r="721">
          <cell r="A721" t="str">
            <v>ID1646</v>
          </cell>
          <cell r="B721" t="str">
            <v>15-Jul-2004</v>
          </cell>
          <cell r="C721">
            <v>22</v>
          </cell>
          <cell r="D721">
            <v>0</v>
          </cell>
          <cell r="E721">
            <v>5960.91</v>
          </cell>
          <cell r="F721" t="str">
            <v>tier - 2</v>
          </cell>
          <cell r="G721" t="str">
            <v>tier - 1</v>
          </cell>
          <cell r="H721" t="str">
            <v>R1026</v>
          </cell>
        </row>
        <row r="722">
          <cell r="A722" t="str">
            <v>ID1647</v>
          </cell>
          <cell r="B722" t="str">
            <v>13-Aug-2003</v>
          </cell>
          <cell r="C722">
            <v>23</v>
          </cell>
          <cell r="D722">
            <v>0</v>
          </cell>
          <cell r="E722">
            <v>5957.35</v>
          </cell>
          <cell r="F722" t="str">
            <v>tier - 2</v>
          </cell>
          <cell r="G722" t="str">
            <v>tier - 2</v>
          </cell>
          <cell r="H722" t="str">
            <v>R1012</v>
          </cell>
        </row>
        <row r="723">
          <cell r="A723" t="str">
            <v>ID1648</v>
          </cell>
          <cell r="B723" t="str">
            <v>14-Jul-1987</v>
          </cell>
          <cell r="C723">
            <v>39</v>
          </cell>
          <cell r="D723">
            <v>3</v>
          </cell>
          <cell r="E723">
            <v>5934.38</v>
          </cell>
          <cell r="F723" t="str">
            <v>tier - 3</v>
          </cell>
          <cell r="G723" t="str">
            <v>tier - 2</v>
          </cell>
          <cell r="H723" t="str">
            <v>R1013</v>
          </cell>
        </row>
        <row r="724">
          <cell r="A724" t="str">
            <v>ID1649</v>
          </cell>
          <cell r="B724" t="str">
            <v>30-Jul-1994</v>
          </cell>
          <cell r="C724">
            <v>32</v>
          </cell>
          <cell r="D724">
            <v>0</v>
          </cell>
          <cell r="E724">
            <v>5927.65</v>
          </cell>
          <cell r="F724" t="str">
            <v>tier - 2</v>
          </cell>
          <cell r="G724" t="str">
            <v>tier - 1</v>
          </cell>
          <cell r="H724" t="str">
            <v>R1012</v>
          </cell>
        </row>
        <row r="725">
          <cell r="A725" t="str">
            <v>ID165</v>
          </cell>
          <cell r="B725" t="str">
            <v>3-Aug-1979</v>
          </cell>
          <cell r="C725">
            <v>47</v>
          </cell>
          <cell r="D725">
            <v>2</v>
          </cell>
          <cell r="E725">
            <v>37425.94</v>
          </cell>
          <cell r="F725" t="str">
            <v>tier - 2</v>
          </cell>
          <cell r="G725" t="str">
            <v>tier - 1</v>
          </cell>
          <cell r="H725" t="str">
            <v>R1011</v>
          </cell>
        </row>
        <row r="726">
          <cell r="A726" t="str">
            <v>ID1650</v>
          </cell>
          <cell r="B726" t="str">
            <v>13-Aug-1993</v>
          </cell>
          <cell r="C726">
            <v>33</v>
          </cell>
          <cell r="D726">
            <v>0</v>
          </cell>
          <cell r="E726">
            <v>5926.93</v>
          </cell>
          <cell r="F726" t="str">
            <v>tier - 2</v>
          </cell>
          <cell r="G726" t="str">
            <v>tier - 2</v>
          </cell>
          <cell r="H726" t="str">
            <v>R1025</v>
          </cell>
        </row>
        <row r="727">
          <cell r="A727" t="str">
            <v>ID1651</v>
          </cell>
          <cell r="B727" t="str">
            <v>29-Jul-1987</v>
          </cell>
          <cell r="C727">
            <v>39</v>
          </cell>
          <cell r="D727">
            <v>3</v>
          </cell>
          <cell r="E727">
            <v>5926.85</v>
          </cell>
          <cell r="F727" t="str">
            <v>tier - 3</v>
          </cell>
          <cell r="G727" t="str">
            <v>tier - 3</v>
          </cell>
          <cell r="H727" t="str">
            <v>R1011</v>
          </cell>
        </row>
        <row r="728">
          <cell r="A728" t="str">
            <v>ID1652</v>
          </cell>
          <cell r="B728" t="str">
            <v>21-Dec-1982</v>
          </cell>
          <cell r="C728">
            <v>43</v>
          </cell>
          <cell r="D728">
            <v>0</v>
          </cell>
          <cell r="E728">
            <v>5920.1</v>
          </cell>
          <cell r="F728" t="str">
            <v>tier - 2</v>
          </cell>
          <cell r="G728" t="str">
            <v>tier - 1</v>
          </cell>
          <cell r="H728" t="str">
            <v>R1013</v>
          </cell>
        </row>
        <row r="729">
          <cell r="A729" t="str">
            <v>ID1653</v>
          </cell>
          <cell r="B729" t="str">
            <v>8-Jul-1982</v>
          </cell>
          <cell r="C729">
            <v>44</v>
          </cell>
          <cell r="D729">
            <v>0</v>
          </cell>
          <cell r="E729">
            <v>5910.94</v>
          </cell>
          <cell r="F729" t="str">
            <v>tier - 2</v>
          </cell>
          <cell r="G729" t="str">
            <v>tier - 1</v>
          </cell>
          <cell r="H729" t="str">
            <v>R1011</v>
          </cell>
        </row>
        <row r="730">
          <cell r="A730" t="str">
            <v>ID1654</v>
          </cell>
          <cell r="B730" t="str">
            <v>19-Oct-1993</v>
          </cell>
          <cell r="C730">
            <v>32</v>
          </cell>
          <cell r="D730">
            <v>0</v>
          </cell>
          <cell r="E730">
            <v>5877.02</v>
          </cell>
          <cell r="F730" t="str">
            <v>tier - 2</v>
          </cell>
          <cell r="G730" t="str">
            <v>tier - 2</v>
          </cell>
          <cell r="H730" t="str">
            <v>R1021</v>
          </cell>
        </row>
        <row r="731">
          <cell r="A731" t="str">
            <v>ID1655</v>
          </cell>
          <cell r="B731" t="str">
            <v>22-Nov-1984</v>
          </cell>
          <cell r="C731">
            <v>41</v>
          </cell>
          <cell r="D731">
            <v>1</v>
          </cell>
          <cell r="E731">
            <v>5855.9</v>
          </cell>
          <cell r="F731" t="str">
            <v>tier - 2</v>
          </cell>
          <cell r="G731" t="str">
            <v>tier - 3</v>
          </cell>
          <cell r="H731" t="str">
            <v>R1012</v>
          </cell>
        </row>
        <row r="732">
          <cell r="A732" t="str">
            <v>ID1656</v>
          </cell>
          <cell r="B732" t="str">
            <v>18-Jun-1985</v>
          </cell>
          <cell r="C732">
            <v>41</v>
          </cell>
          <cell r="D732">
            <v>3</v>
          </cell>
          <cell r="E732">
            <v>5847.24</v>
          </cell>
          <cell r="F732" t="str">
            <v>tier - 2</v>
          </cell>
          <cell r="G732" t="str">
            <v>tier - 1</v>
          </cell>
          <cell r="H732" t="str">
            <v>R1013</v>
          </cell>
        </row>
        <row r="733">
          <cell r="A733" t="str">
            <v>ID1657</v>
          </cell>
          <cell r="B733" t="str">
            <v>30-Sep-1987</v>
          </cell>
          <cell r="C733">
            <v>39</v>
          </cell>
          <cell r="D733">
            <v>2</v>
          </cell>
          <cell r="E733">
            <v>5846.92</v>
          </cell>
          <cell r="F733" t="str">
            <v>tier - 2</v>
          </cell>
          <cell r="G733" t="str">
            <v>tier - 2</v>
          </cell>
          <cell r="H733" t="str">
            <v>R1013</v>
          </cell>
        </row>
        <row r="734">
          <cell r="A734" t="str">
            <v>ID1658</v>
          </cell>
          <cell r="B734" t="str">
            <v>20-Aug-1995</v>
          </cell>
          <cell r="C734">
            <v>31</v>
          </cell>
          <cell r="D734">
            <v>0</v>
          </cell>
          <cell r="E734">
            <v>5843.99</v>
          </cell>
          <cell r="F734" t="str">
            <v>tier - 2</v>
          </cell>
          <cell r="G734" t="str">
            <v>tier - 2</v>
          </cell>
          <cell r="H734" t="str">
            <v>R1025</v>
          </cell>
        </row>
        <row r="735">
          <cell r="A735" t="str">
            <v>ID1659</v>
          </cell>
          <cell r="B735" t="str">
            <v>27-Jul-1987</v>
          </cell>
          <cell r="C735">
            <v>39</v>
          </cell>
          <cell r="D735">
            <v>2</v>
          </cell>
          <cell r="E735">
            <v>5836.52</v>
          </cell>
          <cell r="F735" t="str">
            <v>tier - 2</v>
          </cell>
          <cell r="G735" t="str">
            <v>tier - 3</v>
          </cell>
          <cell r="H735" t="str">
            <v>R1013</v>
          </cell>
        </row>
        <row r="736">
          <cell r="A736" t="str">
            <v>ID166</v>
          </cell>
          <cell r="B736" t="str">
            <v>30-Oct-1969</v>
          </cell>
          <cell r="C736">
            <v>56</v>
          </cell>
          <cell r="D736">
            <v>0</v>
          </cell>
          <cell r="E736">
            <v>37277.269999999997</v>
          </cell>
          <cell r="F736" t="str">
            <v>tier - 1</v>
          </cell>
          <cell r="G736" t="str">
            <v>tier - 3</v>
          </cell>
          <cell r="H736" t="str">
            <v>R1011</v>
          </cell>
        </row>
        <row r="737">
          <cell r="A737" t="str">
            <v>ID1660</v>
          </cell>
          <cell r="B737" t="str">
            <v>27-Sep-1971</v>
          </cell>
          <cell r="C737">
            <v>55</v>
          </cell>
          <cell r="D737">
            <v>0</v>
          </cell>
          <cell r="E737">
            <v>5832.6</v>
          </cell>
          <cell r="F737" t="str">
            <v>tier - 2</v>
          </cell>
          <cell r="G737" t="str">
            <v>tier - 3</v>
          </cell>
          <cell r="H737" t="str">
            <v>R1012</v>
          </cell>
        </row>
        <row r="738">
          <cell r="A738" t="str">
            <v>ID1661</v>
          </cell>
          <cell r="B738" t="str">
            <v>22-Jul-2002</v>
          </cell>
          <cell r="C738">
            <v>24</v>
          </cell>
          <cell r="D738">
            <v>0</v>
          </cell>
          <cell r="E738">
            <v>5816.58</v>
          </cell>
          <cell r="F738" t="str">
            <v>tier - 2</v>
          </cell>
          <cell r="G738" t="str">
            <v>tier - 2</v>
          </cell>
          <cell r="H738" t="str">
            <v>R1026</v>
          </cell>
        </row>
        <row r="739">
          <cell r="A739" t="str">
            <v>ID1662</v>
          </cell>
          <cell r="B739" t="str">
            <v>2-Nov-1972</v>
          </cell>
          <cell r="C739">
            <v>53</v>
          </cell>
          <cell r="D739">
            <v>0</v>
          </cell>
          <cell r="E739">
            <v>5812.9</v>
          </cell>
          <cell r="F739" t="str">
            <v>tier - 2</v>
          </cell>
          <cell r="G739" t="str">
            <v>tier - 2</v>
          </cell>
          <cell r="H739" t="str">
            <v>R1013</v>
          </cell>
        </row>
        <row r="740">
          <cell r="A740" t="str">
            <v>ID1663</v>
          </cell>
          <cell r="B740" t="str">
            <v>18-Sep-1980</v>
          </cell>
          <cell r="C740">
            <v>46</v>
          </cell>
          <cell r="D740">
            <v>2</v>
          </cell>
          <cell r="E740">
            <v>5807.06</v>
          </cell>
          <cell r="F740" t="str">
            <v>tier - 2</v>
          </cell>
          <cell r="G740" t="str">
            <v>tier - 3</v>
          </cell>
          <cell r="H740" t="str">
            <v>R1013</v>
          </cell>
        </row>
        <row r="741">
          <cell r="A741" t="str">
            <v>ID1664</v>
          </cell>
          <cell r="B741" t="str">
            <v>1-Nov-2004</v>
          </cell>
          <cell r="C741">
            <v>21</v>
          </cell>
          <cell r="D741">
            <v>0</v>
          </cell>
          <cell r="E741">
            <v>5778.71</v>
          </cell>
          <cell r="F741" t="str">
            <v>tier - 2</v>
          </cell>
          <cell r="G741" t="str">
            <v>tier - 3</v>
          </cell>
          <cell r="H741" t="str">
            <v>R1022</v>
          </cell>
        </row>
        <row r="742">
          <cell r="A742" t="str">
            <v>ID1665</v>
          </cell>
          <cell r="B742" t="str">
            <v>30-Aug-1983</v>
          </cell>
          <cell r="C742">
            <v>43</v>
          </cell>
          <cell r="D742">
            <v>0</v>
          </cell>
          <cell r="E742">
            <v>5757.41</v>
          </cell>
          <cell r="F742" t="str">
            <v>tier - 2</v>
          </cell>
          <cell r="G742" t="str">
            <v>tier - 3</v>
          </cell>
          <cell r="H742" t="str">
            <v>R1019</v>
          </cell>
        </row>
        <row r="743">
          <cell r="A743" t="str">
            <v>ID1666</v>
          </cell>
          <cell r="B743" t="str">
            <v>10-Jun-1993</v>
          </cell>
          <cell r="C743">
            <v>33</v>
          </cell>
          <cell r="D743">
            <v>0</v>
          </cell>
          <cell r="E743">
            <v>5748.13</v>
          </cell>
          <cell r="F743" t="str">
            <v>tier - 2</v>
          </cell>
          <cell r="G743" t="str">
            <v>tier - 1</v>
          </cell>
          <cell r="H743" t="str">
            <v>R1021</v>
          </cell>
        </row>
        <row r="744">
          <cell r="A744" t="str">
            <v>ID1667</v>
          </cell>
          <cell r="B744" t="str">
            <v>21-Aug-1972</v>
          </cell>
          <cell r="C744">
            <v>54</v>
          </cell>
          <cell r="D744">
            <v>0</v>
          </cell>
          <cell r="E744">
            <v>5741.67</v>
          </cell>
          <cell r="F744" t="str">
            <v>tier - 2</v>
          </cell>
          <cell r="G744" t="str">
            <v>tier - 3</v>
          </cell>
          <cell r="H744" t="str">
            <v>R1013</v>
          </cell>
        </row>
        <row r="745">
          <cell r="A745" t="str">
            <v>ID1668</v>
          </cell>
          <cell r="B745" t="str">
            <v>19-Oct-1987</v>
          </cell>
          <cell r="C745">
            <v>38</v>
          </cell>
          <cell r="D745">
            <v>2</v>
          </cell>
          <cell r="E745">
            <v>5729.01</v>
          </cell>
          <cell r="F745" t="str">
            <v>tier - 1</v>
          </cell>
          <cell r="G745" t="str">
            <v>tier - 2</v>
          </cell>
          <cell r="H745" t="str">
            <v>R1012</v>
          </cell>
        </row>
        <row r="746">
          <cell r="A746" t="str">
            <v>ID1669</v>
          </cell>
          <cell r="B746" t="str">
            <v>18-Dec-1971</v>
          </cell>
          <cell r="C746">
            <v>54</v>
          </cell>
          <cell r="D746">
            <v>0</v>
          </cell>
          <cell r="E746">
            <v>5720.38</v>
          </cell>
          <cell r="F746" t="str">
            <v>tier - 2</v>
          </cell>
          <cell r="G746" t="str">
            <v>tier - 1</v>
          </cell>
          <cell r="H746" t="str">
            <v>R1013</v>
          </cell>
        </row>
        <row r="747">
          <cell r="A747" t="str">
            <v>ID167</v>
          </cell>
          <cell r="B747" t="str">
            <v>9-Nov-1975</v>
          </cell>
          <cell r="C747">
            <v>50</v>
          </cell>
          <cell r="D747">
            <v>1</v>
          </cell>
          <cell r="E747">
            <v>37272.339999999997</v>
          </cell>
          <cell r="F747" t="str">
            <v>tier - 2</v>
          </cell>
          <cell r="G747" t="str">
            <v>tier - 3</v>
          </cell>
          <cell r="H747" t="str">
            <v>R1011</v>
          </cell>
        </row>
        <row r="748">
          <cell r="A748" t="str">
            <v>ID1670</v>
          </cell>
          <cell r="B748" t="str">
            <v>30-Aug-1981</v>
          </cell>
          <cell r="C748">
            <v>45</v>
          </cell>
          <cell r="D748">
            <v>0</v>
          </cell>
          <cell r="E748">
            <v>5709.16</v>
          </cell>
          <cell r="F748" t="str">
            <v>tier - 3</v>
          </cell>
          <cell r="G748" t="str">
            <v>tier - 3</v>
          </cell>
          <cell r="H748" t="str">
            <v>R1013</v>
          </cell>
        </row>
        <row r="749">
          <cell r="A749" t="str">
            <v>ID1671</v>
          </cell>
          <cell r="B749" t="str">
            <v>3-Nov-1993</v>
          </cell>
          <cell r="C749">
            <v>32</v>
          </cell>
          <cell r="D749">
            <v>4</v>
          </cell>
          <cell r="E749">
            <v>5708.87</v>
          </cell>
          <cell r="F749" t="str">
            <v>tier - 2</v>
          </cell>
          <cell r="G749" t="str">
            <v>tier - 1</v>
          </cell>
          <cell r="H749" t="str">
            <v>R1011</v>
          </cell>
        </row>
        <row r="750">
          <cell r="A750" t="str">
            <v>ID1672</v>
          </cell>
          <cell r="B750" t="str">
            <v>15-Jun-1981</v>
          </cell>
          <cell r="C750">
            <v>45</v>
          </cell>
          <cell r="D750">
            <v>0</v>
          </cell>
          <cell r="E750">
            <v>5699.84</v>
          </cell>
          <cell r="F750" t="str">
            <v>tier - 2</v>
          </cell>
          <cell r="G750" t="str">
            <v>tier - 3</v>
          </cell>
          <cell r="H750" t="str">
            <v>R1013</v>
          </cell>
        </row>
        <row r="751">
          <cell r="A751" t="str">
            <v>ID1673</v>
          </cell>
          <cell r="B751" t="str">
            <v>6-Jul-1974</v>
          </cell>
          <cell r="C751">
            <v>52</v>
          </cell>
          <cell r="D751">
            <v>0</v>
          </cell>
          <cell r="E751">
            <v>5698.74</v>
          </cell>
          <cell r="F751" t="str">
            <v>tier - 2</v>
          </cell>
          <cell r="G751" t="str">
            <v>tier - 2</v>
          </cell>
          <cell r="H751" t="str">
            <v>R1012</v>
          </cell>
        </row>
        <row r="752">
          <cell r="A752" t="str">
            <v>ID1674</v>
          </cell>
          <cell r="B752" t="str">
            <v>3-Nov-1992</v>
          </cell>
          <cell r="C752">
            <v>33</v>
          </cell>
          <cell r="D752">
            <v>3</v>
          </cell>
          <cell r="E752">
            <v>5693.43</v>
          </cell>
          <cell r="F752" t="str">
            <v>tier - 2</v>
          </cell>
          <cell r="G752" t="str">
            <v>tier - 3</v>
          </cell>
          <cell r="H752" t="str">
            <v>R1012</v>
          </cell>
        </row>
        <row r="753">
          <cell r="A753" t="str">
            <v>ID1675</v>
          </cell>
          <cell r="B753" t="str">
            <v>28-Oct-1972</v>
          </cell>
          <cell r="C753">
            <v>53</v>
          </cell>
          <cell r="D753">
            <v>0</v>
          </cell>
          <cell r="E753">
            <v>5690.79</v>
          </cell>
          <cell r="F753" t="str">
            <v>tier - 2</v>
          </cell>
          <cell r="G753" t="str">
            <v>tier - 1</v>
          </cell>
          <cell r="H753" t="str">
            <v>R1013</v>
          </cell>
        </row>
        <row r="754">
          <cell r="A754" t="str">
            <v>ID1676</v>
          </cell>
          <cell r="B754" t="str">
            <v>12-Aug-1984</v>
          </cell>
          <cell r="C754">
            <v>42</v>
          </cell>
          <cell r="D754">
            <v>3</v>
          </cell>
          <cell r="E754">
            <v>5679.13</v>
          </cell>
          <cell r="F754" t="str">
            <v>tier - 2</v>
          </cell>
          <cell r="G754" t="str">
            <v>tier - 2</v>
          </cell>
          <cell r="H754" t="str">
            <v>R1013</v>
          </cell>
        </row>
        <row r="755">
          <cell r="A755" t="str">
            <v>ID1677</v>
          </cell>
          <cell r="B755" t="str">
            <v>3-Sep-1983</v>
          </cell>
          <cell r="C755">
            <v>43</v>
          </cell>
          <cell r="D755">
            <v>0</v>
          </cell>
          <cell r="E755">
            <v>5662.23</v>
          </cell>
          <cell r="F755" t="str">
            <v>tier - 2</v>
          </cell>
          <cell r="G755" t="str">
            <v>tier - 1</v>
          </cell>
          <cell r="H755" t="str">
            <v>R1013</v>
          </cell>
        </row>
        <row r="756">
          <cell r="A756" t="str">
            <v>ID1678</v>
          </cell>
          <cell r="B756" t="str">
            <v>27-Sep-1978</v>
          </cell>
          <cell r="C756">
            <v>48</v>
          </cell>
          <cell r="D756">
            <v>2</v>
          </cell>
          <cell r="E756">
            <v>5650.14</v>
          </cell>
          <cell r="F756" t="str">
            <v>tier - 2</v>
          </cell>
          <cell r="G756" t="str">
            <v>tier - 1</v>
          </cell>
          <cell r="H756" t="str">
            <v>R1013</v>
          </cell>
        </row>
        <row r="757">
          <cell r="A757" t="str">
            <v>ID1679</v>
          </cell>
          <cell r="B757" t="str">
            <v>8-Jun-1983</v>
          </cell>
          <cell r="C757">
            <v>43</v>
          </cell>
          <cell r="D757">
            <v>0</v>
          </cell>
          <cell r="E757">
            <v>5649.72</v>
          </cell>
          <cell r="F757" t="str">
            <v>tier - 2</v>
          </cell>
          <cell r="G757" t="str">
            <v>tier - 3</v>
          </cell>
          <cell r="H757" t="str">
            <v>R1011</v>
          </cell>
        </row>
        <row r="758">
          <cell r="A758" t="str">
            <v>ID168</v>
          </cell>
          <cell r="B758" t="str">
            <v>17-Nov-1985</v>
          </cell>
          <cell r="C758">
            <v>40</v>
          </cell>
          <cell r="D758">
            <v>0</v>
          </cell>
          <cell r="E758">
            <v>37270.15</v>
          </cell>
          <cell r="F758" t="str">
            <v>tier - 2</v>
          </cell>
          <cell r="G758" t="str">
            <v>tier - 1</v>
          </cell>
          <cell r="H758" t="str">
            <v>R1024</v>
          </cell>
        </row>
        <row r="759">
          <cell r="A759" t="str">
            <v>ID1680</v>
          </cell>
          <cell r="B759" t="str">
            <v>9-Dec-1987</v>
          </cell>
          <cell r="C759">
            <v>38</v>
          </cell>
          <cell r="D759">
            <v>1</v>
          </cell>
          <cell r="E759">
            <v>5630.46</v>
          </cell>
          <cell r="F759" t="str">
            <v>tier - 2</v>
          </cell>
          <cell r="G759" t="str">
            <v>tier - 3</v>
          </cell>
          <cell r="H759" t="str">
            <v>R1012</v>
          </cell>
        </row>
        <row r="760">
          <cell r="A760" t="str">
            <v>ID1681</v>
          </cell>
          <cell r="B760" t="str">
            <v>15-Nov-1994</v>
          </cell>
          <cell r="C760">
            <v>31</v>
          </cell>
          <cell r="D760">
            <v>5</v>
          </cell>
          <cell r="E760">
            <v>5615.37</v>
          </cell>
          <cell r="F760" t="str">
            <v>tier - 2</v>
          </cell>
          <cell r="G760" t="str">
            <v>tier - 3</v>
          </cell>
          <cell r="H760" t="str">
            <v>R1011</v>
          </cell>
        </row>
        <row r="761">
          <cell r="A761" t="str">
            <v>ID1682</v>
          </cell>
          <cell r="B761" t="str">
            <v>11-Sep-1978</v>
          </cell>
          <cell r="C761">
            <v>48</v>
          </cell>
          <cell r="D761">
            <v>2</v>
          </cell>
          <cell r="E761">
            <v>5612.83</v>
          </cell>
          <cell r="F761" t="str">
            <v>tier - 2</v>
          </cell>
          <cell r="G761" t="str">
            <v>tier - 3</v>
          </cell>
          <cell r="H761" t="str">
            <v>R1013</v>
          </cell>
        </row>
        <row r="762">
          <cell r="A762" t="str">
            <v>ID1683</v>
          </cell>
          <cell r="B762" t="str">
            <v>18-Nov-1988</v>
          </cell>
          <cell r="C762">
            <v>37</v>
          </cell>
          <cell r="D762">
            <v>1</v>
          </cell>
          <cell r="E762">
            <v>5594.85</v>
          </cell>
          <cell r="F762" t="str">
            <v>tier - 2</v>
          </cell>
          <cell r="G762" t="str">
            <v>tier - 3</v>
          </cell>
          <cell r="H762" t="str">
            <v>R1024</v>
          </cell>
        </row>
        <row r="763">
          <cell r="A763" t="str">
            <v>ID1684</v>
          </cell>
          <cell r="B763" t="str">
            <v>3-Oct-1983</v>
          </cell>
          <cell r="C763">
            <v>43</v>
          </cell>
          <cell r="D763">
            <v>3</v>
          </cell>
          <cell r="E763">
            <v>5587.59</v>
          </cell>
          <cell r="F763" t="str">
            <v>tier - 2</v>
          </cell>
          <cell r="G763" t="str">
            <v>tier - 1</v>
          </cell>
          <cell r="H763" t="str">
            <v>R1013</v>
          </cell>
        </row>
        <row r="764">
          <cell r="A764" t="str">
            <v>ID1685</v>
          </cell>
          <cell r="B764" t="str">
            <v>21-Nov-1986</v>
          </cell>
          <cell r="C764">
            <v>39</v>
          </cell>
          <cell r="D764">
            <v>2</v>
          </cell>
          <cell r="E764">
            <v>5584.31</v>
          </cell>
          <cell r="F764" t="str">
            <v>tier - 3</v>
          </cell>
          <cell r="G764" t="str">
            <v>tier - 1</v>
          </cell>
          <cell r="H764" t="str">
            <v>R1013</v>
          </cell>
        </row>
        <row r="765">
          <cell r="A765" t="str">
            <v>ID1686</v>
          </cell>
          <cell r="B765" t="str">
            <v>5-Sep-1985</v>
          </cell>
          <cell r="C765">
            <v>41</v>
          </cell>
          <cell r="D765">
            <v>3</v>
          </cell>
          <cell r="E765">
            <v>5582.95</v>
          </cell>
          <cell r="F765" t="str">
            <v>tier - 2</v>
          </cell>
          <cell r="G765" t="str">
            <v>tier - 1</v>
          </cell>
          <cell r="H765" t="str">
            <v>R1012</v>
          </cell>
        </row>
        <row r="766">
          <cell r="A766" t="str">
            <v>ID1687</v>
          </cell>
          <cell r="B766" t="str">
            <v>18-Sep-1974</v>
          </cell>
          <cell r="C766">
            <v>52</v>
          </cell>
          <cell r="D766">
            <v>0</v>
          </cell>
          <cell r="E766">
            <v>5576.35</v>
          </cell>
          <cell r="F766" t="str">
            <v>tier - 2</v>
          </cell>
          <cell r="G766" t="str">
            <v>tier - 3</v>
          </cell>
          <cell r="H766" t="str">
            <v>R1013</v>
          </cell>
        </row>
        <row r="767">
          <cell r="A767" t="str">
            <v>ID1688</v>
          </cell>
          <cell r="B767" t="str">
            <v>22-Sep-1999</v>
          </cell>
          <cell r="C767">
            <v>27</v>
          </cell>
          <cell r="D767">
            <v>0</v>
          </cell>
          <cell r="E767">
            <v>5552.61</v>
          </cell>
          <cell r="F767" t="str">
            <v>tier - 2</v>
          </cell>
          <cell r="G767" t="str">
            <v>tier - 3</v>
          </cell>
          <cell r="H767" t="str">
            <v>R1026</v>
          </cell>
        </row>
        <row r="768">
          <cell r="A768" t="str">
            <v>ID1689</v>
          </cell>
          <cell r="B768" t="str">
            <v>7-Dec-1980</v>
          </cell>
          <cell r="C768">
            <v>45</v>
          </cell>
          <cell r="D768">
            <v>2</v>
          </cell>
          <cell r="E768">
            <v>5540.35</v>
          </cell>
          <cell r="F768" t="str">
            <v>tier - 2</v>
          </cell>
          <cell r="G768" t="str">
            <v>tier - 2</v>
          </cell>
          <cell r="H768" t="str">
            <v>R1012</v>
          </cell>
        </row>
        <row r="769">
          <cell r="A769" t="str">
            <v>ID169</v>
          </cell>
          <cell r="B769" t="str">
            <v>17-Oct-1990</v>
          </cell>
          <cell r="C769">
            <v>36</v>
          </cell>
          <cell r="D769">
            <v>3</v>
          </cell>
          <cell r="E769">
            <v>37251.22</v>
          </cell>
          <cell r="F769" t="str">
            <v>tier - 2</v>
          </cell>
          <cell r="G769" t="str">
            <v>tier - 2</v>
          </cell>
          <cell r="H769" t="str">
            <v>R1011</v>
          </cell>
        </row>
        <row r="770">
          <cell r="A770" t="str">
            <v>ID1690</v>
          </cell>
          <cell r="B770" t="str">
            <v>7-Nov-1981</v>
          </cell>
          <cell r="C770">
            <v>44</v>
          </cell>
          <cell r="D770">
            <v>1</v>
          </cell>
          <cell r="E770">
            <v>5539.4</v>
          </cell>
          <cell r="F770" t="str">
            <v>tier - 2</v>
          </cell>
          <cell r="G770" t="str">
            <v>tier - 2</v>
          </cell>
          <cell r="H770" t="str">
            <v>R1013</v>
          </cell>
        </row>
        <row r="771">
          <cell r="A771" t="str">
            <v>ID1691</v>
          </cell>
          <cell r="B771" t="str">
            <v>29-Jul-1988</v>
          </cell>
          <cell r="C771">
            <v>38</v>
          </cell>
          <cell r="D771">
            <v>3</v>
          </cell>
          <cell r="E771">
            <v>5503.36</v>
          </cell>
          <cell r="F771" t="str">
            <v>tier - 2</v>
          </cell>
          <cell r="G771" t="str">
            <v>tier - 2</v>
          </cell>
          <cell r="H771" t="str">
            <v>R1012</v>
          </cell>
        </row>
        <row r="772">
          <cell r="A772" t="str">
            <v>ID1692</v>
          </cell>
          <cell r="B772" t="str">
            <v>17-Aug-1984</v>
          </cell>
          <cell r="C772">
            <v>42</v>
          </cell>
          <cell r="D772">
            <v>1</v>
          </cell>
          <cell r="E772">
            <v>5488.26</v>
          </cell>
          <cell r="F772" t="str">
            <v>tier - 2</v>
          </cell>
          <cell r="G772" t="str">
            <v>tier - 3</v>
          </cell>
          <cell r="H772" t="str">
            <v>R1011</v>
          </cell>
        </row>
        <row r="773">
          <cell r="A773" t="str">
            <v>ID1693</v>
          </cell>
          <cell r="B773" t="str">
            <v>26-Aug-1984</v>
          </cell>
          <cell r="C773">
            <v>42</v>
          </cell>
          <cell r="D773">
            <v>1</v>
          </cell>
          <cell r="E773">
            <v>5484.47</v>
          </cell>
          <cell r="F773" t="str">
            <v>tier - 2</v>
          </cell>
          <cell r="G773" t="str">
            <v>tier - 2</v>
          </cell>
          <cell r="H773" t="str">
            <v>R1013</v>
          </cell>
        </row>
        <row r="774">
          <cell r="A774" t="str">
            <v>ID1694</v>
          </cell>
          <cell r="B774" t="str">
            <v>30-Sep-1986</v>
          </cell>
          <cell r="C774">
            <v>40</v>
          </cell>
          <cell r="D774">
            <v>1</v>
          </cell>
          <cell r="E774">
            <v>5478.04</v>
          </cell>
          <cell r="F774" t="str">
            <v>tier - 2</v>
          </cell>
          <cell r="G774" t="str">
            <v>tier - 3</v>
          </cell>
          <cell r="H774" t="str">
            <v>R1013</v>
          </cell>
        </row>
        <row r="775">
          <cell r="A775" t="str">
            <v>ID1695</v>
          </cell>
          <cell r="B775" t="str">
            <v>12-Jul-1986</v>
          </cell>
          <cell r="C775">
            <v>40</v>
          </cell>
          <cell r="D775">
            <v>1</v>
          </cell>
          <cell r="E775">
            <v>5472.45</v>
          </cell>
          <cell r="F775" t="str">
            <v>tier - 2</v>
          </cell>
          <cell r="G775" t="str">
            <v>tier - 3</v>
          </cell>
          <cell r="H775" t="str">
            <v>R1011</v>
          </cell>
        </row>
        <row r="776">
          <cell r="A776" t="str">
            <v>ID1696</v>
          </cell>
          <cell r="B776" t="str">
            <v>2-Dec-1986</v>
          </cell>
          <cell r="C776">
            <v>39</v>
          </cell>
          <cell r="D776">
            <v>0</v>
          </cell>
          <cell r="E776">
            <v>5469.01</v>
          </cell>
          <cell r="F776" t="str">
            <v>tier - 2</v>
          </cell>
          <cell r="G776" t="str">
            <v>tier - 2</v>
          </cell>
          <cell r="H776" t="str">
            <v>R1024</v>
          </cell>
        </row>
        <row r="777">
          <cell r="A777" t="str">
            <v>ID1697</v>
          </cell>
          <cell r="B777" t="str">
            <v>24-Oct-1973</v>
          </cell>
          <cell r="C777">
            <v>52</v>
          </cell>
          <cell r="D777">
            <v>0</v>
          </cell>
          <cell r="E777">
            <v>5466.88</v>
          </cell>
          <cell r="F777" t="str">
            <v>tier - 2</v>
          </cell>
          <cell r="G777" t="str">
            <v>tier - 2</v>
          </cell>
          <cell r="H777" t="str">
            <v>R1013</v>
          </cell>
        </row>
        <row r="778">
          <cell r="A778" t="str">
            <v>ID1698</v>
          </cell>
          <cell r="B778" t="str">
            <v>25-Dec-1986</v>
          </cell>
          <cell r="C778">
            <v>39</v>
          </cell>
          <cell r="D778">
            <v>0</v>
          </cell>
          <cell r="E778">
            <v>5458.05</v>
          </cell>
          <cell r="F778" t="str">
            <v>tier - 2</v>
          </cell>
          <cell r="G778" t="str">
            <v>tier - 2</v>
          </cell>
          <cell r="H778" t="str">
            <v>R1024</v>
          </cell>
        </row>
        <row r="779">
          <cell r="A779" t="str">
            <v>ID1699</v>
          </cell>
          <cell r="B779" t="str">
            <v>25-Aug-1982</v>
          </cell>
          <cell r="C779">
            <v>44</v>
          </cell>
          <cell r="D779">
            <v>0</v>
          </cell>
          <cell r="E779">
            <v>5438.75</v>
          </cell>
          <cell r="F779" t="str">
            <v>tier - 3</v>
          </cell>
          <cell r="G779" t="str">
            <v>tier - 2</v>
          </cell>
          <cell r="H779" t="str">
            <v>R1013</v>
          </cell>
        </row>
        <row r="780">
          <cell r="A780" t="str">
            <v>ID17</v>
          </cell>
          <cell r="B780" t="str">
            <v>16-Nov-1958</v>
          </cell>
          <cell r="C780">
            <v>67</v>
          </cell>
          <cell r="D780">
            <v>1</v>
          </cell>
          <cell r="E780">
            <v>47928.03</v>
          </cell>
          <cell r="F780" t="str">
            <v>tier - 2</v>
          </cell>
          <cell r="G780" t="str">
            <v>tier - 3</v>
          </cell>
          <cell r="H780" t="str">
            <v>R1011</v>
          </cell>
        </row>
        <row r="781">
          <cell r="A781" t="str">
            <v>ID170</v>
          </cell>
          <cell r="B781" t="str">
            <v>5-Sep-2000</v>
          </cell>
          <cell r="C781">
            <v>26</v>
          </cell>
          <cell r="D781">
            <v>1</v>
          </cell>
          <cell r="E781">
            <v>37165.160000000003</v>
          </cell>
          <cell r="F781" t="str">
            <v>tier - 1</v>
          </cell>
          <cell r="G781" t="str">
            <v>tier - 3</v>
          </cell>
          <cell r="H781" t="str">
            <v>unknown</v>
          </cell>
        </row>
        <row r="782">
          <cell r="A782" t="str">
            <v>ID1700</v>
          </cell>
          <cell r="B782" t="str">
            <v>8-Jun-1978</v>
          </cell>
          <cell r="C782">
            <v>48</v>
          </cell>
          <cell r="D782">
            <v>2</v>
          </cell>
          <cell r="E782">
            <v>5428.98</v>
          </cell>
          <cell r="F782" t="str">
            <v>tier - 2</v>
          </cell>
          <cell r="G782" t="str">
            <v>tier - 2</v>
          </cell>
          <cell r="H782" t="str">
            <v>R1012</v>
          </cell>
        </row>
        <row r="783">
          <cell r="A783" t="str">
            <v>ID1701</v>
          </cell>
          <cell r="B783" t="str">
            <v>17-Sep-1992</v>
          </cell>
          <cell r="C783">
            <v>34</v>
          </cell>
          <cell r="D783">
            <v>3</v>
          </cell>
          <cell r="E783">
            <v>5428.73</v>
          </cell>
          <cell r="F783" t="str">
            <v>tier - 3</v>
          </cell>
          <cell r="G783" t="str">
            <v>tier - 1</v>
          </cell>
          <cell r="H783" t="str">
            <v>R1017</v>
          </cell>
        </row>
        <row r="784">
          <cell r="A784" t="str">
            <v>ID1702</v>
          </cell>
          <cell r="B784" t="str">
            <v>6-Jul-1991</v>
          </cell>
          <cell r="C784">
            <v>35</v>
          </cell>
          <cell r="D784">
            <v>3</v>
          </cell>
          <cell r="E784">
            <v>5425.02</v>
          </cell>
          <cell r="F784" t="str">
            <v>tier - 2</v>
          </cell>
          <cell r="G784" t="str">
            <v>tier - 1</v>
          </cell>
          <cell r="H784" t="str">
            <v>R1012</v>
          </cell>
        </row>
        <row r="785">
          <cell r="A785" t="str">
            <v>ID1703</v>
          </cell>
          <cell r="B785" t="str">
            <v>27-Sep-1982</v>
          </cell>
          <cell r="C785">
            <v>44</v>
          </cell>
          <cell r="D785">
            <v>0</v>
          </cell>
          <cell r="E785">
            <v>5415.66</v>
          </cell>
          <cell r="F785" t="str">
            <v>tier - 2</v>
          </cell>
          <cell r="G785" t="str">
            <v>tier - 3</v>
          </cell>
          <cell r="H785" t="str">
            <v>R1013</v>
          </cell>
        </row>
        <row r="786">
          <cell r="A786" t="str">
            <v>ID1704</v>
          </cell>
          <cell r="B786" t="str">
            <v>27-Sep-1975</v>
          </cell>
          <cell r="C786">
            <v>51</v>
          </cell>
          <cell r="D786">
            <v>1</v>
          </cell>
          <cell r="E786">
            <v>5411.99</v>
          </cell>
          <cell r="F786" t="str">
            <v>tier - 2</v>
          </cell>
          <cell r="G786" t="str">
            <v>tier - 3</v>
          </cell>
          <cell r="H786" t="str">
            <v>R1012</v>
          </cell>
        </row>
        <row r="787">
          <cell r="A787" t="str">
            <v>ID1705</v>
          </cell>
          <cell r="B787" t="str">
            <v>23-Dec-1985</v>
          </cell>
          <cell r="C787">
            <v>40</v>
          </cell>
          <cell r="D787">
            <v>3</v>
          </cell>
          <cell r="E787">
            <v>5402.89</v>
          </cell>
          <cell r="F787" t="str">
            <v>tier - 2</v>
          </cell>
          <cell r="G787" t="str">
            <v>tier - 1</v>
          </cell>
          <cell r="H787" t="str">
            <v>R1013</v>
          </cell>
        </row>
        <row r="788">
          <cell r="A788" t="str">
            <v>ID1706</v>
          </cell>
          <cell r="B788" t="str">
            <v>1-Aug-1984</v>
          </cell>
          <cell r="C788">
            <v>42</v>
          </cell>
          <cell r="D788">
            <v>0</v>
          </cell>
          <cell r="E788">
            <v>5400.98</v>
          </cell>
          <cell r="F788" t="str">
            <v>tier - 2</v>
          </cell>
          <cell r="G788" t="str">
            <v>tier - 2</v>
          </cell>
          <cell r="H788" t="str">
            <v>R1013</v>
          </cell>
        </row>
        <row r="789">
          <cell r="A789" t="str">
            <v>ID1707</v>
          </cell>
          <cell r="B789" t="str">
            <v>3-Sep-1984</v>
          </cell>
          <cell r="C789">
            <v>42</v>
          </cell>
          <cell r="D789">
            <v>0</v>
          </cell>
          <cell r="E789">
            <v>5397.62</v>
          </cell>
          <cell r="F789" t="str">
            <v>tier - 2</v>
          </cell>
          <cell r="G789" t="str">
            <v>tier - 2</v>
          </cell>
          <cell r="H789" t="str">
            <v>R1013</v>
          </cell>
        </row>
        <row r="790">
          <cell r="A790" t="str">
            <v>ID1708</v>
          </cell>
          <cell r="B790" t="str">
            <v>6-Nov-1989</v>
          </cell>
          <cell r="C790">
            <v>36</v>
          </cell>
          <cell r="D790">
            <v>3</v>
          </cell>
          <cell r="E790">
            <v>5396.44</v>
          </cell>
          <cell r="F790" t="str">
            <v>tier - 2</v>
          </cell>
          <cell r="G790" t="str">
            <v>tier - 3</v>
          </cell>
          <cell r="H790" t="str">
            <v>R1013</v>
          </cell>
        </row>
        <row r="791">
          <cell r="A791" t="str">
            <v>ID1709</v>
          </cell>
          <cell r="B791" t="str">
            <v>8-Aug-1988</v>
          </cell>
          <cell r="C791">
            <v>38</v>
          </cell>
          <cell r="D791">
            <v>1</v>
          </cell>
          <cell r="E791">
            <v>5385.34</v>
          </cell>
          <cell r="F791" t="str">
            <v>tier - 2</v>
          </cell>
          <cell r="G791" t="str">
            <v>tier - 3</v>
          </cell>
          <cell r="H791" t="str">
            <v>R1012</v>
          </cell>
        </row>
        <row r="792">
          <cell r="A792" t="str">
            <v>ID171</v>
          </cell>
          <cell r="B792" t="str">
            <v>30-Oct-1995</v>
          </cell>
          <cell r="C792">
            <v>30</v>
          </cell>
          <cell r="D792">
            <v>0</v>
          </cell>
          <cell r="E792">
            <v>37133.9</v>
          </cell>
          <cell r="F792" t="str">
            <v>tier - 2</v>
          </cell>
          <cell r="G792" t="str">
            <v>tier - 2</v>
          </cell>
          <cell r="H792" t="str">
            <v>R1013</v>
          </cell>
        </row>
        <row r="793">
          <cell r="A793" t="str">
            <v>ID1710</v>
          </cell>
          <cell r="B793" t="str">
            <v>1-Jun-1984</v>
          </cell>
          <cell r="C793">
            <v>42</v>
          </cell>
          <cell r="D793">
            <v>0</v>
          </cell>
          <cell r="E793">
            <v>5383.54</v>
          </cell>
          <cell r="F793" t="str">
            <v>tier - 2</v>
          </cell>
          <cell r="G793" t="str">
            <v>tier - 3</v>
          </cell>
          <cell r="H793" t="str">
            <v>R1011</v>
          </cell>
        </row>
        <row r="794">
          <cell r="A794" t="str">
            <v>ID1711</v>
          </cell>
          <cell r="B794" t="str">
            <v>22-Jul-1986</v>
          </cell>
          <cell r="C794">
            <v>40</v>
          </cell>
          <cell r="D794">
            <v>1</v>
          </cell>
          <cell r="E794">
            <v>5377.46</v>
          </cell>
          <cell r="F794" t="str">
            <v>tier - 2</v>
          </cell>
          <cell r="G794" t="str">
            <v>tier - 3</v>
          </cell>
          <cell r="H794" t="str">
            <v>R1012</v>
          </cell>
        </row>
        <row r="795">
          <cell r="A795" t="str">
            <v>ID1712</v>
          </cell>
          <cell r="B795" t="str">
            <v>18-Nov-1989</v>
          </cell>
          <cell r="C795">
            <v>36</v>
          </cell>
          <cell r="D795">
            <v>2</v>
          </cell>
          <cell r="E795">
            <v>5375.04</v>
          </cell>
          <cell r="F795" t="str">
            <v>tier - 2</v>
          </cell>
          <cell r="G795" t="str">
            <v>tier - 1</v>
          </cell>
          <cell r="H795" t="str">
            <v>R1011</v>
          </cell>
        </row>
        <row r="796">
          <cell r="A796" t="str">
            <v>ID1713</v>
          </cell>
          <cell r="B796" t="str">
            <v>1-Jun-1986</v>
          </cell>
          <cell r="C796">
            <v>40</v>
          </cell>
          <cell r="D796">
            <v>1</v>
          </cell>
          <cell r="E796">
            <v>5373.36</v>
          </cell>
          <cell r="F796" t="str">
            <v>tier - 2</v>
          </cell>
          <cell r="G796" t="str">
            <v>tier - 2</v>
          </cell>
          <cell r="H796" t="str">
            <v>R1012</v>
          </cell>
        </row>
        <row r="797">
          <cell r="A797" t="str">
            <v>ID1714</v>
          </cell>
          <cell r="B797" t="str">
            <v>7-Dec-1994</v>
          </cell>
          <cell r="C797">
            <v>31</v>
          </cell>
          <cell r="D797">
            <v>0</v>
          </cell>
          <cell r="E797">
            <v>5364.66</v>
          </cell>
          <cell r="F797" t="str">
            <v>tier - 2</v>
          </cell>
          <cell r="G797" t="str">
            <v>tier - 1</v>
          </cell>
          <cell r="H797" t="str">
            <v>R1011</v>
          </cell>
        </row>
        <row r="798">
          <cell r="A798" t="str">
            <v>ID1715</v>
          </cell>
          <cell r="B798" t="str">
            <v>7-Nov-1989</v>
          </cell>
          <cell r="C798">
            <v>36</v>
          </cell>
          <cell r="D798">
            <v>1</v>
          </cell>
          <cell r="E798">
            <v>5354.07</v>
          </cell>
          <cell r="F798" t="str">
            <v>tier - 2</v>
          </cell>
          <cell r="G798" t="str">
            <v>tier - 3</v>
          </cell>
          <cell r="H798" t="str">
            <v>R1024</v>
          </cell>
        </row>
        <row r="799">
          <cell r="A799" t="str">
            <v>ID1716</v>
          </cell>
          <cell r="B799" t="str">
            <v>15-Dec-1972</v>
          </cell>
          <cell r="C799">
            <v>53</v>
          </cell>
          <cell r="D799">
            <v>0</v>
          </cell>
          <cell r="E799">
            <v>5344.81</v>
          </cell>
          <cell r="F799" t="str">
            <v>tier - 2</v>
          </cell>
          <cell r="G799" t="str">
            <v>tier - 3</v>
          </cell>
          <cell r="H799" t="str">
            <v>R1013</v>
          </cell>
        </row>
        <row r="800">
          <cell r="A800" t="str">
            <v>ID1717</v>
          </cell>
          <cell r="B800" t="str">
            <v>28-Aug-1991</v>
          </cell>
          <cell r="C800">
            <v>35</v>
          </cell>
          <cell r="D800">
            <v>2</v>
          </cell>
          <cell r="E800">
            <v>5327.4</v>
          </cell>
          <cell r="F800" t="str">
            <v>tier - 2</v>
          </cell>
          <cell r="G800" t="str">
            <v>tier - 1</v>
          </cell>
          <cell r="H800" t="str">
            <v>R1012</v>
          </cell>
        </row>
        <row r="801">
          <cell r="A801" t="str">
            <v>ID1718</v>
          </cell>
          <cell r="B801" t="str">
            <v>18-Jun-1992</v>
          </cell>
          <cell r="C801">
            <v>34</v>
          </cell>
          <cell r="D801">
            <v>3</v>
          </cell>
          <cell r="E801">
            <v>5325.65</v>
          </cell>
          <cell r="F801" t="str">
            <v>tier - 2</v>
          </cell>
          <cell r="G801" t="str">
            <v>tier - 1</v>
          </cell>
          <cell r="H801" t="str">
            <v>R1011</v>
          </cell>
        </row>
        <row r="802">
          <cell r="A802" t="str">
            <v>ID1719</v>
          </cell>
          <cell r="B802" t="str">
            <v>2-Sep-1974</v>
          </cell>
          <cell r="C802">
            <v>52</v>
          </cell>
          <cell r="D802">
            <v>0</v>
          </cell>
          <cell r="E802">
            <v>5322.24</v>
          </cell>
          <cell r="F802" t="str">
            <v>tier - 2</v>
          </cell>
          <cell r="G802" t="str">
            <v>tier - 1</v>
          </cell>
          <cell r="H802" t="str">
            <v>R1012</v>
          </cell>
        </row>
        <row r="803">
          <cell r="A803" t="str">
            <v>ID172</v>
          </cell>
          <cell r="B803" t="str">
            <v>10-Jun-1989</v>
          </cell>
          <cell r="C803">
            <v>37</v>
          </cell>
          <cell r="D803">
            <v>0</v>
          </cell>
          <cell r="E803">
            <v>37079.370000000003</v>
          </cell>
          <cell r="F803" t="str">
            <v>tier - 2</v>
          </cell>
          <cell r="G803" t="str">
            <v>tier - 3</v>
          </cell>
          <cell r="H803" t="str">
            <v>R1011</v>
          </cell>
        </row>
        <row r="804">
          <cell r="A804" t="str">
            <v>ID1720</v>
          </cell>
          <cell r="B804" t="str">
            <v>13-Nov-1994</v>
          </cell>
          <cell r="C804">
            <v>31</v>
          </cell>
          <cell r="D804">
            <v>3</v>
          </cell>
          <cell r="E804">
            <v>5312.17</v>
          </cell>
          <cell r="F804" t="str">
            <v>tier - 2</v>
          </cell>
          <cell r="G804" t="str">
            <v>tier - 2</v>
          </cell>
          <cell r="H804" t="str">
            <v>R1012</v>
          </cell>
        </row>
        <row r="805">
          <cell r="A805" t="str">
            <v>ID1721</v>
          </cell>
          <cell r="B805" t="str">
            <v>9-Sep-2000</v>
          </cell>
          <cell r="C805">
            <v>26</v>
          </cell>
          <cell r="D805">
            <v>0</v>
          </cell>
          <cell r="E805">
            <v>5306.7</v>
          </cell>
          <cell r="F805" t="str">
            <v>tier - 2</v>
          </cell>
          <cell r="G805" t="str">
            <v>tier - 3</v>
          </cell>
          <cell r="H805" t="str">
            <v>R1012</v>
          </cell>
        </row>
        <row r="806">
          <cell r="A806" t="str">
            <v>ID1722</v>
          </cell>
          <cell r="B806" t="str">
            <v>22-Aug-2004</v>
          </cell>
          <cell r="C806">
            <v>22</v>
          </cell>
          <cell r="D806">
            <v>0</v>
          </cell>
          <cell r="E806">
            <v>5293.67</v>
          </cell>
          <cell r="F806" t="str">
            <v>tier - 2</v>
          </cell>
          <cell r="G806" t="str">
            <v>tier - 2</v>
          </cell>
          <cell r="H806" t="str">
            <v>R1022</v>
          </cell>
        </row>
        <row r="807">
          <cell r="A807" t="str">
            <v>ID1723</v>
          </cell>
          <cell r="B807" t="str">
            <v>12-Nov-1974</v>
          </cell>
          <cell r="C807">
            <v>51</v>
          </cell>
          <cell r="D807">
            <v>0</v>
          </cell>
          <cell r="E807">
            <v>5291.71</v>
          </cell>
          <cell r="F807" t="str">
            <v>tier - 2</v>
          </cell>
          <cell r="G807" t="str">
            <v>tier - 2</v>
          </cell>
          <cell r="H807" t="str">
            <v>R1012</v>
          </cell>
        </row>
        <row r="808">
          <cell r="A808" t="str">
            <v>ID1724</v>
          </cell>
          <cell r="B808" t="str">
            <v>1-Sep-1987</v>
          </cell>
          <cell r="C808">
            <v>39</v>
          </cell>
          <cell r="D808">
            <v>3</v>
          </cell>
          <cell r="E808">
            <v>5275.86</v>
          </cell>
          <cell r="F808" t="str">
            <v>tier - 2</v>
          </cell>
          <cell r="G808" t="str">
            <v>tier - 2</v>
          </cell>
          <cell r="H808" t="str">
            <v>R1013</v>
          </cell>
        </row>
        <row r="809">
          <cell r="A809" t="str">
            <v>ID1725</v>
          </cell>
          <cell r="B809" t="str">
            <v>20-Oct-1986</v>
          </cell>
          <cell r="C809">
            <v>39</v>
          </cell>
          <cell r="D809">
            <v>0</v>
          </cell>
          <cell r="E809">
            <v>5272.18</v>
          </cell>
          <cell r="F809" t="str">
            <v>tier - 2</v>
          </cell>
          <cell r="G809" t="str">
            <v>tier - 3</v>
          </cell>
          <cell r="H809" t="str">
            <v>R1012</v>
          </cell>
        </row>
        <row r="810">
          <cell r="A810" t="str">
            <v>ID1726</v>
          </cell>
          <cell r="B810" t="str">
            <v>20-Sep-1986</v>
          </cell>
          <cell r="C810">
            <v>40</v>
          </cell>
          <cell r="D810">
            <v>0</v>
          </cell>
          <cell r="E810">
            <v>5267.82</v>
          </cell>
          <cell r="F810" t="str">
            <v>tier - 2</v>
          </cell>
          <cell r="G810" t="str">
            <v>tier - 2</v>
          </cell>
          <cell r="H810" t="str">
            <v>R1012</v>
          </cell>
        </row>
        <row r="811">
          <cell r="A811" t="str">
            <v>ID1727</v>
          </cell>
          <cell r="B811" t="str">
            <v>25-Oct-1986</v>
          </cell>
          <cell r="C811">
            <v>39</v>
          </cell>
          <cell r="D811">
            <v>0</v>
          </cell>
          <cell r="E811">
            <v>5266.37</v>
          </cell>
          <cell r="F811" t="str">
            <v>tier - 2</v>
          </cell>
          <cell r="G811" t="str">
            <v>tier - 2</v>
          </cell>
          <cell r="H811" t="str">
            <v>R1012</v>
          </cell>
        </row>
        <row r="812">
          <cell r="A812" t="str">
            <v>ID1728</v>
          </cell>
          <cell r="B812" t="str">
            <v>19-Jul-1989</v>
          </cell>
          <cell r="C812">
            <v>37</v>
          </cell>
          <cell r="D812">
            <v>2</v>
          </cell>
          <cell r="E812">
            <v>5261.47</v>
          </cell>
          <cell r="F812" t="str">
            <v>tier - 2</v>
          </cell>
          <cell r="G812" t="str">
            <v>tier - 2</v>
          </cell>
          <cell r="H812" t="str">
            <v>R1012</v>
          </cell>
        </row>
        <row r="813">
          <cell r="A813" t="str">
            <v>ID1729</v>
          </cell>
          <cell r="B813" t="str">
            <v>25-Nov-1989</v>
          </cell>
          <cell r="C813">
            <v>36</v>
          </cell>
          <cell r="D813">
            <v>2</v>
          </cell>
          <cell r="E813">
            <v>5257.51</v>
          </cell>
          <cell r="F813" t="str">
            <v>tier - 2</v>
          </cell>
          <cell r="G813" t="str">
            <v>tier - 2</v>
          </cell>
          <cell r="H813" t="str">
            <v>R1012</v>
          </cell>
        </row>
        <row r="814">
          <cell r="A814" t="str">
            <v>ID173</v>
          </cell>
          <cell r="B814" t="str">
            <v>17-Dec-1988</v>
          </cell>
          <cell r="C814">
            <v>37</v>
          </cell>
          <cell r="D814">
            <v>3</v>
          </cell>
          <cell r="E814">
            <v>37076.370000000003</v>
          </cell>
          <cell r="F814" t="str">
            <v>tier - 2</v>
          </cell>
          <cell r="G814" t="str">
            <v>tier - 1</v>
          </cell>
          <cell r="H814" t="str">
            <v>R1011</v>
          </cell>
        </row>
        <row r="815">
          <cell r="A815" t="str">
            <v>ID1730</v>
          </cell>
          <cell r="B815" t="str">
            <v>6-Jul-1990</v>
          </cell>
          <cell r="C815">
            <v>36</v>
          </cell>
          <cell r="D815">
            <v>3</v>
          </cell>
          <cell r="E815">
            <v>5253.52</v>
          </cell>
          <cell r="F815" t="str">
            <v>tier - 3</v>
          </cell>
          <cell r="G815" t="str">
            <v>tier - 3</v>
          </cell>
          <cell r="H815" t="str">
            <v>R1011</v>
          </cell>
        </row>
        <row r="816">
          <cell r="A816" t="str">
            <v>ID1731</v>
          </cell>
          <cell r="B816" t="str">
            <v>9-Sep-1987</v>
          </cell>
          <cell r="C816">
            <v>39</v>
          </cell>
          <cell r="D816">
            <v>1</v>
          </cell>
          <cell r="E816">
            <v>5246.05</v>
          </cell>
          <cell r="F816" t="str">
            <v>tier - 2</v>
          </cell>
          <cell r="G816" t="str">
            <v>tier - 3</v>
          </cell>
          <cell r="H816" t="str">
            <v>R1011</v>
          </cell>
        </row>
        <row r="817">
          <cell r="A817" t="str">
            <v>ID1732</v>
          </cell>
          <cell r="B817" t="str">
            <v>5-Jul-1987</v>
          </cell>
          <cell r="C817">
            <v>39</v>
          </cell>
          <cell r="D817">
            <v>1</v>
          </cell>
          <cell r="E817">
            <v>5245.23</v>
          </cell>
          <cell r="F817" t="str">
            <v>tier - 2</v>
          </cell>
          <cell r="G817" t="str">
            <v>tier - 2</v>
          </cell>
          <cell r="H817" t="str">
            <v>R1013</v>
          </cell>
        </row>
        <row r="818">
          <cell r="A818" t="str">
            <v>ID1733</v>
          </cell>
          <cell r="B818" t="str">
            <v>26-Dec-1987</v>
          </cell>
          <cell r="C818">
            <v>38</v>
          </cell>
          <cell r="D818">
            <v>1</v>
          </cell>
          <cell r="E818">
            <v>5240.7700000000004</v>
          </cell>
          <cell r="F818" t="str">
            <v>tier - 2</v>
          </cell>
          <cell r="G818" t="str">
            <v>tier - 2</v>
          </cell>
          <cell r="H818" t="str">
            <v>R1011</v>
          </cell>
        </row>
        <row r="819">
          <cell r="A819" t="str">
            <v>ID1734</v>
          </cell>
          <cell r="B819" t="str">
            <v>29-Jun-1987</v>
          </cell>
          <cell r="C819">
            <v>39</v>
          </cell>
          <cell r="D819">
            <v>0</v>
          </cell>
          <cell r="E819">
            <v>5227.99</v>
          </cell>
          <cell r="F819" t="str">
            <v>tier - 2</v>
          </cell>
          <cell r="G819" t="str">
            <v>tier - 1</v>
          </cell>
          <cell r="H819" t="str">
            <v>R1024</v>
          </cell>
        </row>
        <row r="820">
          <cell r="A820" t="str">
            <v>ID1735</v>
          </cell>
          <cell r="B820" t="str">
            <v>6-Jun-1995</v>
          </cell>
          <cell r="C820">
            <v>31</v>
          </cell>
          <cell r="D820">
            <v>0</v>
          </cell>
          <cell r="E820">
            <v>5216.4799999999996</v>
          </cell>
          <cell r="F820" t="str">
            <v>tier - 2</v>
          </cell>
          <cell r="G820" t="str">
            <v>tier - 2</v>
          </cell>
          <cell r="H820" t="str">
            <v>R1025</v>
          </cell>
        </row>
        <row r="821">
          <cell r="A821" t="str">
            <v>ID1736</v>
          </cell>
          <cell r="B821" t="str">
            <v>1-Dec-1999</v>
          </cell>
          <cell r="C821">
            <v>26</v>
          </cell>
          <cell r="D821">
            <v>0</v>
          </cell>
          <cell r="E821">
            <v>5213.22</v>
          </cell>
          <cell r="F821" t="str">
            <v>tier - 2</v>
          </cell>
          <cell r="G821" t="str">
            <v>tier - 1</v>
          </cell>
          <cell r="H821" t="str">
            <v>R1012</v>
          </cell>
        </row>
        <row r="822">
          <cell r="A822" t="str">
            <v>ID1737</v>
          </cell>
          <cell r="B822" t="str">
            <v>17-Jun-1993</v>
          </cell>
          <cell r="C822">
            <v>33</v>
          </cell>
          <cell r="D822">
            <v>3</v>
          </cell>
          <cell r="E822">
            <v>5209.58</v>
          </cell>
          <cell r="F822" t="str">
            <v>tier - 3</v>
          </cell>
          <cell r="G822" t="str">
            <v>tier - 3</v>
          </cell>
          <cell r="H822" t="str">
            <v>R1017</v>
          </cell>
        </row>
        <row r="823">
          <cell r="A823" t="str">
            <v>ID1738</v>
          </cell>
          <cell r="B823" t="str">
            <v>24-Oct-1983</v>
          </cell>
          <cell r="C823">
            <v>42</v>
          </cell>
          <cell r="D823">
            <v>3</v>
          </cell>
          <cell r="E823">
            <v>5207.97</v>
          </cell>
          <cell r="F823" t="str">
            <v>tier - 2</v>
          </cell>
          <cell r="G823" t="str">
            <v>tier - 2</v>
          </cell>
          <cell r="H823" t="str">
            <v>R1012</v>
          </cell>
        </row>
        <row r="824">
          <cell r="A824" t="str">
            <v>ID1739</v>
          </cell>
          <cell r="B824" t="str">
            <v>6-Jun-2004</v>
          </cell>
          <cell r="C824">
            <v>22</v>
          </cell>
          <cell r="D824">
            <v>0</v>
          </cell>
          <cell r="E824">
            <v>5198.6899999999996</v>
          </cell>
          <cell r="F824" t="str">
            <v>tier - 2</v>
          </cell>
          <cell r="G824" t="str">
            <v>tier - 2</v>
          </cell>
          <cell r="H824" t="str">
            <v>R1022</v>
          </cell>
        </row>
        <row r="825">
          <cell r="A825" t="str">
            <v>ID174</v>
          </cell>
          <cell r="B825" t="str">
            <v>1-Nov-1991</v>
          </cell>
          <cell r="C825">
            <v>34</v>
          </cell>
          <cell r="D825">
            <v>3</v>
          </cell>
          <cell r="E825">
            <v>37040.879999999997</v>
          </cell>
          <cell r="F825" t="str">
            <v>tier - 2</v>
          </cell>
          <cell r="G825" t="str">
            <v>tier - 2</v>
          </cell>
          <cell r="H825" t="str">
            <v>R1011</v>
          </cell>
        </row>
        <row r="826">
          <cell r="A826" t="str">
            <v>ID1740</v>
          </cell>
          <cell r="B826" t="str">
            <v>12-Sep-1979</v>
          </cell>
          <cell r="C826">
            <v>47</v>
          </cell>
          <cell r="D826">
            <v>2</v>
          </cell>
          <cell r="E826">
            <v>5195.58</v>
          </cell>
          <cell r="F826" t="str">
            <v>tier - 2</v>
          </cell>
          <cell r="G826" t="str">
            <v>tier - 2</v>
          </cell>
          <cell r="H826" t="str">
            <v>R1013</v>
          </cell>
        </row>
        <row r="827">
          <cell r="A827" t="str">
            <v>ID1741</v>
          </cell>
          <cell r="B827" t="str">
            <v>16-Oct-1984</v>
          </cell>
          <cell r="C827">
            <v>42</v>
          </cell>
          <cell r="D827">
            <v>3</v>
          </cell>
          <cell r="E827">
            <v>5177.12</v>
          </cell>
          <cell r="F827" t="str">
            <v>tier - 2</v>
          </cell>
          <cell r="G827" t="str">
            <v>tier - 1</v>
          </cell>
          <cell r="H827" t="str">
            <v>R1013</v>
          </cell>
        </row>
        <row r="828">
          <cell r="A828" t="str">
            <v>ID1742</v>
          </cell>
          <cell r="B828" t="str">
            <v>29-Aug-1991</v>
          </cell>
          <cell r="C828">
            <v>35</v>
          </cell>
          <cell r="D828">
            <v>3</v>
          </cell>
          <cell r="E828">
            <v>5166.96</v>
          </cell>
          <cell r="F828" t="str">
            <v>tier - 2</v>
          </cell>
          <cell r="G828" t="str">
            <v>tier - 2</v>
          </cell>
          <cell r="H828" t="str">
            <v>R1012</v>
          </cell>
        </row>
        <row r="829">
          <cell r="A829" t="str">
            <v>ID1743</v>
          </cell>
          <cell r="B829" t="str">
            <v>9-Oct-1990</v>
          </cell>
          <cell r="C829">
            <v>36</v>
          </cell>
          <cell r="D829">
            <v>2</v>
          </cell>
          <cell r="E829">
            <v>5152.13</v>
          </cell>
          <cell r="F829" t="str">
            <v>tier - 2</v>
          </cell>
          <cell r="G829" t="str">
            <v>tier - 2</v>
          </cell>
          <cell r="H829" t="str">
            <v>R1011</v>
          </cell>
        </row>
        <row r="830">
          <cell r="A830" t="str">
            <v>ID1744</v>
          </cell>
          <cell r="B830" t="str">
            <v>22-Aug-1990</v>
          </cell>
          <cell r="C830">
            <v>36</v>
          </cell>
          <cell r="D830">
            <v>1</v>
          </cell>
          <cell r="E830">
            <v>5148.55</v>
          </cell>
          <cell r="F830" t="str">
            <v>tier - 2</v>
          </cell>
          <cell r="G830" t="str">
            <v>tier - 2</v>
          </cell>
          <cell r="H830" t="str">
            <v>R1024</v>
          </cell>
        </row>
        <row r="831">
          <cell r="A831" t="str">
            <v>ID1745</v>
          </cell>
          <cell r="B831" t="str">
            <v>22-Aug-1984</v>
          </cell>
          <cell r="C831">
            <v>42</v>
          </cell>
          <cell r="D831">
            <v>3</v>
          </cell>
          <cell r="E831">
            <v>5144.18</v>
          </cell>
          <cell r="F831" t="str">
            <v>tier - 2</v>
          </cell>
          <cell r="G831" t="str">
            <v>tier - 1</v>
          </cell>
          <cell r="H831" t="str">
            <v>R1013</v>
          </cell>
        </row>
        <row r="832">
          <cell r="A832" t="str">
            <v>ID1746</v>
          </cell>
          <cell r="B832" t="str">
            <v>10-Dec-1993</v>
          </cell>
          <cell r="C832">
            <v>32</v>
          </cell>
          <cell r="D832">
            <v>3</v>
          </cell>
          <cell r="E832">
            <v>5138.26</v>
          </cell>
          <cell r="F832" t="str">
            <v>tier - 2</v>
          </cell>
          <cell r="G832" t="str">
            <v>tier - 2</v>
          </cell>
          <cell r="H832" t="str">
            <v>R1013</v>
          </cell>
        </row>
        <row r="833">
          <cell r="A833" t="str">
            <v>ID1747</v>
          </cell>
          <cell r="B833" t="str">
            <v>15-Sep-1988</v>
          </cell>
          <cell r="C833">
            <v>38</v>
          </cell>
          <cell r="D833">
            <v>3</v>
          </cell>
          <cell r="E833">
            <v>5136.75</v>
          </cell>
          <cell r="F833" t="str">
            <v>tier - 2</v>
          </cell>
          <cell r="G833" t="str">
            <v>tier - 1</v>
          </cell>
          <cell r="H833" t="str">
            <v>R1013</v>
          </cell>
        </row>
        <row r="834">
          <cell r="A834" t="str">
            <v>ID1748</v>
          </cell>
          <cell r="B834" t="str">
            <v>13-Sep-1987</v>
          </cell>
          <cell r="C834">
            <v>39</v>
          </cell>
          <cell r="D834">
            <v>1</v>
          </cell>
          <cell r="E834">
            <v>5125.22</v>
          </cell>
          <cell r="F834" t="str">
            <v>tier - 1</v>
          </cell>
          <cell r="G834" t="str">
            <v>tier - 2</v>
          </cell>
          <cell r="H834" t="str">
            <v>R1012</v>
          </cell>
        </row>
        <row r="835">
          <cell r="A835" t="str">
            <v>ID1749</v>
          </cell>
          <cell r="B835" t="str">
            <v>1-Nov-1988</v>
          </cell>
          <cell r="C835">
            <v>37</v>
          </cell>
          <cell r="D835">
            <v>2</v>
          </cell>
          <cell r="E835">
            <v>5124.1899999999996</v>
          </cell>
          <cell r="F835" t="str">
            <v>tier - 2</v>
          </cell>
          <cell r="G835" t="str">
            <v>tier - 3</v>
          </cell>
          <cell r="H835" t="str">
            <v>R1013</v>
          </cell>
        </row>
        <row r="836">
          <cell r="A836" t="str">
            <v>ID175</v>
          </cell>
          <cell r="B836" t="str">
            <v>13-Sep-1992</v>
          </cell>
          <cell r="C836">
            <v>34</v>
          </cell>
          <cell r="D836">
            <v>0</v>
          </cell>
          <cell r="E836">
            <v>36976.449999999997</v>
          </cell>
          <cell r="F836" t="str">
            <v>tier - 2</v>
          </cell>
          <cell r="G836" t="str">
            <v>tier - 3</v>
          </cell>
          <cell r="H836" t="str">
            <v>R1011</v>
          </cell>
        </row>
        <row r="837">
          <cell r="A837" t="str">
            <v>ID1750</v>
          </cell>
          <cell r="B837" t="str">
            <v>18-Nov-1987</v>
          </cell>
          <cell r="C837">
            <v>38</v>
          </cell>
          <cell r="D837">
            <v>1</v>
          </cell>
          <cell r="E837">
            <v>5116.5</v>
          </cell>
          <cell r="F837" t="str">
            <v>tier - 2</v>
          </cell>
          <cell r="G837" t="str">
            <v>tier - 2</v>
          </cell>
          <cell r="H837" t="str">
            <v>R1012</v>
          </cell>
        </row>
        <row r="838">
          <cell r="A838" t="str">
            <v>ID1751</v>
          </cell>
          <cell r="B838" t="str">
            <v>19-Jun-1999</v>
          </cell>
          <cell r="C838">
            <v>27</v>
          </cell>
          <cell r="D838">
            <v>0</v>
          </cell>
          <cell r="E838">
            <v>5087.92</v>
          </cell>
          <cell r="F838" t="str">
            <v>tier - 2</v>
          </cell>
          <cell r="G838" t="str">
            <v>tier - 2</v>
          </cell>
          <cell r="H838" t="str">
            <v>R1026</v>
          </cell>
        </row>
        <row r="839">
          <cell r="A839" t="str">
            <v>ID1752</v>
          </cell>
          <cell r="B839" t="str">
            <v>14-Jul-1997</v>
          </cell>
          <cell r="C839">
            <v>29</v>
          </cell>
          <cell r="D839">
            <v>5</v>
          </cell>
          <cell r="E839">
            <v>5080.1000000000004</v>
          </cell>
          <cell r="F839" t="str">
            <v>tier - 3</v>
          </cell>
          <cell r="G839" t="str">
            <v>tier - 2</v>
          </cell>
          <cell r="H839" t="str">
            <v>R1011</v>
          </cell>
        </row>
        <row r="840">
          <cell r="A840" t="str">
            <v>ID1753</v>
          </cell>
          <cell r="B840" t="str">
            <v>22-Nov-1978</v>
          </cell>
          <cell r="C840">
            <v>47</v>
          </cell>
          <cell r="D840">
            <v>2</v>
          </cell>
          <cell r="E840">
            <v>5077.1899999999996</v>
          </cell>
          <cell r="F840" t="str">
            <v>tier - 2</v>
          </cell>
          <cell r="G840" t="str">
            <v>tier - 3</v>
          </cell>
          <cell r="H840" t="str">
            <v>R1012</v>
          </cell>
        </row>
        <row r="841">
          <cell r="A841" t="str">
            <v>ID1754</v>
          </cell>
          <cell r="B841" t="str">
            <v>11-Jun-1993</v>
          </cell>
          <cell r="C841">
            <v>33</v>
          </cell>
          <cell r="D841">
            <v>0</v>
          </cell>
          <cell r="E841">
            <v>5059.5600000000004</v>
          </cell>
          <cell r="F841" t="str">
            <v>tier - 2</v>
          </cell>
          <cell r="G841" t="str">
            <v>tier - 1</v>
          </cell>
          <cell r="H841" t="str">
            <v>R1021</v>
          </cell>
        </row>
        <row r="842">
          <cell r="A842" t="str">
            <v>ID1755</v>
          </cell>
          <cell r="B842" t="str">
            <v>7-Sep-1980</v>
          </cell>
          <cell r="C842">
            <v>46</v>
          </cell>
          <cell r="D842">
            <v>2</v>
          </cell>
          <cell r="E842">
            <v>5054.05</v>
          </cell>
          <cell r="F842" t="str">
            <v>tier - 2</v>
          </cell>
          <cell r="G842" t="str">
            <v>tier - 2</v>
          </cell>
          <cell r="H842" t="str">
            <v>R1013</v>
          </cell>
        </row>
        <row r="843">
          <cell r="A843" t="str">
            <v>ID1756</v>
          </cell>
          <cell r="B843" t="str">
            <v>29-Jul-1997</v>
          </cell>
          <cell r="C843">
            <v>29</v>
          </cell>
          <cell r="D843">
            <v>0</v>
          </cell>
          <cell r="E843">
            <v>5045.1499999999996</v>
          </cell>
          <cell r="F843" t="str">
            <v>tier - 2</v>
          </cell>
          <cell r="G843" t="str">
            <v>tier - 2</v>
          </cell>
          <cell r="H843" t="str">
            <v>R1012</v>
          </cell>
        </row>
        <row r="844">
          <cell r="A844" t="str">
            <v>ID1757</v>
          </cell>
          <cell r="B844" t="str">
            <v>16-Oct-2001</v>
          </cell>
          <cell r="C844">
            <v>25</v>
          </cell>
          <cell r="D844">
            <v>0</v>
          </cell>
          <cell r="E844">
            <v>5043.13</v>
          </cell>
          <cell r="F844" t="str">
            <v>tier - 2</v>
          </cell>
          <cell r="G844" t="str">
            <v>tier - 3</v>
          </cell>
          <cell r="H844" t="str">
            <v>R1011</v>
          </cell>
        </row>
        <row r="845">
          <cell r="A845" t="str">
            <v>ID1758</v>
          </cell>
          <cell r="B845" t="str">
            <v>4-Dec-1997</v>
          </cell>
          <cell r="C845">
            <v>28</v>
          </cell>
          <cell r="D845">
            <v>0</v>
          </cell>
          <cell r="E845">
            <v>5038.57</v>
          </cell>
          <cell r="F845" t="str">
            <v>tier - 2</v>
          </cell>
          <cell r="G845" t="str">
            <v>tier - 2</v>
          </cell>
          <cell r="H845" t="str">
            <v>R1025</v>
          </cell>
        </row>
        <row r="846">
          <cell r="A846" t="str">
            <v>ID1759</v>
          </cell>
          <cell r="B846" t="str">
            <v>29-Jun-1986</v>
          </cell>
          <cell r="C846">
            <v>40</v>
          </cell>
          <cell r="D846">
            <v>3</v>
          </cell>
          <cell r="E846">
            <v>5034.1000000000004</v>
          </cell>
          <cell r="F846" t="str">
            <v>tier - 2</v>
          </cell>
          <cell r="G846" t="str">
            <v>tier - 2</v>
          </cell>
          <cell r="H846" t="str">
            <v>R1013</v>
          </cell>
        </row>
        <row r="847">
          <cell r="A847" t="str">
            <v>ID176</v>
          </cell>
          <cell r="B847" t="str">
            <v>25-Aug-1992</v>
          </cell>
          <cell r="C847">
            <v>34</v>
          </cell>
          <cell r="D847">
            <v>0</v>
          </cell>
          <cell r="E847">
            <v>36950.26</v>
          </cell>
          <cell r="F847" t="str">
            <v>tier - 1</v>
          </cell>
          <cell r="G847" t="str">
            <v>tier - 1</v>
          </cell>
          <cell r="H847" t="str">
            <v>R1013</v>
          </cell>
        </row>
        <row r="848">
          <cell r="A848" t="str">
            <v>ID1760</v>
          </cell>
          <cell r="B848" t="str">
            <v>10-Sep-1991</v>
          </cell>
          <cell r="C848">
            <v>35</v>
          </cell>
          <cell r="D848">
            <v>2</v>
          </cell>
          <cell r="E848">
            <v>5031.2700000000004</v>
          </cell>
          <cell r="F848" t="str">
            <v>tier - 3</v>
          </cell>
          <cell r="G848" t="str">
            <v>tier - 1</v>
          </cell>
          <cell r="H848" t="str">
            <v>R1016</v>
          </cell>
        </row>
        <row r="849">
          <cell r="A849" t="str">
            <v>ID1761</v>
          </cell>
          <cell r="B849" t="str">
            <v>28-Dec-1985</v>
          </cell>
          <cell r="C849">
            <v>40</v>
          </cell>
          <cell r="D849">
            <v>0</v>
          </cell>
          <cell r="E849">
            <v>5028.1499999999996</v>
          </cell>
          <cell r="F849" t="str">
            <v>tier - 1</v>
          </cell>
          <cell r="G849" t="str">
            <v>tier - 2</v>
          </cell>
          <cell r="H849" t="str">
            <v>R1012</v>
          </cell>
        </row>
        <row r="850">
          <cell r="A850" t="str">
            <v>ID1762</v>
          </cell>
          <cell r="B850" t="str">
            <v>9-Nov-1988</v>
          </cell>
          <cell r="C850">
            <v>37</v>
          </cell>
          <cell r="D850">
            <v>1</v>
          </cell>
          <cell r="E850">
            <v>5012.47</v>
          </cell>
          <cell r="F850" t="str">
            <v>tier - 2</v>
          </cell>
          <cell r="G850" t="str">
            <v>tier - 3</v>
          </cell>
          <cell r="H850" t="str">
            <v>R1011</v>
          </cell>
        </row>
        <row r="851">
          <cell r="A851" t="str">
            <v>ID1763</v>
          </cell>
          <cell r="B851" t="str">
            <v>8-Jul-1988</v>
          </cell>
          <cell r="C851">
            <v>38</v>
          </cell>
          <cell r="D851">
            <v>1</v>
          </cell>
          <cell r="E851">
            <v>5003.8500000000004</v>
          </cell>
          <cell r="F851" t="str">
            <v>tier - 2</v>
          </cell>
          <cell r="G851" t="str">
            <v>tier - 3</v>
          </cell>
          <cell r="H851" t="str">
            <v>R1011</v>
          </cell>
        </row>
        <row r="852">
          <cell r="A852" t="str">
            <v>ID1764</v>
          </cell>
          <cell r="B852" t="str">
            <v>9-Jun-1977</v>
          </cell>
          <cell r="C852">
            <v>49</v>
          </cell>
          <cell r="D852">
            <v>2</v>
          </cell>
          <cell r="E852">
            <v>5003.7700000000004</v>
          </cell>
          <cell r="F852" t="str">
            <v>tier - 2</v>
          </cell>
          <cell r="G852" t="str">
            <v>tier - 3</v>
          </cell>
          <cell r="H852" t="str">
            <v>R1013</v>
          </cell>
        </row>
        <row r="853">
          <cell r="A853" t="str">
            <v>ID1765</v>
          </cell>
          <cell r="B853" t="str">
            <v>4-Sep-1988</v>
          </cell>
          <cell r="C853">
            <v>38</v>
          </cell>
          <cell r="D853">
            <v>1</v>
          </cell>
          <cell r="E853">
            <v>5002.78</v>
          </cell>
          <cell r="F853" t="str">
            <v>tier - 2</v>
          </cell>
          <cell r="G853" t="str">
            <v>tier - 2</v>
          </cell>
          <cell r="H853" t="str">
            <v>R1013</v>
          </cell>
        </row>
        <row r="854">
          <cell r="A854" t="str">
            <v>ID1766</v>
          </cell>
          <cell r="B854" t="str">
            <v>5-Oct-2001</v>
          </cell>
          <cell r="C854">
            <v>25</v>
          </cell>
          <cell r="D854">
            <v>0</v>
          </cell>
          <cell r="E854">
            <v>4999.04</v>
          </cell>
          <cell r="F854" t="str">
            <v>tier - 2</v>
          </cell>
          <cell r="G854" t="str">
            <v>tier - 2</v>
          </cell>
          <cell r="H854" t="str">
            <v>R1011</v>
          </cell>
        </row>
        <row r="855">
          <cell r="A855" t="str">
            <v>ID1767</v>
          </cell>
          <cell r="B855" t="str">
            <v>24-Jun-1988</v>
          </cell>
          <cell r="C855">
            <v>38</v>
          </cell>
          <cell r="D855">
            <v>0</v>
          </cell>
          <cell r="E855">
            <v>4992.38</v>
          </cell>
          <cell r="F855" t="str">
            <v>tier - 2</v>
          </cell>
          <cell r="G855" t="str">
            <v>tier - 3</v>
          </cell>
          <cell r="H855" t="str">
            <v>R1024</v>
          </cell>
        </row>
        <row r="856">
          <cell r="A856" t="str">
            <v>ID1768</v>
          </cell>
          <cell r="B856" t="str">
            <v>7-Nov-1973</v>
          </cell>
          <cell r="C856">
            <v>52</v>
          </cell>
          <cell r="D856">
            <v>0</v>
          </cell>
          <cell r="E856">
            <v>4985.22</v>
          </cell>
          <cell r="F856" t="str">
            <v>tier - 2</v>
          </cell>
          <cell r="G856" t="str">
            <v>tier - 3</v>
          </cell>
          <cell r="H856" t="str">
            <v>R1013</v>
          </cell>
        </row>
        <row r="857">
          <cell r="A857" t="str">
            <v>ID1769</v>
          </cell>
          <cell r="B857" t="str">
            <v>30-Aug-1991</v>
          </cell>
          <cell r="C857">
            <v>35</v>
          </cell>
          <cell r="D857">
            <v>2</v>
          </cell>
          <cell r="E857">
            <v>4949.76</v>
          </cell>
          <cell r="F857" t="str">
            <v>tier - 2</v>
          </cell>
          <cell r="G857" t="str">
            <v>tier - 1</v>
          </cell>
          <cell r="H857" t="str">
            <v>R1013</v>
          </cell>
        </row>
        <row r="858">
          <cell r="A858" t="str">
            <v>ID177</v>
          </cell>
          <cell r="B858" t="str">
            <v>13-Aug-1977</v>
          </cell>
          <cell r="C858">
            <v>49</v>
          </cell>
          <cell r="D858">
            <v>2</v>
          </cell>
          <cell r="E858">
            <v>36935.64</v>
          </cell>
          <cell r="F858" t="str">
            <v>tier - 2</v>
          </cell>
          <cell r="G858" t="str">
            <v>tier - 1</v>
          </cell>
          <cell r="H858" t="str">
            <v>R1011</v>
          </cell>
        </row>
        <row r="859">
          <cell r="A859" t="str">
            <v>ID1770</v>
          </cell>
          <cell r="B859" t="str">
            <v>26-Jun-1974</v>
          </cell>
          <cell r="C859">
            <v>52</v>
          </cell>
          <cell r="D859">
            <v>0</v>
          </cell>
          <cell r="E859">
            <v>4942.0600000000004</v>
          </cell>
          <cell r="F859" t="str">
            <v>tier - 2</v>
          </cell>
          <cell r="G859" t="str">
            <v>tier - 2</v>
          </cell>
          <cell r="H859" t="str">
            <v>R1013</v>
          </cell>
        </row>
        <row r="860">
          <cell r="A860" t="str">
            <v>ID1771</v>
          </cell>
          <cell r="B860" t="str">
            <v>27-Nov-1991</v>
          </cell>
          <cell r="C860">
            <v>34</v>
          </cell>
          <cell r="D860">
            <v>2</v>
          </cell>
          <cell r="E860">
            <v>4934.71</v>
          </cell>
          <cell r="F860" t="str">
            <v>tier - 2</v>
          </cell>
          <cell r="G860" t="str">
            <v>tier - 3</v>
          </cell>
          <cell r="H860" t="str">
            <v>R1011</v>
          </cell>
        </row>
        <row r="861">
          <cell r="A861" t="str">
            <v>ID1772</v>
          </cell>
          <cell r="B861" t="str">
            <v>23-Aug-1991</v>
          </cell>
          <cell r="C861">
            <v>35</v>
          </cell>
          <cell r="D861">
            <v>2</v>
          </cell>
          <cell r="E861">
            <v>4931.6499999999996</v>
          </cell>
          <cell r="F861" t="str">
            <v>tier - 2</v>
          </cell>
          <cell r="G861" t="str">
            <v>tier - 3</v>
          </cell>
          <cell r="H861" t="str">
            <v>R1011</v>
          </cell>
        </row>
        <row r="862">
          <cell r="A862" t="str">
            <v>ID1773</v>
          </cell>
          <cell r="B862" t="str">
            <v>10-Aug-1993</v>
          </cell>
          <cell r="C862">
            <v>33</v>
          </cell>
          <cell r="D862">
            <v>2</v>
          </cell>
          <cell r="E862">
            <v>4922.92</v>
          </cell>
          <cell r="F862" t="str">
            <v>tier - 2</v>
          </cell>
          <cell r="G862" t="str">
            <v>tier - 2</v>
          </cell>
          <cell r="H862" t="str">
            <v>R1012</v>
          </cell>
        </row>
        <row r="863">
          <cell r="A863" t="str">
            <v>ID1774</v>
          </cell>
          <cell r="B863" t="str">
            <v>21-Aug-2002</v>
          </cell>
          <cell r="C863">
            <v>24</v>
          </cell>
          <cell r="D863">
            <v>5</v>
          </cell>
          <cell r="E863">
            <v>4915.0600000000004</v>
          </cell>
          <cell r="F863" t="str">
            <v>tier - 2</v>
          </cell>
          <cell r="G863" t="str">
            <v>tier - 1</v>
          </cell>
          <cell r="H863" t="str">
            <v>R1017</v>
          </cell>
        </row>
        <row r="864">
          <cell r="A864" t="str">
            <v>ID1775</v>
          </cell>
          <cell r="B864" t="str">
            <v>18-Oct-1981</v>
          </cell>
          <cell r="C864">
            <v>45</v>
          </cell>
          <cell r="D864">
            <v>1</v>
          </cell>
          <cell r="E864">
            <v>4911.8900000000003</v>
          </cell>
          <cell r="F864" t="str">
            <v>tier - 2</v>
          </cell>
          <cell r="G864" t="str">
            <v>tier - 3</v>
          </cell>
          <cell r="H864" t="str">
            <v>R1013</v>
          </cell>
        </row>
        <row r="865">
          <cell r="A865" t="str">
            <v>ID1776</v>
          </cell>
          <cell r="B865" t="str">
            <v>10-Jul-1993</v>
          </cell>
          <cell r="C865">
            <v>33</v>
          </cell>
          <cell r="D865">
            <v>2</v>
          </cell>
          <cell r="E865">
            <v>4906.41</v>
          </cell>
          <cell r="F865" t="str">
            <v>tier - 2</v>
          </cell>
          <cell r="G865" t="str">
            <v>tier - 1</v>
          </cell>
          <cell r="H865" t="str">
            <v>R1012</v>
          </cell>
        </row>
        <row r="866">
          <cell r="A866" t="str">
            <v>ID1777</v>
          </cell>
          <cell r="B866" t="str">
            <v>23-Sep-1988</v>
          </cell>
          <cell r="C866">
            <v>38</v>
          </cell>
          <cell r="D866">
            <v>1</v>
          </cell>
          <cell r="E866">
            <v>4894.75</v>
          </cell>
          <cell r="F866" t="str">
            <v>tier - 3</v>
          </cell>
          <cell r="G866" t="str">
            <v>tier - 3</v>
          </cell>
          <cell r="H866" t="str">
            <v>R1012</v>
          </cell>
        </row>
        <row r="867">
          <cell r="A867" t="str">
            <v>ID1778</v>
          </cell>
          <cell r="B867" t="str">
            <v>28-Nov-1990</v>
          </cell>
          <cell r="C867">
            <v>35</v>
          </cell>
          <cell r="D867">
            <v>3</v>
          </cell>
          <cell r="E867">
            <v>4894.3900000000003</v>
          </cell>
          <cell r="F867" t="str">
            <v>tier - 2</v>
          </cell>
          <cell r="G867" t="str">
            <v>tier - 3</v>
          </cell>
          <cell r="H867" t="str">
            <v>R1013</v>
          </cell>
        </row>
        <row r="868">
          <cell r="A868" t="str">
            <v>ID1779</v>
          </cell>
          <cell r="B868" t="str">
            <v>10-Jul-1989</v>
          </cell>
          <cell r="C868">
            <v>37</v>
          </cell>
          <cell r="D868">
            <v>2</v>
          </cell>
          <cell r="E868">
            <v>4890</v>
          </cell>
          <cell r="F868" t="str">
            <v>tier - 3</v>
          </cell>
          <cell r="G868" t="str">
            <v>tier - 2</v>
          </cell>
          <cell r="H868" t="str">
            <v>R1013</v>
          </cell>
        </row>
        <row r="869">
          <cell r="A869" t="str">
            <v>ID178</v>
          </cell>
          <cell r="B869" t="str">
            <v>22-Oct-1968</v>
          </cell>
          <cell r="C869">
            <v>57</v>
          </cell>
          <cell r="D869">
            <v>0</v>
          </cell>
          <cell r="E869">
            <v>36922.61</v>
          </cell>
          <cell r="F869" t="str">
            <v>tier - 2</v>
          </cell>
          <cell r="G869" t="str">
            <v>tier - 1</v>
          </cell>
          <cell r="H869" t="str">
            <v>R1011</v>
          </cell>
        </row>
        <row r="870">
          <cell r="A870" t="str">
            <v>ID1780</v>
          </cell>
          <cell r="B870" t="str">
            <v>27-Oct-1986</v>
          </cell>
          <cell r="C870">
            <v>39</v>
          </cell>
          <cell r="D870">
            <v>0</v>
          </cell>
          <cell r="E870">
            <v>4889.04</v>
          </cell>
          <cell r="F870" t="str">
            <v>tier - 2</v>
          </cell>
          <cell r="G870" t="str">
            <v>tier - 1</v>
          </cell>
          <cell r="H870" t="str">
            <v>R1013</v>
          </cell>
        </row>
        <row r="871">
          <cell r="A871" t="str">
            <v>ID1781</v>
          </cell>
          <cell r="B871" t="str">
            <v>23-Dec-1986</v>
          </cell>
          <cell r="C871">
            <v>39</v>
          </cell>
          <cell r="D871">
            <v>0</v>
          </cell>
          <cell r="E871">
            <v>4883.87</v>
          </cell>
          <cell r="F871" t="str">
            <v>tier - 2</v>
          </cell>
          <cell r="G871" t="str">
            <v>tier - 1</v>
          </cell>
          <cell r="H871" t="str">
            <v>R1011</v>
          </cell>
        </row>
        <row r="872">
          <cell r="A872" t="str">
            <v>ID1782</v>
          </cell>
          <cell r="B872" t="str">
            <v>29-Sep-1997</v>
          </cell>
          <cell r="C872">
            <v>29</v>
          </cell>
          <cell r="D872">
            <v>4</v>
          </cell>
          <cell r="E872">
            <v>4877.9799999999996</v>
          </cell>
          <cell r="F872" t="str">
            <v>tier - 2</v>
          </cell>
          <cell r="G872" t="str">
            <v>tier - 3</v>
          </cell>
          <cell r="H872" t="str">
            <v>R1012</v>
          </cell>
        </row>
        <row r="873">
          <cell r="A873" t="str">
            <v>ID1783</v>
          </cell>
          <cell r="B873" t="str">
            <v>1-Sep-1989</v>
          </cell>
          <cell r="C873">
            <v>37</v>
          </cell>
          <cell r="D873">
            <v>3</v>
          </cell>
          <cell r="E873">
            <v>4859.8900000000003</v>
          </cell>
          <cell r="F873" t="str">
            <v>tier - 2</v>
          </cell>
          <cell r="G873" t="str">
            <v>tier - 3</v>
          </cell>
          <cell r="H873" t="str">
            <v>R1011</v>
          </cell>
        </row>
        <row r="874">
          <cell r="A874" t="str">
            <v>ID1784</v>
          </cell>
          <cell r="B874" t="str">
            <v>27-Dec-1995</v>
          </cell>
          <cell r="C874">
            <v>30</v>
          </cell>
          <cell r="D874">
            <v>3</v>
          </cell>
          <cell r="E874">
            <v>4846.92</v>
          </cell>
          <cell r="F874" t="str">
            <v>tier - 2</v>
          </cell>
          <cell r="G874" t="str">
            <v>tier - 3</v>
          </cell>
          <cell r="H874" t="str">
            <v>R1017</v>
          </cell>
        </row>
        <row r="875">
          <cell r="A875" t="str">
            <v>ID1785</v>
          </cell>
          <cell r="B875" t="str">
            <v>7-Jun-2001</v>
          </cell>
          <cell r="C875">
            <v>25</v>
          </cell>
          <cell r="D875">
            <v>0</v>
          </cell>
          <cell r="E875">
            <v>4846.53</v>
          </cell>
          <cell r="F875" t="str">
            <v>tier - 2</v>
          </cell>
          <cell r="G875" t="str">
            <v>tier - 3</v>
          </cell>
          <cell r="H875" t="str">
            <v>R1021</v>
          </cell>
        </row>
        <row r="876">
          <cell r="A876" t="str">
            <v>ID1786</v>
          </cell>
          <cell r="B876" t="str">
            <v>11-Sep-1974</v>
          </cell>
          <cell r="C876">
            <v>52</v>
          </cell>
          <cell r="D876">
            <v>0</v>
          </cell>
          <cell r="E876">
            <v>4844.67</v>
          </cell>
          <cell r="F876" t="str">
            <v>tier - 2</v>
          </cell>
          <cell r="G876" t="str">
            <v>tier - 2</v>
          </cell>
          <cell r="H876" t="str">
            <v>R1013</v>
          </cell>
        </row>
        <row r="877">
          <cell r="A877" t="str">
            <v>ID1787</v>
          </cell>
          <cell r="B877" t="str">
            <v>13-Dec-1979</v>
          </cell>
          <cell r="C877">
            <v>46</v>
          </cell>
          <cell r="D877">
            <v>2</v>
          </cell>
          <cell r="E877">
            <v>4843.79</v>
          </cell>
          <cell r="F877" t="str">
            <v>tier - 2</v>
          </cell>
          <cell r="G877" t="str">
            <v>tier - 3</v>
          </cell>
          <cell r="H877" t="str">
            <v>R1013</v>
          </cell>
        </row>
        <row r="878">
          <cell r="A878" t="str">
            <v>ID1788</v>
          </cell>
          <cell r="B878" t="str">
            <v>29-Sep-1995</v>
          </cell>
          <cell r="C878">
            <v>31</v>
          </cell>
          <cell r="D878">
            <v>0</v>
          </cell>
          <cell r="E878">
            <v>4840.95</v>
          </cell>
          <cell r="F878" t="str">
            <v>tier - 2</v>
          </cell>
          <cell r="G878" t="str">
            <v>tier - 1</v>
          </cell>
          <cell r="H878" t="str">
            <v>R1021</v>
          </cell>
        </row>
        <row r="879">
          <cell r="A879" t="str">
            <v>ID1789</v>
          </cell>
          <cell r="B879" t="str">
            <v>15-Oct-1984</v>
          </cell>
          <cell r="C879">
            <v>42</v>
          </cell>
          <cell r="D879">
            <v>3</v>
          </cell>
          <cell r="E879">
            <v>4839.18</v>
          </cell>
          <cell r="F879" t="str">
            <v>tier - 2</v>
          </cell>
          <cell r="G879" t="str">
            <v>tier - 1</v>
          </cell>
          <cell r="H879" t="str">
            <v>R1012</v>
          </cell>
        </row>
        <row r="880">
          <cell r="A880" t="str">
            <v>ID179</v>
          </cell>
          <cell r="B880" t="str">
            <v>10-Jun-1991</v>
          </cell>
          <cell r="C880">
            <v>35</v>
          </cell>
          <cell r="D880">
            <v>3</v>
          </cell>
          <cell r="E880">
            <v>36911.99</v>
          </cell>
          <cell r="F880" t="str">
            <v>tier - 2</v>
          </cell>
          <cell r="G880" t="str">
            <v>tier - 2</v>
          </cell>
          <cell r="H880" t="str">
            <v>R1011</v>
          </cell>
        </row>
        <row r="881">
          <cell r="A881" t="str">
            <v>ID1790</v>
          </cell>
          <cell r="B881" t="str">
            <v>10-Sep-1992</v>
          </cell>
          <cell r="C881">
            <v>34</v>
          </cell>
          <cell r="D881">
            <v>3</v>
          </cell>
          <cell r="E881">
            <v>4837.58</v>
          </cell>
          <cell r="F881" t="str">
            <v>tier - 3</v>
          </cell>
          <cell r="G881" t="str">
            <v>tier - 2</v>
          </cell>
          <cell r="H881" t="str">
            <v>R1013</v>
          </cell>
        </row>
        <row r="882">
          <cell r="A882" t="str">
            <v>ID1791</v>
          </cell>
          <cell r="B882" t="str">
            <v>11-Dec-2000</v>
          </cell>
          <cell r="C882">
            <v>25</v>
          </cell>
          <cell r="D882">
            <v>0</v>
          </cell>
          <cell r="E882">
            <v>4835.43</v>
          </cell>
          <cell r="F882" t="str">
            <v>tier - 2</v>
          </cell>
          <cell r="G882" t="str">
            <v>tier - 2</v>
          </cell>
          <cell r="H882" t="str">
            <v>R1021</v>
          </cell>
        </row>
        <row r="883">
          <cell r="A883" t="str">
            <v>ID1792</v>
          </cell>
          <cell r="B883" t="str">
            <v>27-Jun-2002</v>
          </cell>
          <cell r="C883">
            <v>24</v>
          </cell>
          <cell r="D883">
            <v>5</v>
          </cell>
          <cell r="E883">
            <v>4830.63</v>
          </cell>
          <cell r="F883" t="str">
            <v>tier - 2</v>
          </cell>
          <cell r="G883" t="str">
            <v>tier - 1</v>
          </cell>
          <cell r="H883" t="str">
            <v>R1011</v>
          </cell>
        </row>
        <row r="884">
          <cell r="A884" t="str">
            <v>ID1793</v>
          </cell>
          <cell r="B884" t="str">
            <v>1-Dec-1995</v>
          </cell>
          <cell r="C884">
            <v>30</v>
          </cell>
          <cell r="D884">
            <v>3</v>
          </cell>
          <cell r="E884">
            <v>4827.8999999999996</v>
          </cell>
          <cell r="F884" t="str">
            <v>tier - 1</v>
          </cell>
          <cell r="G884" t="str">
            <v>tier - 2</v>
          </cell>
          <cell r="H884" t="str">
            <v>unknown</v>
          </cell>
        </row>
        <row r="885">
          <cell r="A885" t="str">
            <v>ID1794</v>
          </cell>
          <cell r="B885" t="str">
            <v>3-Jul-1981</v>
          </cell>
          <cell r="C885">
            <v>45</v>
          </cell>
          <cell r="D885">
            <v>1</v>
          </cell>
          <cell r="E885">
            <v>4827.1000000000004</v>
          </cell>
          <cell r="F885" t="str">
            <v>tier - 2</v>
          </cell>
          <cell r="G885" t="str">
            <v>tier - 1</v>
          </cell>
          <cell r="H885" t="str">
            <v>R1013</v>
          </cell>
        </row>
        <row r="886">
          <cell r="A886" t="str">
            <v>ID1795</v>
          </cell>
          <cell r="B886" t="str">
            <v>3-Oct-1978</v>
          </cell>
          <cell r="C886">
            <v>48</v>
          </cell>
          <cell r="D886">
            <v>2</v>
          </cell>
          <cell r="E886">
            <v>4812.34</v>
          </cell>
          <cell r="F886" t="str">
            <v>tier - 2</v>
          </cell>
          <cell r="G886" t="str">
            <v>tier - 3</v>
          </cell>
          <cell r="H886" t="str">
            <v>R1013</v>
          </cell>
        </row>
        <row r="887">
          <cell r="A887" t="str">
            <v>ID1796</v>
          </cell>
          <cell r="B887" t="str">
            <v>16-Dec-1989</v>
          </cell>
          <cell r="C887">
            <v>36</v>
          </cell>
          <cell r="D887">
            <v>1</v>
          </cell>
          <cell r="E887">
            <v>4795.66</v>
          </cell>
          <cell r="F887" t="str">
            <v>tier - 2</v>
          </cell>
          <cell r="G887" t="str">
            <v>tier - 1</v>
          </cell>
          <cell r="H887" t="str">
            <v>R1013</v>
          </cell>
        </row>
        <row r="888">
          <cell r="A888" t="str">
            <v>ID1797</v>
          </cell>
          <cell r="B888" t="str">
            <v>22-Jun-1987</v>
          </cell>
          <cell r="C888">
            <v>39</v>
          </cell>
          <cell r="D888">
            <v>3</v>
          </cell>
          <cell r="E888">
            <v>4787.42</v>
          </cell>
          <cell r="F888" t="str">
            <v>tier - 2</v>
          </cell>
          <cell r="G888" t="str">
            <v>tier - 3</v>
          </cell>
          <cell r="H888" t="str">
            <v>R1013</v>
          </cell>
        </row>
        <row r="889">
          <cell r="A889" t="str">
            <v>ID1798</v>
          </cell>
          <cell r="B889" t="str">
            <v>9-Dec-1989</v>
          </cell>
          <cell r="C889">
            <v>36</v>
          </cell>
          <cell r="D889">
            <v>1</v>
          </cell>
          <cell r="E889">
            <v>4779.6000000000004</v>
          </cell>
          <cell r="F889" t="str">
            <v>tier - 2</v>
          </cell>
          <cell r="G889" t="str">
            <v>tier - 3</v>
          </cell>
          <cell r="H889" t="str">
            <v>R1013</v>
          </cell>
        </row>
        <row r="890">
          <cell r="A890" t="str">
            <v>ID1799</v>
          </cell>
          <cell r="B890" t="str">
            <v>1-Aug-1989</v>
          </cell>
          <cell r="C890">
            <v>37</v>
          </cell>
          <cell r="D890">
            <v>1</v>
          </cell>
          <cell r="E890">
            <v>4766.0200000000004</v>
          </cell>
          <cell r="F890" t="str">
            <v>tier - 2</v>
          </cell>
          <cell r="G890" t="str">
            <v>tier - 3</v>
          </cell>
          <cell r="H890" t="str">
            <v>R1011</v>
          </cell>
        </row>
        <row r="891">
          <cell r="A891" t="str">
            <v>ID18</v>
          </cell>
          <cell r="B891" t="str">
            <v>5-Aug-1963</v>
          </cell>
          <cell r="C891">
            <v>63</v>
          </cell>
          <cell r="D891">
            <v>1</v>
          </cell>
          <cell r="E891">
            <v>47896.79</v>
          </cell>
          <cell r="F891" t="str">
            <v>tier - 1</v>
          </cell>
          <cell r="G891" t="str">
            <v>tier - 3</v>
          </cell>
          <cell r="H891" t="str">
            <v>R1024</v>
          </cell>
        </row>
        <row r="892">
          <cell r="A892" t="str">
            <v>ID180</v>
          </cell>
          <cell r="B892" t="str">
            <v>24-Jul-1963</v>
          </cell>
          <cell r="C892">
            <v>63</v>
          </cell>
          <cell r="D892">
            <v>2</v>
          </cell>
          <cell r="E892">
            <v>36910.61</v>
          </cell>
          <cell r="F892" t="str">
            <v>tier - 2</v>
          </cell>
          <cell r="G892" t="str">
            <v>tier - 2</v>
          </cell>
          <cell r="H892" t="str">
            <v>R1011</v>
          </cell>
        </row>
        <row r="893">
          <cell r="A893" t="str">
            <v>ID1800</v>
          </cell>
          <cell r="B893" t="str">
            <v>27-Sep-1987</v>
          </cell>
          <cell r="C893">
            <v>39</v>
          </cell>
          <cell r="D893">
            <v>1</v>
          </cell>
          <cell r="E893">
            <v>4762.33</v>
          </cell>
          <cell r="F893" t="str">
            <v>tier - 3</v>
          </cell>
          <cell r="G893" t="str">
            <v>tier - 3</v>
          </cell>
          <cell r="H893" t="str">
            <v>R1011</v>
          </cell>
        </row>
        <row r="894">
          <cell r="A894" t="str">
            <v>ID1801</v>
          </cell>
          <cell r="B894" t="str">
            <v>16-Aug-1992</v>
          </cell>
          <cell r="C894">
            <v>34</v>
          </cell>
          <cell r="D894">
            <v>2</v>
          </cell>
          <cell r="E894">
            <v>4753.6400000000003</v>
          </cell>
          <cell r="F894" t="str">
            <v>tier - 2</v>
          </cell>
          <cell r="G894" t="str">
            <v>tier - 3</v>
          </cell>
          <cell r="H894" t="str">
            <v>R1013</v>
          </cell>
        </row>
        <row r="895">
          <cell r="A895" t="str">
            <v>ID1802</v>
          </cell>
          <cell r="B895" t="str">
            <v>22-Nov-1987</v>
          </cell>
          <cell r="C895">
            <v>38</v>
          </cell>
          <cell r="D895">
            <v>1</v>
          </cell>
          <cell r="E895">
            <v>4751.07</v>
          </cell>
          <cell r="F895" t="str">
            <v>tier - 3</v>
          </cell>
          <cell r="G895" t="str">
            <v>tier - 1</v>
          </cell>
          <cell r="H895" t="str">
            <v>R1011</v>
          </cell>
        </row>
        <row r="896">
          <cell r="A896" t="str">
            <v>ID1803</v>
          </cell>
          <cell r="B896" t="str">
            <v>2-Sep-1987</v>
          </cell>
          <cell r="C896">
            <v>39</v>
          </cell>
          <cell r="D896">
            <v>1</v>
          </cell>
          <cell r="E896">
            <v>4747.05</v>
          </cell>
          <cell r="F896" t="str">
            <v>tier - 2</v>
          </cell>
          <cell r="G896" t="str">
            <v>tier - 2</v>
          </cell>
          <cell r="H896" t="str">
            <v>R1013</v>
          </cell>
        </row>
        <row r="897">
          <cell r="A897" t="str">
            <v>ID1804</v>
          </cell>
          <cell r="B897" t="str">
            <v>5-Jun-1987</v>
          </cell>
          <cell r="C897">
            <v>39</v>
          </cell>
          <cell r="D897">
            <v>1</v>
          </cell>
          <cell r="E897">
            <v>4746.34</v>
          </cell>
          <cell r="F897" t="str">
            <v>tier - 2</v>
          </cell>
          <cell r="G897" t="str">
            <v>tier - 2</v>
          </cell>
          <cell r="H897" t="str">
            <v>R1011</v>
          </cell>
        </row>
        <row r="898">
          <cell r="A898" t="str">
            <v>ID1805</v>
          </cell>
          <cell r="B898" t="str">
            <v>24-Nov-2004</v>
          </cell>
          <cell r="C898">
            <v>21</v>
          </cell>
          <cell r="D898">
            <v>0</v>
          </cell>
          <cell r="E898">
            <v>4740.78</v>
          </cell>
          <cell r="F898" t="str">
            <v>tier - 2</v>
          </cell>
          <cell r="G898" t="str">
            <v>tier - 3</v>
          </cell>
          <cell r="H898" t="str">
            <v>R1021</v>
          </cell>
        </row>
        <row r="899">
          <cell r="A899" t="str">
            <v>ID1806</v>
          </cell>
          <cell r="B899" t="str">
            <v>12-Oct-1991</v>
          </cell>
          <cell r="C899">
            <v>35</v>
          </cell>
          <cell r="D899">
            <v>1</v>
          </cell>
          <cell r="E899">
            <v>4738.2700000000004</v>
          </cell>
          <cell r="F899" t="str">
            <v>tier - 2</v>
          </cell>
          <cell r="G899" t="str">
            <v>tier - 3</v>
          </cell>
          <cell r="H899" t="str">
            <v>R1012</v>
          </cell>
        </row>
        <row r="900">
          <cell r="A900" t="str">
            <v>ID1807</v>
          </cell>
          <cell r="B900" t="str">
            <v>5-Sep-1986</v>
          </cell>
          <cell r="C900">
            <v>40</v>
          </cell>
          <cell r="D900">
            <v>3</v>
          </cell>
          <cell r="E900">
            <v>4734.6400000000003</v>
          </cell>
          <cell r="F900" t="str">
            <v>tier - 2</v>
          </cell>
          <cell r="G900" t="str">
            <v>tier - 1</v>
          </cell>
          <cell r="H900" t="str">
            <v>R1013</v>
          </cell>
        </row>
        <row r="901">
          <cell r="A901" t="str">
            <v>ID1808</v>
          </cell>
          <cell r="B901" t="str">
            <v>2-Jul-1980</v>
          </cell>
          <cell r="C901">
            <v>46</v>
          </cell>
          <cell r="D901">
            <v>2</v>
          </cell>
          <cell r="E901">
            <v>4728.71</v>
          </cell>
          <cell r="F901" t="str">
            <v>tier - 2</v>
          </cell>
          <cell r="G901" t="str">
            <v>tier - 3</v>
          </cell>
          <cell r="H901" t="str">
            <v>R1012</v>
          </cell>
        </row>
        <row r="902">
          <cell r="A902" t="str">
            <v>ID1809</v>
          </cell>
          <cell r="B902" t="str">
            <v>12-Aug-1994</v>
          </cell>
          <cell r="C902">
            <v>32</v>
          </cell>
          <cell r="D902">
            <v>2</v>
          </cell>
          <cell r="E902">
            <v>4719.74</v>
          </cell>
          <cell r="F902" t="str">
            <v>tier - 2</v>
          </cell>
          <cell r="G902" t="str">
            <v>tier - 1</v>
          </cell>
          <cell r="H902" t="str">
            <v>R1012</v>
          </cell>
        </row>
        <row r="903">
          <cell r="A903" t="str">
            <v>ID181</v>
          </cell>
          <cell r="B903" t="str">
            <v>21-Jun-2003</v>
          </cell>
          <cell r="C903">
            <v>23</v>
          </cell>
          <cell r="D903">
            <v>0</v>
          </cell>
          <cell r="E903">
            <v>36898.730000000003</v>
          </cell>
          <cell r="F903" t="str">
            <v>tier - 2</v>
          </cell>
          <cell r="G903" t="str">
            <v>tier - 1</v>
          </cell>
          <cell r="H903" t="str">
            <v>R1012</v>
          </cell>
        </row>
        <row r="904">
          <cell r="A904" t="str">
            <v>ID1810</v>
          </cell>
          <cell r="B904" t="str">
            <v>28-Sep-1992</v>
          </cell>
          <cell r="C904">
            <v>34</v>
          </cell>
          <cell r="D904">
            <v>1</v>
          </cell>
          <cell r="E904">
            <v>4719.5200000000004</v>
          </cell>
          <cell r="F904" t="str">
            <v>tier - 2</v>
          </cell>
          <cell r="G904" t="str">
            <v>tier - 2</v>
          </cell>
          <cell r="H904" t="str">
            <v>R1024</v>
          </cell>
        </row>
        <row r="905">
          <cell r="A905" t="str">
            <v>ID1811</v>
          </cell>
          <cell r="B905" t="str">
            <v>9-Oct-1992</v>
          </cell>
          <cell r="C905">
            <v>34</v>
          </cell>
          <cell r="D905">
            <v>1</v>
          </cell>
          <cell r="E905">
            <v>4718.2</v>
          </cell>
          <cell r="F905" t="str">
            <v>tier - 2</v>
          </cell>
          <cell r="G905" t="str">
            <v>tier - 3</v>
          </cell>
          <cell r="H905" t="str">
            <v>R1024</v>
          </cell>
        </row>
        <row r="906">
          <cell r="A906" t="str">
            <v>ID1812</v>
          </cell>
          <cell r="B906" t="str">
            <v>12-Aug-1981</v>
          </cell>
          <cell r="C906">
            <v>45</v>
          </cell>
          <cell r="D906">
            <v>1</v>
          </cell>
          <cell r="E906">
            <v>4712.12</v>
          </cell>
          <cell r="F906" t="str">
            <v>tier - 2</v>
          </cell>
          <cell r="G906" t="str">
            <v>tier - 3</v>
          </cell>
          <cell r="H906" t="str">
            <v>R1011</v>
          </cell>
        </row>
        <row r="907">
          <cell r="A907" t="str">
            <v>ID1813</v>
          </cell>
          <cell r="B907" t="str">
            <v>4-Dec-1977</v>
          </cell>
          <cell r="C907">
            <v>48</v>
          </cell>
          <cell r="D907">
            <v>2</v>
          </cell>
          <cell r="E907">
            <v>4699.47</v>
          </cell>
          <cell r="F907" t="str">
            <v>tier - 2</v>
          </cell>
          <cell r="G907" t="str">
            <v>tier - 3</v>
          </cell>
          <cell r="H907" t="str">
            <v>R1013</v>
          </cell>
        </row>
        <row r="908">
          <cell r="A908" t="str">
            <v>ID1814</v>
          </cell>
          <cell r="B908" t="str">
            <v>22-Jun-2003</v>
          </cell>
          <cell r="C908">
            <v>23</v>
          </cell>
          <cell r="D908">
            <v>5</v>
          </cell>
          <cell r="E908">
            <v>4687.8</v>
          </cell>
          <cell r="F908" t="str">
            <v>tier - 2</v>
          </cell>
          <cell r="G908" t="str">
            <v>tier - 3</v>
          </cell>
          <cell r="H908" t="str">
            <v>R1011</v>
          </cell>
        </row>
        <row r="909">
          <cell r="A909" t="str">
            <v>ID1815</v>
          </cell>
          <cell r="B909" t="str">
            <v>4-Sep-1990</v>
          </cell>
          <cell r="C909">
            <v>36</v>
          </cell>
          <cell r="D909">
            <v>2</v>
          </cell>
          <cell r="E909">
            <v>4686.3900000000003</v>
          </cell>
          <cell r="F909" t="str">
            <v>tier - 3</v>
          </cell>
          <cell r="G909" t="str">
            <v>tier - 3</v>
          </cell>
          <cell r="H909" t="str">
            <v>R1013</v>
          </cell>
        </row>
        <row r="910">
          <cell r="A910" t="str">
            <v>ID1816</v>
          </cell>
          <cell r="B910" t="str">
            <v>4-Oct-2003</v>
          </cell>
          <cell r="C910">
            <v>23</v>
          </cell>
          <cell r="D910">
            <v>0</v>
          </cell>
          <cell r="E910">
            <v>4678.8</v>
          </cell>
          <cell r="F910" t="str">
            <v>tier - 2</v>
          </cell>
          <cell r="G910" t="str">
            <v>tier - 1</v>
          </cell>
          <cell r="H910" t="str">
            <v>R1021</v>
          </cell>
        </row>
        <row r="911">
          <cell r="A911" t="str">
            <v>ID1817</v>
          </cell>
          <cell r="B911" t="str">
            <v>18-Oct-1979</v>
          </cell>
          <cell r="C911">
            <v>47</v>
          </cell>
          <cell r="D911">
            <v>2</v>
          </cell>
          <cell r="E911">
            <v>4674.2</v>
          </cell>
          <cell r="F911" t="str">
            <v>tier - 2</v>
          </cell>
          <cell r="G911" t="str">
            <v>tier - 1</v>
          </cell>
          <cell r="H911" t="str">
            <v>R1013</v>
          </cell>
        </row>
        <row r="912">
          <cell r="A912" t="str">
            <v>ID1818</v>
          </cell>
          <cell r="B912" t="str">
            <v>13-Jul-1990</v>
          </cell>
          <cell r="C912">
            <v>36</v>
          </cell>
          <cell r="D912">
            <v>2</v>
          </cell>
          <cell r="E912">
            <v>4673.3900000000003</v>
          </cell>
          <cell r="F912" t="str">
            <v>tier - 2</v>
          </cell>
          <cell r="G912" t="str">
            <v>tier - 1</v>
          </cell>
          <cell r="H912" t="str">
            <v>R1013</v>
          </cell>
        </row>
        <row r="913">
          <cell r="A913" t="str">
            <v>ID1819</v>
          </cell>
          <cell r="B913" t="str">
            <v>26-Sep-1990</v>
          </cell>
          <cell r="C913">
            <v>36</v>
          </cell>
          <cell r="D913">
            <v>2</v>
          </cell>
          <cell r="E913">
            <v>4670.6400000000003</v>
          </cell>
          <cell r="F913" t="str">
            <v>tier - 2</v>
          </cell>
          <cell r="G913" t="str">
            <v>tier - 2</v>
          </cell>
          <cell r="H913" t="str">
            <v>R1011</v>
          </cell>
        </row>
        <row r="914">
          <cell r="A914" t="str">
            <v>ID182</v>
          </cell>
          <cell r="B914" t="str">
            <v>5-Dec-1972</v>
          </cell>
          <cell r="C914">
            <v>53</v>
          </cell>
          <cell r="D914">
            <v>0</v>
          </cell>
          <cell r="E914">
            <v>36889.99</v>
          </cell>
          <cell r="F914" t="str">
            <v>tier - 1</v>
          </cell>
          <cell r="G914" t="str">
            <v>tier - 3</v>
          </cell>
          <cell r="H914" t="str">
            <v>R1011</v>
          </cell>
        </row>
        <row r="915">
          <cell r="A915" t="str">
            <v>ID1820</v>
          </cell>
          <cell r="B915" t="str">
            <v>5-Aug-1990</v>
          </cell>
          <cell r="C915">
            <v>36</v>
          </cell>
          <cell r="D915">
            <v>1</v>
          </cell>
          <cell r="E915">
            <v>4667.6099999999997</v>
          </cell>
          <cell r="F915" t="str">
            <v>tier - 3</v>
          </cell>
          <cell r="G915" t="str">
            <v>tier - 3</v>
          </cell>
          <cell r="H915" t="str">
            <v>R1016</v>
          </cell>
        </row>
        <row r="916">
          <cell r="A916" t="str">
            <v>ID1821</v>
          </cell>
          <cell r="B916" t="str">
            <v>25-Oct-1996</v>
          </cell>
          <cell r="C916">
            <v>29</v>
          </cell>
          <cell r="D916">
            <v>3</v>
          </cell>
          <cell r="E916">
            <v>4661.29</v>
          </cell>
          <cell r="F916" t="str">
            <v>tier - 2</v>
          </cell>
          <cell r="G916" t="str">
            <v>tier - 1</v>
          </cell>
          <cell r="H916" t="str">
            <v>R1017</v>
          </cell>
        </row>
        <row r="917">
          <cell r="A917" t="str">
            <v>ID1822</v>
          </cell>
          <cell r="B917" t="str">
            <v>22-Jun-1985</v>
          </cell>
          <cell r="C917">
            <v>41</v>
          </cell>
          <cell r="D917">
            <v>0</v>
          </cell>
          <cell r="E917">
            <v>4646.76</v>
          </cell>
          <cell r="F917" t="str">
            <v>tier - 1</v>
          </cell>
          <cell r="G917" t="str">
            <v>tier - 1</v>
          </cell>
          <cell r="H917" t="str">
            <v>R1011</v>
          </cell>
        </row>
        <row r="918">
          <cell r="A918" t="str">
            <v>ID1823</v>
          </cell>
          <cell r="B918" t="str">
            <v>29-Jun-1998</v>
          </cell>
          <cell r="C918">
            <v>28</v>
          </cell>
          <cell r="D918">
            <v>3</v>
          </cell>
          <cell r="E918">
            <v>4618.08</v>
          </cell>
          <cell r="F918" t="str">
            <v>tier - 2</v>
          </cell>
          <cell r="G918" t="str">
            <v>tier - 1</v>
          </cell>
          <cell r="H918" t="str">
            <v>R1012</v>
          </cell>
        </row>
        <row r="919">
          <cell r="A919" t="str">
            <v>ID1824</v>
          </cell>
          <cell r="B919" t="str">
            <v>2-Jul-2000</v>
          </cell>
          <cell r="C919">
            <v>26</v>
          </cell>
          <cell r="D919">
            <v>0</v>
          </cell>
          <cell r="E919">
            <v>4608.03</v>
          </cell>
          <cell r="F919" t="str">
            <v>tier - 2</v>
          </cell>
          <cell r="G919" t="str">
            <v>tier - 3</v>
          </cell>
          <cell r="H919" t="str">
            <v>R1011</v>
          </cell>
        </row>
        <row r="920">
          <cell r="A920" t="str">
            <v>ID1825</v>
          </cell>
          <cell r="B920" t="str">
            <v>18-Sep-1989</v>
          </cell>
          <cell r="C920">
            <v>37</v>
          </cell>
          <cell r="D920">
            <v>0</v>
          </cell>
          <cell r="E920">
            <v>4571.41</v>
          </cell>
          <cell r="F920" t="str">
            <v>tier - 2</v>
          </cell>
          <cell r="G920" t="str">
            <v>tier - 2</v>
          </cell>
          <cell r="H920" t="str">
            <v>R1012</v>
          </cell>
        </row>
        <row r="921">
          <cell r="A921" t="str">
            <v>ID1826</v>
          </cell>
          <cell r="B921" t="str">
            <v>25-Dec-1996</v>
          </cell>
          <cell r="C921">
            <v>29</v>
          </cell>
          <cell r="D921">
            <v>2</v>
          </cell>
          <cell r="E921">
            <v>4564.1899999999996</v>
          </cell>
          <cell r="F921" t="str">
            <v>tier - 2</v>
          </cell>
          <cell r="G921" t="str">
            <v>tier - 2</v>
          </cell>
          <cell r="H921" t="str">
            <v>R1024</v>
          </cell>
        </row>
        <row r="922">
          <cell r="A922" t="str">
            <v>ID1827</v>
          </cell>
          <cell r="B922" t="str">
            <v>20-Sep-1990</v>
          </cell>
          <cell r="C922">
            <v>36</v>
          </cell>
          <cell r="D922">
            <v>1</v>
          </cell>
          <cell r="E922">
            <v>4562.84</v>
          </cell>
          <cell r="F922" t="str">
            <v>tier - 2</v>
          </cell>
          <cell r="G922" t="str">
            <v>tier - 2</v>
          </cell>
          <cell r="H922" t="str">
            <v>R1013</v>
          </cell>
        </row>
        <row r="923">
          <cell r="A923" t="str">
            <v>ID1828</v>
          </cell>
          <cell r="B923" t="str">
            <v>22-Dec-2004</v>
          </cell>
          <cell r="C923">
            <v>21</v>
          </cell>
          <cell r="D923">
            <v>4</v>
          </cell>
          <cell r="E923">
            <v>4561.1899999999996</v>
          </cell>
          <cell r="F923" t="str">
            <v>tier - 2</v>
          </cell>
          <cell r="G923" t="str">
            <v>tier - 2</v>
          </cell>
          <cell r="H923" t="str">
            <v>R1024</v>
          </cell>
        </row>
        <row r="924">
          <cell r="A924" t="str">
            <v>ID1829</v>
          </cell>
          <cell r="B924" t="str">
            <v>17-Nov-1990</v>
          </cell>
          <cell r="C924">
            <v>35</v>
          </cell>
          <cell r="D924">
            <v>0</v>
          </cell>
          <cell r="E924">
            <v>4544.2299999999996</v>
          </cell>
          <cell r="F924" t="str">
            <v>tier - 2</v>
          </cell>
          <cell r="G924" t="str">
            <v>tier - 1</v>
          </cell>
          <cell r="H924" t="str">
            <v>R1024</v>
          </cell>
        </row>
        <row r="925">
          <cell r="A925" t="str">
            <v>ID183</v>
          </cell>
          <cell r="B925" t="str">
            <v>4-Jul-1992</v>
          </cell>
          <cell r="C925">
            <v>34</v>
          </cell>
          <cell r="D925">
            <v>0</v>
          </cell>
          <cell r="E925">
            <v>36837.47</v>
          </cell>
          <cell r="F925" t="str">
            <v>tier - 2</v>
          </cell>
          <cell r="G925" t="str">
            <v>tier - 3</v>
          </cell>
          <cell r="H925" t="str">
            <v>R1011</v>
          </cell>
        </row>
        <row r="926">
          <cell r="A926" t="str">
            <v>ID1830</v>
          </cell>
          <cell r="B926" t="str">
            <v>13-Jun-1988</v>
          </cell>
          <cell r="C926">
            <v>38</v>
          </cell>
          <cell r="D926">
            <v>1</v>
          </cell>
          <cell r="E926">
            <v>4536.26</v>
          </cell>
          <cell r="F926" t="str">
            <v>tier - 2</v>
          </cell>
          <cell r="G926" t="str">
            <v>tier - 2</v>
          </cell>
          <cell r="H926" t="str">
            <v>R1011</v>
          </cell>
        </row>
        <row r="927">
          <cell r="A927" t="str">
            <v>ID1831</v>
          </cell>
          <cell r="B927" t="str">
            <v>29-Jun-1993</v>
          </cell>
          <cell r="C927">
            <v>33</v>
          </cell>
          <cell r="D927">
            <v>2</v>
          </cell>
          <cell r="E927">
            <v>4529.4799999999996</v>
          </cell>
          <cell r="F927" t="str">
            <v>tier - 2</v>
          </cell>
          <cell r="G927" t="str">
            <v>tier - 1</v>
          </cell>
          <cell r="H927" t="str">
            <v>R1011</v>
          </cell>
        </row>
        <row r="928">
          <cell r="A928" t="str">
            <v>ID1832</v>
          </cell>
          <cell r="B928" t="str">
            <v>13-Aug-1992</v>
          </cell>
          <cell r="C928">
            <v>34</v>
          </cell>
          <cell r="D928">
            <v>1</v>
          </cell>
          <cell r="E928">
            <v>4527.18</v>
          </cell>
          <cell r="F928" t="str">
            <v>tier - 2</v>
          </cell>
          <cell r="G928" t="str">
            <v>tier - 2</v>
          </cell>
          <cell r="H928" t="str">
            <v>R1012</v>
          </cell>
        </row>
        <row r="929">
          <cell r="A929" t="str">
            <v>ID1833</v>
          </cell>
          <cell r="B929" t="str">
            <v>21-Dec-1988</v>
          </cell>
          <cell r="C929">
            <v>37</v>
          </cell>
          <cell r="D929">
            <v>0</v>
          </cell>
          <cell r="E929">
            <v>4518.83</v>
          </cell>
          <cell r="F929" t="str">
            <v>tier - 2</v>
          </cell>
          <cell r="G929" t="str">
            <v>tier - 2</v>
          </cell>
          <cell r="H929" t="str">
            <v>R1017</v>
          </cell>
        </row>
        <row r="930">
          <cell r="A930" t="str">
            <v>ID1834</v>
          </cell>
          <cell r="B930" t="str">
            <v>5-Dec-1987</v>
          </cell>
          <cell r="C930">
            <v>38</v>
          </cell>
          <cell r="D930">
            <v>3</v>
          </cell>
          <cell r="E930">
            <v>4518.7700000000004</v>
          </cell>
          <cell r="F930" t="str">
            <v>tier - 2</v>
          </cell>
          <cell r="G930" t="str">
            <v>tier - 3</v>
          </cell>
          <cell r="H930" t="str">
            <v>R1012</v>
          </cell>
        </row>
        <row r="931">
          <cell r="A931" t="str">
            <v>ID1835</v>
          </cell>
          <cell r="B931" t="str">
            <v>2-Oct-2003</v>
          </cell>
          <cell r="C931">
            <v>23</v>
          </cell>
          <cell r="D931">
            <v>0</v>
          </cell>
          <cell r="E931">
            <v>4518.3999999999996</v>
          </cell>
          <cell r="F931" t="str">
            <v>tier - 2</v>
          </cell>
          <cell r="G931" t="str">
            <v>tier - 3</v>
          </cell>
          <cell r="H931" t="str">
            <v>R1026</v>
          </cell>
        </row>
        <row r="932">
          <cell r="A932" t="str">
            <v>ID1836</v>
          </cell>
          <cell r="B932" t="str">
            <v>16-Jun-1980</v>
          </cell>
          <cell r="C932">
            <v>46</v>
          </cell>
          <cell r="D932">
            <v>2</v>
          </cell>
          <cell r="E932">
            <v>4515.71</v>
          </cell>
          <cell r="F932" t="str">
            <v>tier - 2</v>
          </cell>
          <cell r="G932" t="str">
            <v>tier - 3</v>
          </cell>
          <cell r="H932" t="str">
            <v>R1013</v>
          </cell>
        </row>
        <row r="933">
          <cell r="A933" t="str">
            <v>ID1837</v>
          </cell>
          <cell r="B933" t="str">
            <v>27-Sep-1982</v>
          </cell>
          <cell r="C933">
            <v>44</v>
          </cell>
          <cell r="D933">
            <v>3</v>
          </cell>
          <cell r="E933">
            <v>4511.41</v>
          </cell>
          <cell r="F933" t="str">
            <v>tier - 2</v>
          </cell>
          <cell r="G933" t="str">
            <v>tier - 3</v>
          </cell>
          <cell r="H933" t="str">
            <v>R1013</v>
          </cell>
        </row>
        <row r="934">
          <cell r="A934" t="str">
            <v>ID1838</v>
          </cell>
          <cell r="B934" t="str">
            <v>13-Oct-1997</v>
          </cell>
          <cell r="C934">
            <v>29</v>
          </cell>
          <cell r="D934">
            <v>4</v>
          </cell>
          <cell r="E934">
            <v>4504.66</v>
          </cell>
          <cell r="F934" t="str">
            <v>tier - 1</v>
          </cell>
          <cell r="G934" t="str">
            <v>tier - 2</v>
          </cell>
          <cell r="H934" t="str">
            <v>R1013</v>
          </cell>
        </row>
        <row r="935">
          <cell r="A935" t="str">
            <v>ID1839</v>
          </cell>
          <cell r="B935" t="str">
            <v>26-Jun-1988</v>
          </cell>
          <cell r="C935">
            <v>38</v>
          </cell>
          <cell r="D935">
            <v>0</v>
          </cell>
          <cell r="E935">
            <v>4500.34</v>
          </cell>
          <cell r="F935" t="str">
            <v>tier - 2</v>
          </cell>
          <cell r="G935" t="str">
            <v>tier - 1</v>
          </cell>
          <cell r="H935" t="str">
            <v>R1017</v>
          </cell>
        </row>
        <row r="936">
          <cell r="A936" t="str">
            <v>ID184</v>
          </cell>
          <cell r="B936" t="str">
            <v>28-Dec-1965</v>
          </cell>
          <cell r="C936">
            <v>60</v>
          </cell>
          <cell r="D936">
            <v>0</v>
          </cell>
          <cell r="E936">
            <v>36795.29</v>
          </cell>
          <cell r="F936" t="str">
            <v>tier - 2</v>
          </cell>
          <cell r="G936" t="str">
            <v>tier - 1</v>
          </cell>
          <cell r="H936" t="str">
            <v>R1011</v>
          </cell>
        </row>
        <row r="937">
          <cell r="A937" t="str">
            <v>ID1840</v>
          </cell>
          <cell r="B937" t="str">
            <v>12-Jul-1992</v>
          </cell>
          <cell r="C937">
            <v>34</v>
          </cell>
          <cell r="D937">
            <v>0</v>
          </cell>
          <cell r="E937">
            <v>4488.58</v>
          </cell>
          <cell r="F937" t="str">
            <v>tier - 2</v>
          </cell>
          <cell r="G937" t="str">
            <v>tier - 3</v>
          </cell>
          <cell r="H937" t="str">
            <v>R1012</v>
          </cell>
        </row>
        <row r="938">
          <cell r="A938" t="str">
            <v>ID1841</v>
          </cell>
          <cell r="B938" t="str">
            <v>18-Jul-2004</v>
          </cell>
          <cell r="C938">
            <v>22</v>
          </cell>
          <cell r="D938">
            <v>0</v>
          </cell>
          <cell r="E938">
            <v>4468.25</v>
          </cell>
          <cell r="F938" t="str">
            <v>tier - 2</v>
          </cell>
          <cell r="G938" t="str">
            <v>tier - 2</v>
          </cell>
          <cell r="H938" t="str">
            <v>R1012</v>
          </cell>
        </row>
        <row r="939">
          <cell r="A939" t="str">
            <v>ID1842</v>
          </cell>
          <cell r="B939" t="str">
            <v>20-Nov-1999</v>
          </cell>
          <cell r="C939">
            <v>26</v>
          </cell>
          <cell r="D939">
            <v>3</v>
          </cell>
          <cell r="E939">
            <v>4466.62</v>
          </cell>
          <cell r="F939" t="str">
            <v>tier - 2</v>
          </cell>
          <cell r="G939" t="str">
            <v>tier - 2</v>
          </cell>
          <cell r="H939" t="str">
            <v>R1012</v>
          </cell>
        </row>
        <row r="940">
          <cell r="A940" t="str">
            <v>ID1843</v>
          </cell>
          <cell r="B940" t="str">
            <v>4-Jul-1991</v>
          </cell>
          <cell r="C940">
            <v>35</v>
          </cell>
          <cell r="D940">
            <v>2</v>
          </cell>
          <cell r="E940">
            <v>4463.21</v>
          </cell>
          <cell r="F940" t="str">
            <v>tier - 3</v>
          </cell>
          <cell r="G940" t="str">
            <v>tier - 3</v>
          </cell>
          <cell r="H940" t="str">
            <v>R1013</v>
          </cell>
        </row>
        <row r="941">
          <cell r="A941" t="str">
            <v>ID1844</v>
          </cell>
          <cell r="B941" t="str">
            <v>15-Jul-1990</v>
          </cell>
          <cell r="C941">
            <v>36</v>
          </cell>
          <cell r="D941">
            <v>1</v>
          </cell>
          <cell r="E941">
            <v>4462.72</v>
          </cell>
          <cell r="F941" t="str">
            <v>tier - 2</v>
          </cell>
          <cell r="G941" t="str">
            <v>tier - 3</v>
          </cell>
          <cell r="H941" t="str">
            <v>R1012</v>
          </cell>
        </row>
        <row r="942">
          <cell r="A942" t="str">
            <v>ID1845</v>
          </cell>
          <cell r="B942" t="str">
            <v>8-Aug-1990</v>
          </cell>
          <cell r="C942">
            <v>36</v>
          </cell>
          <cell r="D942">
            <v>1</v>
          </cell>
          <cell r="E942">
            <v>4454.3999999999996</v>
          </cell>
          <cell r="F942" t="str">
            <v>tier - 2</v>
          </cell>
          <cell r="G942" t="str">
            <v>tier - 3</v>
          </cell>
          <cell r="H942" t="str">
            <v>R1012</v>
          </cell>
        </row>
        <row r="943">
          <cell r="A943" t="str">
            <v>ID1846</v>
          </cell>
          <cell r="B943" t="str">
            <v>28-Jun-1994</v>
          </cell>
          <cell r="C943">
            <v>32</v>
          </cell>
          <cell r="D943">
            <v>3</v>
          </cell>
          <cell r="E943">
            <v>4449.46</v>
          </cell>
          <cell r="F943" t="str">
            <v>tier - 1</v>
          </cell>
          <cell r="G943" t="str">
            <v>tier - 2</v>
          </cell>
          <cell r="H943" t="str">
            <v>R1013</v>
          </cell>
        </row>
        <row r="944">
          <cell r="A944" t="str">
            <v>ID1847</v>
          </cell>
          <cell r="B944" t="str">
            <v>3-Sep-1991</v>
          </cell>
          <cell r="C944">
            <v>35</v>
          </cell>
          <cell r="D944">
            <v>1</v>
          </cell>
          <cell r="E944">
            <v>4441.21</v>
          </cell>
          <cell r="F944" t="str">
            <v>tier - 1</v>
          </cell>
          <cell r="G944" t="str">
            <v>tier - 2</v>
          </cell>
          <cell r="H944" t="str">
            <v>R1014</v>
          </cell>
        </row>
        <row r="945">
          <cell r="A945" t="str">
            <v>ID1848</v>
          </cell>
          <cell r="B945" t="str">
            <v>24-Oct-1994</v>
          </cell>
          <cell r="C945">
            <v>31</v>
          </cell>
          <cell r="D945">
            <v>2</v>
          </cell>
          <cell r="E945">
            <v>4438.26</v>
          </cell>
          <cell r="F945" t="str">
            <v>tier - 2</v>
          </cell>
          <cell r="G945" t="str">
            <v>tier - 3</v>
          </cell>
          <cell r="H945" t="str">
            <v>R1017</v>
          </cell>
        </row>
        <row r="946">
          <cell r="A946" t="str">
            <v>ID1849</v>
          </cell>
          <cell r="B946" t="str">
            <v>8-Oct-1994</v>
          </cell>
          <cell r="C946">
            <v>32</v>
          </cell>
          <cell r="D946">
            <v>2</v>
          </cell>
          <cell r="E946">
            <v>4435.09</v>
          </cell>
          <cell r="F946" t="str">
            <v>tier - 3</v>
          </cell>
          <cell r="G946" t="str">
            <v>tier - 2</v>
          </cell>
          <cell r="H946" t="str">
            <v>R1016</v>
          </cell>
        </row>
        <row r="947">
          <cell r="A947" t="str">
            <v>ID185</v>
          </cell>
          <cell r="B947" t="str">
            <v>14-Jul-1970</v>
          </cell>
          <cell r="C947">
            <v>56</v>
          </cell>
          <cell r="D947">
            <v>0</v>
          </cell>
          <cell r="E947">
            <v>36786.370000000003</v>
          </cell>
          <cell r="F947" t="str">
            <v>tier - 1</v>
          </cell>
          <cell r="G947" t="str">
            <v>tier - 1</v>
          </cell>
          <cell r="H947" t="str">
            <v>R1011</v>
          </cell>
        </row>
        <row r="948">
          <cell r="A948" t="str">
            <v>ID1850</v>
          </cell>
          <cell r="B948" t="str">
            <v>23-Dec-1993</v>
          </cell>
          <cell r="C948">
            <v>32</v>
          </cell>
          <cell r="D948">
            <v>2</v>
          </cell>
          <cell r="E948">
            <v>4433.92</v>
          </cell>
          <cell r="F948" t="str">
            <v>tier - 2</v>
          </cell>
          <cell r="G948" t="str">
            <v>tier - 2</v>
          </cell>
          <cell r="H948" t="str">
            <v>R1012</v>
          </cell>
        </row>
        <row r="949">
          <cell r="A949" t="str">
            <v>ID1851</v>
          </cell>
          <cell r="B949" t="str">
            <v>4-Sep-1993</v>
          </cell>
          <cell r="C949">
            <v>33</v>
          </cell>
          <cell r="D949">
            <v>2</v>
          </cell>
          <cell r="E949">
            <v>4433.3900000000003</v>
          </cell>
          <cell r="F949" t="str">
            <v>tier - 2</v>
          </cell>
          <cell r="G949" t="str">
            <v>tier - 3</v>
          </cell>
          <cell r="H949" t="str">
            <v>R1012</v>
          </cell>
        </row>
        <row r="950">
          <cell r="A950" t="str">
            <v>ID1852</v>
          </cell>
          <cell r="B950" t="str">
            <v>29-Dec-1994</v>
          </cell>
          <cell r="C950">
            <v>31</v>
          </cell>
          <cell r="D950">
            <v>2</v>
          </cell>
          <cell r="E950">
            <v>4428.8900000000003</v>
          </cell>
          <cell r="F950" t="str">
            <v>tier - 3</v>
          </cell>
          <cell r="G950" t="str">
            <v>tier - 1</v>
          </cell>
          <cell r="H950" t="str">
            <v>R1017</v>
          </cell>
        </row>
        <row r="951">
          <cell r="A951" t="str">
            <v>ID1853</v>
          </cell>
          <cell r="B951" t="str">
            <v>15-Aug-1992</v>
          </cell>
          <cell r="C951">
            <v>34</v>
          </cell>
          <cell r="D951">
            <v>0</v>
          </cell>
          <cell r="E951">
            <v>4420.95</v>
          </cell>
          <cell r="F951" t="str">
            <v>tier - 2</v>
          </cell>
          <cell r="G951" t="str">
            <v>tier - 3</v>
          </cell>
          <cell r="H951" t="str">
            <v>R1020</v>
          </cell>
        </row>
        <row r="952">
          <cell r="A952" t="str">
            <v>ID1854</v>
          </cell>
          <cell r="B952" t="str">
            <v>16-Sep-1988</v>
          </cell>
          <cell r="C952">
            <v>38</v>
          </cell>
          <cell r="D952">
            <v>0</v>
          </cell>
          <cell r="E952">
            <v>4415.16</v>
          </cell>
          <cell r="F952" t="str">
            <v>tier - 2</v>
          </cell>
          <cell r="G952" t="str">
            <v>tier - 1</v>
          </cell>
          <cell r="H952" t="str">
            <v>R1013</v>
          </cell>
        </row>
        <row r="953">
          <cell r="A953" t="str">
            <v>ID1855</v>
          </cell>
          <cell r="B953" t="str">
            <v>13-Jul-1986</v>
          </cell>
          <cell r="C953">
            <v>40</v>
          </cell>
          <cell r="D953">
            <v>0</v>
          </cell>
          <cell r="E953">
            <v>4402.2299999999996</v>
          </cell>
          <cell r="F953" t="str">
            <v>tier - 2</v>
          </cell>
          <cell r="G953" t="str">
            <v>tier - 2</v>
          </cell>
          <cell r="H953" t="str">
            <v>R1011</v>
          </cell>
        </row>
        <row r="954">
          <cell r="A954" t="str">
            <v>ID1856</v>
          </cell>
          <cell r="B954" t="str">
            <v>11-Aug-1986</v>
          </cell>
          <cell r="C954">
            <v>40</v>
          </cell>
          <cell r="D954">
            <v>0</v>
          </cell>
          <cell r="E954">
            <v>4399.7299999999996</v>
          </cell>
          <cell r="F954" t="str">
            <v>tier - 3</v>
          </cell>
          <cell r="G954" t="str">
            <v>tier - 2</v>
          </cell>
          <cell r="H954" t="str">
            <v>R1013</v>
          </cell>
        </row>
        <row r="955">
          <cell r="A955" t="str">
            <v>ID1857</v>
          </cell>
          <cell r="B955" t="str">
            <v>18-Jul-1988</v>
          </cell>
          <cell r="C955">
            <v>38</v>
          </cell>
          <cell r="D955">
            <v>3</v>
          </cell>
          <cell r="E955">
            <v>4397.3100000000004</v>
          </cell>
          <cell r="F955" t="str">
            <v>tier - 2</v>
          </cell>
          <cell r="G955" t="str">
            <v>tier - 2</v>
          </cell>
          <cell r="H955" t="str">
            <v>R1013</v>
          </cell>
        </row>
        <row r="956">
          <cell r="A956" t="str">
            <v>ID1858</v>
          </cell>
          <cell r="B956" t="str">
            <v>29-Jun-1982</v>
          </cell>
          <cell r="C956">
            <v>44</v>
          </cell>
          <cell r="D956">
            <v>3</v>
          </cell>
          <cell r="E956">
            <v>4392.7</v>
          </cell>
          <cell r="F956" t="str">
            <v>tier - 2</v>
          </cell>
          <cell r="G956" t="str">
            <v>tier - 2</v>
          </cell>
          <cell r="H956" t="str">
            <v>R1013</v>
          </cell>
        </row>
        <row r="957">
          <cell r="A957" t="str">
            <v>ID1859</v>
          </cell>
          <cell r="B957" t="str">
            <v>29-Nov-1997</v>
          </cell>
          <cell r="C957">
            <v>28</v>
          </cell>
          <cell r="D957">
            <v>3</v>
          </cell>
          <cell r="E957">
            <v>4391.6499999999996</v>
          </cell>
          <cell r="F957" t="str">
            <v>tier - 2</v>
          </cell>
          <cell r="G957" t="str">
            <v>tier - 2</v>
          </cell>
          <cell r="H957" t="str">
            <v>R1011</v>
          </cell>
        </row>
        <row r="958">
          <cell r="A958" t="str">
            <v>ID186</v>
          </cell>
          <cell r="B958" t="str">
            <v>29-Jul-1961</v>
          </cell>
          <cell r="C958">
            <v>65</v>
          </cell>
          <cell r="D958">
            <v>4</v>
          </cell>
          <cell r="E958">
            <v>36580.28</v>
          </cell>
          <cell r="F958" t="str">
            <v>tier - 2</v>
          </cell>
          <cell r="G958" t="str">
            <v>tier - 2</v>
          </cell>
          <cell r="H958" t="str">
            <v>R1013</v>
          </cell>
        </row>
        <row r="959">
          <cell r="A959" t="str">
            <v>ID1860</v>
          </cell>
          <cell r="B959" t="str">
            <v>28-Aug-1990</v>
          </cell>
          <cell r="C959">
            <v>36</v>
          </cell>
          <cell r="D959">
            <v>0</v>
          </cell>
          <cell r="E959">
            <v>4357.04</v>
          </cell>
          <cell r="F959" t="str">
            <v>tier - 2</v>
          </cell>
          <cell r="G959" t="str">
            <v>tier - 3</v>
          </cell>
          <cell r="H959" t="str">
            <v>R1012</v>
          </cell>
        </row>
        <row r="960">
          <cell r="A960" t="str">
            <v>ID1861</v>
          </cell>
          <cell r="B960" t="str">
            <v>13-Sep-1991</v>
          </cell>
          <cell r="C960">
            <v>35</v>
          </cell>
          <cell r="D960">
            <v>1</v>
          </cell>
          <cell r="E960">
            <v>4350.51</v>
          </cell>
          <cell r="F960" t="str">
            <v>tier - 2</v>
          </cell>
          <cell r="G960" t="str">
            <v>tier - 2</v>
          </cell>
          <cell r="H960" t="str">
            <v>R1013</v>
          </cell>
        </row>
        <row r="961">
          <cell r="A961" t="str">
            <v>ID1862</v>
          </cell>
          <cell r="B961" t="str">
            <v>1-Nov-1994</v>
          </cell>
          <cell r="C961">
            <v>31</v>
          </cell>
          <cell r="D961">
            <v>2</v>
          </cell>
          <cell r="E961">
            <v>4349.46</v>
          </cell>
          <cell r="F961" t="str">
            <v>tier - 2</v>
          </cell>
          <cell r="G961" t="str">
            <v>tier - 2</v>
          </cell>
          <cell r="H961" t="str">
            <v>R1013</v>
          </cell>
        </row>
        <row r="962">
          <cell r="A962" t="str">
            <v>ID1863</v>
          </cell>
          <cell r="B962" t="str">
            <v>1-Jun-1991</v>
          </cell>
          <cell r="C962">
            <v>35</v>
          </cell>
          <cell r="D962">
            <v>0</v>
          </cell>
          <cell r="E962">
            <v>4347.0200000000004</v>
          </cell>
          <cell r="F962" t="str">
            <v>tier - 2</v>
          </cell>
          <cell r="G962" t="str">
            <v>tier - 1</v>
          </cell>
          <cell r="H962" t="str">
            <v>R1024</v>
          </cell>
        </row>
        <row r="963">
          <cell r="A963" t="str">
            <v>ID1864</v>
          </cell>
          <cell r="B963" t="str">
            <v>26-Oct-1994</v>
          </cell>
          <cell r="C963">
            <v>31</v>
          </cell>
          <cell r="D963">
            <v>2</v>
          </cell>
          <cell r="E963">
            <v>4340.4399999999996</v>
          </cell>
          <cell r="F963" t="str">
            <v>tier - 2</v>
          </cell>
          <cell r="G963" t="str">
            <v>tier - 1</v>
          </cell>
          <cell r="H963" t="str">
            <v>R1013</v>
          </cell>
        </row>
        <row r="964">
          <cell r="A964" t="str">
            <v>ID1865</v>
          </cell>
          <cell r="B964" t="str">
            <v>2-Nov-1994</v>
          </cell>
          <cell r="C964">
            <v>31</v>
          </cell>
          <cell r="D964">
            <v>1</v>
          </cell>
          <cell r="E964">
            <v>4337.74</v>
          </cell>
          <cell r="F964" t="str">
            <v>tier - 2</v>
          </cell>
          <cell r="G964" t="str">
            <v>tier - 1</v>
          </cell>
          <cell r="H964" t="str">
            <v>R1024</v>
          </cell>
        </row>
        <row r="965">
          <cell r="A965" t="str">
            <v>ID1866</v>
          </cell>
          <cell r="B965" t="str">
            <v>19-Dec-1988</v>
          </cell>
          <cell r="C965">
            <v>37</v>
          </cell>
          <cell r="D965">
            <v>0</v>
          </cell>
          <cell r="E965">
            <v>4320.41</v>
          </cell>
          <cell r="F965" t="str">
            <v>tier - 2</v>
          </cell>
          <cell r="G965" t="str">
            <v>tier - 1</v>
          </cell>
          <cell r="H965" t="str">
            <v>R1012</v>
          </cell>
        </row>
        <row r="966">
          <cell r="A966" t="str">
            <v>ID1867</v>
          </cell>
          <cell r="B966" t="str">
            <v>25-Nov-2000</v>
          </cell>
          <cell r="C966">
            <v>25</v>
          </cell>
          <cell r="D966">
            <v>3</v>
          </cell>
          <cell r="E966">
            <v>4296.2700000000004</v>
          </cell>
          <cell r="F966" t="str">
            <v>tier - 2</v>
          </cell>
          <cell r="G966" t="str">
            <v>tier - 3</v>
          </cell>
          <cell r="H966" t="str">
            <v>R1012</v>
          </cell>
        </row>
        <row r="967">
          <cell r="A967" t="str">
            <v>ID1868</v>
          </cell>
          <cell r="B967" t="str">
            <v>8-Jun-2003</v>
          </cell>
          <cell r="C967">
            <v>23</v>
          </cell>
          <cell r="D967">
            <v>0</v>
          </cell>
          <cell r="E967">
            <v>4278.55</v>
          </cell>
          <cell r="F967" t="str">
            <v>tier - 2</v>
          </cell>
          <cell r="G967" t="str">
            <v>tier - 1</v>
          </cell>
          <cell r="H967" t="str">
            <v>R1021</v>
          </cell>
        </row>
        <row r="968">
          <cell r="A968" t="str">
            <v>ID1869</v>
          </cell>
          <cell r="B968" t="str">
            <v>18-Jun-1992</v>
          </cell>
          <cell r="C968">
            <v>34</v>
          </cell>
          <cell r="D968">
            <v>2</v>
          </cell>
          <cell r="E968">
            <v>4266.17</v>
          </cell>
          <cell r="F968" t="str">
            <v>tier - 3</v>
          </cell>
          <cell r="G968" t="str">
            <v>tier - 2</v>
          </cell>
          <cell r="H968" t="str">
            <v>R1013</v>
          </cell>
        </row>
        <row r="969">
          <cell r="A969" t="str">
            <v>ID187</v>
          </cell>
          <cell r="B969" t="str">
            <v>9-Oct-1992</v>
          </cell>
          <cell r="C969">
            <v>34</v>
          </cell>
          <cell r="D969">
            <v>0</v>
          </cell>
          <cell r="E969">
            <v>36572.800000000003</v>
          </cell>
          <cell r="F969" t="str">
            <v>tier - 1</v>
          </cell>
          <cell r="G969" t="str">
            <v>tier - 2</v>
          </cell>
          <cell r="H969" t="str">
            <v>R1011</v>
          </cell>
        </row>
        <row r="970">
          <cell r="A970" t="str">
            <v>ID1870</v>
          </cell>
          <cell r="B970" t="str">
            <v>20-Nov-1983</v>
          </cell>
          <cell r="C970">
            <v>42</v>
          </cell>
          <cell r="D970">
            <v>3</v>
          </cell>
          <cell r="E970">
            <v>4265.01</v>
          </cell>
          <cell r="F970" t="str">
            <v>tier - 2</v>
          </cell>
          <cell r="G970" t="str">
            <v>tier - 1</v>
          </cell>
          <cell r="H970" t="str">
            <v>R1012</v>
          </cell>
        </row>
        <row r="971">
          <cell r="A971" t="str">
            <v>ID1871</v>
          </cell>
          <cell r="B971" t="str">
            <v>14-Oct-1995</v>
          </cell>
          <cell r="C971">
            <v>31</v>
          </cell>
          <cell r="D971">
            <v>3</v>
          </cell>
          <cell r="E971">
            <v>4260.74</v>
          </cell>
          <cell r="F971" t="str">
            <v>tier - 3</v>
          </cell>
          <cell r="G971" t="str">
            <v>tier - 2</v>
          </cell>
          <cell r="H971" t="str">
            <v>R1011</v>
          </cell>
        </row>
        <row r="972">
          <cell r="A972" t="str">
            <v>ID1872</v>
          </cell>
          <cell r="B972" t="str">
            <v>16-Jun-1982</v>
          </cell>
          <cell r="C972">
            <v>44</v>
          </cell>
          <cell r="D972">
            <v>3</v>
          </cell>
          <cell r="E972">
            <v>4250.24</v>
          </cell>
          <cell r="F972" t="str">
            <v>tier - 2</v>
          </cell>
          <cell r="G972" t="str">
            <v>tier - 3</v>
          </cell>
          <cell r="H972" t="str">
            <v>R1013</v>
          </cell>
        </row>
        <row r="973">
          <cell r="A973" t="str">
            <v>ID1873</v>
          </cell>
          <cell r="B973" t="str">
            <v>1-Dec-1991</v>
          </cell>
          <cell r="C973">
            <v>34</v>
          </cell>
          <cell r="D973">
            <v>1</v>
          </cell>
          <cell r="E973">
            <v>4243.59</v>
          </cell>
          <cell r="F973" t="str">
            <v>tier - 3</v>
          </cell>
          <cell r="G973" t="str">
            <v>tier - 1</v>
          </cell>
          <cell r="H973" t="str">
            <v>R1012</v>
          </cell>
        </row>
        <row r="974">
          <cell r="A974" t="str">
            <v>ID1874</v>
          </cell>
          <cell r="B974" t="str">
            <v>3-Nov-1991</v>
          </cell>
          <cell r="C974">
            <v>34</v>
          </cell>
          <cell r="D974">
            <v>1</v>
          </cell>
          <cell r="E974">
            <v>4239.8900000000003</v>
          </cell>
          <cell r="F974" t="str">
            <v>tier - 2</v>
          </cell>
          <cell r="G974" t="str">
            <v>tier - 2</v>
          </cell>
          <cell r="H974" t="str">
            <v>R1012</v>
          </cell>
        </row>
        <row r="975">
          <cell r="A975" t="str">
            <v>ID1875</v>
          </cell>
          <cell r="B975" t="str">
            <v>27-Jun-1992</v>
          </cell>
          <cell r="C975">
            <v>34</v>
          </cell>
          <cell r="D975">
            <v>1</v>
          </cell>
          <cell r="E975">
            <v>4237.13</v>
          </cell>
          <cell r="F975" t="str">
            <v>tier - 3</v>
          </cell>
          <cell r="G975" t="str">
            <v>tier - 1</v>
          </cell>
          <cell r="H975" t="str">
            <v>R1016</v>
          </cell>
        </row>
        <row r="976">
          <cell r="A976" t="str">
            <v>ID1876</v>
          </cell>
          <cell r="B976" t="str">
            <v>14-Dec-1998</v>
          </cell>
          <cell r="C976">
            <v>27</v>
          </cell>
          <cell r="D976">
            <v>3</v>
          </cell>
          <cell r="E976">
            <v>4234.93</v>
          </cell>
          <cell r="F976" t="str">
            <v>tier - 2</v>
          </cell>
          <cell r="G976" t="str">
            <v>tier - 1</v>
          </cell>
          <cell r="H976" t="str">
            <v>R1011</v>
          </cell>
        </row>
        <row r="977">
          <cell r="A977" t="str">
            <v>ID1877</v>
          </cell>
          <cell r="B977" t="str">
            <v>6-Sep-1997</v>
          </cell>
          <cell r="C977">
            <v>29</v>
          </cell>
          <cell r="D977">
            <v>2</v>
          </cell>
          <cell r="E977">
            <v>4189.1099999999997</v>
          </cell>
          <cell r="F977" t="str">
            <v>tier - 2</v>
          </cell>
          <cell r="G977" t="str">
            <v>tier - 2</v>
          </cell>
          <cell r="H977" t="str">
            <v>R1012</v>
          </cell>
        </row>
        <row r="978">
          <cell r="A978" t="str">
            <v>ID1878</v>
          </cell>
          <cell r="B978" t="str">
            <v>3-Oct-1995</v>
          </cell>
          <cell r="C978">
            <v>31</v>
          </cell>
          <cell r="D978">
            <v>0</v>
          </cell>
          <cell r="E978">
            <v>4188.7299999999996</v>
          </cell>
          <cell r="F978" t="str">
            <v>tier - 2</v>
          </cell>
          <cell r="G978" t="str">
            <v>tier - 2</v>
          </cell>
          <cell r="H978" t="str">
            <v>R1025</v>
          </cell>
        </row>
        <row r="979">
          <cell r="A979" t="str">
            <v>ID1879</v>
          </cell>
          <cell r="B979" t="str">
            <v>25-Jun-1989</v>
          </cell>
          <cell r="C979">
            <v>37</v>
          </cell>
          <cell r="D979">
            <v>0</v>
          </cell>
          <cell r="E979">
            <v>4185.1000000000004</v>
          </cell>
          <cell r="F979" t="str">
            <v>tier - 2</v>
          </cell>
          <cell r="G979" t="str">
            <v>tier - 3</v>
          </cell>
          <cell r="H979" t="str">
            <v>R1013</v>
          </cell>
        </row>
        <row r="980">
          <cell r="A980" t="str">
            <v>ID188</v>
          </cell>
          <cell r="B980" t="str">
            <v>9-Aug-1973</v>
          </cell>
          <cell r="C980">
            <v>53</v>
          </cell>
          <cell r="D980">
            <v>0</v>
          </cell>
          <cell r="E980">
            <v>36541.550000000003</v>
          </cell>
          <cell r="F980" t="str">
            <v>tier - 2</v>
          </cell>
          <cell r="G980" t="str">
            <v>tier - 3</v>
          </cell>
          <cell r="H980" t="str">
            <v>R1011</v>
          </cell>
        </row>
        <row r="981">
          <cell r="A981" t="str">
            <v>ID1880</v>
          </cell>
          <cell r="B981" t="str">
            <v>16-Sep-1984</v>
          </cell>
          <cell r="C981">
            <v>42</v>
          </cell>
          <cell r="D981">
            <v>3</v>
          </cell>
          <cell r="E981">
            <v>4163.21</v>
          </cell>
          <cell r="F981" t="str">
            <v>tier - 2</v>
          </cell>
          <cell r="G981" t="str">
            <v>tier - 2</v>
          </cell>
          <cell r="H981" t="str">
            <v>R1012</v>
          </cell>
        </row>
        <row r="982">
          <cell r="A982" t="str">
            <v>ID1881</v>
          </cell>
          <cell r="B982" t="str">
            <v>26-Nov-1998</v>
          </cell>
          <cell r="C982">
            <v>27</v>
          </cell>
          <cell r="D982">
            <v>0</v>
          </cell>
          <cell r="E982">
            <v>4154.97</v>
          </cell>
          <cell r="F982" t="str">
            <v>tier - 2</v>
          </cell>
          <cell r="G982" t="str">
            <v>tier - 1</v>
          </cell>
          <cell r="H982" t="str">
            <v>R1012</v>
          </cell>
        </row>
        <row r="983">
          <cell r="A983" t="str">
            <v>ID1882</v>
          </cell>
          <cell r="B983" t="str">
            <v>4-Aug-1992</v>
          </cell>
          <cell r="C983">
            <v>34</v>
          </cell>
          <cell r="D983">
            <v>1</v>
          </cell>
          <cell r="E983">
            <v>4151.03</v>
          </cell>
          <cell r="F983" t="str">
            <v>tier - 2</v>
          </cell>
          <cell r="G983" t="str">
            <v>tier - 2</v>
          </cell>
          <cell r="H983" t="str">
            <v>R1013</v>
          </cell>
        </row>
        <row r="984">
          <cell r="A984" t="str">
            <v>ID1883</v>
          </cell>
          <cell r="B984" t="str">
            <v>28-Jun-1992</v>
          </cell>
          <cell r="C984">
            <v>34</v>
          </cell>
          <cell r="D984">
            <v>1</v>
          </cell>
          <cell r="E984">
            <v>4149.74</v>
          </cell>
          <cell r="F984" t="str">
            <v>tier - 2</v>
          </cell>
          <cell r="G984" t="str">
            <v>tier - 1</v>
          </cell>
          <cell r="H984" t="str">
            <v>R1011</v>
          </cell>
        </row>
        <row r="985">
          <cell r="A985" t="str">
            <v>ID1884</v>
          </cell>
          <cell r="B985" t="str">
            <v>18-Jun-1992</v>
          </cell>
          <cell r="C985">
            <v>34</v>
          </cell>
          <cell r="D985">
            <v>0</v>
          </cell>
          <cell r="E985">
            <v>4137.5200000000004</v>
          </cell>
          <cell r="F985" t="str">
            <v>tier - 2</v>
          </cell>
          <cell r="G985" t="str">
            <v>tier - 3</v>
          </cell>
          <cell r="H985" t="str">
            <v>R1024</v>
          </cell>
        </row>
        <row r="986">
          <cell r="A986" t="str">
            <v>ID1885</v>
          </cell>
          <cell r="B986" t="str">
            <v>6-Aug-1991</v>
          </cell>
          <cell r="C986">
            <v>35</v>
          </cell>
          <cell r="D986">
            <v>0</v>
          </cell>
          <cell r="E986">
            <v>4134.08</v>
          </cell>
          <cell r="F986" t="str">
            <v>tier - 2</v>
          </cell>
          <cell r="G986" t="str">
            <v>tier - 1</v>
          </cell>
          <cell r="H986" t="str">
            <v>R1012</v>
          </cell>
        </row>
        <row r="987">
          <cell r="A987" t="str">
            <v>ID1886</v>
          </cell>
          <cell r="B987" t="str">
            <v>21-Aug-1994</v>
          </cell>
          <cell r="C987">
            <v>32</v>
          </cell>
          <cell r="D987">
            <v>1</v>
          </cell>
          <cell r="E987">
            <v>4133.6400000000003</v>
          </cell>
          <cell r="F987" t="str">
            <v>tier - 2</v>
          </cell>
          <cell r="G987" t="str">
            <v>tier - 3</v>
          </cell>
          <cell r="H987" t="str">
            <v>R1012</v>
          </cell>
        </row>
        <row r="988">
          <cell r="A988" t="str">
            <v>ID1887</v>
          </cell>
          <cell r="B988" t="str">
            <v>14-Dec-1990</v>
          </cell>
          <cell r="C988">
            <v>35</v>
          </cell>
          <cell r="D988">
            <v>1</v>
          </cell>
          <cell r="E988">
            <v>4076.5</v>
          </cell>
          <cell r="F988" t="str">
            <v>tier - 2</v>
          </cell>
          <cell r="G988" t="str">
            <v>tier - 3</v>
          </cell>
          <cell r="H988" t="str">
            <v>R1011</v>
          </cell>
        </row>
        <row r="989">
          <cell r="A989" t="str">
            <v>ID1888</v>
          </cell>
          <cell r="B989" t="str">
            <v>1-Dec-1990</v>
          </cell>
          <cell r="C989">
            <v>35</v>
          </cell>
          <cell r="D989">
            <v>1</v>
          </cell>
          <cell r="E989">
            <v>4074.45</v>
          </cell>
          <cell r="F989" t="str">
            <v>tier - 3</v>
          </cell>
          <cell r="G989" t="str">
            <v>tier - 2</v>
          </cell>
          <cell r="H989" t="str">
            <v>R1013</v>
          </cell>
        </row>
        <row r="990">
          <cell r="A990" t="str">
            <v>ID1889</v>
          </cell>
          <cell r="B990" t="str">
            <v>18-Oct-2002</v>
          </cell>
          <cell r="C990">
            <v>24</v>
          </cell>
          <cell r="D990">
            <v>0</v>
          </cell>
          <cell r="E990">
            <v>4070.51</v>
          </cell>
          <cell r="F990" t="str">
            <v>tier - 2</v>
          </cell>
          <cell r="G990" t="str">
            <v>tier - 1</v>
          </cell>
          <cell r="H990" t="str">
            <v>R1012</v>
          </cell>
        </row>
        <row r="991">
          <cell r="A991" t="str">
            <v>ID189</v>
          </cell>
          <cell r="B991" t="str">
            <v>19-Nov-1962</v>
          </cell>
          <cell r="C991">
            <v>63</v>
          </cell>
          <cell r="D991">
            <v>0</v>
          </cell>
          <cell r="E991">
            <v>36445.550000000003</v>
          </cell>
          <cell r="F991" t="str">
            <v>tier - 2</v>
          </cell>
          <cell r="G991" t="str">
            <v>tier - 2</v>
          </cell>
          <cell r="H991" t="str">
            <v>R1011</v>
          </cell>
        </row>
        <row r="992">
          <cell r="A992" t="str">
            <v>ID1890</v>
          </cell>
          <cell r="B992" t="str">
            <v>16-Sep-1983</v>
          </cell>
          <cell r="C992">
            <v>43</v>
          </cell>
          <cell r="D992">
            <v>3</v>
          </cell>
          <cell r="E992">
            <v>4070.42</v>
          </cell>
          <cell r="F992" t="str">
            <v>tier - 2</v>
          </cell>
          <cell r="G992" t="str">
            <v>tier - 1</v>
          </cell>
          <cell r="H992" t="str">
            <v>R1013</v>
          </cell>
        </row>
        <row r="993">
          <cell r="A993" t="str">
            <v>ID1891</v>
          </cell>
          <cell r="B993" t="str">
            <v>14-Sep-1995</v>
          </cell>
          <cell r="C993">
            <v>31</v>
          </cell>
          <cell r="D993">
            <v>2</v>
          </cell>
          <cell r="E993">
            <v>4058.71</v>
          </cell>
          <cell r="F993" t="str">
            <v>tier - 3</v>
          </cell>
          <cell r="G993" t="str">
            <v>tier - 3</v>
          </cell>
          <cell r="H993" t="str">
            <v>R1012</v>
          </cell>
        </row>
        <row r="994">
          <cell r="A994" t="str">
            <v>ID1892</v>
          </cell>
          <cell r="B994" t="str">
            <v>13-Aug-1993</v>
          </cell>
          <cell r="C994">
            <v>33</v>
          </cell>
          <cell r="D994">
            <v>2</v>
          </cell>
          <cell r="E994">
            <v>4058.12</v>
          </cell>
          <cell r="F994" t="str">
            <v>tier - 2</v>
          </cell>
          <cell r="G994" t="str">
            <v>tier - 1</v>
          </cell>
          <cell r="H994" t="str">
            <v>R1013</v>
          </cell>
        </row>
        <row r="995">
          <cell r="A995" t="str">
            <v>ID1893</v>
          </cell>
          <cell r="B995" t="str">
            <v>30-Nov-1988</v>
          </cell>
          <cell r="C995">
            <v>37</v>
          </cell>
          <cell r="D995">
            <v>3</v>
          </cell>
          <cell r="E995">
            <v>4047.94</v>
          </cell>
          <cell r="F995" t="str">
            <v>tier - 2</v>
          </cell>
          <cell r="G995" t="str">
            <v>tier - 1</v>
          </cell>
          <cell r="H995" t="str">
            <v>R1013</v>
          </cell>
        </row>
        <row r="996">
          <cell r="A996" t="str">
            <v>ID1894</v>
          </cell>
          <cell r="B996" t="str">
            <v>26-Dec-1993</v>
          </cell>
          <cell r="C996">
            <v>32</v>
          </cell>
          <cell r="D996">
            <v>1</v>
          </cell>
          <cell r="E996">
            <v>4040.56</v>
          </cell>
          <cell r="F996" t="str">
            <v>tier - 3</v>
          </cell>
          <cell r="G996" t="str">
            <v>tier - 3</v>
          </cell>
          <cell r="H996" t="str">
            <v>R1015</v>
          </cell>
        </row>
        <row r="997">
          <cell r="A997" t="str">
            <v>ID1895</v>
          </cell>
          <cell r="B997" t="str">
            <v>10-Nov-1983</v>
          </cell>
          <cell r="C997">
            <v>42</v>
          </cell>
          <cell r="D997">
            <v>3</v>
          </cell>
          <cell r="E997">
            <v>4039.9</v>
          </cell>
          <cell r="F997" t="str">
            <v>tier - 2</v>
          </cell>
          <cell r="G997" t="str">
            <v>tier - 1</v>
          </cell>
          <cell r="H997" t="str">
            <v>R1013</v>
          </cell>
        </row>
        <row r="998">
          <cell r="A998" t="str">
            <v>ID1896</v>
          </cell>
          <cell r="B998" t="str">
            <v>7-Jul-1984</v>
          </cell>
          <cell r="C998">
            <v>42</v>
          </cell>
          <cell r="D998">
            <v>3</v>
          </cell>
          <cell r="E998">
            <v>4038.41</v>
          </cell>
          <cell r="F998" t="str">
            <v>tier - 2</v>
          </cell>
          <cell r="G998" t="str">
            <v>tier - 1</v>
          </cell>
          <cell r="H998" t="str">
            <v>R1013</v>
          </cell>
        </row>
        <row r="999">
          <cell r="A999" t="str">
            <v>ID1897</v>
          </cell>
          <cell r="B999" t="str">
            <v>11-Oct-1992</v>
          </cell>
          <cell r="C999">
            <v>34</v>
          </cell>
          <cell r="D999">
            <v>1</v>
          </cell>
          <cell r="E999">
            <v>4032.24</v>
          </cell>
          <cell r="F999" t="str">
            <v>tier - 3</v>
          </cell>
          <cell r="G999" t="str">
            <v>tier - 3</v>
          </cell>
          <cell r="H999" t="str">
            <v>R1012</v>
          </cell>
        </row>
        <row r="1000">
          <cell r="A1000" t="str">
            <v>ID1898</v>
          </cell>
          <cell r="B1000" t="str">
            <v>13-Sep-2000</v>
          </cell>
          <cell r="C1000">
            <v>26</v>
          </cell>
          <cell r="D1000">
            <v>3</v>
          </cell>
          <cell r="E1000">
            <v>4005.42</v>
          </cell>
          <cell r="F1000" t="str">
            <v>tier - 2</v>
          </cell>
          <cell r="G1000" t="str">
            <v>tier - 1</v>
          </cell>
          <cell r="H1000" t="str">
            <v>R1015</v>
          </cell>
        </row>
        <row r="1001">
          <cell r="A1001" t="str">
            <v>ID1899</v>
          </cell>
          <cell r="B1001" t="str">
            <v>10-Jul-1989</v>
          </cell>
          <cell r="C1001">
            <v>37</v>
          </cell>
          <cell r="D1001">
            <v>3</v>
          </cell>
          <cell r="E1001">
            <v>4002.36</v>
          </cell>
          <cell r="F1001" t="str">
            <v>tier - 2</v>
          </cell>
          <cell r="G1001" t="str">
            <v>tier - 1</v>
          </cell>
          <cell r="H1001" t="str">
            <v>R1013</v>
          </cell>
        </row>
        <row r="1002">
          <cell r="A1002" t="str">
            <v>ID19</v>
          </cell>
          <cell r="B1002" t="str">
            <v>7-Nov-1964</v>
          </cell>
          <cell r="C1002">
            <v>61</v>
          </cell>
          <cell r="D1002">
            <v>2</v>
          </cell>
          <cell r="E1002">
            <v>47496.49</v>
          </cell>
          <cell r="F1002" t="str">
            <v>tier - 1</v>
          </cell>
          <cell r="G1002" t="str">
            <v>tier - 3</v>
          </cell>
          <cell r="H1002" t="str">
            <v>R1012</v>
          </cell>
        </row>
        <row r="1003">
          <cell r="A1003" t="str">
            <v>ID190</v>
          </cell>
          <cell r="B1003" t="str">
            <v>9-Dec-2003</v>
          </cell>
          <cell r="C1003">
            <v>22</v>
          </cell>
          <cell r="D1003">
            <v>2</v>
          </cell>
          <cell r="E1003">
            <v>36397.58</v>
          </cell>
          <cell r="F1003" t="str">
            <v>tier - 2</v>
          </cell>
          <cell r="G1003" t="str">
            <v>tier - 3</v>
          </cell>
          <cell r="H1003" t="str">
            <v>R1011</v>
          </cell>
        </row>
        <row r="1004">
          <cell r="A1004" t="str">
            <v>ID1900</v>
          </cell>
          <cell r="B1004" t="str">
            <v>1-Nov-1990</v>
          </cell>
          <cell r="C1004">
            <v>35</v>
          </cell>
          <cell r="D1004">
            <v>0</v>
          </cell>
          <cell r="E1004">
            <v>3994.18</v>
          </cell>
          <cell r="F1004" t="str">
            <v>tier - 2</v>
          </cell>
          <cell r="G1004" t="str">
            <v>tier - 2</v>
          </cell>
          <cell r="H1004" t="str">
            <v>R1013</v>
          </cell>
        </row>
        <row r="1005">
          <cell r="A1005" t="str">
            <v>ID1901</v>
          </cell>
          <cell r="B1005" t="str">
            <v>22-Nov-1990</v>
          </cell>
          <cell r="C1005">
            <v>35</v>
          </cell>
          <cell r="D1005">
            <v>0</v>
          </cell>
          <cell r="E1005">
            <v>3989.84</v>
          </cell>
          <cell r="F1005" t="str">
            <v>tier - 2</v>
          </cell>
          <cell r="G1005" t="str">
            <v>tier - 2</v>
          </cell>
          <cell r="H1005" t="str">
            <v>R1011</v>
          </cell>
        </row>
        <row r="1006">
          <cell r="A1006" t="str">
            <v>ID1902</v>
          </cell>
          <cell r="B1006" t="str">
            <v>8-Sep-1996</v>
          </cell>
          <cell r="C1006">
            <v>30</v>
          </cell>
          <cell r="D1006">
            <v>2</v>
          </cell>
          <cell r="E1006">
            <v>3987.93</v>
          </cell>
          <cell r="F1006" t="str">
            <v>tier - 2</v>
          </cell>
          <cell r="G1006" t="str">
            <v>tier - 2</v>
          </cell>
          <cell r="H1006" t="str">
            <v>R1011</v>
          </cell>
        </row>
        <row r="1007">
          <cell r="A1007" t="str">
            <v>ID1903</v>
          </cell>
          <cell r="B1007" t="str">
            <v>17-Aug-1996</v>
          </cell>
          <cell r="C1007">
            <v>30</v>
          </cell>
          <cell r="D1007">
            <v>2</v>
          </cell>
          <cell r="E1007">
            <v>3981.98</v>
          </cell>
          <cell r="F1007" t="str">
            <v>tier - 2</v>
          </cell>
          <cell r="G1007" t="str">
            <v>tier - 2</v>
          </cell>
          <cell r="H1007" t="str">
            <v>R1013</v>
          </cell>
        </row>
        <row r="1008">
          <cell r="A1008" t="str">
            <v>ID1904</v>
          </cell>
          <cell r="B1008" t="str">
            <v>29-Jul-1990</v>
          </cell>
          <cell r="C1008">
            <v>36</v>
          </cell>
          <cell r="D1008">
            <v>0</v>
          </cell>
          <cell r="E1008">
            <v>3972.92</v>
          </cell>
          <cell r="F1008" t="str">
            <v>tier - 2</v>
          </cell>
          <cell r="G1008" t="str">
            <v>tier - 3</v>
          </cell>
          <cell r="H1008" t="str">
            <v>R1013</v>
          </cell>
        </row>
        <row r="1009">
          <cell r="A1009" t="str">
            <v>ID1905</v>
          </cell>
          <cell r="B1009" t="str">
            <v>11-Jul-1995</v>
          </cell>
          <cell r="C1009">
            <v>31</v>
          </cell>
          <cell r="D1009">
            <v>1</v>
          </cell>
          <cell r="E1009">
            <v>3956.07</v>
          </cell>
          <cell r="F1009" t="str">
            <v>tier - 2</v>
          </cell>
          <cell r="G1009" t="str">
            <v>tier - 2</v>
          </cell>
          <cell r="H1009" t="str">
            <v>R1012</v>
          </cell>
        </row>
        <row r="1010">
          <cell r="A1010" t="str">
            <v>ID1906</v>
          </cell>
          <cell r="B1010" t="str">
            <v>10-Jul-1999</v>
          </cell>
          <cell r="C1010">
            <v>27</v>
          </cell>
          <cell r="D1010">
            <v>0</v>
          </cell>
          <cell r="E1010">
            <v>3955.98</v>
          </cell>
          <cell r="F1010" t="str">
            <v>tier - 2</v>
          </cell>
          <cell r="G1010" t="str">
            <v>tier - 3</v>
          </cell>
          <cell r="H1010" t="str">
            <v>R1021</v>
          </cell>
        </row>
        <row r="1011">
          <cell r="A1011" t="str">
            <v>ID1907</v>
          </cell>
          <cell r="B1011" t="str">
            <v>11-Nov-1993</v>
          </cell>
          <cell r="C1011">
            <v>32</v>
          </cell>
          <cell r="D1011">
            <v>1</v>
          </cell>
          <cell r="E1011">
            <v>3947.41</v>
          </cell>
          <cell r="F1011" t="str">
            <v>tier - 2</v>
          </cell>
          <cell r="G1011" t="str">
            <v>tier - 2</v>
          </cell>
          <cell r="H1011" t="str">
            <v>R1013</v>
          </cell>
        </row>
        <row r="1012">
          <cell r="A1012" t="str">
            <v>ID1908</v>
          </cell>
          <cell r="B1012" t="str">
            <v>29-Sep-1993</v>
          </cell>
          <cell r="C1012">
            <v>33</v>
          </cell>
          <cell r="D1012">
            <v>0</v>
          </cell>
          <cell r="E1012">
            <v>3943.6</v>
          </cell>
          <cell r="F1012" t="str">
            <v>tier - 2</v>
          </cell>
          <cell r="G1012" t="str">
            <v>tier - 3</v>
          </cell>
          <cell r="H1012" t="str">
            <v>R1024</v>
          </cell>
        </row>
        <row r="1013">
          <cell r="A1013" t="str">
            <v>ID1909</v>
          </cell>
          <cell r="B1013" t="str">
            <v>24-Oct-1988</v>
          </cell>
          <cell r="C1013">
            <v>37</v>
          </cell>
          <cell r="D1013">
            <v>0</v>
          </cell>
          <cell r="E1013">
            <v>3935.18</v>
          </cell>
          <cell r="F1013" t="str">
            <v>tier - 3</v>
          </cell>
          <cell r="G1013" t="str">
            <v>tier - 1</v>
          </cell>
          <cell r="H1013" t="str">
            <v>R1013</v>
          </cell>
        </row>
        <row r="1014">
          <cell r="A1014" t="str">
            <v>ID191</v>
          </cell>
          <cell r="B1014" t="str">
            <v>5-Jun-1975</v>
          </cell>
          <cell r="C1014">
            <v>51</v>
          </cell>
          <cell r="D1014">
            <v>1</v>
          </cell>
          <cell r="E1014">
            <v>36350.71</v>
          </cell>
          <cell r="F1014" t="str">
            <v>tier - 1</v>
          </cell>
          <cell r="G1014" t="str">
            <v>tier - 2</v>
          </cell>
          <cell r="H1014" t="str">
            <v>R1011</v>
          </cell>
        </row>
        <row r="1015">
          <cell r="A1015" t="str">
            <v>ID1910</v>
          </cell>
          <cell r="B1015" t="str">
            <v>15-Jun-2002</v>
          </cell>
          <cell r="C1015">
            <v>24</v>
          </cell>
          <cell r="D1015">
            <v>0</v>
          </cell>
          <cell r="E1015">
            <v>3931.51</v>
          </cell>
          <cell r="F1015" t="str">
            <v>tier - 2</v>
          </cell>
          <cell r="G1015" t="str">
            <v>tier - 3</v>
          </cell>
          <cell r="H1015" t="str">
            <v>R1011</v>
          </cell>
        </row>
        <row r="1016">
          <cell r="A1016" t="str">
            <v>ID1911</v>
          </cell>
          <cell r="B1016" t="str">
            <v>10-Jul-2000</v>
          </cell>
          <cell r="C1016">
            <v>26</v>
          </cell>
          <cell r="D1016">
            <v>2</v>
          </cell>
          <cell r="E1016">
            <v>3925.76</v>
          </cell>
          <cell r="F1016" t="str">
            <v>tier - 2</v>
          </cell>
          <cell r="G1016" t="str">
            <v>tier - 2</v>
          </cell>
          <cell r="H1016" t="str">
            <v>R1024</v>
          </cell>
        </row>
        <row r="1017">
          <cell r="A1017" t="str">
            <v>ID1912</v>
          </cell>
          <cell r="B1017" t="str">
            <v>5-Jul-1985</v>
          </cell>
          <cell r="C1017">
            <v>41</v>
          </cell>
          <cell r="D1017">
            <v>3</v>
          </cell>
          <cell r="E1017">
            <v>3910.44</v>
          </cell>
          <cell r="F1017" t="str">
            <v>tier - 2</v>
          </cell>
          <cell r="G1017" t="str">
            <v>tier - 2</v>
          </cell>
          <cell r="H1017" t="str">
            <v>R1013</v>
          </cell>
        </row>
        <row r="1018">
          <cell r="A1018" t="str">
            <v>ID1913</v>
          </cell>
          <cell r="B1018" t="str">
            <v>24-Nov-1997</v>
          </cell>
          <cell r="C1018">
            <v>28</v>
          </cell>
          <cell r="D1018">
            <v>3</v>
          </cell>
          <cell r="E1018">
            <v>3906.13</v>
          </cell>
          <cell r="F1018" t="str">
            <v>tier - 3</v>
          </cell>
          <cell r="G1018" t="str">
            <v>tier - 3</v>
          </cell>
          <cell r="H1018" t="str">
            <v>R1011</v>
          </cell>
        </row>
        <row r="1019">
          <cell r="A1019" t="str">
            <v>ID1914</v>
          </cell>
          <cell r="B1019" t="str">
            <v>27-Aug-1981</v>
          </cell>
          <cell r="C1019">
            <v>45</v>
          </cell>
          <cell r="D1019">
            <v>1</v>
          </cell>
          <cell r="E1019">
            <v>3902.07</v>
          </cell>
          <cell r="F1019" t="str">
            <v>tier - 2</v>
          </cell>
          <cell r="G1019" t="str">
            <v>tier - 2</v>
          </cell>
          <cell r="H1019" t="str">
            <v>R1013</v>
          </cell>
        </row>
        <row r="1020">
          <cell r="A1020" t="str">
            <v>ID1915</v>
          </cell>
          <cell r="B1020" t="str">
            <v>14-Sep-1993</v>
          </cell>
          <cell r="C1020">
            <v>33</v>
          </cell>
          <cell r="D1020">
            <v>0</v>
          </cell>
          <cell r="E1020">
            <v>3898.35</v>
          </cell>
          <cell r="F1020" t="str">
            <v>tier - 2</v>
          </cell>
          <cell r="G1020" t="str">
            <v>tier - 2</v>
          </cell>
          <cell r="H1020" t="str">
            <v>R1012</v>
          </cell>
        </row>
        <row r="1021">
          <cell r="A1021" t="str">
            <v>ID1916</v>
          </cell>
          <cell r="B1021" t="str">
            <v>13-Jul-2004</v>
          </cell>
          <cell r="C1021">
            <v>22</v>
          </cell>
          <cell r="D1021">
            <v>0</v>
          </cell>
          <cell r="E1021">
            <v>3889.2</v>
          </cell>
          <cell r="F1021" t="str">
            <v>tier - 2</v>
          </cell>
          <cell r="G1021" t="str">
            <v>tier - 2</v>
          </cell>
          <cell r="H1021" t="str">
            <v>R1012</v>
          </cell>
        </row>
        <row r="1022">
          <cell r="A1022" t="str">
            <v>ID1917</v>
          </cell>
          <cell r="B1022" t="str">
            <v>23-Oct-1996</v>
          </cell>
          <cell r="C1022">
            <v>29</v>
          </cell>
          <cell r="D1022">
            <v>2</v>
          </cell>
          <cell r="E1022">
            <v>3877.3</v>
          </cell>
          <cell r="F1022" t="str">
            <v>tier - 1</v>
          </cell>
          <cell r="G1022" t="str">
            <v>tier - 3</v>
          </cell>
          <cell r="H1022" t="str">
            <v>R1012</v>
          </cell>
        </row>
        <row r="1023">
          <cell r="A1023" t="str">
            <v>ID1918</v>
          </cell>
          <cell r="B1023" t="str">
            <v>25-Jul-1991</v>
          </cell>
          <cell r="C1023">
            <v>35</v>
          </cell>
          <cell r="D1023">
            <v>1</v>
          </cell>
          <cell r="E1023">
            <v>3875.73</v>
          </cell>
          <cell r="F1023" t="str">
            <v>tier - 2</v>
          </cell>
          <cell r="G1023" t="str">
            <v>tier - 3</v>
          </cell>
          <cell r="H1023" t="str">
            <v>R1013</v>
          </cell>
        </row>
        <row r="1024">
          <cell r="A1024" t="str">
            <v>ID1919</v>
          </cell>
          <cell r="B1024" t="str">
            <v>24-Jun-1990</v>
          </cell>
          <cell r="C1024">
            <v>36</v>
          </cell>
          <cell r="D1024">
            <v>0</v>
          </cell>
          <cell r="E1024">
            <v>3866.86</v>
          </cell>
          <cell r="F1024" t="str">
            <v>tier - 1</v>
          </cell>
          <cell r="G1024" t="str">
            <v>tier - 1</v>
          </cell>
          <cell r="H1024" t="str">
            <v>R1012</v>
          </cell>
        </row>
        <row r="1025">
          <cell r="A1025" t="str">
            <v>ID192</v>
          </cell>
          <cell r="B1025" t="str">
            <v>18-Oct-1967</v>
          </cell>
          <cell r="C1025">
            <v>59</v>
          </cell>
          <cell r="D1025">
            <v>0</v>
          </cell>
          <cell r="E1025">
            <v>36332.449999999997</v>
          </cell>
          <cell r="F1025" t="str">
            <v>tier - 1</v>
          </cell>
          <cell r="G1025" t="str">
            <v>tier - 3</v>
          </cell>
          <cell r="H1025" t="str">
            <v>R1011</v>
          </cell>
        </row>
        <row r="1026">
          <cell r="A1026" t="str">
            <v>ID1920</v>
          </cell>
          <cell r="B1026" t="str">
            <v>18-Oct-2001</v>
          </cell>
          <cell r="C1026">
            <v>25</v>
          </cell>
          <cell r="D1026">
            <v>3</v>
          </cell>
          <cell r="E1026">
            <v>3861.21</v>
          </cell>
          <cell r="F1026" t="str">
            <v>tier - 2</v>
          </cell>
          <cell r="G1026" t="str">
            <v>tier - 2</v>
          </cell>
          <cell r="H1026" t="str">
            <v>R1016</v>
          </cell>
        </row>
        <row r="1027">
          <cell r="A1027" t="str">
            <v>ID1921</v>
          </cell>
          <cell r="B1027" t="str">
            <v>6-Jun-2001</v>
          </cell>
          <cell r="C1027">
            <v>25</v>
          </cell>
          <cell r="D1027">
            <v>0</v>
          </cell>
          <cell r="E1027">
            <v>3858.51</v>
          </cell>
          <cell r="F1027" t="str">
            <v>tier - 2</v>
          </cell>
          <cell r="G1027" t="str">
            <v>tier - 3</v>
          </cell>
          <cell r="H1027" t="str">
            <v>R1025</v>
          </cell>
        </row>
        <row r="1028">
          <cell r="A1028" t="str">
            <v>ID1922</v>
          </cell>
          <cell r="B1028" t="str">
            <v>19-Aug-1991</v>
          </cell>
          <cell r="C1028">
            <v>35</v>
          </cell>
          <cell r="D1028">
            <v>0</v>
          </cell>
          <cell r="E1028">
            <v>3857.76</v>
          </cell>
          <cell r="F1028" t="str">
            <v>tier - 3</v>
          </cell>
          <cell r="G1028" t="str">
            <v>tier - 1</v>
          </cell>
          <cell r="H1028" t="str">
            <v>R1016</v>
          </cell>
        </row>
        <row r="1029">
          <cell r="A1029" t="str">
            <v>ID1923</v>
          </cell>
          <cell r="B1029" t="str">
            <v>12-Aug-1994</v>
          </cell>
          <cell r="C1029">
            <v>32</v>
          </cell>
          <cell r="D1029">
            <v>2</v>
          </cell>
          <cell r="E1029">
            <v>3847.67</v>
          </cell>
          <cell r="F1029" t="str">
            <v>tier - 3</v>
          </cell>
          <cell r="G1029" t="str">
            <v>tier - 2</v>
          </cell>
          <cell r="H1029" t="str">
            <v>R1011</v>
          </cell>
        </row>
        <row r="1030">
          <cell r="A1030" t="str">
            <v>ID1924</v>
          </cell>
          <cell r="B1030" t="str">
            <v>29-Sep-1981</v>
          </cell>
          <cell r="C1030">
            <v>45</v>
          </cell>
          <cell r="D1030">
            <v>1</v>
          </cell>
          <cell r="E1030">
            <v>3797.2</v>
          </cell>
          <cell r="F1030" t="str">
            <v>tier - 2</v>
          </cell>
          <cell r="G1030" t="str">
            <v>tier - 3</v>
          </cell>
          <cell r="H1030" t="str">
            <v>R1012</v>
          </cell>
        </row>
        <row r="1031">
          <cell r="A1031" t="str">
            <v>ID1925</v>
          </cell>
          <cell r="B1031" t="str">
            <v>24-Jun-1999</v>
          </cell>
          <cell r="C1031">
            <v>27</v>
          </cell>
          <cell r="D1031">
            <v>0</v>
          </cell>
          <cell r="E1031">
            <v>3796.36</v>
          </cell>
          <cell r="F1031" t="str">
            <v>tier - 2</v>
          </cell>
          <cell r="G1031" t="str">
            <v>tier - 3</v>
          </cell>
          <cell r="H1031" t="str">
            <v>R1012</v>
          </cell>
        </row>
        <row r="1032">
          <cell r="A1032" t="str">
            <v>ID1926</v>
          </cell>
          <cell r="B1032" t="str">
            <v>28-Aug-1988</v>
          </cell>
          <cell r="C1032">
            <v>38</v>
          </cell>
          <cell r="D1032">
            <v>3</v>
          </cell>
          <cell r="E1032">
            <v>3793.55</v>
          </cell>
          <cell r="F1032" t="str">
            <v>tier - 2</v>
          </cell>
          <cell r="G1032" t="str">
            <v>tier - 3</v>
          </cell>
          <cell r="H1032" t="str">
            <v>R1013</v>
          </cell>
        </row>
        <row r="1033">
          <cell r="A1033" t="str">
            <v>ID1927</v>
          </cell>
          <cell r="B1033" t="str">
            <v>13-Dec-1981</v>
          </cell>
          <cell r="C1033">
            <v>44</v>
          </cell>
          <cell r="D1033">
            <v>1</v>
          </cell>
          <cell r="E1033">
            <v>3785.77</v>
          </cell>
          <cell r="F1033" t="str">
            <v>tier - 2</v>
          </cell>
          <cell r="G1033" t="str">
            <v>tier - 1</v>
          </cell>
          <cell r="H1033" t="str">
            <v>R1013</v>
          </cell>
        </row>
        <row r="1034">
          <cell r="A1034" t="str">
            <v>ID1928</v>
          </cell>
          <cell r="B1034" t="str">
            <v>24-Oct-1987</v>
          </cell>
          <cell r="C1034">
            <v>38</v>
          </cell>
          <cell r="D1034">
            <v>3</v>
          </cell>
          <cell r="E1034">
            <v>3773.23</v>
          </cell>
          <cell r="F1034" t="str">
            <v>tier - 2</v>
          </cell>
          <cell r="G1034" t="str">
            <v>tier - 3</v>
          </cell>
          <cell r="H1034" t="str">
            <v>R1013</v>
          </cell>
        </row>
        <row r="1035">
          <cell r="A1035" t="str">
            <v>ID1929</v>
          </cell>
          <cell r="B1035" t="str">
            <v>21-Nov-1994</v>
          </cell>
          <cell r="C1035">
            <v>31</v>
          </cell>
          <cell r="D1035">
            <v>1</v>
          </cell>
          <cell r="E1035">
            <v>3766.88</v>
          </cell>
          <cell r="F1035" t="str">
            <v>tier - 2</v>
          </cell>
          <cell r="G1035" t="str">
            <v>tier - 1</v>
          </cell>
          <cell r="H1035" t="str">
            <v>R1013</v>
          </cell>
        </row>
        <row r="1036">
          <cell r="A1036" t="str">
            <v>ID193</v>
          </cell>
          <cell r="B1036" t="str">
            <v>16-Jun-1992</v>
          </cell>
          <cell r="C1036">
            <v>34</v>
          </cell>
          <cell r="D1036">
            <v>0</v>
          </cell>
          <cell r="E1036">
            <v>36314.050000000003</v>
          </cell>
          <cell r="F1036" t="str">
            <v>tier - 2</v>
          </cell>
          <cell r="G1036" t="str">
            <v>tier - 2</v>
          </cell>
          <cell r="H1036" t="str">
            <v>R1011</v>
          </cell>
        </row>
        <row r="1037">
          <cell r="A1037" t="str">
            <v>ID1930</v>
          </cell>
          <cell r="B1037" t="str">
            <v>24-Oct-1991</v>
          </cell>
          <cell r="C1037">
            <v>34</v>
          </cell>
          <cell r="D1037">
            <v>0</v>
          </cell>
          <cell r="E1037">
            <v>3761.29</v>
          </cell>
          <cell r="F1037" t="str">
            <v>tier - 2</v>
          </cell>
          <cell r="G1037" t="str">
            <v>tier - 3</v>
          </cell>
          <cell r="H1037" t="str">
            <v>R1011</v>
          </cell>
        </row>
        <row r="1038">
          <cell r="A1038" t="str">
            <v>ID1931</v>
          </cell>
          <cell r="B1038" t="str">
            <v>25-Aug-1991</v>
          </cell>
          <cell r="C1038">
            <v>35</v>
          </cell>
          <cell r="D1038">
            <v>0</v>
          </cell>
          <cell r="E1038">
            <v>3757.84</v>
          </cell>
          <cell r="F1038" t="str">
            <v>tier - 2</v>
          </cell>
          <cell r="G1038" t="str">
            <v>tier - 1</v>
          </cell>
          <cell r="H1038" t="str">
            <v>R1013</v>
          </cell>
        </row>
        <row r="1039">
          <cell r="A1039" t="str">
            <v>ID1932</v>
          </cell>
          <cell r="B1039" t="str">
            <v>28-Oct-1991</v>
          </cell>
          <cell r="C1039">
            <v>34</v>
          </cell>
          <cell r="D1039">
            <v>0</v>
          </cell>
          <cell r="E1039">
            <v>3756.62</v>
          </cell>
          <cell r="F1039" t="str">
            <v>tier - 2</v>
          </cell>
          <cell r="G1039" t="str">
            <v>tier - 2</v>
          </cell>
          <cell r="H1039" t="str">
            <v>R1013</v>
          </cell>
        </row>
        <row r="1040">
          <cell r="A1040" t="str">
            <v>ID1933</v>
          </cell>
          <cell r="B1040" t="str">
            <v>9-Sep-1986</v>
          </cell>
          <cell r="C1040">
            <v>40</v>
          </cell>
          <cell r="D1040">
            <v>3</v>
          </cell>
          <cell r="E1040">
            <v>3748.56</v>
          </cell>
          <cell r="F1040" t="str">
            <v>tier - 2</v>
          </cell>
          <cell r="G1040" t="str">
            <v>tier - 2</v>
          </cell>
          <cell r="H1040" t="str">
            <v>R1013</v>
          </cell>
        </row>
        <row r="1041">
          <cell r="A1041" t="str">
            <v>ID1934</v>
          </cell>
          <cell r="B1041" t="str">
            <v>22-Jun-1993</v>
          </cell>
          <cell r="C1041">
            <v>33</v>
          </cell>
          <cell r="D1041">
            <v>0</v>
          </cell>
          <cell r="E1041">
            <v>3736.46</v>
          </cell>
          <cell r="F1041" t="str">
            <v>tier - 2</v>
          </cell>
          <cell r="G1041" t="str">
            <v>tier - 2</v>
          </cell>
          <cell r="H1041" t="str">
            <v>R1012</v>
          </cell>
        </row>
        <row r="1042">
          <cell r="A1042" t="str">
            <v>ID1935</v>
          </cell>
          <cell r="B1042" t="str">
            <v>22-Aug-1994</v>
          </cell>
          <cell r="C1042">
            <v>32</v>
          </cell>
          <cell r="D1042">
            <v>0</v>
          </cell>
          <cell r="E1042">
            <v>3732.63</v>
          </cell>
          <cell r="F1042" t="str">
            <v>tier - 2</v>
          </cell>
          <cell r="G1042" t="str">
            <v>tier - 3</v>
          </cell>
          <cell r="H1042" t="str">
            <v>R1024</v>
          </cell>
        </row>
        <row r="1043">
          <cell r="A1043" t="str">
            <v>ID1936</v>
          </cell>
          <cell r="B1043" t="str">
            <v>1-Dec-1986</v>
          </cell>
          <cell r="C1043">
            <v>39</v>
          </cell>
          <cell r="D1043">
            <v>3</v>
          </cell>
          <cell r="E1043">
            <v>3731.6</v>
          </cell>
          <cell r="F1043" t="str">
            <v>tier - 2</v>
          </cell>
          <cell r="G1043" t="str">
            <v>tier - 2</v>
          </cell>
          <cell r="H1043" t="str">
            <v>R1013</v>
          </cell>
        </row>
        <row r="1044">
          <cell r="A1044" t="str">
            <v>ID1937</v>
          </cell>
          <cell r="B1044" t="str">
            <v>5-Nov-2004</v>
          </cell>
          <cell r="C1044">
            <v>21</v>
          </cell>
          <cell r="D1044">
            <v>0</v>
          </cell>
          <cell r="E1044">
            <v>3722.23</v>
          </cell>
          <cell r="F1044" t="str">
            <v>tier - 2</v>
          </cell>
          <cell r="G1044" t="str">
            <v>tier - 2</v>
          </cell>
          <cell r="H1044" t="str">
            <v>R1025</v>
          </cell>
        </row>
        <row r="1045">
          <cell r="A1045" t="str">
            <v>ID1938</v>
          </cell>
          <cell r="B1045" t="str">
            <v>2-Dec-1989</v>
          </cell>
          <cell r="C1045">
            <v>36</v>
          </cell>
          <cell r="D1045">
            <v>0</v>
          </cell>
          <cell r="E1045">
            <v>3704.35</v>
          </cell>
          <cell r="F1045" t="str">
            <v>tier - 2</v>
          </cell>
          <cell r="G1045" t="str">
            <v>tier - 2</v>
          </cell>
          <cell r="H1045" t="str">
            <v>R1013</v>
          </cell>
        </row>
        <row r="1046">
          <cell r="A1046" t="str">
            <v>ID1939</v>
          </cell>
          <cell r="B1046" t="str">
            <v>18-Aug-1988</v>
          </cell>
          <cell r="C1046">
            <v>38</v>
          </cell>
          <cell r="D1046">
            <v>3</v>
          </cell>
          <cell r="E1046">
            <v>3699.54</v>
          </cell>
          <cell r="F1046" t="str">
            <v>tier - 2</v>
          </cell>
          <cell r="G1046" t="str">
            <v>tier - 3</v>
          </cell>
          <cell r="H1046" t="str">
            <v>R1013</v>
          </cell>
        </row>
        <row r="1047">
          <cell r="A1047" t="str">
            <v>ID194</v>
          </cell>
          <cell r="B1047" t="str">
            <v>25-Dec-2004</v>
          </cell>
          <cell r="C1047">
            <v>21</v>
          </cell>
          <cell r="D1047">
            <v>0</v>
          </cell>
          <cell r="E1047">
            <v>36307.800000000003</v>
          </cell>
          <cell r="F1047" t="str">
            <v>tier - 1</v>
          </cell>
          <cell r="G1047" t="str">
            <v>tier - 2</v>
          </cell>
          <cell r="H1047" t="str">
            <v>R1013</v>
          </cell>
        </row>
        <row r="1048">
          <cell r="A1048" t="str">
            <v>ID1940</v>
          </cell>
          <cell r="B1048" t="str">
            <v>21-Oct-1995</v>
          </cell>
          <cell r="C1048">
            <v>30</v>
          </cell>
          <cell r="D1048">
            <v>2</v>
          </cell>
          <cell r="E1048">
            <v>3693.43</v>
          </cell>
          <cell r="F1048" t="str">
            <v>tier - 2</v>
          </cell>
          <cell r="G1048" t="str">
            <v>tier - 3</v>
          </cell>
          <cell r="H1048" t="str">
            <v>R1011</v>
          </cell>
        </row>
        <row r="1049">
          <cell r="A1049" t="str">
            <v>ID1941</v>
          </cell>
          <cell r="B1049" t="str">
            <v>14-Dec-1981</v>
          </cell>
          <cell r="C1049">
            <v>44</v>
          </cell>
          <cell r="D1049">
            <v>1</v>
          </cell>
          <cell r="E1049">
            <v>3688.38</v>
          </cell>
          <cell r="F1049" t="str">
            <v>tier - 2</v>
          </cell>
          <cell r="G1049" t="str">
            <v>tier - 2</v>
          </cell>
          <cell r="H1049" t="str">
            <v>R1013</v>
          </cell>
        </row>
        <row r="1050">
          <cell r="A1050" t="str">
            <v>ID1942</v>
          </cell>
          <cell r="B1050" t="str">
            <v>10-Jul-2003</v>
          </cell>
          <cell r="C1050">
            <v>23</v>
          </cell>
          <cell r="D1050">
            <v>0</v>
          </cell>
          <cell r="E1050">
            <v>3688.35</v>
          </cell>
          <cell r="F1050" t="str">
            <v>tier - 2</v>
          </cell>
          <cell r="G1050" t="str">
            <v>tier - 2</v>
          </cell>
          <cell r="H1050" t="str">
            <v>R1021</v>
          </cell>
        </row>
        <row r="1051">
          <cell r="A1051" t="str">
            <v>ID1943</v>
          </cell>
          <cell r="B1051" t="str">
            <v>6-Jul-1984</v>
          </cell>
          <cell r="C1051">
            <v>42</v>
          </cell>
          <cell r="D1051">
            <v>3</v>
          </cell>
          <cell r="E1051">
            <v>3678.86</v>
          </cell>
          <cell r="F1051" t="str">
            <v>tier - 2</v>
          </cell>
          <cell r="G1051" t="str">
            <v>tier - 3</v>
          </cell>
          <cell r="H1051" t="str">
            <v>R1013</v>
          </cell>
        </row>
        <row r="1052">
          <cell r="A1052" t="str">
            <v>ID1944</v>
          </cell>
          <cell r="B1052" t="str">
            <v>14-Sep-1992</v>
          </cell>
          <cell r="C1052">
            <v>34</v>
          </cell>
          <cell r="D1052">
            <v>1</v>
          </cell>
          <cell r="E1052">
            <v>3659.35</v>
          </cell>
          <cell r="F1052" t="str">
            <v>tier - 3</v>
          </cell>
          <cell r="G1052" t="str">
            <v>tier - 1</v>
          </cell>
          <cell r="H1052" t="str">
            <v>R1011</v>
          </cell>
        </row>
        <row r="1053">
          <cell r="A1053" t="str">
            <v>ID1945</v>
          </cell>
          <cell r="B1053" t="str">
            <v>8-Nov-1990</v>
          </cell>
          <cell r="C1053">
            <v>35</v>
          </cell>
          <cell r="D1053">
            <v>3</v>
          </cell>
          <cell r="E1053">
            <v>3653.29</v>
          </cell>
          <cell r="F1053" t="str">
            <v>tier - 2</v>
          </cell>
          <cell r="G1053" t="str">
            <v>tier - 3</v>
          </cell>
          <cell r="H1053" t="str">
            <v>R1011</v>
          </cell>
        </row>
        <row r="1054">
          <cell r="A1054" t="str">
            <v>ID1946</v>
          </cell>
          <cell r="B1054" t="str">
            <v>17-Nov-1992</v>
          </cell>
          <cell r="C1054">
            <v>33</v>
          </cell>
          <cell r="D1054">
            <v>0</v>
          </cell>
          <cell r="E1054">
            <v>3645.09</v>
          </cell>
          <cell r="F1054" t="str">
            <v>tier - 1</v>
          </cell>
          <cell r="G1054" t="str">
            <v>tier - 2</v>
          </cell>
          <cell r="H1054" t="str">
            <v>R1014</v>
          </cell>
        </row>
        <row r="1055">
          <cell r="A1055" t="str">
            <v>ID1947</v>
          </cell>
          <cell r="B1055" t="str">
            <v>14-Jun-1985</v>
          </cell>
          <cell r="C1055">
            <v>41</v>
          </cell>
          <cell r="D1055">
            <v>3</v>
          </cell>
          <cell r="E1055">
            <v>3622.13</v>
          </cell>
          <cell r="F1055" t="str">
            <v>tier - 2</v>
          </cell>
          <cell r="G1055" t="str">
            <v>tier - 1</v>
          </cell>
          <cell r="H1055" t="str">
            <v>R1013</v>
          </cell>
        </row>
        <row r="1056">
          <cell r="A1056" t="str">
            <v>ID1948</v>
          </cell>
          <cell r="B1056" t="str">
            <v>11-Oct-1990</v>
          </cell>
          <cell r="C1056">
            <v>36</v>
          </cell>
          <cell r="D1056">
            <v>3</v>
          </cell>
          <cell r="E1056">
            <v>3606.43</v>
          </cell>
          <cell r="F1056" t="str">
            <v>tier - 2</v>
          </cell>
          <cell r="G1056" t="str">
            <v>tier - 1</v>
          </cell>
          <cell r="H1056" t="str">
            <v>R1013</v>
          </cell>
        </row>
        <row r="1057">
          <cell r="A1057" t="str">
            <v>ID1949</v>
          </cell>
          <cell r="B1057" t="str">
            <v>4-Nov-1988</v>
          </cell>
          <cell r="C1057">
            <v>37</v>
          </cell>
          <cell r="D1057">
            <v>3</v>
          </cell>
          <cell r="E1057">
            <v>3603.6</v>
          </cell>
          <cell r="F1057" t="str">
            <v>tier - 2</v>
          </cell>
          <cell r="G1057" t="str">
            <v>tier - 1</v>
          </cell>
          <cell r="H1057" t="str">
            <v>R1013</v>
          </cell>
        </row>
        <row r="1058">
          <cell r="A1058" t="str">
            <v>ID195</v>
          </cell>
          <cell r="B1058" t="str">
            <v>5-Sep-2003</v>
          </cell>
          <cell r="C1058">
            <v>23</v>
          </cell>
          <cell r="D1058">
            <v>0</v>
          </cell>
          <cell r="E1058">
            <v>36219.410000000003</v>
          </cell>
          <cell r="F1058" t="str">
            <v>tier - 1</v>
          </cell>
          <cell r="G1058" t="str">
            <v>tier - 1</v>
          </cell>
          <cell r="H1058" t="str">
            <v>R1012</v>
          </cell>
        </row>
        <row r="1059">
          <cell r="A1059" t="str">
            <v>ID1950</v>
          </cell>
          <cell r="B1059" t="str">
            <v>12-Aug-1999</v>
          </cell>
          <cell r="C1059">
            <v>27</v>
          </cell>
          <cell r="D1059">
            <v>3</v>
          </cell>
          <cell r="E1059">
            <v>3597.6</v>
          </cell>
          <cell r="F1059" t="str">
            <v>tier - 2</v>
          </cell>
          <cell r="G1059" t="str">
            <v>tier - 2</v>
          </cell>
          <cell r="H1059" t="str">
            <v>R1011</v>
          </cell>
        </row>
        <row r="1060">
          <cell r="A1060" t="str">
            <v>ID1951</v>
          </cell>
          <cell r="B1060" t="str">
            <v>4-Nov-1997</v>
          </cell>
          <cell r="C1060">
            <v>28</v>
          </cell>
          <cell r="D1060">
            <v>1</v>
          </cell>
          <cell r="E1060">
            <v>3594.17</v>
          </cell>
          <cell r="F1060" t="str">
            <v>tier - 2</v>
          </cell>
          <cell r="G1060" t="str">
            <v>tier - 2</v>
          </cell>
          <cell r="H1060" t="str">
            <v>R1012</v>
          </cell>
        </row>
        <row r="1061">
          <cell r="A1061" t="str">
            <v>ID1952</v>
          </cell>
          <cell r="B1061" t="str">
            <v>6-Jun-1999</v>
          </cell>
          <cell r="C1061">
            <v>27</v>
          </cell>
          <cell r="D1061">
            <v>3</v>
          </cell>
          <cell r="E1061">
            <v>3591.48</v>
          </cell>
          <cell r="F1061" t="str">
            <v>tier - 2</v>
          </cell>
          <cell r="G1061" t="str">
            <v>tier - 3</v>
          </cell>
          <cell r="H1061" t="str">
            <v>R1011</v>
          </cell>
        </row>
        <row r="1062">
          <cell r="A1062" t="str">
            <v>ID1953</v>
          </cell>
          <cell r="B1062" t="str">
            <v>27-Dec-1986</v>
          </cell>
          <cell r="C1062">
            <v>39</v>
          </cell>
          <cell r="D1062">
            <v>3</v>
          </cell>
          <cell r="E1062">
            <v>3589.14</v>
          </cell>
          <cell r="F1062" t="str">
            <v>tier - 2</v>
          </cell>
          <cell r="G1062" t="str">
            <v>tier - 2</v>
          </cell>
          <cell r="H1062" t="str">
            <v>R1013</v>
          </cell>
        </row>
        <row r="1063">
          <cell r="A1063" t="str">
            <v>ID1954</v>
          </cell>
          <cell r="B1063" t="str">
            <v>11-Nov-2001</v>
          </cell>
          <cell r="C1063">
            <v>24</v>
          </cell>
          <cell r="D1063">
            <v>2</v>
          </cell>
          <cell r="E1063">
            <v>3579.83</v>
          </cell>
          <cell r="F1063" t="str">
            <v>tier - 2</v>
          </cell>
          <cell r="G1063" t="str">
            <v>tier - 2</v>
          </cell>
          <cell r="H1063" t="str">
            <v>R1012</v>
          </cell>
        </row>
        <row r="1064">
          <cell r="A1064" t="str">
            <v>ID1955</v>
          </cell>
          <cell r="B1064" t="str">
            <v>23-Aug-1995</v>
          </cell>
          <cell r="C1064">
            <v>31</v>
          </cell>
          <cell r="D1064">
            <v>1</v>
          </cell>
          <cell r="E1064">
            <v>3578</v>
          </cell>
          <cell r="F1064" t="str">
            <v>tier - 2</v>
          </cell>
          <cell r="G1064" t="str">
            <v>tier - 3</v>
          </cell>
          <cell r="H1064" t="str">
            <v>R1011</v>
          </cell>
        </row>
        <row r="1065">
          <cell r="A1065" t="str">
            <v>ID1956</v>
          </cell>
          <cell r="B1065" t="str">
            <v>18-Aug-1988</v>
          </cell>
          <cell r="C1065">
            <v>38</v>
          </cell>
          <cell r="D1065">
            <v>3</v>
          </cell>
          <cell r="E1065">
            <v>3569.96</v>
          </cell>
          <cell r="F1065" t="str">
            <v>tier - 2</v>
          </cell>
          <cell r="G1065" t="str">
            <v>tier - 1</v>
          </cell>
          <cell r="H1065" t="str">
            <v>R1012</v>
          </cell>
        </row>
        <row r="1066">
          <cell r="A1066" t="str">
            <v>ID1957</v>
          </cell>
          <cell r="B1066" t="str">
            <v>10-Oct-1981</v>
          </cell>
          <cell r="C1066">
            <v>45</v>
          </cell>
          <cell r="D1066">
            <v>1</v>
          </cell>
          <cell r="E1066">
            <v>3562.87</v>
          </cell>
          <cell r="F1066" t="str">
            <v>tier - 2</v>
          </cell>
          <cell r="G1066" t="str">
            <v>tier - 1</v>
          </cell>
          <cell r="H1066" t="str">
            <v>R1013</v>
          </cell>
        </row>
        <row r="1067">
          <cell r="A1067" t="str">
            <v>ID1958</v>
          </cell>
          <cell r="B1067" t="str">
            <v>16-Jun-1995</v>
          </cell>
          <cell r="C1067">
            <v>31</v>
          </cell>
          <cell r="D1067">
            <v>1</v>
          </cell>
          <cell r="E1067">
            <v>3561.89</v>
          </cell>
          <cell r="F1067" t="str">
            <v>tier - 2</v>
          </cell>
          <cell r="G1067" t="str">
            <v>tier - 1</v>
          </cell>
          <cell r="H1067" t="str">
            <v>R1013</v>
          </cell>
        </row>
        <row r="1068">
          <cell r="A1068" t="str">
            <v>ID1959</v>
          </cell>
          <cell r="B1068" t="str">
            <v>9-Oct-1995</v>
          </cell>
          <cell r="C1068">
            <v>31</v>
          </cell>
          <cell r="D1068">
            <v>0</v>
          </cell>
          <cell r="E1068">
            <v>3558.62</v>
          </cell>
          <cell r="F1068" t="str">
            <v>tier - 2</v>
          </cell>
          <cell r="G1068" t="str">
            <v>tier - 3</v>
          </cell>
          <cell r="H1068" t="str">
            <v>R1024</v>
          </cell>
        </row>
        <row r="1069">
          <cell r="A1069" t="str">
            <v>ID196</v>
          </cell>
          <cell r="B1069" t="str">
            <v>28-Dec-1993</v>
          </cell>
          <cell r="C1069">
            <v>32</v>
          </cell>
          <cell r="D1069">
            <v>0</v>
          </cell>
          <cell r="E1069">
            <v>36197.699999999997</v>
          </cell>
          <cell r="F1069" t="str">
            <v>tier - 1</v>
          </cell>
          <cell r="G1069" t="str">
            <v>tier - 3</v>
          </cell>
          <cell r="H1069" t="str">
            <v>R1011</v>
          </cell>
        </row>
        <row r="1070">
          <cell r="A1070" t="str">
            <v>ID1960</v>
          </cell>
          <cell r="B1070" t="str">
            <v>24-Sep-1994</v>
          </cell>
          <cell r="C1070">
            <v>32</v>
          </cell>
          <cell r="D1070">
            <v>0</v>
          </cell>
          <cell r="E1070">
            <v>3556.92</v>
          </cell>
          <cell r="F1070" t="str">
            <v>tier - 2</v>
          </cell>
          <cell r="G1070" t="str">
            <v>tier - 3</v>
          </cell>
          <cell r="H1070" t="str">
            <v>R1012</v>
          </cell>
        </row>
        <row r="1071">
          <cell r="A1071" t="str">
            <v>ID1961</v>
          </cell>
          <cell r="B1071" t="str">
            <v>22-Dec-1992</v>
          </cell>
          <cell r="C1071">
            <v>33</v>
          </cell>
          <cell r="D1071">
            <v>0</v>
          </cell>
          <cell r="E1071">
            <v>3554.2</v>
          </cell>
          <cell r="F1071" t="str">
            <v>tier - 2</v>
          </cell>
          <cell r="G1071" t="str">
            <v>tier - 3</v>
          </cell>
          <cell r="H1071" t="str">
            <v>R1011</v>
          </cell>
        </row>
        <row r="1072">
          <cell r="A1072" t="str">
            <v>ID1962</v>
          </cell>
          <cell r="B1072" t="str">
            <v>15-Oct-1988</v>
          </cell>
          <cell r="C1072">
            <v>38</v>
          </cell>
          <cell r="D1072">
            <v>3</v>
          </cell>
          <cell r="E1072">
            <v>3540.12</v>
          </cell>
          <cell r="F1072" t="str">
            <v>tier - 2</v>
          </cell>
          <cell r="G1072" t="str">
            <v>tier - 1</v>
          </cell>
          <cell r="H1072" t="str">
            <v>R1013</v>
          </cell>
        </row>
        <row r="1073">
          <cell r="A1073" t="str">
            <v>ID1963</v>
          </cell>
          <cell r="B1073" t="str">
            <v>24-Aug-2003</v>
          </cell>
          <cell r="C1073">
            <v>23</v>
          </cell>
          <cell r="D1073">
            <v>0</v>
          </cell>
          <cell r="E1073">
            <v>3538.9</v>
          </cell>
          <cell r="F1073" t="str">
            <v>tier - 2</v>
          </cell>
          <cell r="G1073" t="str">
            <v>tier - 2</v>
          </cell>
          <cell r="H1073" t="str">
            <v>R1012</v>
          </cell>
        </row>
        <row r="1074">
          <cell r="A1074" t="str">
            <v>ID1964</v>
          </cell>
          <cell r="B1074" t="str">
            <v>16-Sep-1998</v>
          </cell>
          <cell r="C1074">
            <v>28</v>
          </cell>
          <cell r="D1074">
            <v>2</v>
          </cell>
          <cell r="E1074">
            <v>3537.7</v>
          </cell>
          <cell r="F1074" t="str">
            <v>tier - 3</v>
          </cell>
          <cell r="G1074" t="str">
            <v>tier - 3</v>
          </cell>
          <cell r="H1074" t="str">
            <v>R1012</v>
          </cell>
        </row>
        <row r="1075">
          <cell r="A1075" t="str">
            <v>ID1965</v>
          </cell>
          <cell r="B1075" t="str">
            <v>22-Sep-1999</v>
          </cell>
          <cell r="C1075">
            <v>27</v>
          </cell>
          <cell r="D1075">
            <v>2</v>
          </cell>
          <cell r="E1075">
            <v>3500.61</v>
          </cell>
          <cell r="F1075" t="str">
            <v>tier - 2</v>
          </cell>
          <cell r="G1075" t="str">
            <v>tier - 2</v>
          </cell>
          <cell r="H1075" t="str">
            <v>R1013</v>
          </cell>
        </row>
        <row r="1076">
          <cell r="A1076" t="str">
            <v>ID1966</v>
          </cell>
          <cell r="B1076" t="str">
            <v>18-Sep-1996</v>
          </cell>
          <cell r="C1076">
            <v>30</v>
          </cell>
          <cell r="D1076">
            <v>1</v>
          </cell>
          <cell r="E1076">
            <v>3490.55</v>
          </cell>
          <cell r="F1076" t="str">
            <v>tier - 1</v>
          </cell>
          <cell r="G1076" t="str">
            <v>tier - 2</v>
          </cell>
          <cell r="H1076" t="str">
            <v>R1015</v>
          </cell>
        </row>
        <row r="1077">
          <cell r="A1077" t="str">
            <v>ID1967</v>
          </cell>
          <cell r="B1077" t="str">
            <v>19-Sep-1996</v>
          </cell>
          <cell r="C1077">
            <v>30</v>
          </cell>
          <cell r="D1077">
            <v>2</v>
          </cell>
          <cell r="E1077">
            <v>3484.33</v>
          </cell>
          <cell r="F1077" t="str">
            <v>tier - 3</v>
          </cell>
          <cell r="G1077" t="str">
            <v>tier - 3</v>
          </cell>
          <cell r="H1077" t="str">
            <v>R1011</v>
          </cell>
        </row>
        <row r="1078">
          <cell r="A1078" t="str">
            <v>ID1968</v>
          </cell>
          <cell r="B1078" t="str">
            <v>26-Jun-2004</v>
          </cell>
          <cell r="C1078">
            <v>22</v>
          </cell>
          <cell r="D1078">
            <v>3</v>
          </cell>
          <cell r="E1078">
            <v>3481.87</v>
          </cell>
          <cell r="F1078" t="str">
            <v>tier - 2</v>
          </cell>
          <cell r="G1078" t="str">
            <v>tier - 3</v>
          </cell>
          <cell r="H1078" t="str">
            <v>R1016</v>
          </cell>
        </row>
        <row r="1079">
          <cell r="A1079" t="str">
            <v>ID1969</v>
          </cell>
          <cell r="B1079" t="str">
            <v>12-Oct-1993</v>
          </cell>
          <cell r="C1079">
            <v>33</v>
          </cell>
          <cell r="D1079">
            <v>1</v>
          </cell>
          <cell r="E1079">
            <v>3471.41</v>
          </cell>
          <cell r="F1079" t="str">
            <v>tier - 2</v>
          </cell>
          <cell r="G1079" t="str">
            <v>tier - 2</v>
          </cell>
          <cell r="H1079" t="str">
            <v>R1013</v>
          </cell>
        </row>
        <row r="1080">
          <cell r="A1080" t="str">
            <v>ID197</v>
          </cell>
          <cell r="B1080" t="str">
            <v>1-Oct-1999</v>
          </cell>
          <cell r="C1080">
            <v>27</v>
          </cell>
          <cell r="D1080">
            <v>3</v>
          </cell>
          <cell r="E1080">
            <v>36189.1</v>
          </cell>
          <cell r="F1080" t="str">
            <v>tier - 1</v>
          </cell>
          <cell r="G1080" t="str">
            <v>tier - 3</v>
          </cell>
          <cell r="H1080" t="str">
            <v>R1016</v>
          </cell>
        </row>
        <row r="1081">
          <cell r="A1081" t="str">
            <v>ID1970</v>
          </cell>
          <cell r="B1081" t="str">
            <v>29-Jul-2003</v>
          </cell>
          <cell r="C1081">
            <v>23</v>
          </cell>
          <cell r="D1081">
            <v>0</v>
          </cell>
          <cell r="E1081">
            <v>3463.51</v>
          </cell>
          <cell r="F1081" t="str">
            <v>tier - 2</v>
          </cell>
          <cell r="G1081" t="str">
            <v>tier - 1</v>
          </cell>
          <cell r="H1081" t="str">
            <v>R1025</v>
          </cell>
        </row>
        <row r="1082">
          <cell r="A1082" t="str">
            <v>ID1971</v>
          </cell>
          <cell r="B1082" t="str">
            <v>14-Sep-1987</v>
          </cell>
          <cell r="C1082">
            <v>39</v>
          </cell>
          <cell r="D1082">
            <v>3</v>
          </cell>
          <cell r="E1082">
            <v>3453.77</v>
          </cell>
          <cell r="F1082" t="str">
            <v>tier - 2</v>
          </cell>
          <cell r="G1082" t="str">
            <v>tier - 1</v>
          </cell>
          <cell r="H1082" t="str">
            <v>R1011</v>
          </cell>
        </row>
        <row r="1083">
          <cell r="A1083" t="str">
            <v>ID1972</v>
          </cell>
          <cell r="B1083" t="str">
            <v>20-Jun-2000</v>
          </cell>
          <cell r="C1083">
            <v>26</v>
          </cell>
          <cell r="D1083">
            <v>3</v>
          </cell>
          <cell r="E1083">
            <v>3443.06</v>
          </cell>
          <cell r="F1083" t="str">
            <v>tier - 2</v>
          </cell>
          <cell r="G1083" t="str">
            <v>tier - 1</v>
          </cell>
          <cell r="H1083" t="str">
            <v>R1011</v>
          </cell>
        </row>
        <row r="1084">
          <cell r="A1084" t="str">
            <v>ID1973</v>
          </cell>
          <cell r="B1084" t="str">
            <v>27-Aug-1986</v>
          </cell>
          <cell r="C1084">
            <v>40</v>
          </cell>
          <cell r="D1084">
            <v>3</v>
          </cell>
          <cell r="E1084">
            <v>3436.5</v>
          </cell>
          <cell r="F1084" t="str">
            <v>tier - 2</v>
          </cell>
          <cell r="G1084" t="str">
            <v>tier - 1</v>
          </cell>
          <cell r="H1084" t="str">
            <v>R1013</v>
          </cell>
        </row>
        <row r="1085">
          <cell r="A1085" t="str">
            <v>ID1974</v>
          </cell>
          <cell r="B1085" t="str">
            <v>26-Dec-2001</v>
          </cell>
          <cell r="C1085">
            <v>24</v>
          </cell>
          <cell r="D1085">
            <v>0</v>
          </cell>
          <cell r="E1085">
            <v>3434.38</v>
          </cell>
          <cell r="F1085" t="str">
            <v>tier - 2</v>
          </cell>
          <cell r="G1085" t="str">
            <v>tier - 2</v>
          </cell>
          <cell r="H1085" t="str">
            <v>R1011</v>
          </cell>
        </row>
        <row r="1086">
          <cell r="A1086" t="str">
            <v>ID1975</v>
          </cell>
          <cell r="B1086" t="str">
            <v>19-Dec-1996</v>
          </cell>
          <cell r="C1086">
            <v>29</v>
          </cell>
          <cell r="D1086">
            <v>1</v>
          </cell>
          <cell r="E1086">
            <v>3410.32</v>
          </cell>
          <cell r="F1086" t="str">
            <v>tier - 2</v>
          </cell>
          <cell r="G1086" t="str">
            <v>tier - 2</v>
          </cell>
          <cell r="H1086" t="str">
            <v>R1011</v>
          </cell>
        </row>
        <row r="1087">
          <cell r="A1087" t="str">
            <v>ID1976</v>
          </cell>
          <cell r="B1087" t="str">
            <v>16-Jul-2004</v>
          </cell>
          <cell r="C1087">
            <v>22</v>
          </cell>
          <cell r="D1087">
            <v>2</v>
          </cell>
          <cell r="E1087">
            <v>3393.36</v>
          </cell>
          <cell r="F1087" t="str">
            <v>tier - 2</v>
          </cell>
          <cell r="G1087" t="str">
            <v>tier - 2</v>
          </cell>
          <cell r="H1087" t="str">
            <v>R1023</v>
          </cell>
        </row>
        <row r="1088">
          <cell r="A1088" t="str">
            <v>ID1977</v>
          </cell>
          <cell r="B1088" t="str">
            <v>27-Oct-1996</v>
          </cell>
          <cell r="C1088">
            <v>29</v>
          </cell>
          <cell r="D1088">
            <v>1</v>
          </cell>
          <cell r="E1088">
            <v>3392.98</v>
          </cell>
          <cell r="F1088" t="str">
            <v>tier - 2</v>
          </cell>
          <cell r="G1088" t="str">
            <v>tier - 3</v>
          </cell>
          <cell r="H1088" t="str">
            <v>R1013</v>
          </cell>
        </row>
        <row r="1089">
          <cell r="A1089" t="str">
            <v>ID1978</v>
          </cell>
          <cell r="B1089" t="str">
            <v>10-Aug-1996</v>
          </cell>
          <cell r="C1089">
            <v>30</v>
          </cell>
          <cell r="D1089">
            <v>1</v>
          </cell>
          <cell r="E1089">
            <v>3392.37</v>
          </cell>
          <cell r="F1089" t="str">
            <v>tier - 2</v>
          </cell>
          <cell r="G1089" t="str">
            <v>tier - 3</v>
          </cell>
          <cell r="H1089" t="str">
            <v>R1013</v>
          </cell>
        </row>
        <row r="1090">
          <cell r="A1090" t="str">
            <v>ID1979</v>
          </cell>
          <cell r="B1090" t="str">
            <v>13-Nov-1996</v>
          </cell>
          <cell r="C1090">
            <v>29</v>
          </cell>
          <cell r="D1090">
            <v>0</v>
          </cell>
          <cell r="E1090">
            <v>3385.4</v>
          </cell>
          <cell r="F1090" t="str">
            <v>tier - 2</v>
          </cell>
          <cell r="G1090" t="str">
            <v>tier - 2</v>
          </cell>
          <cell r="H1090" t="str">
            <v>R1024</v>
          </cell>
        </row>
        <row r="1091">
          <cell r="A1091" t="str">
            <v>ID198</v>
          </cell>
          <cell r="B1091" t="str">
            <v>6-Dec-1974</v>
          </cell>
          <cell r="C1091">
            <v>51</v>
          </cell>
          <cell r="D1091">
            <v>0</v>
          </cell>
          <cell r="E1091">
            <v>36182.870000000003</v>
          </cell>
          <cell r="F1091" t="str">
            <v>tier - 2</v>
          </cell>
          <cell r="G1091" t="str">
            <v>tier - 3</v>
          </cell>
          <cell r="H1091" t="str">
            <v>R1012</v>
          </cell>
        </row>
        <row r="1092">
          <cell r="A1092" t="str">
            <v>ID1980</v>
          </cell>
          <cell r="B1092" t="str">
            <v>14-Dec-1996</v>
          </cell>
          <cell r="C1092">
            <v>29</v>
          </cell>
          <cell r="D1092">
            <v>1</v>
          </cell>
          <cell r="E1092">
            <v>3378.91</v>
          </cell>
          <cell r="F1092" t="str">
            <v>tier - 2</v>
          </cell>
          <cell r="G1092" t="str">
            <v>tier - 1</v>
          </cell>
          <cell r="H1092" t="str">
            <v>R1011</v>
          </cell>
        </row>
        <row r="1093">
          <cell r="A1093" t="str">
            <v>ID1981</v>
          </cell>
          <cell r="B1093" t="str">
            <v>7-Oct-1993</v>
          </cell>
          <cell r="C1093">
            <v>33</v>
          </cell>
          <cell r="D1093">
            <v>0</v>
          </cell>
          <cell r="E1093">
            <v>3366.67</v>
          </cell>
          <cell r="F1093" t="str">
            <v>tier - 2</v>
          </cell>
          <cell r="G1093" t="str">
            <v>tier - 2</v>
          </cell>
          <cell r="H1093" t="str">
            <v>R1013</v>
          </cell>
        </row>
        <row r="1094">
          <cell r="A1094" t="str">
            <v>ID1982</v>
          </cell>
          <cell r="B1094" t="str">
            <v>23-Jun-1995</v>
          </cell>
          <cell r="C1094">
            <v>31</v>
          </cell>
          <cell r="D1094">
            <v>0</v>
          </cell>
          <cell r="E1094">
            <v>3353.47</v>
          </cell>
          <cell r="F1094" t="str">
            <v>tier - 2</v>
          </cell>
          <cell r="G1094" t="str">
            <v>tier - 3</v>
          </cell>
          <cell r="H1094" t="str">
            <v>R1012</v>
          </cell>
        </row>
        <row r="1095">
          <cell r="A1095" t="str">
            <v>ID1983</v>
          </cell>
          <cell r="B1095" t="str">
            <v>28-Oct-1993</v>
          </cell>
          <cell r="C1095">
            <v>32</v>
          </cell>
          <cell r="D1095">
            <v>0</v>
          </cell>
          <cell r="E1095">
            <v>3353.28</v>
          </cell>
          <cell r="F1095" t="str">
            <v>tier - 2</v>
          </cell>
          <cell r="G1095" t="str">
            <v>tier - 1</v>
          </cell>
          <cell r="H1095" t="str">
            <v>R1011</v>
          </cell>
        </row>
        <row r="1096">
          <cell r="A1096" t="str">
            <v>ID1984</v>
          </cell>
          <cell r="B1096" t="str">
            <v>1-Sep-1991</v>
          </cell>
          <cell r="C1096">
            <v>35</v>
          </cell>
          <cell r="D1096">
            <v>3</v>
          </cell>
          <cell r="E1096">
            <v>3342.79</v>
          </cell>
          <cell r="F1096" t="str">
            <v>tier - 2</v>
          </cell>
          <cell r="G1096" t="str">
            <v>tier - 1</v>
          </cell>
          <cell r="H1096" t="str">
            <v>R1013</v>
          </cell>
        </row>
        <row r="1097">
          <cell r="A1097" t="str">
            <v>ID1985</v>
          </cell>
          <cell r="B1097" t="str">
            <v>20-Jun-1997</v>
          </cell>
          <cell r="C1097">
            <v>29</v>
          </cell>
          <cell r="D1097">
            <v>1</v>
          </cell>
          <cell r="E1097">
            <v>3309.79</v>
          </cell>
          <cell r="F1097" t="str">
            <v>tier - 3</v>
          </cell>
          <cell r="G1097" t="str">
            <v>tier - 3</v>
          </cell>
          <cell r="H1097" t="str">
            <v>R1017</v>
          </cell>
        </row>
        <row r="1098">
          <cell r="A1098" t="str">
            <v>ID1986</v>
          </cell>
          <cell r="B1098" t="str">
            <v>18-Nov-2003</v>
          </cell>
          <cell r="C1098">
            <v>22</v>
          </cell>
          <cell r="D1098">
            <v>0</v>
          </cell>
          <cell r="E1098">
            <v>3308.46</v>
          </cell>
          <cell r="F1098" t="str">
            <v>tier - 2</v>
          </cell>
          <cell r="G1098" t="str">
            <v>tier - 1</v>
          </cell>
          <cell r="H1098" t="str">
            <v>R1021</v>
          </cell>
        </row>
        <row r="1099">
          <cell r="A1099" t="str">
            <v>ID1987</v>
          </cell>
          <cell r="B1099" t="str">
            <v>5-Dec-2003</v>
          </cell>
          <cell r="C1099">
            <v>22</v>
          </cell>
          <cell r="D1099">
            <v>0</v>
          </cell>
          <cell r="E1099">
            <v>3300.7</v>
          </cell>
          <cell r="F1099" t="str">
            <v>tier - 2</v>
          </cell>
          <cell r="G1099" t="str">
            <v>tier - 2</v>
          </cell>
          <cell r="H1099" t="str">
            <v>R1025</v>
          </cell>
        </row>
        <row r="1100">
          <cell r="A1100" t="str">
            <v>ID1988</v>
          </cell>
          <cell r="B1100" t="str">
            <v>17-Nov-1996</v>
          </cell>
          <cell r="C1100">
            <v>29</v>
          </cell>
          <cell r="D1100">
            <v>1</v>
          </cell>
          <cell r="E1100">
            <v>3292.53</v>
          </cell>
          <cell r="F1100" t="str">
            <v>tier - 2</v>
          </cell>
          <cell r="G1100" t="str">
            <v>tier - 2</v>
          </cell>
          <cell r="H1100" t="str">
            <v>R1012</v>
          </cell>
        </row>
        <row r="1101">
          <cell r="A1101" t="str">
            <v>ID1989</v>
          </cell>
          <cell r="B1101" t="str">
            <v>3-Jul-2003</v>
          </cell>
          <cell r="C1101">
            <v>23</v>
          </cell>
          <cell r="D1101">
            <v>0</v>
          </cell>
          <cell r="E1101">
            <v>3280.22</v>
          </cell>
          <cell r="F1101" t="str">
            <v>tier - 2</v>
          </cell>
          <cell r="G1101" t="str">
            <v>tier - 3</v>
          </cell>
          <cell r="H1101" t="str">
            <v>R1011</v>
          </cell>
        </row>
        <row r="1102">
          <cell r="A1102" t="str">
            <v>ID199</v>
          </cell>
          <cell r="B1102" t="str">
            <v>30-Aug-2004</v>
          </cell>
          <cell r="C1102">
            <v>22</v>
          </cell>
          <cell r="D1102">
            <v>0</v>
          </cell>
          <cell r="E1102">
            <v>36149.480000000003</v>
          </cell>
          <cell r="F1102" t="str">
            <v>tier - 2</v>
          </cell>
          <cell r="G1102" t="str">
            <v>tier - 2</v>
          </cell>
          <cell r="H1102" t="str">
            <v>R1013</v>
          </cell>
        </row>
        <row r="1103">
          <cell r="A1103" t="str">
            <v>ID1990</v>
          </cell>
          <cell r="B1103" t="str">
            <v>6-Oct-2001</v>
          </cell>
          <cell r="C1103">
            <v>25</v>
          </cell>
          <cell r="D1103">
            <v>2</v>
          </cell>
          <cell r="E1103">
            <v>3279.87</v>
          </cell>
          <cell r="F1103" t="str">
            <v>tier - 2</v>
          </cell>
          <cell r="G1103" t="str">
            <v>tier - 1</v>
          </cell>
          <cell r="H1103" t="str">
            <v>R1017</v>
          </cell>
        </row>
        <row r="1104">
          <cell r="A1104" t="str">
            <v>ID1991</v>
          </cell>
          <cell r="B1104" t="str">
            <v>1-Jul-1994</v>
          </cell>
          <cell r="C1104">
            <v>32</v>
          </cell>
          <cell r="D1104">
            <v>1</v>
          </cell>
          <cell r="E1104">
            <v>3277.16</v>
          </cell>
          <cell r="F1104" t="str">
            <v>tier - 2</v>
          </cell>
          <cell r="G1104" t="str">
            <v>tier - 3</v>
          </cell>
          <cell r="H1104" t="str">
            <v>R1011</v>
          </cell>
        </row>
        <row r="1105">
          <cell r="A1105" t="str">
            <v>ID1992</v>
          </cell>
          <cell r="B1105" t="str">
            <v>2-Dec-1994</v>
          </cell>
          <cell r="C1105">
            <v>31</v>
          </cell>
          <cell r="D1105">
            <v>0</v>
          </cell>
          <cell r="E1105">
            <v>3268.85</v>
          </cell>
          <cell r="F1105" t="str">
            <v>tier - 3</v>
          </cell>
          <cell r="G1105" t="str">
            <v>tier - 1</v>
          </cell>
          <cell r="H1105" t="str">
            <v>R1016</v>
          </cell>
        </row>
        <row r="1106">
          <cell r="A1106" t="str">
            <v>ID1993</v>
          </cell>
          <cell r="B1106" t="str">
            <v>13-Nov-1991</v>
          </cell>
          <cell r="C1106">
            <v>34</v>
          </cell>
          <cell r="D1106">
            <v>0</v>
          </cell>
          <cell r="E1106">
            <v>3260.2</v>
          </cell>
          <cell r="F1106" t="str">
            <v>tier - 3</v>
          </cell>
          <cell r="G1106" t="str">
            <v>tier - 2</v>
          </cell>
          <cell r="H1106" t="str">
            <v>R1011</v>
          </cell>
        </row>
        <row r="1107">
          <cell r="A1107" t="str">
            <v>ID1994</v>
          </cell>
          <cell r="B1107" t="str">
            <v>2-Sep-1997</v>
          </cell>
          <cell r="C1107">
            <v>29</v>
          </cell>
          <cell r="D1107">
            <v>1</v>
          </cell>
          <cell r="E1107">
            <v>3238.44</v>
          </cell>
          <cell r="F1107" t="str">
            <v>tier - 2</v>
          </cell>
          <cell r="G1107" t="str">
            <v>tier - 3</v>
          </cell>
          <cell r="H1107" t="str">
            <v>R1013</v>
          </cell>
        </row>
        <row r="1108">
          <cell r="A1108" t="str">
            <v>ID1995</v>
          </cell>
          <cell r="B1108" t="str">
            <v>2-Aug-1997</v>
          </cell>
          <cell r="C1108">
            <v>29</v>
          </cell>
          <cell r="D1108">
            <v>1</v>
          </cell>
          <cell r="E1108">
            <v>3227.12</v>
          </cell>
          <cell r="F1108" t="str">
            <v>tier - 2</v>
          </cell>
          <cell r="G1108" t="str">
            <v>tier - 3</v>
          </cell>
          <cell r="H1108" t="str">
            <v>R1013</v>
          </cell>
        </row>
        <row r="1109">
          <cell r="A1109" t="str">
            <v>ID1996</v>
          </cell>
          <cell r="B1109" t="str">
            <v>6-Jul-1997</v>
          </cell>
          <cell r="C1109">
            <v>29</v>
          </cell>
          <cell r="D1109">
            <v>0</v>
          </cell>
          <cell r="E1109">
            <v>3213.62</v>
          </cell>
          <cell r="F1109" t="str">
            <v>tier - 2</v>
          </cell>
          <cell r="G1109" t="str">
            <v>tier - 2</v>
          </cell>
          <cell r="H1109" t="str">
            <v>R1024</v>
          </cell>
        </row>
        <row r="1110">
          <cell r="A1110" t="str">
            <v>ID1997</v>
          </cell>
          <cell r="B1110" t="str">
            <v>22-Dec-1997</v>
          </cell>
          <cell r="C1110">
            <v>28</v>
          </cell>
          <cell r="D1110">
            <v>1</v>
          </cell>
          <cell r="E1110">
            <v>3208.79</v>
          </cell>
          <cell r="F1110" t="str">
            <v>tier - 2</v>
          </cell>
          <cell r="G1110" t="str">
            <v>tier - 3</v>
          </cell>
          <cell r="H1110" t="str">
            <v>R1011</v>
          </cell>
        </row>
        <row r="1111">
          <cell r="A1111" t="str">
            <v>ID1998</v>
          </cell>
          <cell r="B1111" t="str">
            <v>5-Jul-1997</v>
          </cell>
          <cell r="C1111">
            <v>29</v>
          </cell>
          <cell r="D1111">
            <v>0</v>
          </cell>
          <cell r="E1111">
            <v>3206.49</v>
          </cell>
          <cell r="F1111" t="str">
            <v>tier - 2</v>
          </cell>
          <cell r="G1111" t="str">
            <v>tier - 3</v>
          </cell>
          <cell r="H1111" t="str">
            <v>R1024</v>
          </cell>
        </row>
        <row r="1112">
          <cell r="A1112" t="str">
            <v>ID1999</v>
          </cell>
          <cell r="B1112" t="str">
            <v>11-Oct-1996</v>
          </cell>
          <cell r="C1112">
            <v>30</v>
          </cell>
          <cell r="D1112">
            <v>0</v>
          </cell>
          <cell r="E1112">
            <v>3201.25</v>
          </cell>
          <cell r="F1112" t="str">
            <v>tier - 2</v>
          </cell>
          <cell r="G1112" t="str">
            <v>tier - 3</v>
          </cell>
          <cell r="H1112" t="str">
            <v>R1012</v>
          </cell>
        </row>
        <row r="1113">
          <cell r="A1113" t="str">
            <v>ID2</v>
          </cell>
          <cell r="B1113" t="str">
            <v>8-Jun-1977</v>
          </cell>
          <cell r="C1113">
            <v>49</v>
          </cell>
          <cell r="D1113">
            <v>0</v>
          </cell>
          <cell r="E1113">
            <v>62592.87</v>
          </cell>
          <cell r="F1113" t="str">
            <v>tier - 2</v>
          </cell>
          <cell r="G1113" t="str">
            <v>tier - 3</v>
          </cell>
          <cell r="H1113" t="str">
            <v>R1013</v>
          </cell>
        </row>
        <row r="1114">
          <cell r="A1114" t="str">
            <v>ID20</v>
          </cell>
          <cell r="B1114" t="str">
            <v>27-Sep-1971</v>
          </cell>
          <cell r="C1114">
            <v>55</v>
          </cell>
          <cell r="D1114">
            <v>2</v>
          </cell>
          <cell r="E1114">
            <v>47462.89</v>
          </cell>
          <cell r="F1114" t="str">
            <v>tier - 1</v>
          </cell>
          <cell r="G1114" t="str">
            <v>tier - 2</v>
          </cell>
          <cell r="H1114" t="str">
            <v>R1013</v>
          </cell>
        </row>
        <row r="1115">
          <cell r="A1115" t="str">
            <v>ID200</v>
          </cell>
          <cell r="B1115" t="str">
            <v>12-Jun-1997</v>
          </cell>
          <cell r="C1115">
            <v>29</v>
          </cell>
          <cell r="D1115">
            <v>2</v>
          </cell>
          <cell r="E1115">
            <v>36124.57</v>
          </cell>
          <cell r="F1115" t="str">
            <v>tier - 1</v>
          </cell>
          <cell r="G1115" t="str">
            <v>tier - 3</v>
          </cell>
          <cell r="H1115" t="str">
            <v>R1013</v>
          </cell>
        </row>
        <row r="1116">
          <cell r="A1116" t="str">
            <v>ID2000</v>
          </cell>
          <cell r="B1116" t="str">
            <v>2-Sep-2001</v>
          </cell>
          <cell r="C1116">
            <v>25</v>
          </cell>
          <cell r="D1116">
            <v>2</v>
          </cell>
          <cell r="E1116">
            <v>3180.51</v>
          </cell>
          <cell r="F1116" t="str">
            <v>tier - 2</v>
          </cell>
          <cell r="G1116" t="str">
            <v>tier - 2</v>
          </cell>
          <cell r="H1116" t="str">
            <v>R1013</v>
          </cell>
        </row>
        <row r="1117">
          <cell r="A1117" t="str">
            <v>ID2001</v>
          </cell>
          <cell r="B1117" t="str">
            <v>23-Sep-2000</v>
          </cell>
          <cell r="C1117">
            <v>26</v>
          </cell>
          <cell r="D1117">
            <v>0</v>
          </cell>
          <cell r="E1117">
            <v>3179.96</v>
          </cell>
          <cell r="F1117" t="str">
            <v>tier - 2</v>
          </cell>
          <cell r="G1117" t="str">
            <v>tier - 2</v>
          </cell>
          <cell r="H1117" t="str">
            <v>R1012</v>
          </cell>
        </row>
        <row r="1118">
          <cell r="A1118" t="str">
            <v>ID2002</v>
          </cell>
          <cell r="B1118" t="str">
            <v>3-Jul-1996</v>
          </cell>
          <cell r="C1118">
            <v>30</v>
          </cell>
          <cell r="D1118">
            <v>0</v>
          </cell>
          <cell r="E1118">
            <v>3176.82</v>
          </cell>
          <cell r="F1118" t="str">
            <v>tier - 2</v>
          </cell>
          <cell r="G1118" t="str">
            <v>tier - 1</v>
          </cell>
          <cell r="H1118" t="str">
            <v>R1012</v>
          </cell>
        </row>
        <row r="1119">
          <cell r="A1119" t="str">
            <v>ID2003</v>
          </cell>
          <cell r="B1119" t="str">
            <v>14-Aug-1996</v>
          </cell>
          <cell r="C1119">
            <v>30</v>
          </cell>
          <cell r="D1119">
            <v>0</v>
          </cell>
          <cell r="E1119">
            <v>3176.29</v>
          </cell>
          <cell r="F1119" t="str">
            <v>tier - 2</v>
          </cell>
          <cell r="G1119" t="str">
            <v>tier - 2</v>
          </cell>
          <cell r="H1119" t="str">
            <v>R1012</v>
          </cell>
        </row>
        <row r="1120">
          <cell r="A1120" t="str">
            <v>ID2004</v>
          </cell>
          <cell r="B1120" t="str">
            <v>6-Jul-1994</v>
          </cell>
          <cell r="C1120">
            <v>32</v>
          </cell>
          <cell r="D1120">
            <v>0</v>
          </cell>
          <cell r="E1120">
            <v>3172.02</v>
          </cell>
          <cell r="F1120" t="str">
            <v>tier - 2</v>
          </cell>
          <cell r="G1120" t="str">
            <v>tier - 1</v>
          </cell>
          <cell r="H1120" t="str">
            <v>R1011</v>
          </cell>
        </row>
        <row r="1121">
          <cell r="A1121" t="str">
            <v>ID2005</v>
          </cell>
          <cell r="B1121" t="str">
            <v>25-Oct-1994</v>
          </cell>
          <cell r="C1121">
            <v>31</v>
          </cell>
          <cell r="D1121">
            <v>0</v>
          </cell>
          <cell r="E1121">
            <v>3171.61</v>
          </cell>
          <cell r="F1121" t="str">
            <v>tier - 2</v>
          </cell>
          <cell r="G1121" t="str">
            <v>tier - 3</v>
          </cell>
          <cell r="H1121" t="str">
            <v>R1013</v>
          </cell>
        </row>
        <row r="1122">
          <cell r="A1122" t="str">
            <v>ID2006</v>
          </cell>
          <cell r="B1122" t="str">
            <v>29-Aug-2001</v>
          </cell>
          <cell r="C1122">
            <v>25</v>
          </cell>
          <cell r="D1122">
            <v>1</v>
          </cell>
          <cell r="E1122">
            <v>3167.46</v>
          </cell>
          <cell r="F1122" t="str">
            <v>tier - 2</v>
          </cell>
          <cell r="G1122" t="str">
            <v>tier - 3</v>
          </cell>
          <cell r="H1122" t="str">
            <v>R1024</v>
          </cell>
        </row>
        <row r="1123">
          <cell r="A1123" t="str">
            <v>ID2007</v>
          </cell>
          <cell r="B1123" t="str">
            <v>25-Sep-1993</v>
          </cell>
          <cell r="C1123">
            <v>33</v>
          </cell>
          <cell r="D1123">
            <v>0</v>
          </cell>
          <cell r="E1123">
            <v>3162.02</v>
          </cell>
          <cell r="F1123" t="str">
            <v>tier - 2</v>
          </cell>
          <cell r="G1123" t="str">
            <v>tier - 3</v>
          </cell>
          <cell r="H1123" t="str">
            <v>R1013</v>
          </cell>
        </row>
        <row r="1124">
          <cell r="A1124" t="str">
            <v>ID2008</v>
          </cell>
          <cell r="B1124" t="str">
            <v>10-Jul-1994</v>
          </cell>
          <cell r="C1124">
            <v>32</v>
          </cell>
          <cell r="D1124">
            <v>0</v>
          </cell>
          <cell r="E1124">
            <v>3161.45</v>
          </cell>
          <cell r="F1124" t="str">
            <v>tier - 2</v>
          </cell>
          <cell r="G1124" t="str">
            <v>tier - 1</v>
          </cell>
          <cell r="H1124" t="str">
            <v>R1011</v>
          </cell>
        </row>
        <row r="1125">
          <cell r="A1125" t="str">
            <v>ID2009</v>
          </cell>
          <cell r="B1125" t="str">
            <v>25-Jun-1999</v>
          </cell>
          <cell r="C1125">
            <v>27</v>
          </cell>
          <cell r="D1125">
            <v>0</v>
          </cell>
          <cell r="E1125">
            <v>3128.35</v>
          </cell>
          <cell r="F1125" t="str">
            <v>tier - 2</v>
          </cell>
          <cell r="G1125" t="str">
            <v>tier - 3</v>
          </cell>
          <cell r="H1125" t="str">
            <v>R1021</v>
          </cell>
        </row>
        <row r="1126">
          <cell r="A1126" t="str">
            <v>ID201</v>
          </cell>
          <cell r="B1126" t="str">
            <v>4-Nov-1979</v>
          </cell>
          <cell r="C1126">
            <v>46</v>
          </cell>
          <cell r="D1126">
            <v>2</v>
          </cell>
          <cell r="E1126">
            <v>36090.49</v>
          </cell>
          <cell r="F1126" t="str">
            <v>tier - 2</v>
          </cell>
          <cell r="G1126" t="str">
            <v>tier - 2</v>
          </cell>
          <cell r="H1126" t="str">
            <v>R1011</v>
          </cell>
        </row>
        <row r="1127">
          <cell r="A1127" t="str">
            <v>ID2010</v>
          </cell>
          <cell r="B1127" t="str">
            <v>1-Aug-1987</v>
          </cell>
          <cell r="C1127">
            <v>39</v>
          </cell>
          <cell r="D1127">
            <v>3</v>
          </cell>
          <cell r="E1127">
            <v>3088.06</v>
          </cell>
          <cell r="F1127" t="str">
            <v>tier - 2</v>
          </cell>
          <cell r="G1127" t="str">
            <v>tier - 2</v>
          </cell>
          <cell r="H1127" t="str">
            <v>R1013</v>
          </cell>
        </row>
        <row r="1128">
          <cell r="A1128" t="str">
            <v>ID2011</v>
          </cell>
          <cell r="B1128" t="str">
            <v>13-Oct-2001</v>
          </cell>
          <cell r="C1128">
            <v>25</v>
          </cell>
          <cell r="D1128">
            <v>2</v>
          </cell>
          <cell r="E1128">
            <v>3077.1</v>
          </cell>
          <cell r="F1128" t="str">
            <v>tier - 2</v>
          </cell>
          <cell r="G1128" t="str">
            <v>tier - 1</v>
          </cell>
          <cell r="H1128" t="str">
            <v>R1012</v>
          </cell>
        </row>
        <row r="1129">
          <cell r="A1129" t="str">
            <v>ID2012</v>
          </cell>
          <cell r="B1129" t="str">
            <v>10-Sep-1995</v>
          </cell>
          <cell r="C1129">
            <v>31</v>
          </cell>
          <cell r="D1129">
            <v>0</v>
          </cell>
          <cell r="E1129">
            <v>3070.81</v>
          </cell>
          <cell r="F1129" t="str">
            <v>tier - 3</v>
          </cell>
          <cell r="G1129" t="str">
            <v>tier - 1</v>
          </cell>
          <cell r="H1129" t="str">
            <v>R1017</v>
          </cell>
        </row>
        <row r="1130">
          <cell r="A1130" t="str">
            <v>ID2013</v>
          </cell>
          <cell r="B1130" t="str">
            <v>1-Oct-1989</v>
          </cell>
          <cell r="C1130">
            <v>37</v>
          </cell>
          <cell r="D1130">
            <v>3</v>
          </cell>
          <cell r="E1130">
            <v>3065.49</v>
          </cell>
          <cell r="F1130" t="str">
            <v>tier - 2</v>
          </cell>
          <cell r="G1130" t="str">
            <v>tier - 1</v>
          </cell>
          <cell r="H1130" t="str">
            <v>R1012</v>
          </cell>
        </row>
        <row r="1131">
          <cell r="A1131" t="str">
            <v>ID2014</v>
          </cell>
          <cell r="B1131" t="str">
            <v>26-Sep-1994</v>
          </cell>
          <cell r="C1131">
            <v>32</v>
          </cell>
          <cell r="D1131">
            <v>0</v>
          </cell>
          <cell r="E1131">
            <v>3062.51</v>
          </cell>
          <cell r="F1131" t="str">
            <v>tier - 3</v>
          </cell>
          <cell r="G1131" t="str">
            <v>tier - 1</v>
          </cell>
          <cell r="H1131" t="str">
            <v>R1012</v>
          </cell>
        </row>
        <row r="1132">
          <cell r="A1132" t="str">
            <v>ID2015</v>
          </cell>
          <cell r="B1132" t="str">
            <v>21-Jun-2002</v>
          </cell>
          <cell r="C1132">
            <v>24</v>
          </cell>
          <cell r="D1132">
            <v>2</v>
          </cell>
          <cell r="E1132">
            <v>3056.39</v>
          </cell>
          <cell r="F1132" t="str">
            <v>tier - 2</v>
          </cell>
          <cell r="G1132" t="str">
            <v>tier - 3</v>
          </cell>
          <cell r="H1132" t="str">
            <v>R1013</v>
          </cell>
        </row>
        <row r="1133">
          <cell r="A1133" t="str">
            <v>ID2016</v>
          </cell>
          <cell r="B1133" t="str">
            <v>22-Dec-1997</v>
          </cell>
          <cell r="C1133">
            <v>28</v>
          </cell>
          <cell r="D1133">
            <v>0</v>
          </cell>
          <cell r="E1133">
            <v>3051.73</v>
          </cell>
          <cell r="F1133" t="str">
            <v>tier - 2</v>
          </cell>
          <cell r="G1133" t="str">
            <v>tier - 2</v>
          </cell>
          <cell r="H1133" t="str">
            <v>R1011</v>
          </cell>
        </row>
        <row r="1134">
          <cell r="A1134" t="str">
            <v>ID2017</v>
          </cell>
          <cell r="B1134" t="str">
            <v>9-Aug-1998</v>
          </cell>
          <cell r="C1134">
            <v>28</v>
          </cell>
          <cell r="D1134">
            <v>0</v>
          </cell>
          <cell r="E1134">
            <v>3046.06</v>
          </cell>
          <cell r="F1134" t="str">
            <v>tier - 2</v>
          </cell>
          <cell r="G1134" t="str">
            <v>tier - 1</v>
          </cell>
          <cell r="H1134" t="str">
            <v>R1023</v>
          </cell>
        </row>
        <row r="1135">
          <cell r="A1135" t="str">
            <v>ID2018</v>
          </cell>
          <cell r="B1135" t="str">
            <v>15-Sep-1998</v>
          </cell>
          <cell r="C1135">
            <v>28</v>
          </cell>
          <cell r="D1135">
            <v>0</v>
          </cell>
          <cell r="E1135">
            <v>3044.21</v>
          </cell>
          <cell r="F1135" t="str">
            <v>tier - 2</v>
          </cell>
          <cell r="G1135" t="str">
            <v>tier - 3</v>
          </cell>
          <cell r="H1135" t="str">
            <v>R1024</v>
          </cell>
        </row>
        <row r="1136">
          <cell r="A1136" t="str">
            <v>ID2019</v>
          </cell>
          <cell r="B1136" t="str">
            <v>19-Dec-1997</v>
          </cell>
          <cell r="C1136">
            <v>28</v>
          </cell>
          <cell r="D1136">
            <v>0</v>
          </cell>
          <cell r="E1136">
            <v>3021.81</v>
          </cell>
          <cell r="F1136" t="str">
            <v>tier - 2</v>
          </cell>
          <cell r="G1136" t="str">
            <v>tier - 3</v>
          </cell>
          <cell r="H1136" t="str">
            <v>R1012</v>
          </cell>
        </row>
        <row r="1137">
          <cell r="A1137" t="str">
            <v>ID202</v>
          </cell>
          <cell r="B1137" t="str">
            <v>20-Aug-1996</v>
          </cell>
          <cell r="C1137">
            <v>30</v>
          </cell>
          <cell r="D1137">
            <v>2</v>
          </cell>
          <cell r="E1137">
            <v>36085.22</v>
          </cell>
          <cell r="F1137" t="str">
            <v>tier - 1</v>
          </cell>
          <cell r="G1137" t="str">
            <v>tier - 1</v>
          </cell>
          <cell r="H1137" t="str">
            <v>R1011</v>
          </cell>
        </row>
        <row r="1138">
          <cell r="A1138" t="str">
            <v>ID2020</v>
          </cell>
          <cell r="B1138" t="str">
            <v>28-Sep-1988</v>
          </cell>
          <cell r="C1138">
            <v>38</v>
          </cell>
          <cell r="D1138">
            <v>3</v>
          </cell>
          <cell r="E1138">
            <v>3018.04</v>
          </cell>
          <cell r="F1138" t="str">
            <v>tier - 2</v>
          </cell>
          <cell r="G1138" t="str">
            <v>tier - 2</v>
          </cell>
          <cell r="H1138" t="str">
            <v>R1012</v>
          </cell>
        </row>
        <row r="1139">
          <cell r="A1139" t="str">
            <v>ID2021</v>
          </cell>
          <cell r="B1139" t="str">
            <v>15-Dec-2002</v>
          </cell>
          <cell r="C1139">
            <v>23</v>
          </cell>
          <cell r="D1139">
            <v>0</v>
          </cell>
          <cell r="E1139">
            <v>3012.22</v>
          </cell>
          <cell r="F1139" t="str">
            <v>tier - 2</v>
          </cell>
          <cell r="G1139" t="str">
            <v>tier - 3</v>
          </cell>
          <cell r="H1139" t="str">
            <v>R1012</v>
          </cell>
        </row>
        <row r="1140">
          <cell r="A1140" t="str">
            <v>ID2022</v>
          </cell>
          <cell r="B1140" t="str">
            <v>20-Nov-1991</v>
          </cell>
          <cell r="C1140">
            <v>34</v>
          </cell>
          <cell r="D1140">
            <v>3</v>
          </cell>
          <cell r="E1140">
            <v>2985.67</v>
          </cell>
          <cell r="F1140" t="str">
            <v>tier - 2</v>
          </cell>
          <cell r="G1140" t="str">
            <v>tier - 2</v>
          </cell>
          <cell r="H1140" t="str">
            <v>R1013</v>
          </cell>
        </row>
        <row r="1141">
          <cell r="A1141" t="str">
            <v>ID2023</v>
          </cell>
          <cell r="B1141" t="str">
            <v>18-Jun-1987</v>
          </cell>
          <cell r="C1141">
            <v>39</v>
          </cell>
          <cell r="D1141">
            <v>3</v>
          </cell>
          <cell r="E1141">
            <v>2979.52</v>
          </cell>
          <cell r="F1141" t="str">
            <v>tier - 2</v>
          </cell>
          <cell r="G1141" t="str">
            <v>tier - 3</v>
          </cell>
          <cell r="H1141" t="str">
            <v>R1013</v>
          </cell>
        </row>
        <row r="1142">
          <cell r="A1142" t="str">
            <v>ID2024</v>
          </cell>
          <cell r="B1142" t="str">
            <v>24-Sep-1995</v>
          </cell>
          <cell r="C1142">
            <v>31</v>
          </cell>
          <cell r="D1142">
            <v>0</v>
          </cell>
          <cell r="E1142">
            <v>2974.13</v>
          </cell>
          <cell r="F1142" t="str">
            <v>tier - 2</v>
          </cell>
          <cell r="G1142" t="str">
            <v>tier - 1</v>
          </cell>
          <cell r="H1142" t="str">
            <v>R1011</v>
          </cell>
        </row>
        <row r="1143">
          <cell r="A1143" t="str">
            <v>ID2025</v>
          </cell>
          <cell r="B1143" t="str">
            <v>30-Sep-2002</v>
          </cell>
          <cell r="C1143">
            <v>24</v>
          </cell>
          <cell r="D1143">
            <v>0</v>
          </cell>
          <cell r="E1143">
            <v>2943.41</v>
          </cell>
          <cell r="F1143" t="str">
            <v>tier - 2</v>
          </cell>
          <cell r="G1143" t="str">
            <v>tier - 3</v>
          </cell>
          <cell r="H1143" t="str">
            <v>R1012</v>
          </cell>
        </row>
        <row r="1144">
          <cell r="A1144" t="str">
            <v>ID2026</v>
          </cell>
          <cell r="B1144" t="str">
            <v>30-Jun-1996</v>
          </cell>
          <cell r="C1144">
            <v>30</v>
          </cell>
          <cell r="D1144">
            <v>1</v>
          </cell>
          <cell r="E1144">
            <v>2927.06</v>
          </cell>
          <cell r="F1144" t="str">
            <v>tier - 2</v>
          </cell>
          <cell r="G1144" t="str">
            <v>tier - 2</v>
          </cell>
          <cell r="H1144" t="str">
            <v>R1013</v>
          </cell>
        </row>
        <row r="1145">
          <cell r="A1145" t="str">
            <v>ID2027</v>
          </cell>
          <cell r="B1145" t="str">
            <v>5-Jun-2003</v>
          </cell>
          <cell r="C1145">
            <v>23</v>
          </cell>
          <cell r="D1145">
            <v>2</v>
          </cell>
          <cell r="E1145">
            <v>2913.57</v>
          </cell>
          <cell r="F1145" t="str">
            <v>tier - 2</v>
          </cell>
          <cell r="G1145" t="str">
            <v>tier - 2</v>
          </cell>
          <cell r="H1145" t="str">
            <v>R1011</v>
          </cell>
        </row>
        <row r="1146">
          <cell r="A1146" t="str">
            <v>ID2028</v>
          </cell>
          <cell r="B1146" t="str">
            <v>13-Jun-1996</v>
          </cell>
          <cell r="C1146">
            <v>30</v>
          </cell>
          <cell r="D1146">
            <v>1</v>
          </cell>
          <cell r="E1146">
            <v>2904.09</v>
          </cell>
          <cell r="F1146" t="str">
            <v>tier - 2</v>
          </cell>
          <cell r="G1146" t="str">
            <v>tier - 2</v>
          </cell>
          <cell r="H1146" t="str">
            <v>R1011</v>
          </cell>
        </row>
        <row r="1147">
          <cell r="A1147" t="str">
            <v>ID2029</v>
          </cell>
          <cell r="B1147" t="str">
            <v>24-Oct-1996</v>
          </cell>
          <cell r="C1147">
            <v>29</v>
          </cell>
          <cell r="D1147">
            <v>1</v>
          </cell>
          <cell r="E1147">
            <v>2902.91</v>
          </cell>
          <cell r="F1147" t="str">
            <v>tier - 2</v>
          </cell>
          <cell r="G1147" t="str">
            <v>tier - 2</v>
          </cell>
          <cell r="H1147" t="str">
            <v>R1013</v>
          </cell>
        </row>
        <row r="1148">
          <cell r="A1148" t="str">
            <v>ID203</v>
          </cell>
          <cell r="B1148" t="str">
            <v>22-Jul-1963</v>
          </cell>
          <cell r="C1148">
            <v>63</v>
          </cell>
          <cell r="D1148">
            <v>0</v>
          </cell>
          <cell r="E1148">
            <v>36074.339999999997</v>
          </cell>
          <cell r="F1148" t="str">
            <v>tier - 2</v>
          </cell>
          <cell r="G1148" t="str">
            <v>tier - 1</v>
          </cell>
          <cell r="H1148" t="str">
            <v>R1011</v>
          </cell>
        </row>
        <row r="1149">
          <cell r="A1149" t="str">
            <v>ID2030</v>
          </cell>
          <cell r="B1149" t="str">
            <v>1-Nov-1999</v>
          </cell>
          <cell r="C1149">
            <v>26</v>
          </cell>
          <cell r="D1149">
            <v>0</v>
          </cell>
          <cell r="E1149">
            <v>2899.49</v>
          </cell>
          <cell r="F1149" t="str">
            <v>tier - 2</v>
          </cell>
          <cell r="G1149" t="str">
            <v>tier - 2</v>
          </cell>
          <cell r="H1149" t="str">
            <v>R1024</v>
          </cell>
        </row>
        <row r="1150">
          <cell r="A1150" t="str">
            <v>ID2031</v>
          </cell>
          <cell r="B1150" t="str">
            <v>14-Jul-2000</v>
          </cell>
          <cell r="C1150">
            <v>26</v>
          </cell>
          <cell r="D1150">
            <v>0</v>
          </cell>
          <cell r="E1150">
            <v>2897.46</v>
          </cell>
          <cell r="F1150" t="str">
            <v>tier - 2</v>
          </cell>
          <cell r="G1150" t="str">
            <v>tier - 1</v>
          </cell>
          <cell r="H1150" t="str">
            <v>R1012</v>
          </cell>
        </row>
        <row r="1151">
          <cell r="A1151" t="str">
            <v>ID2032</v>
          </cell>
          <cell r="B1151" t="str">
            <v>21-Jun-1996</v>
          </cell>
          <cell r="C1151">
            <v>30</v>
          </cell>
          <cell r="D1151">
            <v>0</v>
          </cell>
          <cell r="E1151">
            <v>2897.32</v>
          </cell>
          <cell r="F1151" t="str">
            <v>tier - 3</v>
          </cell>
          <cell r="G1151" t="str">
            <v>tier - 3</v>
          </cell>
          <cell r="H1151" t="str">
            <v>R1016</v>
          </cell>
        </row>
        <row r="1152">
          <cell r="A1152" t="str">
            <v>ID2033</v>
          </cell>
          <cell r="B1152" t="str">
            <v>12-Aug-1993</v>
          </cell>
          <cell r="C1152">
            <v>33</v>
          </cell>
          <cell r="D1152">
            <v>0</v>
          </cell>
          <cell r="E1152">
            <v>2867.12</v>
          </cell>
          <cell r="F1152" t="str">
            <v>tier - 1</v>
          </cell>
          <cell r="G1152" t="str">
            <v>tier - 3</v>
          </cell>
          <cell r="H1152" t="str">
            <v>R1013</v>
          </cell>
        </row>
        <row r="1153">
          <cell r="A1153" t="str">
            <v>ID2034</v>
          </cell>
          <cell r="B1153" t="str">
            <v>1-Nov-1993</v>
          </cell>
          <cell r="C1153">
            <v>32</v>
          </cell>
          <cell r="D1153">
            <v>0</v>
          </cell>
          <cell r="E1153">
            <v>2866.09</v>
          </cell>
          <cell r="F1153" t="str">
            <v>tier - 3</v>
          </cell>
          <cell r="G1153" t="str">
            <v>tier - 3</v>
          </cell>
          <cell r="H1153" t="str">
            <v>R1011</v>
          </cell>
        </row>
        <row r="1154">
          <cell r="A1154" t="str">
            <v>ID2035</v>
          </cell>
          <cell r="B1154" t="str">
            <v>4-Sep-1998</v>
          </cell>
          <cell r="C1154">
            <v>28</v>
          </cell>
          <cell r="D1154">
            <v>0</v>
          </cell>
          <cell r="E1154">
            <v>2855.44</v>
          </cell>
          <cell r="F1154" t="str">
            <v>tier - 2</v>
          </cell>
          <cell r="G1154" t="str">
            <v>tier - 3</v>
          </cell>
          <cell r="H1154" t="str">
            <v>R1012</v>
          </cell>
        </row>
        <row r="1155">
          <cell r="A1155" t="str">
            <v>ID2036</v>
          </cell>
          <cell r="B1155" t="str">
            <v>17-Jun-1998</v>
          </cell>
          <cell r="C1155">
            <v>28</v>
          </cell>
          <cell r="D1155">
            <v>0</v>
          </cell>
          <cell r="E1155">
            <v>2850.68</v>
          </cell>
          <cell r="F1155" t="str">
            <v>tier - 2</v>
          </cell>
          <cell r="G1155" t="str">
            <v>tier - 3</v>
          </cell>
          <cell r="H1155" t="str">
            <v>R1012</v>
          </cell>
        </row>
        <row r="1156">
          <cell r="A1156" t="str">
            <v>ID2037</v>
          </cell>
          <cell r="B1156" t="str">
            <v>15-Nov-1998</v>
          </cell>
          <cell r="C1156">
            <v>27</v>
          </cell>
          <cell r="D1156">
            <v>0</v>
          </cell>
          <cell r="E1156">
            <v>2842.76</v>
          </cell>
          <cell r="F1156" t="str">
            <v>tier - 2</v>
          </cell>
          <cell r="G1156" t="str">
            <v>tier - 3</v>
          </cell>
          <cell r="H1156" t="str">
            <v>R1012</v>
          </cell>
        </row>
        <row r="1157">
          <cell r="A1157" t="str">
            <v>ID2038</v>
          </cell>
          <cell r="B1157" t="str">
            <v>1-Oct-2000</v>
          </cell>
          <cell r="C1157">
            <v>26</v>
          </cell>
          <cell r="D1157">
            <v>0</v>
          </cell>
          <cell r="E1157">
            <v>2819.51</v>
          </cell>
          <cell r="F1157" t="str">
            <v>tier - 2</v>
          </cell>
          <cell r="G1157" t="str">
            <v>tier - 3</v>
          </cell>
          <cell r="H1157" t="str">
            <v>R1011</v>
          </cell>
        </row>
        <row r="1158">
          <cell r="A1158" t="str">
            <v>ID2039</v>
          </cell>
          <cell r="B1158" t="str">
            <v>23-Sep-2003</v>
          </cell>
          <cell r="C1158">
            <v>23</v>
          </cell>
          <cell r="D1158">
            <v>2</v>
          </cell>
          <cell r="E1158">
            <v>2803.7</v>
          </cell>
          <cell r="F1158" t="str">
            <v>tier - 2</v>
          </cell>
          <cell r="G1158" t="str">
            <v>tier - 1</v>
          </cell>
          <cell r="H1158" t="str">
            <v>R1012</v>
          </cell>
        </row>
        <row r="1159">
          <cell r="A1159" t="str">
            <v>ID204</v>
          </cell>
          <cell r="B1159" t="str">
            <v>4-Sep-1999</v>
          </cell>
          <cell r="C1159">
            <v>27</v>
          </cell>
          <cell r="D1159">
            <v>2</v>
          </cell>
          <cell r="E1159">
            <v>36021.01</v>
          </cell>
          <cell r="F1159" t="str">
            <v>tier - 2</v>
          </cell>
          <cell r="G1159" t="str">
            <v>tier - 3</v>
          </cell>
          <cell r="H1159" t="str">
            <v>R1013</v>
          </cell>
        </row>
        <row r="1160">
          <cell r="A1160" t="str">
            <v>ID2040</v>
          </cell>
          <cell r="B1160" t="str">
            <v>4-Aug-2004</v>
          </cell>
          <cell r="C1160">
            <v>22</v>
          </cell>
          <cell r="D1160">
            <v>2</v>
          </cell>
          <cell r="E1160">
            <v>2801.26</v>
          </cell>
          <cell r="F1160" t="str">
            <v>tier - 2</v>
          </cell>
          <cell r="G1160" t="str">
            <v>tier - 3</v>
          </cell>
          <cell r="H1160" t="str">
            <v>R1013</v>
          </cell>
        </row>
        <row r="1161">
          <cell r="A1161" t="str">
            <v>ID2041</v>
          </cell>
          <cell r="B1161" t="str">
            <v>24-Dec-1999</v>
          </cell>
          <cell r="C1161">
            <v>26</v>
          </cell>
          <cell r="D1161">
            <v>1</v>
          </cell>
          <cell r="E1161">
            <v>2789.06</v>
          </cell>
          <cell r="F1161" t="str">
            <v>tier - 2</v>
          </cell>
          <cell r="G1161" t="str">
            <v>tier - 3</v>
          </cell>
          <cell r="H1161" t="str">
            <v>R1012</v>
          </cell>
        </row>
        <row r="1162">
          <cell r="A1162" t="str">
            <v>ID2042</v>
          </cell>
          <cell r="B1162" t="str">
            <v>29-Aug-1999</v>
          </cell>
          <cell r="C1162">
            <v>27</v>
          </cell>
          <cell r="D1162">
            <v>1</v>
          </cell>
          <cell r="E1162">
            <v>2775.19</v>
          </cell>
          <cell r="F1162" t="str">
            <v>tier - 2</v>
          </cell>
          <cell r="G1162" t="str">
            <v>tier - 1</v>
          </cell>
          <cell r="H1162" t="str">
            <v>R1012</v>
          </cell>
        </row>
        <row r="1163">
          <cell r="A1163" t="str">
            <v>ID2043</v>
          </cell>
          <cell r="B1163" t="str">
            <v>14-Nov-2004</v>
          </cell>
          <cell r="C1163">
            <v>21</v>
          </cell>
          <cell r="D1163">
            <v>0</v>
          </cell>
          <cell r="E1163">
            <v>2773.46</v>
          </cell>
          <cell r="F1163" t="str">
            <v>tier - 2</v>
          </cell>
          <cell r="G1163" t="str">
            <v>tier - 1</v>
          </cell>
          <cell r="H1163" t="str">
            <v>R1021</v>
          </cell>
        </row>
        <row r="1164">
          <cell r="A1164" t="str">
            <v>ID2044</v>
          </cell>
          <cell r="B1164" t="str">
            <v>10-Aug-1997</v>
          </cell>
          <cell r="C1164">
            <v>29</v>
          </cell>
          <cell r="D1164">
            <v>0</v>
          </cell>
          <cell r="E1164">
            <v>2758.99</v>
          </cell>
          <cell r="F1164" t="str">
            <v>tier - 2</v>
          </cell>
          <cell r="G1164" t="str">
            <v>tier - 1</v>
          </cell>
          <cell r="H1164" t="str">
            <v>R1012</v>
          </cell>
        </row>
        <row r="1165">
          <cell r="A1165" t="str">
            <v>ID2045</v>
          </cell>
          <cell r="B1165" t="str">
            <v>11-Oct-2000</v>
          </cell>
          <cell r="C1165">
            <v>26</v>
          </cell>
          <cell r="D1165">
            <v>0</v>
          </cell>
          <cell r="E1165">
            <v>2755.02</v>
          </cell>
          <cell r="F1165" t="str">
            <v>tier - 2</v>
          </cell>
          <cell r="G1165" t="str">
            <v>tier - 1</v>
          </cell>
          <cell r="H1165" t="str">
            <v>R1024</v>
          </cell>
        </row>
        <row r="1166">
          <cell r="A1166" t="str">
            <v>ID2046</v>
          </cell>
          <cell r="B1166" t="str">
            <v>3-Oct-2000</v>
          </cell>
          <cell r="C1166">
            <v>26</v>
          </cell>
          <cell r="D1166">
            <v>0</v>
          </cell>
          <cell r="E1166">
            <v>2741.95</v>
          </cell>
          <cell r="F1166" t="str">
            <v>tier - 2</v>
          </cell>
          <cell r="G1166" t="str">
            <v>tier - 3</v>
          </cell>
          <cell r="H1166" t="str">
            <v>R1024</v>
          </cell>
        </row>
        <row r="1167">
          <cell r="A1167" t="str">
            <v>ID2047</v>
          </cell>
          <cell r="B1167" t="str">
            <v>17-Dec-2000</v>
          </cell>
          <cell r="C1167">
            <v>25</v>
          </cell>
          <cell r="D1167">
            <v>0</v>
          </cell>
          <cell r="E1167">
            <v>2731.91</v>
          </cell>
          <cell r="F1167" t="str">
            <v>tier - 2</v>
          </cell>
          <cell r="G1167" t="str">
            <v>tier - 3</v>
          </cell>
          <cell r="H1167" t="str">
            <v>R1024</v>
          </cell>
        </row>
        <row r="1168">
          <cell r="A1168" t="str">
            <v>ID2048</v>
          </cell>
          <cell r="B1168" t="str">
            <v>3-Dec-2003</v>
          </cell>
          <cell r="C1168">
            <v>22</v>
          </cell>
          <cell r="D1168">
            <v>1</v>
          </cell>
          <cell r="E1168">
            <v>2730.11</v>
          </cell>
          <cell r="F1168" t="str">
            <v>tier - 2</v>
          </cell>
          <cell r="G1168" t="str">
            <v>tier - 3</v>
          </cell>
          <cell r="H1168" t="str">
            <v>R1012</v>
          </cell>
        </row>
        <row r="1169">
          <cell r="A1169" t="str">
            <v>ID2049</v>
          </cell>
          <cell r="B1169" t="str">
            <v>6-Oct-1997</v>
          </cell>
          <cell r="C1169">
            <v>29</v>
          </cell>
          <cell r="D1169">
            <v>0</v>
          </cell>
          <cell r="E1169">
            <v>2727.4</v>
          </cell>
          <cell r="F1169" t="str">
            <v>tier - 3</v>
          </cell>
          <cell r="G1169" t="str">
            <v>tier - 3</v>
          </cell>
          <cell r="H1169" t="str">
            <v>R1016</v>
          </cell>
        </row>
        <row r="1170">
          <cell r="A1170" t="str">
            <v>ID205</v>
          </cell>
          <cell r="B1170" t="str">
            <v>22-Nov-1981</v>
          </cell>
          <cell r="C1170">
            <v>44</v>
          </cell>
          <cell r="D1170">
            <v>1</v>
          </cell>
          <cell r="E1170">
            <v>35952.65</v>
          </cell>
          <cell r="F1170" t="str">
            <v>tier - 1</v>
          </cell>
          <cell r="G1170" t="str">
            <v>tier - 3</v>
          </cell>
          <cell r="H1170" t="str">
            <v>R1011</v>
          </cell>
        </row>
        <row r="1171">
          <cell r="A1171" t="str">
            <v>ID2050</v>
          </cell>
          <cell r="B1171" t="str">
            <v>20-Aug-1988</v>
          </cell>
          <cell r="C1171">
            <v>38</v>
          </cell>
          <cell r="D1171">
            <v>3</v>
          </cell>
          <cell r="E1171">
            <v>2726.06</v>
          </cell>
          <cell r="F1171" t="str">
            <v>tier - 2</v>
          </cell>
          <cell r="G1171" t="str">
            <v>tier - 2</v>
          </cell>
          <cell r="H1171" t="str">
            <v>R1013</v>
          </cell>
        </row>
        <row r="1172">
          <cell r="A1172" t="str">
            <v>ID2051</v>
          </cell>
          <cell r="B1172" t="str">
            <v>30-Oct-1997</v>
          </cell>
          <cell r="C1172">
            <v>28</v>
          </cell>
          <cell r="D1172">
            <v>0</v>
          </cell>
          <cell r="E1172">
            <v>2721.32</v>
          </cell>
          <cell r="F1172" t="str">
            <v>tier - 1</v>
          </cell>
          <cell r="G1172" t="str">
            <v>tier - 3</v>
          </cell>
          <cell r="H1172" t="str">
            <v>R1014</v>
          </cell>
        </row>
        <row r="1173">
          <cell r="A1173" t="str">
            <v>ID2052</v>
          </cell>
          <cell r="B1173" t="str">
            <v>6-Aug-2003</v>
          </cell>
          <cell r="C1173">
            <v>23</v>
          </cell>
          <cell r="D1173">
            <v>1</v>
          </cell>
          <cell r="E1173">
            <v>2719.28</v>
          </cell>
          <cell r="F1173" t="str">
            <v>tier - 2</v>
          </cell>
          <cell r="G1173" t="str">
            <v>tier - 2</v>
          </cell>
          <cell r="H1173" t="str">
            <v>R1012</v>
          </cell>
        </row>
        <row r="1174">
          <cell r="A1174" t="str">
            <v>ID2053</v>
          </cell>
          <cell r="B1174" t="str">
            <v>1-Dec-2003</v>
          </cell>
          <cell r="C1174">
            <v>22</v>
          </cell>
          <cell r="D1174">
            <v>1</v>
          </cell>
          <cell r="E1174">
            <v>2710.83</v>
          </cell>
          <cell r="F1174" t="str">
            <v>tier - 2</v>
          </cell>
          <cell r="G1174" t="str">
            <v>tier - 3</v>
          </cell>
          <cell r="H1174" t="str">
            <v>R1012</v>
          </cell>
        </row>
        <row r="1175">
          <cell r="A1175" t="str">
            <v>ID2054</v>
          </cell>
          <cell r="B1175" t="str">
            <v>21-Nov-2003</v>
          </cell>
          <cell r="C1175">
            <v>22</v>
          </cell>
          <cell r="D1175">
            <v>1</v>
          </cell>
          <cell r="E1175">
            <v>2709.24</v>
          </cell>
          <cell r="F1175" t="str">
            <v>tier - 2</v>
          </cell>
          <cell r="G1175" t="str">
            <v>tier - 2</v>
          </cell>
          <cell r="H1175" t="str">
            <v>R1012</v>
          </cell>
        </row>
        <row r="1176">
          <cell r="A1176" t="str">
            <v>ID2055</v>
          </cell>
          <cell r="B1176" t="str">
            <v>17-Jul-2003</v>
          </cell>
          <cell r="C1176">
            <v>23</v>
          </cell>
          <cell r="D1176">
            <v>1</v>
          </cell>
          <cell r="E1176">
            <v>2709.11</v>
          </cell>
          <cell r="F1176" t="str">
            <v>tier - 2</v>
          </cell>
          <cell r="G1176" t="str">
            <v>tier - 2</v>
          </cell>
          <cell r="H1176" t="str">
            <v>R1012</v>
          </cell>
        </row>
        <row r="1177">
          <cell r="A1177" t="str">
            <v>ID2056</v>
          </cell>
          <cell r="B1177" t="str">
            <v>13-Jun-1996</v>
          </cell>
          <cell r="C1177">
            <v>30</v>
          </cell>
          <cell r="D1177">
            <v>0</v>
          </cell>
          <cell r="E1177">
            <v>2699.57</v>
          </cell>
          <cell r="F1177" t="str">
            <v>tier - 2</v>
          </cell>
          <cell r="G1177" t="str">
            <v>tier - 1</v>
          </cell>
          <cell r="H1177" t="str">
            <v>R1012</v>
          </cell>
        </row>
        <row r="1178">
          <cell r="A1178" t="str">
            <v>ID2057</v>
          </cell>
          <cell r="B1178" t="str">
            <v>11-Jun-1999</v>
          </cell>
          <cell r="C1178">
            <v>27</v>
          </cell>
          <cell r="D1178">
            <v>0</v>
          </cell>
          <cell r="E1178">
            <v>2690.11</v>
          </cell>
          <cell r="F1178" t="str">
            <v>tier - 2</v>
          </cell>
          <cell r="G1178" t="str">
            <v>tier - 2</v>
          </cell>
          <cell r="H1178" t="str">
            <v>R1012</v>
          </cell>
        </row>
        <row r="1179">
          <cell r="A1179" t="str">
            <v>ID2058</v>
          </cell>
          <cell r="B1179" t="str">
            <v>2-Oct-1994</v>
          </cell>
          <cell r="C1179">
            <v>32</v>
          </cell>
          <cell r="D1179">
            <v>0</v>
          </cell>
          <cell r="E1179">
            <v>2689.5</v>
          </cell>
          <cell r="F1179" t="str">
            <v>tier - 3</v>
          </cell>
          <cell r="G1179" t="str">
            <v>tier - 2</v>
          </cell>
          <cell r="H1179" t="str">
            <v>R1013</v>
          </cell>
        </row>
        <row r="1180">
          <cell r="A1180" t="str">
            <v>ID2059</v>
          </cell>
          <cell r="B1180" t="str">
            <v>17-Sep-1994</v>
          </cell>
          <cell r="C1180">
            <v>32</v>
          </cell>
          <cell r="D1180">
            <v>0</v>
          </cell>
          <cell r="E1180">
            <v>2684.69</v>
          </cell>
          <cell r="F1180" t="str">
            <v>tier - 2</v>
          </cell>
          <cell r="G1180" t="str">
            <v>tier - 2</v>
          </cell>
          <cell r="H1180" t="str">
            <v>R1013</v>
          </cell>
        </row>
        <row r="1181">
          <cell r="A1181" t="str">
            <v>ID206</v>
          </cell>
          <cell r="B1181" t="str">
            <v>18-Jun-1992</v>
          </cell>
          <cell r="C1181">
            <v>34</v>
          </cell>
          <cell r="D1181">
            <v>0</v>
          </cell>
          <cell r="E1181">
            <v>35883.269999999997</v>
          </cell>
          <cell r="F1181" t="str">
            <v>tier - 2</v>
          </cell>
          <cell r="G1181" t="str">
            <v>tier - 1</v>
          </cell>
          <cell r="H1181" t="str">
            <v>R1011</v>
          </cell>
        </row>
        <row r="1182">
          <cell r="A1182" t="str">
            <v>ID2060</v>
          </cell>
          <cell r="B1182" t="str">
            <v>5-Aug-1996</v>
          </cell>
          <cell r="C1182">
            <v>30</v>
          </cell>
          <cell r="D1182">
            <v>0</v>
          </cell>
          <cell r="E1182">
            <v>2680.95</v>
          </cell>
          <cell r="F1182" t="str">
            <v>tier - 3</v>
          </cell>
          <cell r="G1182" t="str">
            <v>tier - 2</v>
          </cell>
          <cell r="H1182" t="str">
            <v>R1012</v>
          </cell>
        </row>
        <row r="1183">
          <cell r="A1183" t="str">
            <v>ID2061</v>
          </cell>
          <cell r="B1183" t="str">
            <v>9-Dec-2000</v>
          </cell>
          <cell r="C1183">
            <v>25</v>
          </cell>
          <cell r="D1183">
            <v>1</v>
          </cell>
          <cell r="E1183">
            <v>2643.27</v>
          </cell>
          <cell r="F1183" t="str">
            <v>tier - 2</v>
          </cell>
          <cell r="G1183" t="str">
            <v>tier - 1</v>
          </cell>
          <cell r="H1183" t="str">
            <v>R1012</v>
          </cell>
        </row>
        <row r="1184">
          <cell r="A1184" t="str">
            <v>ID2062</v>
          </cell>
          <cell r="B1184" t="str">
            <v>24-Jun-2000</v>
          </cell>
          <cell r="C1184">
            <v>26</v>
          </cell>
          <cell r="D1184">
            <v>1</v>
          </cell>
          <cell r="E1184">
            <v>2639.04</v>
          </cell>
          <cell r="F1184" t="str">
            <v>tier - 2</v>
          </cell>
          <cell r="G1184" t="str">
            <v>tier - 2</v>
          </cell>
          <cell r="H1184" t="str">
            <v>R1012</v>
          </cell>
        </row>
        <row r="1185">
          <cell r="A1185" t="str">
            <v>ID2063</v>
          </cell>
          <cell r="B1185" t="str">
            <v>26-Aug-1997</v>
          </cell>
          <cell r="C1185">
            <v>29</v>
          </cell>
          <cell r="D1185">
            <v>0</v>
          </cell>
          <cell r="E1185">
            <v>2632.99</v>
          </cell>
          <cell r="F1185" t="str">
            <v>tier - 2</v>
          </cell>
          <cell r="G1185" t="str">
            <v>tier - 1</v>
          </cell>
          <cell r="H1185" t="str">
            <v>R1011</v>
          </cell>
        </row>
        <row r="1186">
          <cell r="A1186" t="str">
            <v>ID2064</v>
          </cell>
          <cell r="B1186" t="str">
            <v>26-Aug-2001</v>
          </cell>
          <cell r="C1186">
            <v>25</v>
          </cell>
          <cell r="D1186">
            <v>1</v>
          </cell>
          <cell r="E1186">
            <v>2597.7800000000002</v>
          </cell>
          <cell r="F1186" t="str">
            <v>tier - 2</v>
          </cell>
          <cell r="G1186" t="str">
            <v>tier - 1</v>
          </cell>
          <cell r="H1186" t="str">
            <v>R1011</v>
          </cell>
        </row>
        <row r="1187">
          <cell r="A1187" t="str">
            <v>ID2065</v>
          </cell>
          <cell r="B1187" t="str">
            <v>28-Jul-2001</v>
          </cell>
          <cell r="C1187">
            <v>25</v>
          </cell>
          <cell r="D1187">
            <v>0</v>
          </cell>
          <cell r="E1187">
            <v>2585.85</v>
          </cell>
          <cell r="F1187" t="str">
            <v>tier - 2</v>
          </cell>
          <cell r="G1187" t="str">
            <v>tier - 2</v>
          </cell>
          <cell r="H1187" t="str">
            <v>R1024</v>
          </cell>
        </row>
        <row r="1188">
          <cell r="A1188" t="str">
            <v>ID2066</v>
          </cell>
          <cell r="B1188" t="str">
            <v>15-Oct-2001</v>
          </cell>
          <cell r="C1188">
            <v>25</v>
          </cell>
          <cell r="D1188">
            <v>1</v>
          </cell>
          <cell r="E1188">
            <v>2585.27</v>
          </cell>
          <cell r="F1188" t="str">
            <v>tier - 2</v>
          </cell>
          <cell r="G1188" t="str">
            <v>tier - 3</v>
          </cell>
          <cell r="H1188" t="str">
            <v>R1011</v>
          </cell>
        </row>
        <row r="1189">
          <cell r="A1189" t="str">
            <v>ID2067</v>
          </cell>
          <cell r="B1189" t="str">
            <v>20-Jul-2002</v>
          </cell>
          <cell r="C1189">
            <v>24</v>
          </cell>
          <cell r="D1189">
            <v>0</v>
          </cell>
          <cell r="E1189">
            <v>2585.04</v>
          </cell>
          <cell r="F1189" t="str">
            <v>tier - 2</v>
          </cell>
          <cell r="G1189" t="str">
            <v>tier - 2</v>
          </cell>
          <cell r="H1189" t="str">
            <v>R1021</v>
          </cell>
        </row>
        <row r="1190">
          <cell r="A1190" t="str">
            <v>ID2068</v>
          </cell>
          <cell r="B1190" t="str">
            <v>11-Oct-2002</v>
          </cell>
          <cell r="C1190">
            <v>24</v>
          </cell>
          <cell r="D1190">
            <v>2</v>
          </cell>
          <cell r="E1190">
            <v>2566.4699999999998</v>
          </cell>
          <cell r="F1190" t="str">
            <v>tier - 2</v>
          </cell>
          <cell r="G1190" t="str">
            <v>tier - 3</v>
          </cell>
          <cell r="H1190" t="str">
            <v>R1013</v>
          </cell>
        </row>
        <row r="1191">
          <cell r="A1191" t="str">
            <v>ID2069</v>
          </cell>
          <cell r="B1191" t="str">
            <v>17-Nov-1991</v>
          </cell>
          <cell r="C1191">
            <v>34</v>
          </cell>
          <cell r="D1191">
            <v>3</v>
          </cell>
          <cell r="E1191">
            <v>2545.6799999999998</v>
          </cell>
          <cell r="F1191" t="str">
            <v>tier - 2</v>
          </cell>
          <cell r="G1191" t="str">
            <v>tier - 1</v>
          </cell>
          <cell r="H1191" t="str">
            <v>R1013</v>
          </cell>
        </row>
        <row r="1192">
          <cell r="A1192" t="str">
            <v>ID207</v>
          </cell>
          <cell r="B1192" t="str">
            <v>4-Oct-1976</v>
          </cell>
          <cell r="C1192">
            <v>50</v>
          </cell>
          <cell r="D1192">
            <v>2</v>
          </cell>
          <cell r="E1192">
            <v>35733.96</v>
          </cell>
          <cell r="F1192" t="str">
            <v>tier - 2</v>
          </cell>
          <cell r="G1192" t="str">
            <v>tier - 2</v>
          </cell>
          <cell r="H1192" t="str">
            <v>R1011</v>
          </cell>
        </row>
        <row r="1193">
          <cell r="A1193" t="str">
            <v>ID2070</v>
          </cell>
          <cell r="B1193" t="str">
            <v>1-Oct-1990</v>
          </cell>
          <cell r="C1193">
            <v>36</v>
          </cell>
          <cell r="D1193">
            <v>3</v>
          </cell>
          <cell r="E1193">
            <v>2540.39</v>
          </cell>
          <cell r="F1193" t="str">
            <v>tier - 2</v>
          </cell>
          <cell r="G1193" t="str">
            <v>tier - 2</v>
          </cell>
          <cell r="H1193" t="str">
            <v>R1013</v>
          </cell>
        </row>
        <row r="1194">
          <cell r="A1194" t="str">
            <v>ID2071</v>
          </cell>
          <cell r="B1194" t="str">
            <v>28-Jul-1997</v>
          </cell>
          <cell r="C1194">
            <v>29</v>
          </cell>
          <cell r="D1194">
            <v>0</v>
          </cell>
          <cell r="E1194">
            <v>2534.39</v>
          </cell>
          <cell r="F1194" t="str">
            <v>tier - 3</v>
          </cell>
          <cell r="G1194" t="str">
            <v>tier - 3</v>
          </cell>
          <cell r="H1194" t="str">
            <v>R1012</v>
          </cell>
        </row>
        <row r="1195">
          <cell r="A1195" t="str">
            <v>ID2072</v>
          </cell>
          <cell r="B1195" t="str">
            <v>25-Aug-2000</v>
          </cell>
          <cell r="C1195">
            <v>26</v>
          </cell>
          <cell r="D1195">
            <v>0</v>
          </cell>
          <cell r="E1195">
            <v>2527.8200000000002</v>
          </cell>
          <cell r="F1195" t="str">
            <v>tier - 2</v>
          </cell>
          <cell r="G1195" t="str">
            <v>tier - 3</v>
          </cell>
          <cell r="H1195" t="str">
            <v>R1012</v>
          </cell>
        </row>
        <row r="1196">
          <cell r="A1196" t="str">
            <v>ID2073</v>
          </cell>
          <cell r="B1196" t="str">
            <v>2-Nov-1997</v>
          </cell>
          <cell r="C1196">
            <v>28</v>
          </cell>
          <cell r="D1196">
            <v>0</v>
          </cell>
          <cell r="E1196">
            <v>2523.17</v>
          </cell>
          <cell r="F1196" t="str">
            <v>tier - 3</v>
          </cell>
          <cell r="G1196" t="str">
            <v>tier - 1</v>
          </cell>
          <cell r="H1196" t="str">
            <v>R1012</v>
          </cell>
        </row>
        <row r="1197">
          <cell r="A1197" t="str">
            <v>ID2074</v>
          </cell>
          <cell r="B1197" t="str">
            <v>5-Aug-1991</v>
          </cell>
          <cell r="C1197">
            <v>35</v>
          </cell>
          <cell r="D1197">
            <v>3</v>
          </cell>
          <cell r="E1197">
            <v>2510.79</v>
          </cell>
          <cell r="F1197" t="str">
            <v>tier - 2</v>
          </cell>
          <cell r="G1197" t="str">
            <v>tier - 1</v>
          </cell>
          <cell r="H1197" t="str">
            <v>R1013</v>
          </cell>
        </row>
        <row r="1198">
          <cell r="A1198" t="str">
            <v>ID2075</v>
          </cell>
          <cell r="B1198" t="str">
            <v>6-Sep-2004</v>
          </cell>
          <cell r="C1198">
            <v>22</v>
          </cell>
          <cell r="D1198">
            <v>0</v>
          </cell>
          <cell r="E1198">
            <v>2500.9299999999998</v>
          </cell>
          <cell r="F1198" t="str">
            <v>tier - 2</v>
          </cell>
          <cell r="G1198" t="str">
            <v>tier - 2</v>
          </cell>
          <cell r="H1198" t="str">
            <v>R1012</v>
          </cell>
        </row>
        <row r="1199">
          <cell r="A1199" t="str">
            <v>ID2076</v>
          </cell>
          <cell r="B1199" t="str">
            <v>15-Oct-1995</v>
          </cell>
          <cell r="C1199">
            <v>31</v>
          </cell>
          <cell r="D1199">
            <v>0</v>
          </cell>
          <cell r="E1199">
            <v>2498.41</v>
          </cell>
          <cell r="F1199" t="str">
            <v>tier - 3</v>
          </cell>
          <cell r="G1199" t="str">
            <v>tier - 3</v>
          </cell>
          <cell r="H1199" t="str">
            <v>R1013</v>
          </cell>
        </row>
        <row r="1200">
          <cell r="A1200" t="str">
            <v>ID2077</v>
          </cell>
          <cell r="B1200" t="str">
            <v>9-Jul-1995</v>
          </cell>
          <cell r="C1200">
            <v>31</v>
          </cell>
          <cell r="D1200">
            <v>0</v>
          </cell>
          <cell r="E1200">
            <v>2497.04</v>
          </cell>
          <cell r="F1200" t="str">
            <v>tier - 3</v>
          </cell>
          <cell r="G1200" t="str">
            <v>tier - 3</v>
          </cell>
          <cell r="H1200" t="str">
            <v>R1013</v>
          </cell>
        </row>
        <row r="1201">
          <cell r="A1201" t="str">
            <v>ID2078</v>
          </cell>
          <cell r="B1201" t="str">
            <v>14-Oct-1995</v>
          </cell>
          <cell r="C1201">
            <v>31</v>
          </cell>
          <cell r="D1201">
            <v>0</v>
          </cell>
          <cell r="E1201">
            <v>2494.02</v>
          </cell>
          <cell r="F1201" t="str">
            <v>tier - 3</v>
          </cell>
          <cell r="G1201" t="str">
            <v>tier - 1</v>
          </cell>
          <cell r="H1201" t="str">
            <v>R1011</v>
          </cell>
        </row>
        <row r="1202">
          <cell r="A1202" t="str">
            <v>ID2079</v>
          </cell>
          <cell r="B1202" t="str">
            <v>6-Nov-1995</v>
          </cell>
          <cell r="C1202">
            <v>30</v>
          </cell>
          <cell r="D1202">
            <v>0</v>
          </cell>
          <cell r="E1202">
            <v>2483.7399999999998</v>
          </cell>
          <cell r="F1202" t="str">
            <v>tier - 3</v>
          </cell>
          <cell r="G1202" t="str">
            <v>tier - 2</v>
          </cell>
          <cell r="H1202" t="str">
            <v>R1013</v>
          </cell>
        </row>
        <row r="1203">
          <cell r="A1203" t="str">
            <v>ID208</v>
          </cell>
          <cell r="B1203" t="str">
            <v>15-Jul-1974</v>
          </cell>
          <cell r="C1203">
            <v>52</v>
          </cell>
          <cell r="D1203">
            <v>0</v>
          </cell>
          <cell r="E1203">
            <v>35711.39</v>
          </cell>
          <cell r="F1203" t="str">
            <v>tier - 2</v>
          </cell>
          <cell r="G1203" t="str">
            <v>tier - 3</v>
          </cell>
          <cell r="H1203" t="str">
            <v>R1012</v>
          </cell>
        </row>
        <row r="1204">
          <cell r="A1204" t="str">
            <v>ID2080</v>
          </cell>
          <cell r="B1204" t="str">
            <v>20-Jun-1998</v>
          </cell>
          <cell r="C1204">
            <v>28</v>
          </cell>
          <cell r="D1204">
            <v>0</v>
          </cell>
          <cell r="E1204">
            <v>2480.98</v>
          </cell>
          <cell r="F1204" t="str">
            <v>tier - 2</v>
          </cell>
          <cell r="G1204" t="str">
            <v>tier - 2</v>
          </cell>
          <cell r="H1204" t="str">
            <v>R1013</v>
          </cell>
        </row>
        <row r="1205">
          <cell r="A1205" t="str">
            <v>ID2081</v>
          </cell>
          <cell r="B1205" t="str">
            <v>2-Jul-1998</v>
          </cell>
          <cell r="C1205">
            <v>28</v>
          </cell>
          <cell r="D1205">
            <v>0</v>
          </cell>
          <cell r="E1205">
            <v>2473.33</v>
          </cell>
          <cell r="F1205" t="str">
            <v>tier - 2</v>
          </cell>
          <cell r="G1205" t="str">
            <v>tier - 3</v>
          </cell>
          <cell r="H1205" t="str">
            <v>R1013</v>
          </cell>
        </row>
        <row r="1206">
          <cell r="A1206" t="str">
            <v>ID2082</v>
          </cell>
          <cell r="B1206" t="str">
            <v>17-Aug-1998</v>
          </cell>
          <cell r="C1206">
            <v>28</v>
          </cell>
          <cell r="D1206">
            <v>0</v>
          </cell>
          <cell r="E1206">
            <v>2464.62</v>
          </cell>
          <cell r="F1206" t="str">
            <v>tier - 2</v>
          </cell>
          <cell r="G1206" t="str">
            <v>tier - 3</v>
          </cell>
          <cell r="H1206" t="str">
            <v>R1013</v>
          </cell>
        </row>
        <row r="1207">
          <cell r="A1207" t="str">
            <v>ID2083</v>
          </cell>
          <cell r="B1207" t="str">
            <v>11-Jul-2002</v>
          </cell>
          <cell r="C1207">
            <v>24</v>
          </cell>
          <cell r="D1207">
            <v>0</v>
          </cell>
          <cell r="E1207">
            <v>2459.7199999999998</v>
          </cell>
          <cell r="F1207" t="str">
            <v>tier - 2</v>
          </cell>
          <cell r="G1207" t="str">
            <v>tier - 2</v>
          </cell>
          <cell r="H1207" t="str">
            <v>R1024</v>
          </cell>
        </row>
        <row r="1208">
          <cell r="A1208" t="str">
            <v>ID2084</v>
          </cell>
          <cell r="B1208" t="str">
            <v>19-Nov-1998</v>
          </cell>
          <cell r="C1208">
            <v>27</v>
          </cell>
          <cell r="D1208">
            <v>0</v>
          </cell>
          <cell r="E1208">
            <v>2457.5</v>
          </cell>
          <cell r="F1208" t="str">
            <v>tier - 2</v>
          </cell>
          <cell r="G1208" t="str">
            <v>tier - 1</v>
          </cell>
          <cell r="H1208" t="str">
            <v>R1011</v>
          </cell>
        </row>
        <row r="1209">
          <cell r="A1209" t="str">
            <v>ID2085</v>
          </cell>
          <cell r="B1209" t="str">
            <v>29-Jul-2002</v>
          </cell>
          <cell r="C1209">
            <v>24</v>
          </cell>
          <cell r="D1209">
            <v>0</v>
          </cell>
          <cell r="E1209">
            <v>2457.21</v>
          </cell>
          <cell r="F1209" t="str">
            <v>tier - 2</v>
          </cell>
          <cell r="G1209" t="str">
            <v>tier - 1</v>
          </cell>
          <cell r="H1209" t="str">
            <v>R1024</v>
          </cell>
        </row>
        <row r="1210">
          <cell r="A1210" t="str">
            <v>ID2086</v>
          </cell>
          <cell r="B1210" t="str">
            <v>21-Nov-1999</v>
          </cell>
          <cell r="C1210">
            <v>26</v>
          </cell>
          <cell r="D1210">
            <v>1</v>
          </cell>
          <cell r="E1210">
            <v>2438.06</v>
          </cell>
          <cell r="F1210" t="str">
            <v>tier - 2</v>
          </cell>
          <cell r="G1210" t="str">
            <v>tier - 2</v>
          </cell>
          <cell r="H1210" t="str">
            <v>R1013</v>
          </cell>
        </row>
        <row r="1211">
          <cell r="A1211" t="str">
            <v>ID2087</v>
          </cell>
          <cell r="B1211" t="str">
            <v>12-Nov-1999</v>
          </cell>
          <cell r="C1211">
            <v>26</v>
          </cell>
          <cell r="D1211">
            <v>1</v>
          </cell>
          <cell r="E1211">
            <v>2416.96</v>
          </cell>
          <cell r="F1211" t="str">
            <v>tier - 2</v>
          </cell>
          <cell r="G1211" t="str">
            <v>tier - 2</v>
          </cell>
          <cell r="H1211" t="str">
            <v>R1011</v>
          </cell>
        </row>
        <row r="1212">
          <cell r="A1212" t="str">
            <v>ID2088</v>
          </cell>
          <cell r="B1212" t="str">
            <v>3-Jun-2001</v>
          </cell>
          <cell r="C1212">
            <v>25</v>
          </cell>
          <cell r="D1212">
            <v>0</v>
          </cell>
          <cell r="E1212">
            <v>2404.73</v>
          </cell>
          <cell r="F1212" t="str">
            <v>tier - 2</v>
          </cell>
          <cell r="G1212" t="str">
            <v>tier - 3</v>
          </cell>
          <cell r="H1212" t="str">
            <v>R1012</v>
          </cell>
        </row>
        <row r="1213">
          <cell r="A1213" t="str">
            <v>ID2089</v>
          </cell>
          <cell r="B1213" t="str">
            <v>10-Aug-1999</v>
          </cell>
          <cell r="C1213">
            <v>27</v>
          </cell>
          <cell r="D1213">
            <v>0</v>
          </cell>
          <cell r="E1213">
            <v>2396.1</v>
          </cell>
          <cell r="F1213" t="str">
            <v>tier - 2</v>
          </cell>
          <cell r="G1213" t="str">
            <v>tier - 1</v>
          </cell>
          <cell r="H1213" t="str">
            <v>R1019</v>
          </cell>
        </row>
        <row r="1214">
          <cell r="A1214" t="str">
            <v>ID209</v>
          </cell>
          <cell r="B1214" t="str">
            <v>19-Dec-1978</v>
          </cell>
          <cell r="C1214">
            <v>47</v>
          </cell>
          <cell r="D1214">
            <v>2</v>
          </cell>
          <cell r="E1214">
            <v>35701.9</v>
          </cell>
          <cell r="F1214" t="str">
            <v>tier - 2</v>
          </cell>
          <cell r="G1214" t="str">
            <v>tier - 1</v>
          </cell>
          <cell r="H1214" t="str">
            <v>R1011</v>
          </cell>
        </row>
        <row r="1215">
          <cell r="A1215" t="str">
            <v>ID2090</v>
          </cell>
          <cell r="B1215" t="str">
            <v>17-Dec-1999</v>
          </cell>
          <cell r="C1215">
            <v>26</v>
          </cell>
          <cell r="D1215">
            <v>0</v>
          </cell>
          <cell r="E1215">
            <v>2395.17</v>
          </cell>
          <cell r="F1215" t="str">
            <v>tier - 2</v>
          </cell>
          <cell r="G1215" t="str">
            <v>tier - 1</v>
          </cell>
          <cell r="H1215" t="str">
            <v>R1014</v>
          </cell>
        </row>
        <row r="1216">
          <cell r="A1216" t="str">
            <v>ID2091</v>
          </cell>
          <cell r="B1216" t="str">
            <v>12-Dec-1988</v>
          </cell>
          <cell r="C1216">
            <v>37</v>
          </cell>
          <cell r="D1216">
            <v>3</v>
          </cell>
          <cell r="E1216">
            <v>2373.3000000000002</v>
          </cell>
          <cell r="F1216" t="str">
            <v>tier - 2</v>
          </cell>
          <cell r="G1216" t="str">
            <v>tier - 2</v>
          </cell>
          <cell r="H1216" t="str">
            <v>R1013</v>
          </cell>
        </row>
        <row r="1217">
          <cell r="A1217" t="str">
            <v>ID2092</v>
          </cell>
          <cell r="B1217" t="str">
            <v>5-Nov-2002</v>
          </cell>
          <cell r="C1217">
            <v>23</v>
          </cell>
          <cell r="D1217">
            <v>1</v>
          </cell>
          <cell r="E1217">
            <v>2362.23</v>
          </cell>
          <cell r="F1217" t="str">
            <v>tier - 2</v>
          </cell>
          <cell r="G1217" t="str">
            <v>tier - 1</v>
          </cell>
          <cell r="H1217" t="str">
            <v>R1012</v>
          </cell>
        </row>
        <row r="1218">
          <cell r="A1218" t="str">
            <v>ID2093</v>
          </cell>
          <cell r="B1218" t="str">
            <v>21-Oct-1998</v>
          </cell>
          <cell r="C1218">
            <v>27</v>
          </cell>
          <cell r="D1218">
            <v>0</v>
          </cell>
          <cell r="E1218">
            <v>2352.9699999999998</v>
          </cell>
          <cell r="F1218" t="str">
            <v>tier - 3</v>
          </cell>
          <cell r="G1218" t="str">
            <v>tier - 3</v>
          </cell>
          <cell r="H1218" t="str">
            <v>R1012</v>
          </cell>
        </row>
        <row r="1219">
          <cell r="A1219" t="str">
            <v>ID2094</v>
          </cell>
          <cell r="B1219" t="str">
            <v>18-Nov-2003</v>
          </cell>
          <cell r="C1219">
            <v>22</v>
          </cell>
          <cell r="D1219">
            <v>1</v>
          </cell>
          <cell r="E1219">
            <v>2331.52</v>
          </cell>
          <cell r="F1219" t="str">
            <v>tier - 2</v>
          </cell>
          <cell r="G1219" t="str">
            <v>tier - 3</v>
          </cell>
          <cell r="H1219" t="str">
            <v>R1011</v>
          </cell>
        </row>
        <row r="1220">
          <cell r="A1220" t="str">
            <v>ID2095</v>
          </cell>
          <cell r="B1220" t="str">
            <v>17-Dec-1996</v>
          </cell>
          <cell r="C1220">
            <v>29</v>
          </cell>
          <cell r="D1220">
            <v>0</v>
          </cell>
          <cell r="E1220">
            <v>2322.62</v>
          </cell>
          <cell r="F1220" t="str">
            <v>tier - 2</v>
          </cell>
          <cell r="G1220" t="str">
            <v>tier - 1</v>
          </cell>
          <cell r="H1220" t="str">
            <v>R1013</v>
          </cell>
        </row>
        <row r="1221">
          <cell r="A1221" t="str">
            <v>ID2096</v>
          </cell>
          <cell r="B1221" t="str">
            <v>6-Sep-2004</v>
          </cell>
          <cell r="C1221">
            <v>22</v>
          </cell>
          <cell r="D1221">
            <v>2</v>
          </cell>
          <cell r="E1221">
            <v>2304</v>
          </cell>
          <cell r="F1221" t="str">
            <v>tier - 2</v>
          </cell>
          <cell r="G1221" t="str">
            <v>tier - 3</v>
          </cell>
          <cell r="H1221" t="str">
            <v>R1013</v>
          </cell>
        </row>
        <row r="1222">
          <cell r="A1222" t="str">
            <v>ID2097</v>
          </cell>
          <cell r="B1222" t="str">
            <v>28-Nov-1996</v>
          </cell>
          <cell r="C1222">
            <v>29</v>
          </cell>
          <cell r="D1222">
            <v>0</v>
          </cell>
          <cell r="E1222">
            <v>2302.3000000000002</v>
          </cell>
          <cell r="F1222" t="str">
            <v>tier - 1</v>
          </cell>
          <cell r="G1222" t="str">
            <v>tier - 2</v>
          </cell>
          <cell r="H1222" t="str">
            <v>R1011</v>
          </cell>
        </row>
        <row r="1223">
          <cell r="A1223" t="str">
            <v>ID2098</v>
          </cell>
          <cell r="B1223" t="str">
            <v>5-Oct-1989</v>
          </cell>
          <cell r="C1223">
            <v>37</v>
          </cell>
          <cell r="D1223">
            <v>3</v>
          </cell>
          <cell r="E1223">
            <v>2295.2399999999998</v>
          </cell>
          <cell r="F1223" t="str">
            <v>tier - 2</v>
          </cell>
          <cell r="G1223" t="str">
            <v>tier - 1</v>
          </cell>
          <cell r="H1223" t="str">
            <v>R1013</v>
          </cell>
        </row>
        <row r="1224">
          <cell r="A1224" t="str">
            <v>ID2099</v>
          </cell>
          <cell r="B1224" t="str">
            <v>16-Jun-1991</v>
          </cell>
          <cell r="C1224">
            <v>35</v>
          </cell>
          <cell r="D1224">
            <v>3</v>
          </cell>
          <cell r="E1224">
            <v>2277.7199999999998</v>
          </cell>
          <cell r="F1224" t="str">
            <v>tier - 2</v>
          </cell>
          <cell r="G1224" t="str">
            <v>tier - 1</v>
          </cell>
          <cell r="H1224" t="str">
            <v>R1013</v>
          </cell>
        </row>
        <row r="1225">
          <cell r="A1225" t="str">
            <v>ID21</v>
          </cell>
          <cell r="B1225" t="str">
            <v>13-Jun-1961</v>
          </cell>
          <cell r="C1225">
            <v>65</v>
          </cell>
          <cell r="D1225">
            <v>1</v>
          </cell>
          <cell r="E1225">
            <v>47403.88</v>
          </cell>
          <cell r="F1225" t="str">
            <v>tier - 1</v>
          </cell>
          <cell r="G1225" t="str">
            <v>tier - 3</v>
          </cell>
          <cell r="H1225" t="str">
            <v>R1011</v>
          </cell>
        </row>
        <row r="1226">
          <cell r="A1226" t="str">
            <v>ID210</v>
          </cell>
          <cell r="B1226" t="str">
            <v>17-Dec-2000</v>
          </cell>
          <cell r="C1226">
            <v>25</v>
          </cell>
          <cell r="D1226">
            <v>3</v>
          </cell>
          <cell r="E1226">
            <v>35595.589999999997</v>
          </cell>
          <cell r="F1226" t="str">
            <v>tier - 2</v>
          </cell>
          <cell r="G1226" t="str">
            <v>tier - 3</v>
          </cell>
          <cell r="H1226" t="str">
            <v>R1013</v>
          </cell>
        </row>
        <row r="1227">
          <cell r="A1227" t="str">
            <v>ID2100</v>
          </cell>
          <cell r="B1227" t="str">
            <v>12-Nov-2002</v>
          </cell>
          <cell r="C1227">
            <v>23</v>
          </cell>
          <cell r="D1227">
            <v>0</v>
          </cell>
          <cell r="E1227">
            <v>2261.5700000000002</v>
          </cell>
          <cell r="F1227" t="str">
            <v>tier - 2</v>
          </cell>
          <cell r="G1227" t="str">
            <v>tier - 1</v>
          </cell>
          <cell r="H1227" t="str">
            <v>R1012</v>
          </cell>
        </row>
        <row r="1228">
          <cell r="A1228" t="str">
            <v>ID2101</v>
          </cell>
          <cell r="B1228" t="str">
            <v>15-Jul-2002</v>
          </cell>
          <cell r="C1228">
            <v>24</v>
          </cell>
          <cell r="D1228">
            <v>0</v>
          </cell>
          <cell r="E1228">
            <v>2257.48</v>
          </cell>
          <cell r="F1228" t="str">
            <v>tier - 2</v>
          </cell>
          <cell r="G1228" t="str">
            <v>tier - 1</v>
          </cell>
          <cell r="H1228" t="str">
            <v>R1012</v>
          </cell>
        </row>
        <row r="1229">
          <cell r="A1229" t="str">
            <v>ID2102</v>
          </cell>
          <cell r="B1229" t="str">
            <v>11-Dec-2000</v>
          </cell>
          <cell r="C1229">
            <v>25</v>
          </cell>
          <cell r="D1229">
            <v>0</v>
          </cell>
          <cell r="E1229">
            <v>2254.8000000000002</v>
          </cell>
          <cell r="F1229" t="str">
            <v>tier - 2</v>
          </cell>
          <cell r="G1229" t="str">
            <v>tier - 3</v>
          </cell>
          <cell r="H1229" t="str">
            <v>R1016</v>
          </cell>
        </row>
        <row r="1230">
          <cell r="A1230" t="str">
            <v>ID2103</v>
          </cell>
          <cell r="B1230" t="str">
            <v>30-Jun-2000</v>
          </cell>
          <cell r="C1230">
            <v>26</v>
          </cell>
          <cell r="D1230">
            <v>0</v>
          </cell>
          <cell r="E1230">
            <v>2250.84</v>
          </cell>
          <cell r="F1230" t="str">
            <v>tier - 2</v>
          </cell>
          <cell r="G1230" t="str">
            <v>tier - 2</v>
          </cell>
          <cell r="H1230" t="str">
            <v>R1018</v>
          </cell>
        </row>
        <row r="1231">
          <cell r="A1231" t="str">
            <v>ID2104</v>
          </cell>
          <cell r="B1231" t="str">
            <v>10-Dec-2003</v>
          </cell>
          <cell r="C1231">
            <v>22</v>
          </cell>
          <cell r="D1231">
            <v>1</v>
          </cell>
          <cell r="E1231">
            <v>2221.56</v>
          </cell>
          <cell r="F1231" t="str">
            <v>tier - 2</v>
          </cell>
          <cell r="G1231" t="str">
            <v>tier - 3</v>
          </cell>
          <cell r="H1231" t="str">
            <v>R1012</v>
          </cell>
        </row>
        <row r="1232">
          <cell r="A1232" t="str">
            <v>ID2105</v>
          </cell>
          <cell r="B1232" t="str">
            <v>12-Dec-2004</v>
          </cell>
          <cell r="C1232">
            <v>21</v>
          </cell>
          <cell r="D1232">
            <v>1</v>
          </cell>
          <cell r="E1232">
            <v>2219.4499999999998</v>
          </cell>
          <cell r="F1232" t="str">
            <v>tier - 2</v>
          </cell>
          <cell r="G1232" t="str">
            <v>tier - 1</v>
          </cell>
          <cell r="H1232" t="str">
            <v>R1013</v>
          </cell>
        </row>
        <row r="1233">
          <cell r="A1233" t="str">
            <v>ID2106</v>
          </cell>
          <cell r="B1233" t="str">
            <v>25-Sep-2004</v>
          </cell>
          <cell r="C1233">
            <v>22</v>
          </cell>
          <cell r="D1233">
            <v>0</v>
          </cell>
          <cell r="E1233">
            <v>2217.6</v>
          </cell>
          <cell r="F1233" t="str">
            <v>tier - 2</v>
          </cell>
          <cell r="G1233" t="str">
            <v>tier - 1</v>
          </cell>
          <cell r="H1233" t="str">
            <v>R1024</v>
          </cell>
        </row>
        <row r="1234">
          <cell r="A1234" t="str">
            <v>ID2107</v>
          </cell>
          <cell r="B1234" t="str">
            <v>13-Jun-2004</v>
          </cell>
          <cell r="C1234">
            <v>22</v>
          </cell>
          <cell r="D1234">
            <v>0</v>
          </cell>
          <cell r="E1234">
            <v>2217.4699999999998</v>
          </cell>
          <cell r="F1234" t="str">
            <v>tier - 2</v>
          </cell>
          <cell r="G1234" t="str">
            <v>tier - 1</v>
          </cell>
          <cell r="H1234" t="str">
            <v>R1024</v>
          </cell>
        </row>
        <row r="1235">
          <cell r="A1235" t="str">
            <v>ID2108</v>
          </cell>
          <cell r="B1235" t="str">
            <v>17-Nov-1994</v>
          </cell>
          <cell r="C1235">
            <v>31</v>
          </cell>
          <cell r="D1235">
            <v>0</v>
          </cell>
          <cell r="E1235">
            <v>2213.21</v>
          </cell>
          <cell r="F1235" t="str">
            <v>tier - 2</v>
          </cell>
          <cell r="G1235" t="str">
            <v>tier - 2</v>
          </cell>
          <cell r="H1235" t="str">
            <v>R1013</v>
          </cell>
        </row>
        <row r="1236">
          <cell r="A1236" t="str">
            <v>ID2109</v>
          </cell>
          <cell r="B1236" t="str">
            <v>27-Jul-2004</v>
          </cell>
          <cell r="C1236">
            <v>22</v>
          </cell>
          <cell r="D1236">
            <v>0</v>
          </cell>
          <cell r="E1236">
            <v>2211.13</v>
          </cell>
          <cell r="F1236" t="str">
            <v>tier - 2</v>
          </cell>
          <cell r="G1236" t="str">
            <v>tier - 2</v>
          </cell>
          <cell r="H1236" t="str">
            <v>R1024</v>
          </cell>
        </row>
        <row r="1237">
          <cell r="A1237" t="str">
            <v>ID211</v>
          </cell>
          <cell r="B1237" t="str">
            <v>19-Nov-2000</v>
          </cell>
          <cell r="C1237">
            <v>25</v>
          </cell>
          <cell r="D1237">
            <v>0</v>
          </cell>
          <cell r="E1237">
            <v>35585.58</v>
          </cell>
          <cell r="F1237" t="str">
            <v>tier - 2</v>
          </cell>
          <cell r="G1237" t="str">
            <v>tier - 3</v>
          </cell>
          <cell r="H1237" t="str">
            <v>R1011</v>
          </cell>
        </row>
        <row r="1238">
          <cell r="A1238" t="str">
            <v>ID2110</v>
          </cell>
          <cell r="B1238" t="str">
            <v>6-Aug-2004</v>
          </cell>
          <cell r="C1238">
            <v>22</v>
          </cell>
          <cell r="D1238">
            <v>0</v>
          </cell>
          <cell r="E1238">
            <v>2207.6999999999998</v>
          </cell>
          <cell r="F1238" t="str">
            <v>tier - 2</v>
          </cell>
          <cell r="G1238" t="str">
            <v>tier - 2</v>
          </cell>
          <cell r="H1238" t="str">
            <v>R1024</v>
          </cell>
        </row>
        <row r="1239">
          <cell r="A1239" t="str">
            <v>ID2111</v>
          </cell>
          <cell r="B1239" t="str">
            <v>13-Nov-2004</v>
          </cell>
          <cell r="C1239">
            <v>21</v>
          </cell>
          <cell r="D1239">
            <v>0</v>
          </cell>
          <cell r="E1239">
            <v>2205.98</v>
          </cell>
          <cell r="F1239" t="str">
            <v>tier - 2</v>
          </cell>
          <cell r="G1239" t="str">
            <v>tier - 3</v>
          </cell>
          <cell r="H1239" t="str">
            <v>R1024</v>
          </cell>
        </row>
        <row r="1240">
          <cell r="A1240" t="str">
            <v>ID2112</v>
          </cell>
          <cell r="B1240" t="str">
            <v>28-Oct-2004</v>
          </cell>
          <cell r="C1240">
            <v>21</v>
          </cell>
          <cell r="D1240">
            <v>0</v>
          </cell>
          <cell r="E1240">
            <v>2203.7399999999998</v>
          </cell>
          <cell r="F1240" t="str">
            <v>tier - 2</v>
          </cell>
          <cell r="G1240" t="str">
            <v>tier - 2</v>
          </cell>
          <cell r="H1240" t="str">
            <v>R1024</v>
          </cell>
        </row>
        <row r="1241">
          <cell r="A1241" t="str">
            <v>ID2113</v>
          </cell>
          <cell r="B1241" t="str">
            <v>6-Aug-2004</v>
          </cell>
          <cell r="C1241">
            <v>22</v>
          </cell>
          <cell r="D1241">
            <v>0</v>
          </cell>
          <cell r="E1241">
            <v>2203.4699999999998</v>
          </cell>
          <cell r="F1241" t="str">
            <v>tier - 2</v>
          </cell>
          <cell r="G1241" t="str">
            <v>tier - 2</v>
          </cell>
          <cell r="H1241" t="str">
            <v>R1024</v>
          </cell>
        </row>
        <row r="1242">
          <cell r="A1242" t="str">
            <v>ID2114</v>
          </cell>
          <cell r="B1242" t="str">
            <v>27-Jul-2004</v>
          </cell>
          <cell r="C1242">
            <v>22</v>
          </cell>
          <cell r="D1242">
            <v>1</v>
          </cell>
          <cell r="E1242">
            <v>2201.1</v>
          </cell>
          <cell r="F1242" t="str">
            <v>tier - 2</v>
          </cell>
          <cell r="G1242" t="str">
            <v>tier - 3</v>
          </cell>
          <cell r="H1242" t="str">
            <v>R1013</v>
          </cell>
        </row>
        <row r="1243">
          <cell r="A1243" t="str">
            <v>ID2115</v>
          </cell>
          <cell r="B1243" t="str">
            <v>12-Sep-2004</v>
          </cell>
          <cell r="C1243">
            <v>22</v>
          </cell>
          <cell r="D1243">
            <v>0</v>
          </cell>
          <cell r="E1243">
            <v>2200.83</v>
          </cell>
          <cell r="F1243" t="str">
            <v>tier - 2</v>
          </cell>
          <cell r="G1243" t="str">
            <v>tier - 2</v>
          </cell>
          <cell r="H1243" t="str">
            <v>R1024</v>
          </cell>
        </row>
        <row r="1244">
          <cell r="A1244" t="str">
            <v>ID2116</v>
          </cell>
          <cell r="B1244" t="str">
            <v>3-Sep-2004</v>
          </cell>
          <cell r="C1244">
            <v>22</v>
          </cell>
          <cell r="D1244">
            <v>0</v>
          </cell>
          <cell r="E1244">
            <v>2198.19</v>
          </cell>
          <cell r="F1244" t="str">
            <v>tier - 2</v>
          </cell>
          <cell r="G1244" t="str">
            <v>tier - 1</v>
          </cell>
          <cell r="H1244" t="str">
            <v>R1023</v>
          </cell>
        </row>
        <row r="1245">
          <cell r="A1245" t="str">
            <v>ID2117</v>
          </cell>
          <cell r="B1245" t="str">
            <v>7-Dec-2004</v>
          </cell>
          <cell r="C1245">
            <v>21</v>
          </cell>
          <cell r="D1245">
            <v>0</v>
          </cell>
          <cell r="E1245">
            <v>2196.4699999999998</v>
          </cell>
          <cell r="F1245" t="str">
            <v>tier - 2</v>
          </cell>
          <cell r="G1245" t="str">
            <v>tier - 3</v>
          </cell>
          <cell r="H1245" t="str">
            <v>R1024</v>
          </cell>
        </row>
        <row r="1246">
          <cell r="A1246" t="str">
            <v>ID2118</v>
          </cell>
          <cell r="B1246" t="str">
            <v>16-Dec-1991</v>
          </cell>
          <cell r="C1246">
            <v>34</v>
          </cell>
          <cell r="D1246">
            <v>3</v>
          </cell>
          <cell r="E1246">
            <v>2193.1999999999998</v>
          </cell>
          <cell r="F1246" t="str">
            <v>tier - 2</v>
          </cell>
          <cell r="G1246" t="str">
            <v>tier - 2</v>
          </cell>
          <cell r="H1246" t="str">
            <v>R1012</v>
          </cell>
        </row>
        <row r="1247">
          <cell r="A1247" t="str">
            <v>ID2119</v>
          </cell>
          <cell r="B1247" t="str">
            <v>27-Sep-1994</v>
          </cell>
          <cell r="C1247">
            <v>32</v>
          </cell>
          <cell r="D1247">
            <v>0</v>
          </cell>
          <cell r="E1247">
            <v>2170.08</v>
          </cell>
          <cell r="F1247" t="str">
            <v>tier - 2</v>
          </cell>
          <cell r="G1247" t="str">
            <v>tier - 2</v>
          </cell>
          <cell r="H1247" t="str">
            <v>R1013</v>
          </cell>
        </row>
        <row r="1248">
          <cell r="A1248" t="str">
            <v>ID212</v>
          </cell>
          <cell r="B1248" t="str">
            <v>10-Aug-1971</v>
          </cell>
          <cell r="C1248">
            <v>55</v>
          </cell>
          <cell r="D1248">
            <v>0</v>
          </cell>
          <cell r="E1248">
            <v>35583.17</v>
          </cell>
          <cell r="F1248" t="str">
            <v>tier - 1</v>
          </cell>
          <cell r="G1248" t="str">
            <v>tier - 3</v>
          </cell>
          <cell r="H1248" t="str">
            <v>R1011</v>
          </cell>
        </row>
        <row r="1249">
          <cell r="A1249" t="str">
            <v>ID2120</v>
          </cell>
          <cell r="B1249" t="str">
            <v>23-Aug-2000</v>
          </cell>
          <cell r="C1249">
            <v>26</v>
          </cell>
          <cell r="D1249">
            <v>0</v>
          </cell>
          <cell r="E1249">
            <v>2166.73</v>
          </cell>
          <cell r="F1249" t="str">
            <v>tier - 2</v>
          </cell>
          <cell r="G1249" t="str">
            <v>tier - 2</v>
          </cell>
          <cell r="H1249" t="str">
            <v>R1011</v>
          </cell>
        </row>
        <row r="1250">
          <cell r="A1250" t="str">
            <v>ID2121</v>
          </cell>
          <cell r="B1250" t="str">
            <v>10-Dec-2000</v>
          </cell>
          <cell r="C1250">
            <v>25</v>
          </cell>
          <cell r="D1250">
            <v>0</v>
          </cell>
          <cell r="E1250">
            <v>2156.75</v>
          </cell>
          <cell r="F1250" t="str">
            <v>tier - 2</v>
          </cell>
          <cell r="G1250" t="str">
            <v>tier - 2</v>
          </cell>
          <cell r="H1250" t="str">
            <v>R1013</v>
          </cell>
        </row>
        <row r="1251">
          <cell r="A1251" t="str">
            <v>ID2122</v>
          </cell>
          <cell r="B1251" t="str">
            <v>29-Nov-2000</v>
          </cell>
          <cell r="C1251">
            <v>25</v>
          </cell>
          <cell r="D1251">
            <v>0</v>
          </cell>
          <cell r="E1251">
            <v>2155.6799999999998</v>
          </cell>
          <cell r="F1251" t="str">
            <v>tier - 2</v>
          </cell>
          <cell r="G1251" t="str">
            <v>tier - 3</v>
          </cell>
          <cell r="H1251" t="str">
            <v>R1013</v>
          </cell>
        </row>
        <row r="1252">
          <cell r="A1252" t="str">
            <v>ID2123</v>
          </cell>
          <cell r="B1252" t="str">
            <v>22-Oct-2000</v>
          </cell>
          <cell r="C1252">
            <v>25</v>
          </cell>
          <cell r="D1252">
            <v>0</v>
          </cell>
          <cell r="E1252">
            <v>2154.36</v>
          </cell>
          <cell r="F1252" t="str">
            <v>tier - 2</v>
          </cell>
          <cell r="G1252" t="str">
            <v>tier - 2</v>
          </cell>
          <cell r="H1252" t="str">
            <v>R1011</v>
          </cell>
        </row>
        <row r="1253">
          <cell r="A1253" t="str">
            <v>ID2124</v>
          </cell>
          <cell r="B1253" t="str">
            <v>27-Dec-2000</v>
          </cell>
          <cell r="C1253">
            <v>25</v>
          </cell>
          <cell r="D1253">
            <v>0</v>
          </cell>
          <cell r="E1253">
            <v>2150.4699999999998</v>
          </cell>
          <cell r="F1253" t="str">
            <v>tier - 2</v>
          </cell>
          <cell r="G1253" t="str">
            <v>tier - 3</v>
          </cell>
          <cell r="H1253" t="str">
            <v>R1011</v>
          </cell>
        </row>
        <row r="1254">
          <cell r="A1254" t="str">
            <v>ID2125</v>
          </cell>
          <cell r="B1254" t="str">
            <v>4-Oct-2004</v>
          </cell>
          <cell r="C1254">
            <v>22</v>
          </cell>
          <cell r="D1254">
            <v>0</v>
          </cell>
          <cell r="E1254">
            <v>2144.85</v>
          </cell>
          <cell r="F1254" t="str">
            <v>tier - 2</v>
          </cell>
          <cell r="G1254" t="str">
            <v>tier - 1</v>
          </cell>
          <cell r="H1254" t="str">
            <v>R1011</v>
          </cell>
        </row>
        <row r="1255">
          <cell r="A1255" t="str">
            <v>ID2126</v>
          </cell>
          <cell r="B1255" t="str">
            <v>19-Aug-2003</v>
          </cell>
          <cell r="C1255">
            <v>23</v>
          </cell>
          <cell r="D1255">
            <v>0</v>
          </cell>
          <cell r="E1255">
            <v>2138.0700000000002</v>
          </cell>
          <cell r="F1255" t="str">
            <v>tier - 2</v>
          </cell>
          <cell r="G1255" t="str">
            <v>tier - 1</v>
          </cell>
          <cell r="H1255" t="str">
            <v>R1012</v>
          </cell>
        </row>
        <row r="1256">
          <cell r="A1256" t="str">
            <v>ID2127</v>
          </cell>
          <cell r="B1256" t="str">
            <v>3-Sep-1997</v>
          </cell>
          <cell r="C1256">
            <v>29</v>
          </cell>
          <cell r="D1256">
            <v>0</v>
          </cell>
          <cell r="E1256">
            <v>2137.65</v>
          </cell>
          <cell r="F1256" t="str">
            <v>tier - 3</v>
          </cell>
          <cell r="G1256" t="str">
            <v>tier - 1</v>
          </cell>
          <cell r="H1256" t="str">
            <v>R1013</v>
          </cell>
        </row>
        <row r="1257">
          <cell r="A1257" t="str">
            <v>ID2128</v>
          </cell>
          <cell r="B1257" t="str">
            <v>26-Sep-2003</v>
          </cell>
          <cell r="C1257">
            <v>23</v>
          </cell>
          <cell r="D1257">
            <v>0</v>
          </cell>
          <cell r="E1257">
            <v>2136.88</v>
          </cell>
          <cell r="F1257" t="str">
            <v>tier - 2</v>
          </cell>
          <cell r="G1257" t="str">
            <v>tier - 2</v>
          </cell>
          <cell r="H1257" t="str">
            <v>R1012</v>
          </cell>
        </row>
        <row r="1258">
          <cell r="A1258" t="str">
            <v>ID2129</v>
          </cell>
          <cell r="B1258" t="str">
            <v>1-Sep-2003</v>
          </cell>
          <cell r="C1258">
            <v>23</v>
          </cell>
          <cell r="D1258">
            <v>0</v>
          </cell>
          <cell r="E1258">
            <v>2134.9</v>
          </cell>
          <cell r="F1258" t="str">
            <v>tier - 2</v>
          </cell>
          <cell r="G1258" t="str">
            <v>tier - 3</v>
          </cell>
          <cell r="H1258" t="str">
            <v>R1012</v>
          </cell>
        </row>
        <row r="1259">
          <cell r="A1259" t="str">
            <v>ID213</v>
          </cell>
          <cell r="B1259" t="str">
            <v>29-Aug-1964</v>
          </cell>
          <cell r="C1259">
            <v>62</v>
          </cell>
          <cell r="D1259">
            <v>0</v>
          </cell>
          <cell r="E1259">
            <v>35573.26</v>
          </cell>
          <cell r="F1259" t="str">
            <v>tier - 2</v>
          </cell>
          <cell r="G1259" t="str">
            <v>tier - 1</v>
          </cell>
          <cell r="H1259" t="str">
            <v>R1011</v>
          </cell>
        </row>
        <row r="1260">
          <cell r="A1260" t="str">
            <v>ID2130</v>
          </cell>
          <cell r="B1260" t="str">
            <v>22-Dec-2003</v>
          </cell>
          <cell r="C1260">
            <v>22</v>
          </cell>
          <cell r="D1260">
            <v>0</v>
          </cell>
          <cell r="E1260">
            <v>2130.6799999999998</v>
          </cell>
          <cell r="F1260" t="str">
            <v>tier - 2</v>
          </cell>
          <cell r="G1260" t="str">
            <v>tier - 3</v>
          </cell>
          <cell r="H1260" t="str">
            <v>R1012</v>
          </cell>
        </row>
        <row r="1261">
          <cell r="A1261" t="str">
            <v>ID2131</v>
          </cell>
          <cell r="B1261" t="str">
            <v>30-Aug-2003</v>
          </cell>
          <cell r="C1261">
            <v>23</v>
          </cell>
          <cell r="D1261">
            <v>0</v>
          </cell>
          <cell r="E1261">
            <v>2128.4299999999998</v>
          </cell>
          <cell r="F1261" t="str">
            <v>tier - 2</v>
          </cell>
          <cell r="G1261" t="str">
            <v>tier - 1</v>
          </cell>
          <cell r="H1261" t="str">
            <v>R1012</v>
          </cell>
        </row>
        <row r="1262">
          <cell r="A1262" t="str">
            <v>ID2132</v>
          </cell>
          <cell r="B1262" t="str">
            <v>4-Nov-2004</v>
          </cell>
          <cell r="C1262">
            <v>21</v>
          </cell>
          <cell r="D1262">
            <v>0</v>
          </cell>
          <cell r="E1262">
            <v>2118.61</v>
          </cell>
          <cell r="F1262" t="str">
            <v>tier - 2</v>
          </cell>
          <cell r="G1262" t="str">
            <v>tier - 1</v>
          </cell>
          <cell r="H1262" t="str">
            <v>R1012</v>
          </cell>
        </row>
        <row r="1263">
          <cell r="A1263" t="str">
            <v>ID2133</v>
          </cell>
          <cell r="B1263" t="str">
            <v>30-Sep-2003</v>
          </cell>
          <cell r="C1263">
            <v>23</v>
          </cell>
          <cell r="D1263">
            <v>0</v>
          </cell>
          <cell r="E1263">
            <v>2117.34</v>
          </cell>
          <cell r="F1263" t="str">
            <v>tier - 2</v>
          </cell>
          <cell r="G1263" t="str">
            <v>tier - 3</v>
          </cell>
          <cell r="H1263" t="str">
            <v>R1012</v>
          </cell>
        </row>
        <row r="1264">
          <cell r="A1264" t="str">
            <v>ID2134</v>
          </cell>
          <cell r="B1264" t="str">
            <v>21-Jul-1989</v>
          </cell>
          <cell r="C1264">
            <v>37</v>
          </cell>
          <cell r="D1264">
            <v>3</v>
          </cell>
          <cell r="E1264">
            <v>2106.2600000000002</v>
          </cell>
          <cell r="F1264" t="str">
            <v>tier - 2</v>
          </cell>
          <cell r="G1264" t="str">
            <v>tier - 2</v>
          </cell>
          <cell r="H1264" t="str">
            <v>R1013</v>
          </cell>
        </row>
        <row r="1265">
          <cell r="A1265" t="str">
            <v>ID2135</v>
          </cell>
          <cell r="B1265" t="str">
            <v>28-Nov-2001</v>
          </cell>
          <cell r="C1265">
            <v>24</v>
          </cell>
          <cell r="D1265">
            <v>0</v>
          </cell>
          <cell r="E1265">
            <v>2104.11</v>
          </cell>
          <cell r="F1265" t="str">
            <v>tier - 2</v>
          </cell>
          <cell r="G1265" t="str">
            <v>tier - 1</v>
          </cell>
          <cell r="H1265" t="str">
            <v>R1016</v>
          </cell>
        </row>
        <row r="1266">
          <cell r="A1266" t="str">
            <v>ID2136</v>
          </cell>
          <cell r="B1266" t="str">
            <v>22-Jun-2001</v>
          </cell>
          <cell r="C1266">
            <v>25</v>
          </cell>
          <cell r="D1266">
            <v>1</v>
          </cell>
          <cell r="E1266">
            <v>2103.08</v>
          </cell>
          <cell r="F1266" t="str">
            <v>tier - 3</v>
          </cell>
          <cell r="G1266" t="str">
            <v>tier - 2</v>
          </cell>
          <cell r="H1266" t="str">
            <v>R1011</v>
          </cell>
        </row>
        <row r="1267">
          <cell r="A1267" t="str">
            <v>ID2137</v>
          </cell>
          <cell r="B1267" t="str">
            <v>14-Aug-2001</v>
          </cell>
          <cell r="C1267">
            <v>25</v>
          </cell>
          <cell r="D1267">
            <v>0</v>
          </cell>
          <cell r="E1267">
            <v>2102.2600000000002</v>
          </cell>
          <cell r="F1267" t="str">
            <v>tier - 3</v>
          </cell>
          <cell r="G1267" t="str">
            <v>tier - 2</v>
          </cell>
          <cell r="H1267" t="str">
            <v>R1019</v>
          </cell>
        </row>
        <row r="1268">
          <cell r="A1268" t="str">
            <v>ID2138</v>
          </cell>
          <cell r="B1268" t="str">
            <v>12-Jun-2004</v>
          </cell>
          <cell r="C1268">
            <v>22</v>
          </cell>
          <cell r="D1268">
            <v>0</v>
          </cell>
          <cell r="E1268">
            <v>2094.1</v>
          </cell>
          <cell r="F1268" t="str">
            <v>tier - 3</v>
          </cell>
          <cell r="G1268" t="str">
            <v>tier - 2</v>
          </cell>
          <cell r="H1268" t="str">
            <v>R1025</v>
          </cell>
        </row>
        <row r="1269">
          <cell r="A1269" t="str">
            <v>ID2139</v>
          </cell>
          <cell r="B1269" t="str">
            <v>26-Jul-2000</v>
          </cell>
          <cell r="C1269">
            <v>26</v>
          </cell>
          <cell r="D1269">
            <v>0</v>
          </cell>
          <cell r="E1269">
            <v>2055.3200000000002</v>
          </cell>
          <cell r="F1269" t="str">
            <v>tier - 3</v>
          </cell>
          <cell r="G1269" t="str">
            <v>tier - 3</v>
          </cell>
          <cell r="H1269" t="str">
            <v>R1012</v>
          </cell>
        </row>
        <row r="1270">
          <cell r="A1270" t="str">
            <v>ID214</v>
          </cell>
          <cell r="B1270" t="str">
            <v>27-Oct-1973</v>
          </cell>
          <cell r="C1270">
            <v>52</v>
          </cell>
          <cell r="D1270">
            <v>0</v>
          </cell>
          <cell r="E1270">
            <v>35547.72</v>
          </cell>
          <cell r="F1270" t="str">
            <v>tier - 1</v>
          </cell>
          <cell r="G1270" t="str">
            <v>tier - 1</v>
          </cell>
          <cell r="H1270" t="str">
            <v>R1011</v>
          </cell>
        </row>
        <row r="1271">
          <cell r="A1271" t="str">
            <v>ID2140</v>
          </cell>
          <cell r="B1271" t="str">
            <v>2-Sep-2000</v>
          </cell>
          <cell r="C1271">
            <v>26</v>
          </cell>
          <cell r="D1271">
            <v>0</v>
          </cell>
          <cell r="E1271">
            <v>2045.69</v>
          </cell>
          <cell r="F1271" t="str">
            <v>tier - 3</v>
          </cell>
          <cell r="G1271" t="str">
            <v>tier - 3</v>
          </cell>
          <cell r="H1271" t="str">
            <v>R1012</v>
          </cell>
        </row>
        <row r="1272">
          <cell r="A1272" t="str">
            <v>ID2141</v>
          </cell>
          <cell r="B1272" t="str">
            <v>4-Aug-2001</v>
          </cell>
          <cell r="C1272">
            <v>25</v>
          </cell>
          <cell r="D1272">
            <v>0</v>
          </cell>
          <cell r="E1272">
            <v>2026.97</v>
          </cell>
          <cell r="F1272" t="str">
            <v>tier - 3</v>
          </cell>
          <cell r="G1272" t="str">
            <v>tier - 2</v>
          </cell>
          <cell r="H1272" t="str">
            <v>R1013</v>
          </cell>
        </row>
        <row r="1273">
          <cell r="A1273" t="str">
            <v>ID2142</v>
          </cell>
          <cell r="B1273" t="str">
            <v>6-Sep-2001</v>
          </cell>
          <cell r="C1273">
            <v>25</v>
          </cell>
          <cell r="D1273">
            <v>0</v>
          </cell>
          <cell r="E1273">
            <v>2020.55</v>
          </cell>
          <cell r="F1273" t="str">
            <v>tier - 3</v>
          </cell>
          <cell r="G1273" t="str">
            <v>tier - 2</v>
          </cell>
          <cell r="H1273" t="str">
            <v>R1013</v>
          </cell>
        </row>
        <row r="1274">
          <cell r="A1274" t="str">
            <v>ID2143</v>
          </cell>
          <cell r="B1274" t="str">
            <v>1-Jul-2001</v>
          </cell>
          <cell r="C1274">
            <v>25</v>
          </cell>
          <cell r="D1274">
            <v>0</v>
          </cell>
          <cell r="E1274">
            <v>2020.18</v>
          </cell>
          <cell r="F1274" t="str">
            <v>tier - 3</v>
          </cell>
          <cell r="G1274" t="str">
            <v>tier - 1</v>
          </cell>
          <cell r="H1274" t="str">
            <v>R1011</v>
          </cell>
        </row>
        <row r="1275">
          <cell r="A1275" t="str">
            <v>ID2144</v>
          </cell>
          <cell r="B1275" t="str">
            <v>14-Aug-2001</v>
          </cell>
          <cell r="C1275">
            <v>25</v>
          </cell>
          <cell r="D1275">
            <v>0</v>
          </cell>
          <cell r="E1275">
            <v>2007.95</v>
          </cell>
          <cell r="F1275" t="str">
            <v>tier - 3</v>
          </cell>
          <cell r="G1275" t="str">
            <v>tier - 2</v>
          </cell>
          <cell r="H1275" t="str">
            <v>R1011</v>
          </cell>
        </row>
        <row r="1276">
          <cell r="A1276" t="str">
            <v>ID2145</v>
          </cell>
          <cell r="B1276" t="str">
            <v>14-Sep-1998</v>
          </cell>
          <cell r="C1276">
            <v>28</v>
          </cell>
          <cell r="D1276">
            <v>0</v>
          </cell>
          <cell r="E1276">
            <v>1986.93</v>
          </cell>
          <cell r="F1276" t="str">
            <v>tier - 3</v>
          </cell>
          <cell r="G1276" t="str">
            <v>tier - 2</v>
          </cell>
          <cell r="H1276" t="str">
            <v>R1013</v>
          </cell>
        </row>
        <row r="1277">
          <cell r="A1277" t="str">
            <v>ID2146</v>
          </cell>
          <cell r="B1277" t="str">
            <v>29-Sep-2002</v>
          </cell>
          <cell r="C1277">
            <v>24</v>
          </cell>
          <cell r="D1277">
            <v>0</v>
          </cell>
          <cell r="E1277">
            <v>1984.45</v>
          </cell>
          <cell r="F1277" t="str">
            <v>tier - 3</v>
          </cell>
          <cell r="G1277" t="str">
            <v>tier - 3</v>
          </cell>
          <cell r="H1277" t="str">
            <v>R1016</v>
          </cell>
        </row>
        <row r="1278">
          <cell r="A1278" t="str">
            <v>ID2147</v>
          </cell>
          <cell r="B1278" t="str">
            <v>29-Dec-1998</v>
          </cell>
          <cell r="C1278">
            <v>27</v>
          </cell>
          <cell r="D1278">
            <v>0</v>
          </cell>
          <cell r="E1278">
            <v>1981.58</v>
          </cell>
          <cell r="F1278" t="str">
            <v>tier - 3</v>
          </cell>
          <cell r="G1278" t="str">
            <v>tier - 1</v>
          </cell>
          <cell r="H1278" t="str">
            <v>R1013</v>
          </cell>
        </row>
        <row r="1279">
          <cell r="A1279" t="str">
            <v>ID2148</v>
          </cell>
          <cell r="B1279" t="str">
            <v>16-Jul-2002</v>
          </cell>
          <cell r="C1279">
            <v>24</v>
          </cell>
          <cell r="D1279">
            <v>1</v>
          </cell>
          <cell r="E1279">
            <v>1980.07</v>
          </cell>
          <cell r="F1279" t="str">
            <v>tier - 3</v>
          </cell>
          <cell r="G1279" t="str">
            <v>tier - 3</v>
          </cell>
          <cell r="H1279" t="str">
            <v>R1011</v>
          </cell>
        </row>
        <row r="1280">
          <cell r="A1280" t="str">
            <v>ID2149</v>
          </cell>
          <cell r="B1280" t="str">
            <v>29-Sep-1998</v>
          </cell>
          <cell r="C1280">
            <v>28</v>
          </cell>
          <cell r="D1280">
            <v>0</v>
          </cell>
          <cell r="E1280">
            <v>1977.82</v>
          </cell>
          <cell r="F1280" t="str">
            <v>tier - 3</v>
          </cell>
          <cell r="G1280" t="str">
            <v>tier - 1</v>
          </cell>
          <cell r="H1280" t="str">
            <v>R1011</v>
          </cell>
        </row>
        <row r="1281">
          <cell r="A1281" t="str">
            <v>ID215</v>
          </cell>
          <cell r="B1281" t="str">
            <v>13-Sep-1992</v>
          </cell>
          <cell r="C1281">
            <v>34</v>
          </cell>
          <cell r="D1281">
            <v>0</v>
          </cell>
          <cell r="E1281">
            <v>35547.47</v>
          </cell>
          <cell r="F1281" t="str">
            <v>tier - 2</v>
          </cell>
          <cell r="G1281" t="str">
            <v>tier - 3</v>
          </cell>
          <cell r="H1281" t="str">
            <v>R1011</v>
          </cell>
        </row>
        <row r="1282">
          <cell r="A1282" t="str">
            <v>ID2150</v>
          </cell>
          <cell r="B1282" t="str">
            <v>5-Oct-1998</v>
          </cell>
          <cell r="C1282">
            <v>28</v>
          </cell>
          <cell r="D1282">
            <v>0</v>
          </cell>
          <cell r="E1282">
            <v>1972.95</v>
          </cell>
          <cell r="F1282" t="str">
            <v>tier - 3</v>
          </cell>
          <cell r="G1282" t="str">
            <v>tier - 1</v>
          </cell>
          <cell r="H1282" t="str">
            <v>R1011</v>
          </cell>
        </row>
        <row r="1283">
          <cell r="A1283" t="str">
            <v>ID2151</v>
          </cell>
          <cell r="B1283" t="str">
            <v>28-Sep-1998</v>
          </cell>
          <cell r="C1283">
            <v>28</v>
          </cell>
          <cell r="D1283">
            <v>0</v>
          </cell>
          <cell r="E1283">
            <v>1969.61</v>
          </cell>
          <cell r="F1283" t="str">
            <v>tier - 3</v>
          </cell>
          <cell r="G1283" t="str">
            <v>tier - 3</v>
          </cell>
          <cell r="H1283" t="str">
            <v>R1011</v>
          </cell>
        </row>
        <row r="1284">
          <cell r="A1284" t="str">
            <v>ID2152</v>
          </cell>
          <cell r="B1284" t="str">
            <v>29-Jul-2002</v>
          </cell>
          <cell r="C1284">
            <v>24</v>
          </cell>
          <cell r="D1284">
            <v>0</v>
          </cell>
          <cell r="E1284">
            <v>1967.02</v>
          </cell>
          <cell r="F1284" t="str">
            <v>tier - 3</v>
          </cell>
          <cell r="G1284" t="str">
            <v>tier - 2</v>
          </cell>
          <cell r="H1284" t="str">
            <v>R1016</v>
          </cell>
        </row>
        <row r="1285">
          <cell r="A1285" t="str">
            <v>ID2153</v>
          </cell>
          <cell r="B1285" t="str">
            <v>7-Sep-2002</v>
          </cell>
          <cell r="C1285">
            <v>24</v>
          </cell>
          <cell r="D1285">
            <v>1</v>
          </cell>
          <cell r="E1285">
            <v>1964.78</v>
          </cell>
          <cell r="F1285" t="str">
            <v>tier - 3</v>
          </cell>
          <cell r="G1285" t="str">
            <v>tier - 1</v>
          </cell>
          <cell r="H1285" t="str">
            <v>R1011</v>
          </cell>
        </row>
        <row r="1286">
          <cell r="A1286" t="str">
            <v>ID2154</v>
          </cell>
          <cell r="B1286" t="str">
            <v>9-Dec-2001</v>
          </cell>
          <cell r="C1286">
            <v>24</v>
          </cell>
          <cell r="D1286">
            <v>0</v>
          </cell>
          <cell r="E1286">
            <v>1917.32</v>
          </cell>
          <cell r="F1286" t="str">
            <v>tier - 3</v>
          </cell>
          <cell r="G1286" t="str">
            <v>tier - 2</v>
          </cell>
          <cell r="H1286" t="str">
            <v>R1012</v>
          </cell>
        </row>
        <row r="1287">
          <cell r="A1287" t="str">
            <v>ID2155</v>
          </cell>
          <cell r="B1287" t="str">
            <v>3-Aug-2001</v>
          </cell>
          <cell r="C1287">
            <v>25</v>
          </cell>
          <cell r="D1287">
            <v>0</v>
          </cell>
          <cell r="E1287">
            <v>1909.53</v>
          </cell>
          <cell r="F1287" t="str">
            <v>tier - 3</v>
          </cell>
          <cell r="G1287" t="str">
            <v>tier - 3</v>
          </cell>
          <cell r="H1287" t="str">
            <v>R1012</v>
          </cell>
        </row>
        <row r="1288">
          <cell r="A1288" t="str">
            <v>ID2156</v>
          </cell>
          <cell r="B1288" t="str">
            <v>6-Oct-1994</v>
          </cell>
          <cell r="C1288">
            <v>32</v>
          </cell>
          <cell r="D1288">
            <v>0</v>
          </cell>
          <cell r="E1288">
            <v>1908.9</v>
          </cell>
          <cell r="F1288" t="str">
            <v>tier - 3</v>
          </cell>
          <cell r="G1288" t="str">
            <v>tier - 3</v>
          </cell>
          <cell r="H1288" t="str">
            <v>R1013</v>
          </cell>
        </row>
        <row r="1289">
          <cell r="A1289" t="str">
            <v>ID2157</v>
          </cell>
          <cell r="B1289" t="str">
            <v>10-Aug-2001</v>
          </cell>
          <cell r="C1289">
            <v>25</v>
          </cell>
          <cell r="D1289">
            <v>0</v>
          </cell>
          <cell r="E1289">
            <v>1906.36</v>
          </cell>
          <cell r="F1289" t="str">
            <v>tier - 3</v>
          </cell>
          <cell r="G1289" t="str">
            <v>tier - 1</v>
          </cell>
          <cell r="H1289" t="str">
            <v>R1012</v>
          </cell>
        </row>
        <row r="1290">
          <cell r="A1290" t="str">
            <v>ID2158</v>
          </cell>
          <cell r="B1290" t="str">
            <v>21-Aug-2002</v>
          </cell>
          <cell r="C1290">
            <v>24</v>
          </cell>
          <cell r="D1290">
            <v>0</v>
          </cell>
          <cell r="E1290">
            <v>1880.49</v>
          </cell>
          <cell r="F1290" t="str">
            <v>tier - 3</v>
          </cell>
          <cell r="G1290" t="str">
            <v>tier - 1</v>
          </cell>
          <cell r="H1290" t="str">
            <v>R1011</v>
          </cell>
        </row>
        <row r="1291">
          <cell r="A1291" t="str">
            <v>ID2159</v>
          </cell>
          <cell r="B1291" t="str">
            <v>29-Aug-2002</v>
          </cell>
          <cell r="C1291">
            <v>24</v>
          </cell>
          <cell r="D1291">
            <v>0</v>
          </cell>
          <cell r="E1291">
            <v>1880.07</v>
          </cell>
          <cell r="F1291" t="str">
            <v>tier - 3</v>
          </cell>
          <cell r="G1291" t="str">
            <v>tier - 2</v>
          </cell>
          <cell r="H1291" t="str">
            <v>R1013</v>
          </cell>
        </row>
        <row r="1292">
          <cell r="A1292" t="str">
            <v>ID216</v>
          </cell>
          <cell r="B1292" t="str">
            <v>16-Dec-1973</v>
          </cell>
          <cell r="C1292">
            <v>52</v>
          </cell>
          <cell r="D1292">
            <v>0</v>
          </cell>
          <cell r="E1292">
            <v>35517.19</v>
          </cell>
          <cell r="F1292" t="str">
            <v>tier - 2</v>
          </cell>
          <cell r="G1292" t="str">
            <v>tier - 2</v>
          </cell>
          <cell r="H1292" t="str">
            <v>R1011</v>
          </cell>
        </row>
        <row r="1293">
          <cell r="A1293" t="str">
            <v>ID2160</v>
          </cell>
          <cell r="B1293" t="str">
            <v>29-Oct-2002</v>
          </cell>
          <cell r="C1293">
            <v>23</v>
          </cell>
          <cell r="D1293">
            <v>0</v>
          </cell>
          <cell r="E1293">
            <v>1877.93</v>
          </cell>
          <cell r="F1293" t="str">
            <v>tier - 3</v>
          </cell>
          <cell r="G1293" t="str">
            <v>tier - 1</v>
          </cell>
          <cell r="H1293" t="str">
            <v>R1013</v>
          </cell>
        </row>
        <row r="1294">
          <cell r="A1294" t="str">
            <v>ID2161</v>
          </cell>
          <cell r="B1294" t="str">
            <v>22-Sep-2002</v>
          </cell>
          <cell r="C1294">
            <v>24</v>
          </cell>
          <cell r="D1294">
            <v>0</v>
          </cell>
          <cell r="E1294">
            <v>1875.34</v>
          </cell>
          <cell r="F1294" t="str">
            <v>tier - 3</v>
          </cell>
          <cell r="G1294" t="str">
            <v>tier - 2</v>
          </cell>
          <cell r="H1294" t="str">
            <v>R1011</v>
          </cell>
        </row>
        <row r="1295">
          <cell r="A1295" t="str">
            <v>ID2162</v>
          </cell>
          <cell r="B1295" t="str">
            <v>2-Jul-1996</v>
          </cell>
          <cell r="C1295">
            <v>30</v>
          </cell>
          <cell r="D1295">
            <v>0</v>
          </cell>
          <cell r="E1295">
            <v>1865.98</v>
          </cell>
          <cell r="F1295" t="str">
            <v>tier - 3</v>
          </cell>
          <cell r="G1295" t="str">
            <v>tier - 3</v>
          </cell>
          <cell r="H1295" t="str">
            <v>R1012</v>
          </cell>
        </row>
        <row r="1296">
          <cell r="A1296" t="str">
            <v>ID2163</v>
          </cell>
          <cell r="B1296" t="str">
            <v>27-Dec-2004</v>
          </cell>
          <cell r="C1296">
            <v>21</v>
          </cell>
          <cell r="D1296">
            <v>0</v>
          </cell>
          <cell r="E1296">
            <v>1863.45</v>
          </cell>
          <cell r="F1296" t="str">
            <v>tier - 3</v>
          </cell>
          <cell r="G1296" t="str">
            <v>tier - 1</v>
          </cell>
          <cell r="H1296" t="str">
            <v>R1025</v>
          </cell>
        </row>
        <row r="1297">
          <cell r="A1297" t="str">
            <v>ID2164</v>
          </cell>
          <cell r="B1297" t="str">
            <v>6-Dec-1994</v>
          </cell>
          <cell r="C1297">
            <v>31</v>
          </cell>
          <cell r="D1297">
            <v>0</v>
          </cell>
          <cell r="E1297">
            <v>1850.55</v>
          </cell>
          <cell r="F1297" t="str">
            <v>tier - 3</v>
          </cell>
          <cell r="G1297" t="str">
            <v>tier - 2</v>
          </cell>
          <cell r="H1297" t="str">
            <v>R1012</v>
          </cell>
        </row>
        <row r="1298">
          <cell r="A1298" t="str">
            <v>ID2165</v>
          </cell>
          <cell r="B1298" t="str">
            <v>20-Jul-2003</v>
          </cell>
          <cell r="C1298">
            <v>23</v>
          </cell>
          <cell r="D1298">
            <v>1</v>
          </cell>
          <cell r="E1298">
            <v>1842.52</v>
          </cell>
          <cell r="F1298" t="str">
            <v>tier - 3</v>
          </cell>
          <cell r="G1298" t="str">
            <v>tier - 2</v>
          </cell>
          <cell r="H1298" t="str">
            <v>R1011</v>
          </cell>
        </row>
        <row r="1299">
          <cell r="A1299" t="str">
            <v>ID2166</v>
          </cell>
          <cell r="B1299" t="str">
            <v>12-Dec-1999</v>
          </cell>
          <cell r="C1299">
            <v>26</v>
          </cell>
          <cell r="D1299">
            <v>0</v>
          </cell>
          <cell r="E1299">
            <v>1837.28</v>
          </cell>
          <cell r="F1299" t="str">
            <v>tier - 3</v>
          </cell>
          <cell r="G1299" t="str">
            <v>tier - 2</v>
          </cell>
          <cell r="H1299" t="str">
            <v>R1013</v>
          </cell>
        </row>
        <row r="1300">
          <cell r="A1300" t="str">
            <v>ID2167</v>
          </cell>
          <cell r="B1300" t="str">
            <v>4-Aug-2003</v>
          </cell>
          <cell r="C1300">
            <v>23</v>
          </cell>
          <cell r="D1300">
            <v>1</v>
          </cell>
          <cell r="E1300">
            <v>1837.24</v>
          </cell>
          <cell r="F1300" t="str">
            <v>tier - 3</v>
          </cell>
          <cell r="G1300" t="str">
            <v>tier - 2</v>
          </cell>
          <cell r="H1300" t="str">
            <v>R1011</v>
          </cell>
        </row>
        <row r="1301">
          <cell r="A1301" t="str">
            <v>ID2168</v>
          </cell>
          <cell r="B1301" t="str">
            <v>11-Aug-2003</v>
          </cell>
          <cell r="C1301">
            <v>23</v>
          </cell>
          <cell r="D1301">
            <v>1</v>
          </cell>
          <cell r="E1301">
            <v>1832.09</v>
          </cell>
          <cell r="F1301" t="str">
            <v>tier - 3</v>
          </cell>
          <cell r="G1301" t="str">
            <v>tier - 3</v>
          </cell>
          <cell r="H1301" t="str">
            <v>R1011</v>
          </cell>
        </row>
        <row r="1302">
          <cell r="A1302" t="str">
            <v>ID2169</v>
          </cell>
          <cell r="B1302" t="str">
            <v>1-Oct-1999</v>
          </cell>
          <cell r="C1302">
            <v>27</v>
          </cell>
          <cell r="D1302">
            <v>0</v>
          </cell>
          <cell r="E1302">
            <v>1826.84</v>
          </cell>
          <cell r="F1302" t="str">
            <v>tier - 3</v>
          </cell>
          <cell r="G1302" t="str">
            <v>tier - 2</v>
          </cell>
          <cell r="H1302" t="str">
            <v>R1011</v>
          </cell>
        </row>
        <row r="1303">
          <cell r="A1303" t="str">
            <v>ID217</v>
          </cell>
          <cell r="B1303" t="str">
            <v>20-Nov-1988</v>
          </cell>
          <cell r="C1303">
            <v>37</v>
          </cell>
          <cell r="D1303">
            <v>0</v>
          </cell>
          <cell r="E1303">
            <v>35491.64</v>
          </cell>
          <cell r="F1303" t="str">
            <v>tier - 1</v>
          </cell>
          <cell r="G1303" t="str">
            <v>tier - 2</v>
          </cell>
          <cell r="H1303" t="str">
            <v>R1011</v>
          </cell>
        </row>
        <row r="1304">
          <cell r="A1304" t="str">
            <v>ID2170</v>
          </cell>
          <cell r="B1304" t="str">
            <v>17-Nov-1999</v>
          </cell>
          <cell r="C1304">
            <v>26</v>
          </cell>
          <cell r="D1304">
            <v>0</v>
          </cell>
          <cell r="E1304">
            <v>1824.29</v>
          </cell>
          <cell r="F1304" t="str">
            <v>tier - 3</v>
          </cell>
          <cell r="G1304" t="str">
            <v>tier - 3</v>
          </cell>
          <cell r="H1304" t="str">
            <v>R1013</v>
          </cell>
        </row>
        <row r="1305">
          <cell r="A1305" t="str">
            <v>ID2171</v>
          </cell>
          <cell r="B1305" t="str">
            <v>19-Aug-2004</v>
          </cell>
          <cell r="C1305">
            <v>22</v>
          </cell>
          <cell r="D1305">
            <v>0</v>
          </cell>
          <cell r="E1305">
            <v>1822.54</v>
          </cell>
          <cell r="F1305" t="str">
            <v>tier - 3</v>
          </cell>
          <cell r="G1305" t="str">
            <v>tier - 1</v>
          </cell>
          <cell r="H1305" t="str">
            <v>R1012</v>
          </cell>
        </row>
        <row r="1306">
          <cell r="A1306" t="str">
            <v>ID2172</v>
          </cell>
          <cell r="B1306" t="str">
            <v>25-Sep-1999</v>
          </cell>
          <cell r="C1306">
            <v>27</v>
          </cell>
          <cell r="D1306">
            <v>0</v>
          </cell>
          <cell r="E1306">
            <v>1815.88</v>
          </cell>
          <cell r="F1306" t="str">
            <v>tier - 3</v>
          </cell>
          <cell r="G1306" t="str">
            <v>tier - 3</v>
          </cell>
          <cell r="H1306" t="str">
            <v>R1013</v>
          </cell>
        </row>
        <row r="1307">
          <cell r="A1307" t="str">
            <v>ID2173</v>
          </cell>
          <cell r="B1307" t="str">
            <v>13-Dec-2002</v>
          </cell>
          <cell r="C1307">
            <v>23</v>
          </cell>
          <cell r="D1307">
            <v>0</v>
          </cell>
          <cell r="E1307">
            <v>1769.53</v>
          </cell>
          <cell r="F1307" t="str">
            <v>tier - 3</v>
          </cell>
          <cell r="G1307" t="str">
            <v>tier - 3</v>
          </cell>
          <cell r="H1307" t="str">
            <v>R1012</v>
          </cell>
        </row>
        <row r="1308">
          <cell r="A1308" t="str">
            <v>ID2174</v>
          </cell>
          <cell r="B1308" t="str">
            <v>19-Nov-2003</v>
          </cell>
          <cell r="C1308">
            <v>22</v>
          </cell>
          <cell r="D1308">
            <v>0</v>
          </cell>
          <cell r="E1308">
            <v>1759.34</v>
          </cell>
          <cell r="F1308" t="str">
            <v>tier - 3</v>
          </cell>
          <cell r="G1308" t="str">
            <v>tier - 1</v>
          </cell>
          <cell r="H1308" t="str">
            <v>R1011</v>
          </cell>
        </row>
        <row r="1309">
          <cell r="A1309" t="str">
            <v>ID2175</v>
          </cell>
          <cell r="B1309" t="str">
            <v>7-Oct-1998</v>
          </cell>
          <cell r="C1309">
            <v>28</v>
          </cell>
          <cell r="D1309">
            <v>0</v>
          </cell>
          <cell r="E1309">
            <v>1756.6</v>
          </cell>
          <cell r="F1309" t="str">
            <v>tier - 3</v>
          </cell>
          <cell r="G1309" t="str">
            <v>tier - 3</v>
          </cell>
          <cell r="H1309" t="str">
            <v>R1013</v>
          </cell>
        </row>
        <row r="1310">
          <cell r="A1310" t="str">
            <v>ID2176</v>
          </cell>
          <cell r="B1310" t="str">
            <v>26-Sep-2003</v>
          </cell>
          <cell r="C1310">
            <v>23</v>
          </cell>
          <cell r="D1310">
            <v>0</v>
          </cell>
          <cell r="E1310">
            <v>1748.77</v>
          </cell>
          <cell r="F1310" t="str">
            <v>tier - 3</v>
          </cell>
          <cell r="G1310" t="str">
            <v>tier - 1</v>
          </cell>
          <cell r="H1310" t="str">
            <v>R1011</v>
          </cell>
        </row>
        <row r="1311">
          <cell r="A1311" t="str">
            <v>ID2177</v>
          </cell>
          <cell r="B1311" t="str">
            <v>28-Jul-2003</v>
          </cell>
          <cell r="C1311">
            <v>23</v>
          </cell>
          <cell r="D1311">
            <v>0</v>
          </cell>
          <cell r="E1311">
            <v>1744.47</v>
          </cell>
          <cell r="F1311" t="str">
            <v>tier - 3</v>
          </cell>
          <cell r="G1311" t="str">
            <v>tier - 1</v>
          </cell>
          <cell r="H1311" t="str">
            <v>R1011</v>
          </cell>
        </row>
        <row r="1312">
          <cell r="A1312" t="str">
            <v>ID2178</v>
          </cell>
          <cell r="B1312" t="str">
            <v>25-Jul-2003</v>
          </cell>
          <cell r="C1312">
            <v>23</v>
          </cell>
          <cell r="D1312">
            <v>0</v>
          </cell>
          <cell r="E1312">
            <v>1743.21</v>
          </cell>
          <cell r="F1312" t="str">
            <v>tier - 3</v>
          </cell>
          <cell r="G1312" t="str">
            <v>tier - 1</v>
          </cell>
          <cell r="H1312" t="str">
            <v>R1011</v>
          </cell>
        </row>
        <row r="1313">
          <cell r="A1313" t="str">
            <v>ID2179</v>
          </cell>
          <cell r="B1313" t="str">
            <v>14-Nov-2003</v>
          </cell>
          <cell r="C1313">
            <v>22</v>
          </cell>
          <cell r="D1313">
            <v>0</v>
          </cell>
          <cell r="E1313">
            <v>1737.38</v>
          </cell>
          <cell r="F1313" t="str">
            <v>tier - 3</v>
          </cell>
          <cell r="G1313" t="str">
            <v>tier - 2</v>
          </cell>
          <cell r="H1313" t="str">
            <v>R1011</v>
          </cell>
        </row>
        <row r="1314">
          <cell r="A1314" t="str">
            <v>ID218</v>
          </cell>
          <cell r="B1314" t="str">
            <v>22-Sep-1971</v>
          </cell>
          <cell r="C1314">
            <v>55</v>
          </cell>
          <cell r="D1314">
            <v>0</v>
          </cell>
          <cell r="E1314">
            <v>35345.730000000003</v>
          </cell>
          <cell r="F1314" t="str">
            <v>tier - 2</v>
          </cell>
          <cell r="G1314" t="str">
            <v>tier - 3</v>
          </cell>
          <cell r="H1314" t="str">
            <v>R1011</v>
          </cell>
        </row>
        <row r="1315">
          <cell r="A1315" t="str">
            <v>ID2180</v>
          </cell>
          <cell r="B1315" t="str">
            <v>9-Nov-2003</v>
          </cell>
          <cell r="C1315">
            <v>22</v>
          </cell>
          <cell r="D1315">
            <v>0</v>
          </cell>
          <cell r="E1315">
            <v>1731.68</v>
          </cell>
          <cell r="F1315" t="str">
            <v>tier - 3</v>
          </cell>
          <cell r="G1315" t="str">
            <v>tier - 2</v>
          </cell>
          <cell r="H1315" t="str">
            <v>R1011</v>
          </cell>
        </row>
        <row r="1316">
          <cell r="A1316" t="str">
            <v>ID2181</v>
          </cell>
          <cell r="B1316" t="str">
            <v>1-Sep-2003</v>
          </cell>
          <cell r="C1316">
            <v>23</v>
          </cell>
          <cell r="D1316">
            <v>0</v>
          </cell>
          <cell r="E1316">
            <v>1728.9</v>
          </cell>
          <cell r="F1316" t="str">
            <v>tier - 3</v>
          </cell>
          <cell r="G1316" t="str">
            <v>tier - 2</v>
          </cell>
          <cell r="H1316" t="str">
            <v>R1011</v>
          </cell>
        </row>
        <row r="1317">
          <cell r="A1317" t="str">
            <v>ID2182</v>
          </cell>
          <cell r="B1317" t="str">
            <v>21-Nov-2003</v>
          </cell>
          <cell r="C1317">
            <v>22</v>
          </cell>
          <cell r="D1317">
            <v>0</v>
          </cell>
          <cell r="E1317">
            <v>1727.79</v>
          </cell>
          <cell r="F1317" t="str">
            <v>tier - 3</v>
          </cell>
          <cell r="G1317" t="str">
            <v>tier - 3</v>
          </cell>
          <cell r="H1317" t="str">
            <v>R1011</v>
          </cell>
        </row>
        <row r="1318">
          <cell r="A1318" t="str">
            <v>ID2183</v>
          </cell>
          <cell r="B1318" t="str">
            <v>9-Sep-2004</v>
          </cell>
          <cell r="C1318">
            <v>22</v>
          </cell>
          <cell r="D1318">
            <v>1</v>
          </cell>
          <cell r="E1318">
            <v>1727.54</v>
          </cell>
          <cell r="F1318" t="str">
            <v>tier - 3</v>
          </cell>
          <cell r="G1318" t="str">
            <v>tier - 1</v>
          </cell>
          <cell r="H1318" t="str">
            <v>R1013</v>
          </cell>
        </row>
        <row r="1319">
          <cell r="A1319" t="str">
            <v>ID2184</v>
          </cell>
          <cell r="B1319" t="str">
            <v>21-Oct-2004</v>
          </cell>
          <cell r="C1319">
            <v>21</v>
          </cell>
          <cell r="D1319">
            <v>1</v>
          </cell>
          <cell r="E1319">
            <v>1725.55</v>
          </cell>
          <cell r="F1319" t="str">
            <v>tier - 3</v>
          </cell>
          <cell r="G1319" t="str">
            <v>tier - 2</v>
          </cell>
          <cell r="H1319" t="str">
            <v>R1013</v>
          </cell>
        </row>
        <row r="1320">
          <cell r="A1320" t="str">
            <v>ID2185</v>
          </cell>
          <cell r="B1320" t="str">
            <v>11-Sep-2004</v>
          </cell>
          <cell r="C1320">
            <v>22</v>
          </cell>
          <cell r="D1320">
            <v>1</v>
          </cell>
          <cell r="E1320">
            <v>1720.35</v>
          </cell>
          <cell r="F1320" t="str">
            <v>tier - 3</v>
          </cell>
          <cell r="G1320" t="str">
            <v>tier - 3</v>
          </cell>
          <cell r="H1320" t="str">
            <v>R1013</v>
          </cell>
        </row>
        <row r="1321">
          <cell r="A1321" t="str">
            <v>ID2186</v>
          </cell>
          <cell r="B1321" t="str">
            <v>10-Jun-2004</v>
          </cell>
          <cell r="C1321">
            <v>22</v>
          </cell>
          <cell r="D1321">
            <v>1</v>
          </cell>
          <cell r="E1321">
            <v>1719.44</v>
          </cell>
          <cell r="F1321" t="str">
            <v>tier - 3</v>
          </cell>
          <cell r="G1321" t="str">
            <v>tier - 3</v>
          </cell>
          <cell r="H1321" t="str">
            <v>R1013</v>
          </cell>
        </row>
        <row r="1322">
          <cell r="A1322" t="str">
            <v>ID2187</v>
          </cell>
          <cell r="B1322" t="str">
            <v>21-Sep-2004</v>
          </cell>
          <cell r="C1322">
            <v>22</v>
          </cell>
          <cell r="D1322">
            <v>0</v>
          </cell>
          <cell r="E1322">
            <v>1712.23</v>
          </cell>
          <cell r="F1322" t="str">
            <v>tier - 3</v>
          </cell>
          <cell r="G1322" t="str">
            <v>tier - 1</v>
          </cell>
          <cell r="H1322" t="str">
            <v>R1016</v>
          </cell>
        </row>
        <row r="1323">
          <cell r="A1323" t="str">
            <v>ID2188</v>
          </cell>
          <cell r="B1323" t="str">
            <v>19-Sep-2004</v>
          </cell>
          <cell r="C1323">
            <v>22</v>
          </cell>
          <cell r="D1323">
            <v>1</v>
          </cell>
          <cell r="E1323">
            <v>1711.03</v>
          </cell>
          <cell r="F1323" t="str">
            <v>tier - 3</v>
          </cell>
          <cell r="G1323" t="str">
            <v>tier - 3</v>
          </cell>
          <cell r="H1323" t="str">
            <v>R1013</v>
          </cell>
        </row>
        <row r="1324">
          <cell r="A1324" t="str">
            <v>ID2189</v>
          </cell>
          <cell r="B1324" t="str">
            <v>12-Dec-2004</v>
          </cell>
          <cell r="C1324">
            <v>21</v>
          </cell>
          <cell r="D1324">
            <v>0</v>
          </cell>
          <cell r="E1324">
            <v>1708.93</v>
          </cell>
          <cell r="F1324" t="str">
            <v>tier - 3</v>
          </cell>
          <cell r="G1324" t="str">
            <v>tier - 1</v>
          </cell>
          <cell r="H1324" t="str">
            <v>R1019</v>
          </cell>
        </row>
        <row r="1325">
          <cell r="A1325" t="str">
            <v>ID219</v>
          </cell>
          <cell r="B1325" t="str">
            <v>19-Sep-1988</v>
          </cell>
          <cell r="C1325">
            <v>38</v>
          </cell>
          <cell r="D1325">
            <v>3</v>
          </cell>
          <cell r="E1325">
            <v>35315.96</v>
          </cell>
          <cell r="F1325" t="str">
            <v>tier - 2</v>
          </cell>
          <cell r="G1325" t="str">
            <v>tier - 1</v>
          </cell>
          <cell r="H1325" t="str">
            <v>R1011</v>
          </cell>
        </row>
        <row r="1326">
          <cell r="A1326" t="str">
            <v>ID2190</v>
          </cell>
          <cell r="B1326" t="str">
            <v>17-Oct-2004</v>
          </cell>
          <cell r="C1326">
            <v>22</v>
          </cell>
          <cell r="D1326">
            <v>0</v>
          </cell>
          <cell r="E1326">
            <v>1708</v>
          </cell>
          <cell r="F1326" t="str">
            <v>tier - 3</v>
          </cell>
          <cell r="G1326" t="str">
            <v>tier - 2</v>
          </cell>
          <cell r="H1326" t="str">
            <v>R1016</v>
          </cell>
        </row>
        <row r="1327">
          <cell r="A1327" t="str">
            <v>ID2191</v>
          </cell>
          <cell r="B1327" t="str">
            <v>6-Dec-2004</v>
          </cell>
          <cell r="C1327">
            <v>21</v>
          </cell>
          <cell r="D1327">
            <v>0</v>
          </cell>
          <cell r="E1327">
            <v>1705.62</v>
          </cell>
          <cell r="F1327" t="str">
            <v>tier - 2</v>
          </cell>
          <cell r="G1327" t="str">
            <v>tier - 2</v>
          </cell>
          <cell r="H1327" t="str">
            <v>R1015</v>
          </cell>
        </row>
        <row r="1328">
          <cell r="A1328" t="str">
            <v>ID2192</v>
          </cell>
          <cell r="B1328" t="str">
            <v>14-Dec-2004</v>
          </cell>
          <cell r="C1328">
            <v>21</v>
          </cell>
          <cell r="D1328">
            <v>0</v>
          </cell>
          <cell r="E1328">
            <v>1704.7</v>
          </cell>
          <cell r="F1328" t="str">
            <v>tier - 2</v>
          </cell>
          <cell r="G1328" t="str">
            <v>tier - 3</v>
          </cell>
          <cell r="H1328" t="str">
            <v>R1018</v>
          </cell>
        </row>
        <row r="1329">
          <cell r="A1329" t="str">
            <v>ID2193</v>
          </cell>
          <cell r="B1329" t="str">
            <v>7-Nov-2004</v>
          </cell>
          <cell r="C1329">
            <v>21</v>
          </cell>
          <cell r="D1329">
            <v>0</v>
          </cell>
          <cell r="E1329">
            <v>1704.57</v>
          </cell>
          <cell r="F1329" t="str">
            <v>tier - 2</v>
          </cell>
          <cell r="G1329" t="str">
            <v>tier - 1</v>
          </cell>
          <cell r="H1329" t="str">
            <v>R1016</v>
          </cell>
        </row>
        <row r="1330">
          <cell r="A1330" t="str">
            <v>ID2194</v>
          </cell>
          <cell r="B1330" t="str">
            <v>10-Dec-2004</v>
          </cell>
          <cell r="C1330">
            <v>21</v>
          </cell>
          <cell r="D1330">
            <v>0</v>
          </cell>
          <cell r="E1330">
            <v>1702.46</v>
          </cell>
          <cell r="F1330" t="str">
            <v>tier - 2</v>
          </cell>
          <cell r="G1330" t="str">
            <v>tier - 3</v>
          </cell>
          <cell r="H1330" t="str">
            <v>R1019</v>
          </cell>
        </row>
        <row r="1331">
          <cell r="A1331" t="str">
            <v>ID2195</v>
          </cell>
          <cell r="B1331" t="str">
            <v>17-Nov-2004</v>
          </cell>
          <cell r="C1331">
            <v>21</v>
          </cell>
          <cell r="D1331">
            <v>0</v>
          </cell>
          <cell r="E1331">
            <v>1694.8</v>
          </cell>
          <cell r="F1331" t="str">
            <v>tier - 2</v>
          </cell>
          <cell r="G1331" t="str">
            <v>tier - 2</v>
          </cell>
          <cell r="H1331" t="str">
            <v>R1015</v>
          </cell>
        </row>
        <row r="1332">
          <cell r="A1332" t="str">
            <v>ID2196</v>
          </cell>
          <cell r="B1332" t="str">
            <v>21-Oct-2000</v>
          </cell>
          <cell r="C1332">
            <v>25</v>
          </cell>
          <cell r="D1332">
            <v>0</v>
          </cell>
          <cell r="E1332">
            <v>1682.6</v>
          </cell>
          <cell r="F1332" t="str">
            <v>tier - 2</v>
          </cell>
          <cell r="G1332" t="str">
            <v>tier - 2</v>
          </cell>
          <cell r="H1332" t="str">
            <v>R1011</v>
          </cell>
        </row>
        <row r="1333">
          <cell r="A1333" t="str">
            <v>ID2197</v>
          </cell>
          <cell r="B1333" t="str">
            <v>10-Jun-2000</v>
          </cell>
          <cell r="C1333">
            <v>26</v>
          </cell>
          <cell r="D1333">
            <v>0</v>
          </cell>
          <cell r="E1333">
            <v>1674.63</v>
          </cell>
          <cell r="F1333" t="str">
            <v>tier - 2</v>
          </cell>
          <cell r="G1333" t="str">
            <v>tier - 2</v>
          </cell>
          <cell r="H1333" t="str">
            <v>R1013</v>
          </cell>
        </row>
        <row r="1334">
          <cell r="A1334" t="str">
            <v>ID2198</v>
          </cell>
          <cell r="B1334" t="str">
            <v>23-Oct-2000</v>
          </cell>
          <cell r="C1334">
            <v>25</v>
          </cell>
          <cell r="D1334">
            <v>0</v>
          </cell>
          <cell r="E1334">
            <v>1665</v>
          </cell>
          <cell r="F1334" t="str">
            <v>tier - 2</v>
          </cell>
          <cell r="G1334" t="str">
            <v>tier - 2</v>
          </cell>
          <cell r="H1334" t="str">
            <v>R1013</v>
          </cell>
        </row>
        <row r="1335">
          <cell r="A1335" t="str">
            <v>ID2199</v>
          </cell>
          <cell r="B1335" t="str">
            <v>30-Dec-2003</v>
          </cell>
          <cell r="C1335">
            <v>22</v>
          </cell>
          <cell r="D1335">
            <v>0</v>
          </cell>
          <cell r="E1335">
            <v>1646.43</v>
          </cell>
          <cell r="F1335" t="str">
            <v>tier - 2</v>
          </cell>
          <cell r="G1335" t="str">
            <v>tier - 1</v>
          </cell>
          <cell r="H1335" t="str">
            <v>R1012</v>
          </cell>
        </row>
        <row r="1336">
          <cell r="A1336" t="str">
            <v>ID22</v>
          </cell>
          <cell r="B1336" t="str">
            <v>4-Oct-1959</v>
          </cell>
          <cell r="C1336">
            <v>67</v>
          </cell>
          <cell r="D1336">
            <v>2</v>
          </cell>
          <cell r="E1336">
            <v>47305.31</v>
          </cell>
          <cell r="F1336" t="str">
            <v>tier - 2</v>
          </cell>
          <cell r="G1336" t="str">
            <v>tier - 1</v>
          </cell>
          <cell r="H1336" t="str">
            <v>R1011</v>
          </cell>
        </row>
        <row r="1337">
          <cell r="A1337" t="str">
            <v>ID220</v>
          </cell>
          <cell r="B1337" t="str">
            <v>9-Jul-1997</v>
          </cell>
          <cell r="C1337">
            <v>29</v>
          </cell>
          <cell r="D1337">
            <v>0</v>
          </cell>
          <cell r="E1337">
            <v>35302.089999999997</v>
          </cell>
          <cell r="F1337" t="str">
            <v>tier - 1</v>
          </cell>
          <cell r="G1337" t="str">
            <v>tier - 2</v>
          </cell>
          <cell r="H1337" t="str">
            <v>R1011</v>
          </cell>
        </row>
        <row r="1338">
          <cell r="A1338" t="str">
            <v>ID2200</v>
          </cell>
          <cell r="B1338" t="str">
            <v>21-Aug-2003</v>
          </cell>
          <cell r="C1338">
            <v>23</v>
          </cell>
          <cell r="D1338">
            <v>0</v>
          </cell>
          <cell r="E1338">
            <v>1639.56</v>
          </cell>
          <cell r="F1338" t="str">
            <v>tier - 2</v>
          </cell>
          <cell r="G1338" t="str">
            <v>tier - 2</v>
          </cell>
          <cell r="H1338" t="str">
            <v>R1012</v>
          </cell>
        </row>
        <row r="1339">
          <cell r="A1339" t="str">
            <v>ID2201</v>
          </cell>
          <cell r="B1339" t="str">
            <v>16-Sep-2003</v>
          </cell>
          <cell r="C1339">
            <v>23</v>
          </cell>
          <cell r="D1339">
            <v>0</v>
          </cell>
          <cell r="E1339">
            <v>1639.56</v>
          </cell>
          <cell r="F1339" t="str">
            <v>tier - 2</v>
          </cell>
          <cell r="G1339" t="str">
            <v>tier - 2</v>
          </cell>
          <cell r="H1339" t="str">
            <v>R1012</v>
          </cell>
        </row>
        <row r="1340">
          <cell r="A1340" t="str">
            <v>ID2202</v>
          </cell>
          <cell r="B1340" t="str">
            <v>30-Dec-2003</v>
          </cell>
          <cell r="C1340">
            <v>22</v>
          </cell>
          <cell r="D1340">
            <v>0</v>
          </cell>
          <cell r="E1340">
            <v>1635.73</v>
          </cell>
          <cell r="F1340" t="str">
            <v>tier - 2</v>
          </cell>
          <cell r="G1340" t="str">
            <v>tier - 3</v>
          </cell>
          <cell r="H1340" t="str">
            <v>R1012</v>
          </cell>
        </row>
        <row r="1341">
          <cell r="A1341" t="str">
            <v>ID2203</v>
          </cell>
          <cell r="B1341" t="str">
            <v>13-Jun-2004</v>
          </cell>
          <cell r="C1341">
            <v>22</v>
          </cell>
          <cell r="D1341">
            <v>0</v>
          </cell>
          <cell r="E1341">
            <v>1634.57</v>
          </cell>
          <cell r="F1341" t="str">
            <v>tier - 2</v>
          </cell>
          <cell r="G1341" t="str">
            <v>tier - 2</v>
          </cell>
          <cell r="H1341" t="str">
            <v>R1013</v>
          </cell>
        </row>
        <row r="1342">
          <cell r="A1342" t="str">
            <v>ID2204</v>
          </cell>
          <cell r="B1342" t="str">
            <v>8-Aug-2004</v>
          </cell>
          <cell r="C1342">
            <v>22</v>
          </cell>
          <cell r="D1342">
            <v>0</v>
          </cell>
          <cell r="E1342">
            <v>1633.96</v>
          </cell>
          <cell r="F1342" t="str">
            <v>tier - 2</v>
          </cell>
          <cell r="G1342" t="str">
            <v>tier - 1</v>
          </cell>
          <cell r="H1342" t="str">
            <v>R1013</v>
          </cell>
        </row>
        <row r="1343">
          <cell r="A1343" t="str">
            <v>ID2205</v>
          </cell>
          <cell r="B1343" t="str">
            <v>13-Dec-2004</v>
          </cell>
          <cell r="C1343">
            <v>21</v>
          </cell>
          <cell r="D1343">
            <v>0</v>
          </cell>
          <cell r="E1343">
            <v>1633.04</v>
          </cell>
          <cell r="F1343" t="str">
            <v>tier - 2</v>
          </cell>
          <cell r="G1343" t="str">
            <v>tier - 2</v>
          </cell>
          <cell r="H1343" t="str">
            <v>R1013</v>
          </cell>
        </row>
        <row r="1344">
          <cell r="A1344" t="str">
            <v>ID2206</v>
          </cell>
          <cell r="B1344" t="str">
            <v>16-Sep-2003</v>
          </cell>
          <cell r="C1344">
            <v>23</v>
          </cell>
          <cell r="D1344">
            <v>0</v>
          </cell>
          <cell r="E1344">
            <v>1632.56</v>
          </cell>
          <cell r="F1344" t="str">
            <v>tier - 2</v>
          </cell>
          <cell r="G1344" t="str">
            <v>tier - 2</v>
          </cell>
          <cell r="H1344" t="str">
            <v>R1012</v>
          </cell>
        </row>
        <row r="1345">
          <cell r="A1345" t="str">
            <v>ID2207</v>
          </cell>
          <cell r="B1345" t="str">
            <v>3-Oct-2003</v>
          </cell>
          <cell r="C1345">
            <v>23</v>
          </cell>
          <cell r="D1345">
            <v>0</v>
          </cell>
          <cell r="E1345">
            <v>1632.04</v>
          </cell>
          <cell r="F1345" t="str">
            <v>tier - 2</v>
          </cell>
          <cell r="G1345" t="str">
            <v>tier - 2</v>
          </cell>
          <cell r="H1345" t="str">
            <v>R1012</v>
          </cell>
        </row>
        <row r="1346">
          <cell r="A1346" t="str">
            <v>ID2208</v>
          </cell>
          <cell r="B1346" t="str">
            <v>9-Jul-2004</v>
          </cell>
          <cell r="C1346">
            <v>22</v>
          </cell>
          <cell r="D1346">
            <v>0</v>
          </cell>
          <cell r="E1346">
            <v>1631.82</v>
          </cell>
          <cell r="F1346" t="str">
            <v>tier - 2</v>
          </cell>
          <cell r="G1346" t="str">
            <v>tier - 1</v>
          </cell>
          <cell r="H1346" t="str">
            <v>R1013</v>
          </cell>
        </row>
        <row r="1347">
          <cell r="A1347" t="str">
            <v>ID2209</v>
          </cell>
          <cell r="B1347" t="str">
            <v>5-Dec-2004</v>
          </cell>
          <cell r="C1347">
            <v>21</v>
          </cell>
          <cell r="D1347">
            <v>0</v>
          </cell>
          <cell r="E1347">
            <v>1631.67</v>
          </cell>
          <cell r="F1347" t="str">
            <v>tier - 2</v>
          </cell>
          <cell r="G1347" t="str">
            <v>tier - 3</v>
          </cell>
          <cell r="H1347" t="str">
            <v>R1013</v>
          </cell>
        </row>
        <row r="1348">
          <cell r="A1348" t="str">
            <v>ID221</v>
          </cell>
          <cell r="B1348" t="str">
            <v>30-Dec-1967</v>
          </cell>
          <cell r="C1348">
            <v>58</v>
          </cell>
          <cell r="D1348">
            <v>1</v>
          </cell>
          <cell r="E1348">
            <v>35160.129999999997</v>
          </cell>
          <cell r="F1348" t="str">
            <v>tier - 2</v>
          </cell>
          <cell r="G1348" t="str">
            <v>tier - 2</v>
          </cell>
          <cell r="H1348" t="str">
            <v>R1011</v>
          </cell>
        </row>
        <row r="1349">
          <cell r="A1349" t="str">
            <v>ID2210</v>
          </cell>
          <cell r="B1349" t="str">
            <v>4-Oct-2004</v>
          </cell>
          <cell r="C1349">
            <v>22</v>
          </cell>
          <cell r="D1349">
            <v>0</v>
          </cell>
          <cell r="E1349">
            <v>1629.83</v>
          </cell>
          <cell r="F1349" t="str">
            <v>tier - 2</v>
          </cell>
          <cell r="G1349" t="str">
            <v>tier - 2</v>
          </cell>
          <cell r="H1349" t="str">
            <v>R1013</v>
          </cell>
        </row>
        <row r="1350">
          <cell r="A1350" t="str">
            <v>ID2211</v>
          </cell>
          <cell r="B1350" t="str">
            <v>17-Jul-2003</v>
          </cell>
          <cell r="C1350">
            <v>23</v>
          </cell>
          <cell r="D1350">
            <v>0</v>
          </cell>
          <cell r="E1350">
            <v>1628.47</v>
          </cell>
          <cell r="F1350" t="str">
            <v>tier - 2</v>
          </cell>
          <cell r="G1350" t="str">
            <v>tier - 1</v>
          </cell>
          <cell r="H1350" t="str">
            <v>R1012</v>
          </cell>
        </row>
        <row r="1351">
          <cell r="A1351" t="str">
            <v>ID2212</v>
          </cell>
          <cell r="B1351" t="str">
            <v>4-Dec-2003</v>
          </cell>
          <cell r="C1351">
            <v>22</v>
          </cell>
          <cell r="D1351">
            <v>0</v>
          </cell>
          <cell r="E1351">
            <v>1627.28</v>
          </cell>
          <cell r="F1351" t="str">
            <v>tier - 2</v>
          </cell>
          <cell r="G1351" t="str">
            <v>tier - 2</v>
          </cell>
          <cell r="H1351" t="str">
            <v>R1012</v>
          </cell>
        </row>
        <row r="1352">
          <cell r="A1352" t="str">
            <v>ID2213</v>
          </cell>
          <cell r="B1352" t="str">
            <v>9-Sep-2003</v>
          </cell>
          <cell r="C1352">
            <v>23</v>
          </cell>
          <cell r="D1352">
            <v>0</v>
          </cell>
          <cell r="E1352">
            <v>1625.43</v>
          </cell>
          <cell r="F1352" t="str">
            <v>tier - 2</v>
          </cell>
          <cell r="G1352" t="str">
            <v>tier - 3</v>
          </cell>
          <cell r="H1352" t="str">
            <v>R1012</v>
          </cell>
        </row>
        <row r="1353">
          <cell r="A1353" t="str">
            <v>ID2214</v>
          </cell>
          <cell r="B1353" t="str">
            <v>25-Jul-2004</v>
          </cell>
          <cell r="C1353">
            <v>22</v>
          </cell>
          <cell r="D1353">
            <v>0</v>
          </cell>
          <cell r="E1353">
            <v>1622.19</v>
          </cell>
          <cell r="F1353" t="str">
            <v>tier - 2</v>
          </cell>
          <cell r="G1353" t="str">
            <v>tier - 1</v>
          </cell>
          <cell r="H1353" t="str">
            <v>R1013</v>
          </cell>
        </row>
        <row r="1354">
          <cell r="A1354" t="str">
            <v>ID2215</v>
          </cell>
          <cell r="B1354" t="str">
            <v>21-Aug-2004</v>
          </cell>
          <cell r="C1354">
            <v>22</v>
          </cell>
          <cell r="D1354">
            <v>0</v>
          </cell>
          <cell r="E1354">
            <v>1621.88</v>
          </cell>
          <cell r="F1354" t="str">
            <v>tier - 2</v>
          </cell>
          <cell r="G1354" t="str">
            <v>tier - 2</v>
          </cell>
          <cell r="H1354" t="str">
            <v>R1013</v>
          </cell>
        </row>
        <row r="1355">
          <cell r="A1355" t="str">
            <v>ID2216</v>
          </cell>
          <cell r="B1355" t="str">
            <v>14-Sep-2003</v>
          </cell>
          <cell r="C1355">
            <v>23</v>
          </cell>
          <cell r="D1355">
            <v>0</v>
          </cell>
          <cell r="E1355">
            <v>1621.34</v>
          </cell>
          <cell r="F1355" t="str">
            <v>tier - 2</v>
          </cell>
          <cell r="G1355" t="str">
            <v>tier - 2</v>
          </cell>
          <cell r="H1355" t="str">
            <v>R1012</v>
          </cell>
        </row>
        <row r="1356">
          <cell r="A1356" t="str">
            <v>ID2217</v>
          </cell>
          <cell r="B1356" t="str">
            <v>5-Aug-1995</v>
          </cell>
          <cell r="C1356">
            <v>31</v>
          </cell>
          <cell r="D1356">
            <v>0</v>
          </cell>
          <cell r="E1356">
            <v>1617.16</v>
          </cell>
          <cell r="F1356" t="str">
            <v>tier - 2</v>
          </cell>
          <cell r="G1356" t="str">
            <v>tier - 1</v>
          </cell>
          <cell r="H1356" t="str">
            <v>R1013</v>
          </cell>
        </row>
        <row r="1357">
          <cell r="A1357" t="str">
            <v>ID2218</v>
          </cell>
          <cell r="B1357" t="str">
            <v>22-Jul-2004</v>
          </cell>
          <cell r="C1357">
            <v>22</v>
          </cell>
          <cell r="D1357">
            <v>0</v>
          </cell>
          <cell r="E1357">
            <v>1615.77</v>
          </cell>
          <cell r="F1357" t="str">
            <v>tier - 2</v>
          </cell>
          <cell r="G1357" t="str">
            <v>tier - 1</v>
          </cell>
          <cell r="H1357" t="str">
            <v>R1013</v>
          </cell>
        </row>
        <row r="1358">
          <cell r="A1358" t="str">
            <v>ID2219</v>
          </cell>
          <cell r="B1358" t="str">
            <v>19-Nov-2004</v>
          </cell>
          <cell r="C1358">
            <v>21</v>
          </cell>
          <cell r="D1358">
            <v>0</v>
          </cell>
          <cell r="E1358">
            <v>1607.51</v>
          </cell>
          <cell r="F1358" t="str">
            <v>tier - 2</v>
          </cell>
          <cell r="G1358" t="str">
            <v>tier - 3</v>
          </cell>
          <cell r="H1358" t="str">
            <v>R1013</v>
          </cell>
        </row>
        <row r="1359">
          <cell r="A1359" t="str">
            <v>ID222</v>
          </cell>
          <cell r="B1359" t="str">
            <v>22-Dec-1998</v>
          </cell>
          <cell r="C1359">
            <v>27</v>
          </cell>
          <cell r="D1359">
            <v>0</v>
          </cell>
          <cell r="E1359">
            <v>35147.53</v>
          </cell>
          <cell r="F1359" t="str">
            <v>tier - 1</v>
          </cell>
          <cell r="G1359" t="str">
            <v>tier - 1</v>
          </cell>
          <cell r="H1359" t="str">
            <v>R1016</v>
          </cell>
        </row>
        <row r="1360">
          <cell r="A1360" t="str">
            <v>ID2220</v>
          </cell>
          <cell r="B1360" t="str">
            <v>22-Sep-1992</v>
          </cell>
          <cell r="C1360">
            <v>34</v>
          </cell>
          <cell r="D1360">
            <v>0</v>
          </cell>
          <cell r="E1360">
            <v>1566.88</v>
          </cell>
          <cell r="F1360" t="str">
            <v>tier - 2</v>
          </cell>
          <cell r="G1360" t="str">
            <v>tier - 1</v>
          </cell>
          <cell r="H1360" t="str">
            <v>R1013</v>
          </cell>
        </row>
        <row r="1361">
          <cell r="A1361" t="str">
            <v>ID2221</v>
          </cell>
          <cell r="B1361" t="str">
            <v>5-Dec-2001</v>
          </cell>
          <cell r="C1361">
            <v>24</v>
          </cell>
          <cell r="D1361">
            <v>0</v>
          </cell>
          <cell r="E1361">
            <v>1534.3</v>
          </cell>
          <cell r="F1361" t="str">
            <v>tier - 2</v>
          </cell>
          <cell r="G1361" t="str">
            <v>tier - 2</v>
          </cell>
          <cell r="H1361" t="str">
            <v>R1013</v>
          </cell>
        </row>
        <row r="1362">
          <cell r="A1362" t="str">
            <v>ID2222</v>
          </cell>
          <cell r="B1362" t="str">
            <v>2-Jun-2001</v>
          </cell>
          <cell r="C1362">
            <v>25</v>
          </cell>
          <cell r="D1362">
            <v>0</v>
          </cell>
          <cell r="E1362">
            <v>1532.47</v>
          </cell>
          <cell r="F1362" t="str">
            <v>tier - 2</v>
          </cell>
          <cell r="G1362" t="str">
            <v>tier - 2</v>
          </cell>
          <cell r="H1362" t="str">
            <v>R1013</v>
          </cell>
        </row>
        <row r="1363">
          <cell r="A1363" t="str">
            <v>ID2223</v>
          </cell>
          <cell r="B1363" t="str">
            <v>7-Jul-2001</v>
          </cell>
          <cell r="C1363">
            <v>25</v>
          </cell>
          <cell r="D1363">
            <v>0</v>
          </cell>
          <cell r="E1363">
            <v>1526.31</v>
          </cell>
          <cell r="F1363" t="str">
            <v>tier - 2</v>
          </cell>
          <cell r="G1363" t="str">
            <v>tier - 3</v>
          </cell>
          <cell r="H1363" t="str">
            <v>R1011</v>
          </cell>
        </row>
        <row r="1364">
          <cell r="A1364" t="str">
            <v>ID2224</v>
          </cell>
          <cell r="B1364" t="str">
            <v>25-Aug-2001</v>
          </cell>
          <cell r="C1364">
            <v>25</v>
          </cell>
          <cell r="D1364">
            <v>0</v>
          </cell>
          <cell r="E1364">
            <v>1515.34</v>
          </cell>
          <cell r="F1364" t="str">
            <v>tier - 2</v>
          </cell>
          <cell r="G1364" t="str">
            <v>tier - 3</v>
          </cell>
          <cell r="H1364" t="str">
            <v>R1013</v>
          </cell>
        </row>
        <row r="1365">
          <cell r="A1365" t="str">
            <v>ID2225</v>
          </cell>
          <cell r="B1365" t="str">
            <v>19-Jun-1998</v>
          </cell>
          <cell r="C1365">
            <v>28</v>
          </cell>
          <cell r="D1365">
            <v>0</v>
          </cell>
          <cell r="E1365">
            <v>1497</v>
          </cell>
          <cell r="F1365" t="str">
            <v>tier - 2</v>
          </cell>
          <cell r="G1365" t="str">
            <v>tier - 2</v>
          </cell>
          <cell r="H1365" t="str">
            <v>R1013</v>
          </cell>
        </row>
        <row r="1366">
          <cell r="A1366" t="str">
            <v>ID2226</v>
          </cell>
          <cell r="B1366" t="str">
            <v>7-Oct-1995</v>
          </cell>
          <cell r="C1366">
            <v>31</v>
          </cell>
          <cell r="D1366">
            <v>0</v>
          </cell>
          <cell r="E1366">
            <v>1493</v>
          </cell>
          <cell r="F1366" t="str">
            <v>tier - 2</v>
          </cell>
          <cell r="G1366" t="str">
            <v>tier - 3</v>
          </cell>
          <cell r="H1366" t="str">
            <v>R1013</v>
          </cell>
        </row>
        <row r="1367">
          <cell r="A1367" t="str">
            <v>ID2227</v>
          </cell>
          <cell r="B1367" t="str">
            <v>9-Jun-1997</v>
          </cell>
          <cell r="C1367">
            <v>29</v>
          </cell>
          <cell r="D1367">
            <v>0</v>
          </cell>
          <cell r="E1367">
            <v>1481</v>
          </cell>
          <cell r="F1367" t="str">
            <v>tier - 2</v>
          </cell>
          <cell r="G1367" t="str">
            <v>tier - 1</v>
          </cell>
          <cell r="H1367" t="str">
            <v>R1012</v>
          </cell>
        </row>
        <row r="1368">
          <cell r="A1368" t="str">
            <v>ID2228</v>
          </cell>
          <cell r="B1368" t="str">
            <v>7-Dec-1998</v>
          </cell>
          <cell r="C1368">
            <v>27</v>
          </cell>
          <cell r="D1368">
            <v>0</v>
          </cell>
          <cell r="E1368">
            <v>1477</v>
          </cell>
          <cell r="F1368" t="str">
            <v>tier - 2</v>
          </cell>
          <cell r="G1368" t="str">
            <v>tier - 1</v>
          </cell>
          <cell r="H1368" t="str">
            <v>R1013</v>
          </cell>
        </row>
        <row r="1369">
          <cell r="A1369" t="str">
            <v>ID2229</v>
          </cell>
          <cell r="B1369" t="str">
            <v>20-Jun-2003</v>
          </cell>
          <cell r="C1369">
            <v>23</v>
          </cell>
          <cell r="D1369">
            <v>0</v>
          </cell>
          <cell r="E1369">
            <v>1467</v>
          </cell>
          <cell r="F1369" t="str">
            <v>tier - 2</v>
          </cell>
          <cell r="G1369" t="str">
            <v>tier - 2</v>
          </cell>
          <cell r="H1369" t="str">
            <v>R1013</v>
          </cell>
        </row>
        <row r="1370">
          <cell r="A1370" t="str">
            <v>ID223</v>
          </cell>
          <cell r="B1370" t="str">
            <v>29-Jun-1977</v>
          </cell>
          <cell r="C1370">
            <v>49</v>
          </cell>
          <cell r="D1370">
            <v>0</v>
          </cell>
          <cell r="E1370">
            <v>35069.370000000003</v>
          </cell>
          <cell r="F1370" t="str">
            <v>tier - 1</v>
          </cell>
          <cell r="G1370" t="str">
            <v>tier - 1</v>
          </cell>
          <cell r="H1370" t="str">
            <v>R1017</v>
          </cell>
        </row>
        <row r="1371">
          <cell r="A1371" t="str">
            <v>ID2230</v>
          </cell>
          <cell r="B1371" t="str">
            <v>19-Jun-1997</v>
          </cell>
          <cell r="C1371">
            <v>29</v>
          </cell>
          <cell r="D1371">
            <v>0</v>
          </cell>
          <cell r="E1371">
            <v>1445</v>
          </cell>
          <cell r="F1371" t="str">
            <v>tier - 2</v>
          </cell>
          <cell r="G1371" t="str">
            <v>tier - 1</v>
          </cell>
          <cell r="H1371" t="str">
            <v>R1013</v>
          </cell>
        </row>
        <row r="1372">
          <cell r="A1372" t="str">
            <v>ID2231</v>
          </cell>
          <cell r="B1372" t="str">
            <v>1-Sep-2000</v>
          </cell>
          <cell r="C1372">
            <v>26</v>
          </cell>
          <cell r="D1372">
            <v>0</v>
          </cell>
          <cell r="E1372">
            <v>1438</v>
          </cell>
          <cell r="F1372" t="str">
            <v>tier - 2</v>
          </cell>
          <cell r="G1372" t="str">
            <v>tier - 2</v>
          </cell>
          <cell r="H1372" t="str">
            <v>R1013</v>
          </cell>
        </row>
        <row r="1373">
          <cell r="A1373" t="str">
            <v>ID2232</v>
          </cell>
          <cell r="B1373" t="str">
            <v>5-Dec-1997</v>
          </cell>
          <cell r="C1373">
            <v>28</v>
          </cell>
          <cell r="D1373">
            <v>0</v>
          </cell>
          <cell r="E1373">
            <v>1422</v>
          </cell>
          <cell r="F1373" t="str">
            <v>tier - 2</v>
          </cell>
          <cell r="G1373" t="str">
            <v>tier - 2</v>
          </cell>
          <cell r="H1373" t="str">
            <v>R1013</v>
          </cell>
        </row>
        <row r="1374">
          <cell r="A1374" t="str">
            <v>ID2233</v>
          </cell>
          <cell r="B1374" t="str">
            <v>23-Aug-2001</v>
          </cell>
          <cell r="C1374">
            <v>25</v>
          </cell>
          <cell r="D1374">
            <v>0</v>
          </cell>
          <cell r="E1374">
            <v>1421</v>
          </cell>
          <cell r="F1374" t="str">
            <v>tier - 2</v>
          </cell>
          <cell r="G1374" t="str">
            <v>tier - 2</v>
          </cell>
          <cell r="H1374" t="str">
            <v>R1013</v>
          </cell>
        </row>
        <row r="1375">
          <cell r="A1375" t="str">
            <v>ID2234</v>
          </cell>
          <cell r="B1375" t="str">
            <v>23-Jun-1996</v>
          </cell>
          <cell r="C1375">
            <v>30</v>
          </cell>
          <cell r="D1375">
            <v>0</v>
          </cell>
          <cell r="E1375">
            <v>1417</v>
          </cell>
          <cell r="F1375" t="str">
            <v>tier - 2</v>
          </cell>
          <cell r="G1375" t="str">
            <v>tier - 3</v>
          </cell>
          <cell r="H1375" t="str">
            <v>R1013</v>
          </cell>
        </row>
        <row r="1376">
          <cell r="A1376" t="str">
            <v>ID2235</v>
          </cell>
          <cell r="B1376" t="str">
            <v>27-Oct-1997</v>
          </cell>
          <cell r="C1376">
            <v>28</v>
          </cell>
          <cell r="D1376">
            <v>0</v>
          </cell>
          <cell r="E1376">
            <v>1402</v>
          </cell>
          <cell r="F1376" t="str">
            <v>tier - 2</v>
          </cell>
          <cell r="G1376" t="str">
            <v>tier - 3</v>
          </cell>
          <cell r="H1376" t="str">
            <v>R1011</v>
          </cell>
        </row>
        <row r="1377">
          <cell r="A1377" t="str">
            <v>ID2236</v>
          </cell>
          <cell r="B1377" t="str">
            <v>5-Sep-1998</v>
          </cell>
          <cell r="C1377">
            <v>28</v>
          </cell>
          <cell r="D1377">
            <v>0</v>
          </cell>
          <cell r="E1377">
            <v>1400.44</v>
          </cell>
          <cell r="F1377" t="str">
            <v>tier - 2</v>
          </cell>
          <cell r="G1377" t="str">
            <v>tier - 2</v>
          </cell>
          <cell r="H1377" t="str">
            <v>R1013</v>
          </cell>
        </row>
        <row r="1378">
          <cell r="A1378" t="str">
            <v>ID2237</v>
          </cell>
          <cell r="B1378" t="str">
            <v>22-Dec-2002</v>
          </cell>
          <cell r="C1378">
            <v>23</v>
          </cell>
          <cell r="D1378">
            <v>0</v>
          </cell>
          <cell r="E1378">
            <v>1391.53</v>
          </cell>
          <cell r="F1378" t="str">
            <v>tier - 2</v>
          </cell>
          <cell r="G1378" t="str">
            <v>tier - 1</v>
          </cell>
          <cell r="H1378" t="str">
            <v>R1013</v>
          </cell>
        </row>
        <row r="1379">
          <cell r="A1379" t="str">
            <v>ID2238</v>
          </cell>
          <cell r="B1379" t="str">
            <v>14-Nov-2002</v>
          </cell>
          <cell r="C1379">
            <v>23</v>
          </cell>
          <cell r="D1379">
            <v>0</v>
          </cell>
          <cell r="E1379">
            <v>1390</v>
          </cell>
          <cell r="F1379" t="str">
            <v>tier - 2</v>
          </cell>
          <cell r="G1379" t="str">
            <v>tier - 2</v>
          </cell>
          <cell r="H1379" t="str">
            <v>R1013</v>
          </cell>
        </row>
        <row r="1380">
          <cell r="A1380" t="str">
            <v>ID2239</v>
          </cell>
          <cell r="B1380" t="str">
            <v>6-Jul-1999</v>
          </cell>
          <cell r="C1380">
            <v>27</v>
          </cell>
          <cell r="D1380">
            <v>0</v>
          </cell>
          <cell r="E1380">
            <v>1389</v>
          </cell>
          <cell r="F1380" t="str">
            <v>tier - 2</v>
          </cell>
          <cell r="G1380" t="str">
            <v>tier - 2</v>
          </cell>
          <cell r="H1380" t="str">
            <v>R1013</v>
          </cell>
        </row>
        <row r="1381">
          <cell r="A1381" t="str">
            <v>ID224</v>
          </cell>
          <cell r="B1381" t="str">
            <v>29-Aug-1975</v>
          </cell>
          <cell r="C1381">
            <v>51</v>
          </cell>
          <cell r="D1381">
            <v>1</v>
          </cell>
          <cell r="E1381">
            <v>35050.620000000003</v>
          </cell>
          <cell r="F1381" t="str">
            <v>tier - 2</v>
          </cell>
          <cell r="G1381" t="str">
            <v>tier - 1</v>
          </cell>
          <cell r="H1381" t="str">
            <v>R1011</v>
          </cell>
        </row>
        <row r="1382">
          <cell r="A1382" t="str">
            <v>ID2240</v>
          </cell>
          <cell r="B1382" t="str">
            <v>15-Aug-2002</v>
          </cell>
          <cell r="C1382">
            <v>24</v>
          </cell>
          <cell r="D1382">
            <v>0</v>
          </cell>
          <cell r="E1382">
            <v>1382</v>
          </cell>
          <cell r="F1382" t="str">
            <v>tier - 2</v>
          </cell>
          <cell r="G1382" t="str">
            <v>tier - 1</v>
          </cell>
          <cell r="H1382" t="str">
            <v>R1013</v>
          </cell>
        </row>
        <row r="1383">
          <cell r="A1383" t="str">
            <v>ID2241</v>
          </cell>
          <cell r="B1383" t="str">
            <v>3-Dec-1998</v>
          </cell>
          <cell r="C1383">
            <v>27</v>
          </cell>
          <cell r="D1383">
            <v>0</v>
          </cell>
          <cell r="E1383">
            <v>1359</v>
          </cell>
          <cell r="F1383" t="str">
            <v>tier - 2</v>
          </cell>
          <cell r="G1383" t="str">
            <v>tier - 1</v>
          </cell>
          <cell r="H1383" t="str">
            <v>R1013</v>
          </cell>
        </row>
        <row r="1384">
          <cell r="A1384" t="str">
            <v>ID2242</v>
          </cell>
          <cell r="B1384" t="str">
            <v>7-Nov-1997</v>
          </cell>
          <cell r="C1384">
            <v>28</v>
          </cell>
          <cell r="D1384">
            <v>0</v>
          </cell>
          <cell r="E1384">
            <v>1341.16</v>
          </cell>
          <cell r="F1384" t="str">
            <v>tier - 2</v>
          </cell>
          <cell r="G1384" t="str">
            <v>tier - 2</v>
          </cell>
          <cell r="H1384" t="str">
            <v>R1012</v>
          </cell>
        </row>
        <row r="1385">
          <cell r="A1385" t="str">
            <v>ID2243</v>
          </cell>
          <cell r="B1385" t="str">
            <v>30-Jul-1995</v>
          </cell>
          <cell r="C1385">
            <v>31</v>
          </cell>
          <cell r="D1385">
            <v>0</v>
          </cell>
          <cell r="E1385">
            <v>1338</v>
          </cell>
          <cell r="F1385" t="str">
            <v>tier - 2</v>
          </cell>
          <cell r="G1385" t="str">
            <v>tier - 3</v>
          </cell>
          <cell r="H1385" t="str">
            <v>R1012</v>
          </cell>
        </row>
        <row r="1386">
          <cell r="A1386" t="str">
            <v>ID2244</v>
          </cell>
          <cell r="B1386" t="str">
            <v>12-Jul-1998</v>
          </cell>
          <cell r="C1386">
            <v>28</v>
          </cell>
          <cell r="D1386">
            <v>0</v>
          </cell>
          <cell r="E1386">
            <v>1332.61</v>
          </cell>
          <cell r="F1386" t="str">
            <v>tier - 2</v>
          </cell>
          <cell r="G1386" t="str">
            <v>tier - 3</v>
          </cell>
          <cell r="H1386" t="str">
            <v>R1013</v>
          </cell>
        </row>
        <row r="1387">
          <cell r="A1387" t="str">
            <v>ID2245</v>
          </cell>
          <cell r="B1387" t="str">
            <v>14-Oct-1999</v>
          </cell>
          <cell r="C1387">
            <v>27</v>
          </cell>
          <cell r="D1387">
            <v>0</v>
          </cell>
          <cell r="E1387">
            <v>1329.17</v>
          </cell>
          <cell r="F1387" t="str">
            <v>tier - 2</v>
          </cell>
          <cell r="G1387" t="str">
            <v>tier - 3</v>
          </cell>
          <cell r="H1387" t="str">
            <v>R1013</v>
          </cell>
        </row>
        <row r="1388">
          <cell r="A1388" t="str">
            <v>ID2246</v>
          </cell>
          <cell r="B1388" t="str">
            <v>13-Oct-2002</v>
          </cell>
          <cell r="C1388">
            <v>24</v>
          </cell>
          <cell r="D1388">
            <v>0</v>
          </cell>
          <cell r="E1388">
            <v>1315</v>
          </cell>
          <cell r="F1388" t="str">
            <v>tier - 2</v>
          </cell>
          <cell r="G1388" t="str">
            <v>tier - 2</v>
          </cell>
          <cell r="H1388" t="str">
            <v>R1013</v>
          </cell>
        </row>
        <row r="1389">
          <cell r="A1389" t="str">
            <v>ID2247</v>
          </cell>
          <cell r="B1389" t="str">
            <v>2-Dec-1999</v>
          </cell>
          <cell r="C1389">
            <v>26</v>
          </cell>
          <cell r="D1389">
            <v>0</v>
          </cell>
          <cell r="E1389">
            <v>1304</v>
          </cell>
          <cell r="F1389" t="str">
            <v>tier - 2</v>
          </cell>
          <cell r="G1389" t="str">
            <v>tier - 2</v>
          </cell>
          <cell r="H1389" t="str">
            <v>R1013</v>
          </cell>
        </row>
        <row r="1390">
          <cell r="A1390" t="str">
            <v>ID2248</v>
          </cell>
          <cell r="B1390" t="str">
            <v>10-Dec-2002</v>
          </cell>
          <cell r="C1390">
            <v>23</v>
          </cell>
          <cell r="D1390">
            <v>0</v>
          </cell>
          <cell r="E1390">
            <v>1304</v>
          </cell>
          <cell r="F1390" t="str">
            <v>tier - 2</v>
          </cell>
          <cell r="G1390" t="str">
            <v>tier - 2</v>
          </cell>
          <cell r="H1390" t="str">
            <v>R1012</v>
          </cell>
        </row>
        <row r="1391">
          <cell r="A1391" t="str">
            <v>ID2249</v>
          </cell>
          <cell r="B1391" t="str">
            <v>29-Nov-2001</v>
          </cell>
          <cell r="C1391">
            <v>24</v>
          </cell>
          <cell r="D1391">
            <v>0</v>
          </cell>
          <cell r="E1391">
            <v>1293</v>
          </cell>
          <cell r="F1391" t="str">
            <v>tier - 2</v>
          </cell>
          <cell r="G1391" t="str">
            <v>tier - 3</v>
          </cell>
          <cell r="H1391" t="str">
            <v>R1012</v>
          </cell>
        </row>
        <row r="1392">
          <cell r="A1392" t="str">
            <v>ID225</v>
          </cell>
          <cell r="B1392" t="str">
            <v>5-Jul-1982</v>
          </cell>
          <cell r="C1392">
            <v>44</v>
          </cell>
          <cell r="D1392">
            <v>3</v>
          </cell>
          <cell r="E1392">
            <v>35000.730000000003</v>
          </cell>
          <cell r="F1392" t="str">
            <v>tier - 2</v>
          </cell>
          <cell r="G1392" t="str">
            <v>tier - 3</v>
          </cell>
          <cell r="H1392" t="str">
            <v>R1011</v>
          </cell>
        </row>
        <row r="1393">
          <cell r="A1393" t="str">
            <v>ID2250</v>
          </cell>
          <cell r="B1393" t="str">
            <v>4-Jun-1998</v>
          </cell>
          <cell r="C1393">
            <v>28</v>
          </cell>
          <cell r="D1393">
            <v>0</v>
          </cell>
          <cell r="E1393">
            <v>1290.93</v>
          </cell>
          <cell r="F1393" t="str">
            <v>tier - 2</v>
          </cell>
          <cell r="G1393" t="str">
            <v>tier - 2</v>
          </cell>
          <cell r="H1393" t="str">
            <v>R1013</v>
          </cell>
        </row>
        <row r="1394">
          <cell r="A1394" t="str">
            <v>ID2251</v>
          </cell>
          <cell r="B1394" t="str">
            <v>26-Jun-2000</v>
          </cell>
          <cell r="C1394">
            <v>26</v>
          </cell>
          <cell r="D1394">
            <v>0</v>
          </cell>
          <cell r="E1394">
            <v>1286</v>
          </cell>
          <cell r="F1394" t="str">
            <v>tier - 2</v>
          </cell>
          <cell r="G1394" t="str">
            <v>tier - 2</v>
          </cell>
          <cell r="H1394" t="str">
            <v>R1013</v>
          </cell>
        </row>
        <row r="1395">
          <cell r="A1395" t="str">
            <v>ID2252</v>
          </cell>
          <cell r="B1395" t="str">
            <v>28-Jul-2004</v>
          </cell>
          <cell r="C1395">
            <v>22</v>
          </cell>
          <cell r="D1395">
            <v>0</v>
          </cell>
          <cell r="E1395">
            <v>1285</v>
          </cell>
          <cell r="F1395" t="str">
            <v>tier - 2</v>
          </cell>
          <cell r="G1395" t="str">
            <v>tier - 3</v>
          </cell>
          <cell r="H1395" t="str">
            <v>R1013</v>
          </cell>
        </row>
        <row r="1396">
          <cell r="A1396" t="str">
            <v>ID2253</v>
          </cell>
          <cell r="B1396" t="str">
            <v>30-Sep-2004</v>
          </cell>
          <cell r="C1396">
            <v>22</v>
          </cell>
          <cell r="D1396">
            <v>0</v>
          </cell>
          <cell r="E1396">
            <v>1283</v>
          </cell>
          <cell r="F1396" t="str">
            <v>tier - 2</v>
          </cell>
          <cell r="G1396" t="str">
            <v>tier - 1</v>
          </cell>
          <cell r="H1396" t="str">
            <v>R1013</v>
          </cell>
        </row>
        <row r="1397">
          <cell r="A1397" t="str">
            <v>ID2254</v>
          </cell>
          <cell r="B1397" t="str">
            <v>26-Oct-1997</v>
          </cell>
          <cell r="C1397">
            <v>28</v>
          </cell>
          <cell r="D1397">
            <v>0</v>
          </cell>
          <cell r="E1397">
            <v>1276</v>
          </cell>
          <cell r="F1397" t="str">
            <v>tier - 2</v>
          </cell>
          <cell r="G1397" t="str">
            <v>tier - 2</v>
          </cell>
          <cell r="H1397" t="str">
            <v>R1012</v>
          </cell>
        </row>
        <row r="1398">
          <cell r="A1398" t="str">
            <v>ID2255</v>
          </cell>
          <cell r="B1398" t="str">
            <v>4-Dec-2002</v>
          </cell>
          <cell r="C1398">
            <v>23</v>
          </cell>
          <cell r="D1398">
            <v>0</v>
          </cell>
          <cell r="E1398">
            <v>1267</v>
          </cell>
          <cell r="F1398" t="str">
            <v>tier - 2</v>
          </cell>
          <cell r="G1398" t="str">
            <v>tier - 1</v>
          </cell>
          <cell r="H1398" t="str">
            <v>R1013</v>
          </cell>
        </row>
        <row r="1399">
          <cell r="A1399" t="str">
            <v>ID2256</v>
          </cell>
          <cell r="B1399" t="str">
            <v>21-Nov-2003</v>
          </cell>
          <cell r="C1399">
            <v>22</v>
          </cell>
          <cell r="D1399">
            <v>0</v>
          </cell>
          <cell r="E1399">
            <v>1263.25</v>
          </cell>
          <cell r="F1399" t="str">
            <v>tier - 2</v>
          </cell>
          <cell r="G1399" t="str">
            <v>tier - 3</v>
          </cell>
          <cell r="H1399" t="str">
            <v>R1011</v>
          </cell>
        </row>
        <row r="1400">
          <cell r="A1400" t="str">
            <v>ID2257</v>
          </cell>
          <cell r="B1400" t="str">
            <v>15-Aug-2003</v>
          </cell>
          <cell r="C1400">
            <v>23</v>
          </cell>
          <cell r="D1400">
            <v>0</v>
          </cell>
          <cell r="E1400">
            <v>1261.8599999999999</v>
          </cell>
          <cell r="F1400" t="str">
            <v>tier - 2</v>
          </cell>
          <cell r="G1400" t="str">
            <v>tier - 3</v>
          </cell>
          <cell r="H1400" t="str">
            <v>R1011</v>
          </cell>
        </row>
        <row r="1401">
          <cell r="A1401" t="str">
            <v>ID2258</v>
          </cell>
          <cell r="B1401" t="str">
            <v>30-Oct-2003</v>
          </cell>
          <cell r="C1401">
            <v>22</v>
          </cell>
          <cell r="D1401">
            <v>0</v>
          </cell>
          <cell r="E1401">
            <v>1261.44</v>
          </cell>
          <cell r="F1401" t="str">
            <v>tier - 2</v>
          </cell>
          <cell r="G1401" t="str">
            <v>tier - 3</v>
          </cell>
          <cell r="H1401" t="str">
            <v>R1011</v>
          </cell>
        </row>
        <row r="1402">
          <cell r="A1402" t="str">
            <v>ID2259</v>
          </cell>
          <cell r="B1402" t="str">
            <v>13-Oct-2003</v>
          </cell>
          <cell r="C1402">
            <v>23</v>
          </cell>
          <cell r="D1402">
            <v>0</v>
          </cell>
          <cell r="E1402">
            <v>1256.3</v>
          </cell>
          <cell r="F1402" t="str">
            <v>tier - 2</v>
          </cell>
          <cell r="G1402" t="str">
            <v>tier - 3</v>
          </cell>
          <cell r="H1402" t="str">
            <v>R1011</v>
          </cell>
        </row>
        <row r="1403">
          <cell r="A1403" t="str">
            <v>ID226</v>
          </cell>
          <cell r="B1403" t="str">
            <v>22-Aug-1997</v>
          </cell>
          <cell r="C1403">
            <v>29</v>
          </cell>
          <cell r="D1403">
            <v>0</v>
          </cell>
          <cell r="E1403">
            <v>34979.86</v>
          </cell>
          <cell r="F1403" t="str">
            <v>tier - 2</v>
          </cell>
          <cell r="G1403" t="str">
            <v>tier - 2</v>
          </cell>
          <cell r="H1403" t="str">
            <v>R1011</v>
          </cell>
        </row>
        <row r="1404">
          <cell r="A1404" t="str">
            <v>ID2260</v>
          </cell>
          <cell r="B1404" t="str">
            <v>10-Dec-2003</v>
          </cell>
          <cell r="C1404">
            <v>22</v>
          </cell>
          <cell r="D1404">
            <v>0</v>
          </cell>
          <cell r="E1404">
            <v>1253.94</v>
          </cell>
          <cell r="F1404" t="str">
            <v>tier - 2</v>
          </cell>
          <cell r="G1404" t="str">
            <v>tier - 2</v>
          </cell>
          <cell r="H1404" t="str">
            <v>R1011</v>
          </cell>
        </row>
        <row r="1405">
          <cell r="A1405" t="str">
            <v>ID2261</v>
          </cell>
          <cell r="B1405" t="str">
            <v>4-Nov-1997</v>
          </cell>
          <cell r="C1405">
            <v>28</v>
          </cell>
          <cell r="D1405">
            <v>0</v>
          </cell>
          <cell r="E1405">
            <v>1253</v>
          </cell>
          <cell r="F1405" t="str">
            <v>tier - 2</v>
          </cell>
          <cell r="G1405" t="str">
            <v>tier - 2</v>
          </cell>
          <cell r="H1405" t="str">
            <v>R1013</v>
          </cell>
        </row>
        <row r="1406">
          <cell r="A1406" t="str">
            <v>ID2262</v>
          </cell>
          <cell r="B1406" t="str">
            <v>15-Sep-2003</v>
          </cell>
          <cell r="C1406">
            <v>23</v>
          </cell>
          <cell r="D1406">
            <v>0</v>
          </cell>
          <cell r="E1406">
            <v>1252.4100000000001</v>
          </cell>
          <cell r="F1406" t="str">
            <v>tier - 2</v>
          </cell>
          <cell r="G1406" t="str">
            <v>tier - 3</v>
          </cell>
          <cell r="H1406" t="str">
            <v>R1011</v>
          </cell>
        </row>
        <row r="1407">
          <cell r="A1407" t="str">
            <v>ID2263</v>
          </cell>
          <cell r="B1407" t="str">
            <v>8-Sep-2003</v>
          </cell>
          <cell r="C1407">
            <v>23</v>
          </cell>
          <cell r="D1407">
            <v>0</v>
          </cell>
          <cell r="E1407">
            <v>1242.82</v>
          </cell>
          <cell r="F1407" t="str">
            <v>tier - 2</v>
          </cell>
          <cell r="G1407" t="str">
            <v>tier - 1</v>
          </cell>
          <cell r="H1407" t="str">
            <v>R1011</v>
          </cell>
        </row>
        <row r="1408">
          <cell r="A1408" t="str">
            <v>ID2264</v>
          </cell>
          <cell r="B1408" t="str">
            <v>15-Sep-2003</v>
          </cell>
          <cell r="C1408">
            <v>23</v>
          </cell>
          <cell r="D1408">
            <v>0</v>
          </cell>
          <cell r="E1408">
            <v>1242.26</v>
          </cell>
          <cell r="F1408" t="str">
            <v>tier - 2</v>
          </cell>
          <cell r="G1408" t="str">
            <v>tier - 1</v>
          </cell>
          <cell r="H1408" t="str">
            <v>R1011</v>
          </cell>
        </row>
        <row r="1409">
          <cell r="A1409" t="str">
            <v>ID2265</v>
          </cell>
          <cell r="B1409" t="str">
            <v>2-Aug-2003</v>
          </cell>
          <cell r="C1409">
            <v>23</v>
          </cell>
          <cell r="D1409">
            <v>0</v>
          </cell>
          <cell r="E1409">
            <v>1241.57</v>
          </cell>
          <cell r="F1409" t="str">
            <v>tier - 2</v>
          </cell>
          <cell r="G1409" t="str">
            <v>tier - 2</v>
          </cell>
          <cell r="H1409" t="str">
            <v>R1011</v>
          </cell>
        </row>
        <row r="1410">
          <cell r="A1410" t="str">
            <v>ID2266</v>
          </cell>
          <cell r="B1410" t="str">
            <v>1-Jul-2002</v>
          </cell>
          <cell r="C1410">
            <v>24</v>
          </cell>
          <cell r="D1410">
            <v>0</v>
          </cell>
          <cell r="E1410">
            <v>1241</v>
          </cell>
          <cell r="F1410" t="str">
            <v>tier - 2</v>
          </cell>
          <cell r="G1410" t="str">
            <v>tier - 2</v>
          </cell>
          <cell r="H1410" t="str">
            <v>R1013</v>
          </cell>
        </row>
        <row r="1411">
          <cell r="A1411" t="str">
            <v>ID2267</v>
          </cell>
          <cell r="B1411" t="str">
            <v>11-Oct-1998</v>
          </cell>
          <cell r="C1411">
            <v>28</v>
          </cell>
          <cell r="D1411">
            <v>0</v>
          </cell>
          <cell r="E1411">
            <v>1240</v>
          </cell>
          <cell r="F1411" t="str">
            <v>tier - 2</v>
          </cell>
          <cell r="G1411" t="str">
            <v>tier - 1</v>
          </cell>
          <cell r="H1411" t="str">
            <v>R1012</v>
          </cell>
        </row>
        <row r="1412">
          <cell r="A1412" t="str">
            <v>ID2268</v>
          </cell>
          <cell r="B1412" t="str">
            <v>12-Dec-2002</v>
          </cell>
          <cell r="C1412">
            <v>23</v>
          </cell>
          <cell r="D1412">
            <v>0</v>
          </cell>
          <cell r="E1412">
            <v>1237</v>
          </cell>
          <cell r="F1412" t="str">
            <v>tier - 2</v>
          </cell>
          <cell r="G1412" t="str">
            <v>tier - 2</v>
          </cell>
          <cell r="H1412" t="str">
            <v>R1013</v>
          </cell>
        </row>
        <row r="1413">
          <cell r="A1413" t="str">
            <v>ID2269</v>
          </cell>
          <cell r="B1413" t="str">
            <v>13-Jul-1998</v>
          </cell>
          <cell r="C1413">
            <v>28</v>
          </cell>
          <cell r="D1413">
            <v>0</v>
          </cell>
          <cell r="E1413">
            <v>1234</v>
          </cell>
          <cell r="F1413" t="str">
            <v>tier - 2</v>
          </cell>
          <cell r="G1413" t="str">
            <v>tier - 1</v>
          </cell>
          <cell r="H1413" t="str">
            <v>R1013</v>
          </cell>
        </row>
        <row r="1414">
          <cell r="A1414" t="str">
            <v>ID227</v>
          </cell>
          <cell r="B1414" t="str">
            <v>22-Aug-1998</v>
          </cell>
          <cell r="C1414">
            <v>28</v>
          </cell>
          <cell r="D1414">
            <v>0</v>
          </cell>
          <cell r="E1414">
            <v>34976.42</v>
          </cell>
          <cell r="F1414" t="str">
            <v>tier - 2</v>
          </cell>
          <cell r="G1414" t="str">
            <v>tier - 1</v>
          </cell>
          <cell r="H1414" t="str">
            <v>R1011</v>
          </cell>
        </row>
        <row r="1415">
          <cell r="A1415" t="str">
            <v>ID2270</v>
          </cell>
          <cell r="B1415" t="str">
            <v>16-Oct-2004</v>
          </cell>
          <cell r="C1415">
            <v>22</v>
          </cell>
          <cell r="D1415">
            <v>0</v>
          </cell>
          <cell r="E1415">
            <v>1228</v>
          </cell>
          <cell r="F1415" t="str">
            <v>tier - 2</v>
          </cell>
          <cell r="G1415" t="str">
            <v>tier - 1</v>
          </cell>
          <cell r="H1415" t="str">
            <v>R1012</v>
          </cell>
        </row>
        <row r="1416">
          <cell r="A1416" t="str">
            <v>ID2271</v>
          </cell>
          <cell r="B1416" t="str">
            <v>9-Jul-2004</v>
          </cell>
          <cell r="C1416">
            <v>22</v>
          </cell>
          <cell r="D1416">
            <v>0</v>
          </cell>
          <cell r="E1416">
            <v>1224</v>
          </cell>
          <cell r="F1416" t="str">
            <v>tier - 2</v>
          </cell>
          <cell r="G1416" t="str">
            <v>tier - 1</v>
          </cell>
          <cell r="H1416" t="str">
            <v>R1013</v>
          </cell>
        </row>
        <row r="1417">
          <cell r="A1417" t="str">
            <v>ID2272</v>
          </cell>
          <cell r="B1417" t="str">
            <v>4-Nov-1996</v>
          </cell>
          <cell r="C1417">
            <v>29</v>
          </cell>
          <cell r="D1417">
            <v>0</v>
          </cell>
          <cell r="E1417">
            <v>1220</v>
          </cell>
          <cell r="F1417" t="str">
            <v>tier - 2</v>
          </cell>
          <cell r="G1417" t="str">
            <v>tier - 3</v>
          </cell>
          <cell r="H1417" t="str">
            <v>R1012</v>
          </cell>
        </row>
        <row r="1418">
          <cell r="A1418" t="str">
            <v>ID2273</v>
          </cell>
          <cell r="B1418" t="str">
            <v>2-Jun-2004</v>
          </cell>
          <cell r="C1418">
            <v>22</v>
          </cell>
          <cell r="D1418">
            <v>0</v>
          </cell>
          <cell r="E1418">
            <v>1210</v>
          </cell>
          <cell r="F1418" t="str">
            <v>tier - 2</v>
          </cell>
          <cell r="G1418" t="str">
            <v>tier - 1</v>
          </cell>
          <cell r="H1418" t="str">
            <v>R1013</v>
          </cell>
        </row>
        <row r="1419">
          <cell r="A1419" t="str">
            <v>ID2274</v>
          </cell>
          <cell r="B1419" t="str">
            <v>6-Oct-1992</v>
          </cell>
          <cell r="C1419">
            <v>34</v>
          </cell>
          <cell r="D1419">
            <v>0</v>
          </cell>
          <cell r="E1419">
            <v>1200.55</v>
          </cell>
          <cell r="F1419" t="str">
            <v>tier - 2</v>
          </cell>
          <cell r="G1419" t="str">
            <v>tier - 3</v>
          </cell>
          <cell r="H1419" t="str">
            <v>R1013</v>
          </cell>
        </row>
        <row r="1420">
          <cell r="A1420" t="str">
            <v>ID2275</v>
          </cell>
          <cell r="B1420" t="str">
            <v>28-Jun-1999</v>
          </cell>
          <cell r="C1420">
            <v>27</v>
          </cell>
          <cell r="D1420">
            <v>0</v>
          </cell>
          <cell r="E1420">
            <v>1200</v>
          </cell>
          <cell r="F1420" t="str">
            <v>tier - 2</v>
          </cell>
          <cell r="G1420" t="str">
            <v>tier - 3</v>
          </cell>
          <cell r="H1420" t="str">
            <v>R1012</v>
          </cell>
        </row>
        <row r="1421">
          <cell r="A1421" t="str">
            <v>ID2276</v>
          </cell>
          <cell r="B1421" t="str">
            <v>26-Aug-2002</v>
          </cell>
          <cell r="C1421">
            <v>24</v>
          </cell>
          <cell r="D1421">
            <v>0</v>
          </cell>
          <cell r="E1421">
            <v>1191</v>
          </cell>
          <cell r="F1421" t="str">
            <v>tier - 2</v>
          </cell>
          <cell r="G1421" t="str">
            <v>tier - 1</v>
          </cell>
          <cell r="H1421" t="str">
            <v>R1013</v>
          </cell>
        </row>
        <row r="1422">
          <cell r="A1422" t="str">
            <v>ID2277</v>
          </cell>
          <cell r="B1422" t="str">
            <v>28-Jun-1997</v>
          </cell>
          <cell r="C1422">
            <v>29</v>
          </cell>
          <cell r="D1422">
            <v>0</v>
          </cell>
          <cell r="E1422">
            <v>1178.07</v>
          </cell>
          <cell r="F1422" t="str">
            <v>tier - 2</v>
          </cell>
          <cell r="G1422" t="str">
            <v>tier - 2</v>
          </cell>
          <cell r="H1422" t="str">
            <v>R1013</v>
          </cell>
        </row>
        <row r="1423">
          <cell r="A1423" t="str">
            <v>ID2278</v>
          </cell>
          <cell r="B1423" t="str">
            <v>11-Aug-1996</v>
          </cell>
          <cell r="C1423">
            <v>30</v>
          </cell>
          <cell r="D1423">
            <v>0</v>
          </cell>
          <cell r="E1423">
            <v>1178</v>
          </cell>
          <cell r="F1423" t="str">
            <v>tier - 2</v>
          </cell>
          <cell r="G1423" t="str">
            <v>tier - 3</v>
          </cell>
          <cell r="H1423" t="str">
            <v>R1013</v>
          </cell>
        </row>
        <row r="1424">
          <cell r="A1424" t="str">
            <v>ID2279</v>
          </cell>
          <cell r="B1424" t="str">
            <v>12-Nov-2001</v>
          </cell>
          <cell r="C1424">
            <v>24</v>
          </cell>
          <cell r="D1424">
            <v>0</v>
          </cell>
          <cell r="E1424">
            <v>1167</v>
          </cell>
          <cell r="F1424" t="str">
            <v>tier - 2</v>
          </cell>
          <cell r="G1424" t="str">
            <v>tier - 1</v>
          </cell>
          <cell r="H1424" t="str">
            <v>R1013</v>
          </cell>
        </row>
        <row r="1425">
          <cell r="A1425" t="str">
            <v>ID228</v>
          </cell>
          <cell r="B1425" t="str">
            <v>7-Oct-1967</v>
          </cell>
          <cell r="C1425">
            <v>59</v>
          </cell>
          <cell r="D1425">
            <v>0</v>
          </cell>
          <cell r="E1425">
            <v>34975.68</v>
          </cell>
          <cell r="F1425" t="str">
            <v>tier - 2</v>
          </cell>
          <cell r="G1425" t="str">
            <v>tier - 2</v>
          </cell>
          <cell r="H1425" t="str">
            <v>R1011</v>
          </cell>
        </row>
        <row r="1426">
          <cell r="A1426" t="str">
            <v>ID2280</v>
          </cell>
          <cell r="B1426" t="str">
            <v>11-Jun-2002</v>
          </cell>
          <cell r="C1426">
            <v>24</v>
          </cell>
          <cell r="D1426">
            <v>0</v>
          </cell>
          <cell r="E1426">
            <v>1165</v>
          </cell>
          <cell r="F1426" t="str">
            <v>tier - 2</v>
          </cell>
          <cell r="G1426" t="str">
            <v>tier - 3</v>
          </cell>
          <cell r="H1426" t="str">
            <v>R1012</v>
          </cell>
        </row>
        <row r="1427">
          <cell r="A1427" t="str">
            <v>ID2281</v>
          </cell>
          <cell r="B1427" t="str">
            <v>11-Nov-2004</v>
          </cell>
          <cell r="C1427">
            <v>21</v>
          </cell>
          <cell r="D1427">
            <v>0</v>
          </cell>
          <cell r="E1427">
            <v>1163.46</v>
          </cell>
          <cell r="F1427" t="str">
            <v>tier - 2</v>
          </cell>
          <cell r="G1427" t="str">
            <v>tier - 3</v>
          </cell>
          <cell r="H1427" t="str">
            <v>R1013</v>
          </cell>
        </row>
        <row r="1428">
          <cell r="A1428" t="str">
            <v>ID2282</v>
          </cell>
          <cell r="B1428" t="str">
            <v>26-Jul-1994</v>
          </cell>
          <cell r="C1428">
            <v>32</v>
          </cell>
          <cell r="D1428">
            <v>0</v>
          </cell>
          <cell r="E1428">
            <v>1158.32</v>
          </cell>
          <cell r="F1428" t="str">
            <v>tier - 2</v>
          </cell>
          <cell r="G1428" t="str">
            <v>tier - 1</v>
          </cell>
          <cell r="H1428" t="str">
            <v>R1013</v>
          </cell>
        </row>
        <row r="1429">
          <cell r="A1429" t="str">
            <v>ID2283</v>
          </cell>
          <cell r="B1429" t="str">
            <v>18-Jul-2004</v>
          </cell>
          <cell r="C1429">
            <v>22</v>
          </cell>
          <cell r="D1429">
            <v>0</v>
          </cell>
          <cell r="E1429">
            <v>1149.4000000000001</v>
          </cell>
          <cell r="F1429" t="str">
            <v>tier - 2</v>
          </cell>
          <cell r="G1429" t="str">
            <v>tier - 2</v>
          </cell>
          <cell r="H1429" t="str">
            <v>R1013</v>
          </cell>
        </row>
        <row r="1430">
          <cell r="A1430" t="str">
            <v>ID2284</v>
          </cell>
          <cell r="B1430" t="str">
            <v>12-Jun-2003</v>
          </cell>
          <cell r="C1430">
            <v>23</v>
          </cell>
          <cell r="D1430">
            <v>0</v>
          </cell>
          <cell r="E1430">
            <v>1149</v>
          </cell>
          <cell r="F1430" t="str">
            <v>tier - 2</v>
          </cell>
          <cell r="G1430" t="str">
            <v>tier - 1</v>
          </cell>
          <cell r="H1430" t="str">
            <v>R1012</v>
          </cell>
        </row>
        <row r="1431">
          <cell r="A1431" t="str">
            <v>ID2285</v>
          </cell>
          <cell r="B1431" t="str">
            <v>10-Jun-2004</v>
          </cell>
          <cell r="C1431">
            <v>22</v>
          </cell>
          <cell r="D1431">
            <v>0</v>
          </cell>
          <cell r="E1431">
            <v>1146.8</v>
          </cell>
          <cell r="F1431" t="str">
            <v>tier - 2</v>
          </cell>
          <cell r="G1431" t="str">
            <v>tier - 2</v>
          </cell>
          <cell r="H1431" t="str">
            <v>R1013</v>
          </cell>
        </row>
        <row r="1432">
          <cell r="A1432" t="str">
            <v>ID2286</v>
          </cell>
          <cell r="B1432" t="str">
            <v>1-Oct-2002</v>
          </cell>
          <cell r="C1432">
            <v>24</v>
          </cell>
          <cell r="D1432">
            <v>0</v>
          </cell>
          <cell r="E1432">
            <v>1142</v>
          </cell>
          <cell r="F1432" t="str">
            <v>tier - 3</v>
          </cell>
          <cell r="G1432" t="str">
            <v>tier - 2</v>
          </cell>
          <cell r="H1432" t="str">
            <v>R1011</v>
          </cell>
        </row>
        <row r="1433">
          <cell r="A1433" t="str">
            <v>ID2287</v>
          </cell>
          <cell r="B1433" t="str">
            <v>12-Sep-2004</v>
          </cell>
          <cell r="C1433">
            <v>22</v>
          </cell>
          <cell r="D1433">
            <v>0</v>
          </cell>
          <cell r="E1433">
            <v>1141.45</v>
          </cell>
          <cell r="F1433" t="str">
            <v>tier - 3</v>
          </cell>
          <cell r="G1433" t="str">
            <v>tier - 3</v>
          </cell>
          <cell r="H1433" t="str">
            <v>R1013</v>
          </cell>
        </row>
        <row r="1434">
          <cell r="A1434" t="str">
            <v>ID2288</v>
          </cell>
          <cell r="B1434" t="str">
            <v>25-Oct-2001</v>
          </cell>
          <cell r="C1434">
            <v>24</v>
          </cell>
          <cell r="D1434">
            <v>0</v>
          </cell>
          <cell r="E1434">
            <v>1141</v>
          </cell>
          <cell r="F1434" t="str">
            <v>tier - 3</v>
          </cell>
          <cell r="G1434" t="str">
            <v>tier - 1</v>
          </cell>
          <cell r="H1434" t="str">
            <v>R1013</v>
          </cell>
        </row>
        <row r="1435">
          <cell r="A1435" t="str">
            <v>ID2289</v>
          </cell>
          <cell r="B1435" t="str">
            <v>27-Nov-2004</v>
          </cell>
          <cell r="C1435">
            <v>21</v>
          </cell>
          <cell r="D1435">
            <v>0</v>
          </cell>
          <cell r="E1435">
            <v>1137.47</v>
          </cell>
          <cell r="F1435" t="str">
            <v>tier - 3</v>
          </cell>
          <cell r="G1435" t="str">
            <v>tier - 2</v>
          </cell>
          <cell r="H1435" t="str">
            <v>R1013</v>
          </cell>
        </row>
        <row r="1436">
          <cell r="A1436" t="str">
            <v>ID229</v>
          </cell>
          <cell r="B1436" t="str">
            <v>29-Jul-1983</v>
          </cell>
          <cell r="C1436">
            <v>43</v>
          </cell>
          <cell r="D1436">
            <v>3</v>
          </cell>
          <cell r="E1436">
            <v>34940.61</v>
          </cell>
          <cell r="F1436" t="str">
            <v>tier - 2</v>
          </cell>
          <cell r="G1436" t="str">
            <v>tier - 3</v>
          </cell>
          <cell r="H1436" t="str">
            <v>R1011</v>
          </cell>
        </row>
        <row r="1437">
          <cell r="A1437" t="str">
            <v>ID2290</v>
          </cell>
          <cell r="B1437" t="str">
            <v>15-Oct-2004</v>
          </cell>
          <cell r="C1437">
            <v>22</v>
          </cell>
          <cell r="D1437">
            <v>0</v>
          </cell>
          <cell r="E1437">
            <v>1137.01</v>
          </cell>
          <cell r="F1437" t="str">
            <v>tier - 3</v>
          </cell>
          <cell r="G1437" t="str">
            <v>tier - 1</v>
          </cell>
          <cell r="H1437" t="str">
            <v>R1013</v>
          </cell>
        </row>
        <row r="1438">
          <cell r="A1438" t="str">
            <v>ID2291</v>
          </cell>
          <cell r="B1438" t="str">
            <v>11-Aug-2002</v>
          </cell>
          <cell r="C1438">
            <v>24</v>
          </cell>
          <cell r="D1438">
            <v>0</v>
          </cell>
          <cell r="E1438">
            <v>1137</v>
          </cell>
          <cell r="F1438" t="str">
            <v>tier - 3</v>
          </cell>
          <cell r="G1438" t="str">
            <v>tier - 1</v>
          </cell>
          <cell r="H1438" t="str">
            <v>R1013</v>
          </cell>
        </row>
        <row r="1439">
          <cell r="A1439" t="str">
            <v>ID2292</v>
          </cell>
          <cell r="B1439" t="str">
            <v>28-Nov-2004</v>
          </cell>
          <cell r="C1439">
            <v>21</v>
          </cell>
          <cell r="D1439">
            <v>0</v>
          </cell>
          <cell r="E1439">
            <v>1136.4000000000001</v>
          </cell>
          <cell r="F1439" t="str">
            <v>tier - 3</v>
          </cell>
          <cell r="G1439" t="str">
            <v>tier - 3</v>
          </cell>
          <cell r="H1439" t="str">
            <v>R1013</v>
          </cell>
        </row>
        <row r="1440">
          <cell r="A1440" t="str">
            <v>ID2293</v>
          </cell>
          <cell r="B1440" t="str">
            <v>11-Jun-2004</v>
          </cell>
          <cell r="C1440">
            <v>22</v>
          </cell>
          <cell r="D1440">
            <v>0</v>
          </cell>
          <cell r="E1440">
            <v>1135.94</v>
          </cell>
          <cell r="F1440" t="str">
            <v>tier - 3</v>
          </cell>
          <cell r="G1440" t="str">
            <v>tier - 3</v>
          </cell>
          <cell r="H1440" t="str">
            <v>R1013</v>
          </cell>
        </row>
        <row r="1441">
          <cell r="A1441" t="str">
            <v>ID2294</v>
          </cell>
          <cell r="B1441" t="str">
            <v>6-Oct-2004</v>
          </cell>
          <cell r="C1441">
            <v>22</v>
          </cell>
          <cell r="D1441">
            <v>0</v>
          </cell>
          <cell r="E1441">
            <v>1135</v>
          </cell>
          <cell r="F1441" t="str">
            <v>tier - 3</v>
          </cell>
          <cell r="G1441" t="str">
            <v>tier - 3</v>
          </cell>
          <cell r="H1441" t="str">
            <v>R1013</v>
          </cell>
        </row>
        <row r="1442">
          <cell r="A1442" t="str">
            <v>ID2295</v>
          </cell>
          <cell r="B1442" t="str">
            <v>19-Jul-2002</v>
          </cell>
          <cell r="C1442">
            <v>24</v>
          </cell>
          <cell r="D1442">
            <v>0</v>
          </cell>
          <cell r="E1442">
            <v>1132</v>
          </cell>
          <cell r="F1442" t="str">
            <v>tier - 3</v>
          </cell>
          <cell r="G1442" t="str">
            <v>tier - 1</v>
          </cell>
          <cell r="H1442" t="str">
            <v>R1013</v>
          </cell>
        </row>
        <row r="1443">
          <cell r="A1443" t="str">
            <v>ID2296</v>
          </cell>
          <cell r="B1443" t="str">
            <v>14-Jun-2004</v>
          </cell>
          <cell r="C1443">
            <v>22</v>
          </cell>
          <cell r="D1443">
            <v>0</v>
          </cell>
          <cell r="E1443">
            <v>1131.51</v>
          </cell>
          <cell r="F1443" t="str">
            <v>tier - 3</v>
          </cell>
          <cell r="G1443" t="str">
            <v>tier - 1</v>
          </cell>
          <cell r="H1443" t="str">
            <v>R1013</v>
          </cell>
        </row>
        <row r="1444">
          <cell r="A1444" t="str">
            <v>ID2297</v>
          </cell>
          <cell r="B1444" t="str">
            <v>12-Nov-2004</v>
          </cell>
          <cell r="C1444">
            <v>21</v>
          </cell>
          <cell r="D1444">
            <v>0</v>
          </cell>
          <cell r="E1444">
            <v>1121.8699999999999</v>
          </cell>
          <cell r="F1444" t="str">
            <v>tier - 3</v>
          </cell>
          <cell r="G1444" t="str">
            <v>tier - 1</v>
          </cell>
          <cell r="H1444" t="str">
            <v>R1013</v>
          </cell>
        </row>
        <row r="1445">
          <cell r="A1445" t="str">
            <v>ID2298</v>
          </cell>
          <cell r="B1445" t="str">
            <v>13-Aug-2002</v>
          </cell>
          <cell r="C1445">
            <v>24</v>
          </cell>
          <cell r="D1445">
            <v>0</v>
          </cell>
          <cell r="E1445">
            <v>1086</v>
          </cell>
          <cell r="F1445" t="str">
            <v>tier - 3</v>
          </cell>
          <cell r="G1445" t="str">
            <v>tier - 3</v>
          </cell>
          <cell r="H1445" t="str">
            <v>R1013</v>
          </cell>
        </row>
        <row r="1446">
          <cell r="A1446" t="str">
            <v>ID2299</v>
          </cell>
          <cell r="B1446" t="str">
            <v>26-Dec-1998</v>
          </cell>
          <cell r="C1446">
            <v>27</v>
          </cell>
          <cell r="D1446">
            <v>0</v>
          </cell>
          <cell r="E1446">
            <v>1082</v>
          </cell>
          <cell r="F1446" t="str">
            <v>tier - 3</v>
          </cell>
          <cell r="G1446" t="str">
            <v>tier - 2</v>
          </cell>
          <cell r="H1446" t="str">
            <v>R1013</v>
          </cell>
        </row>
        <row r="1447">
          <cell r="A1447" t="str">
            <v>ID23</v>
          </cell>
          <cell r="B1447" t="str">
            <v>3-Sep-1958</v>
          </cell>
          <cell r="C1447">
            <v>68</v>
          </cell>
          <cell r="D1447">
            <v>2</v>
          </cell>
          <cell r="E1447">
            <v>47291.06</v>
          </cell>
          <cell r="F1447" t="str">
            <v>tier - 2</v>
          </cell>
          <cell r="G1447" t="str">
            <v>tier - 1</v>
          </cell>
          <cell r="H1447" t="str">
            <v>R1011</v>
          </cell>
        </row>
        <row r="1448">
          <cell r="A1448" t="str">
            <v>ID230</v>
          </cell>
          <cell r="B1448" t="str">
            <v>17-Oct-1995</v>
          </cell>
          <cell r="C1448">
            <v>31</v>
          </cell>
          <cell r="D1448">
            <v>0</v>
          </cell>
          <cell r="E1448">
            <v>34838.870000000003</v>
          </cell>
          <cell r="F1448" t="str">
            <v>tier - 2</v>
          </cell>
          <cell r="G1448" t="str">
            <v>tier - 3</v>
          </cell>
          <cell r="H1448" t="str">
            <v>R1011</v>
          </cell>
        </row>
        <row r="1449">
          <cell r="A1449" t="str">
            <v>ID2300</v>
          </cell>
          <cell r="B1449" t="str">
            <v>13-Aug-1997</v>
          </cell>
          <cell r="C1449">
            <v>29</v>
          </cell>
          <cell r="D1449">
            <v>0</v>
          </cell>
          <cell r="E1449">
            <v>1071</v>
          </cell>
          <cell r="F1449" t="str">
            <v>tier - 3</v>
          </cell>
          <cell r="G1449" t="str">
            <v>tier - 3</v>
          </cell>
          <cell r="H1449" t="str">
            <v>R1013</v>
          </cell>
        </row>
        <row r="1450">
          <cell r="A1450" t="str">
            <v>ID2301</v>
          </cell>
          <cell r="B1450" t="str">
            <v>24-Aug-2004</v>
          </cell>
          <cell r="C1450">
            <v>22</v>
          </cell>
          <cell r="D1450">
            <v>0</v>
          </cell>
          <cell r="E1450">
            <v>1070</v>
          </cell>
          <cell r="F1450" t="str">
            <v>tier - 3</v>
          </cell>
          <cell r="G1450" t="str">
            <v>tier - 3</v>
          </cell>
          <cell r="H1450" t="str">
            <v>R1013</v>
          </cell>
        </row>
        <row r="1451">
          <cell r="A1451" t="str">
            <v>ID2302</v>
          </cell>
          <cell r="B1451" t="str">
            <v>28-Sep-1993</v>
          </cell>
          <cell r="C1451">
            <v>33</v>
          </cell>
          <cell r="D1451">
            <v>0</v>
          </cell>
          <cell r="E1451">
            <v>1068</v>
          </cell>
          <cell r="F1451" t="str">
            <v>tier - 3</v>
          </cell>
          <cell r="G1451" t="str">
            <v>tier - 1</v>
          </cell>
          <cell r="H1451" t="str">
            <v>R1013</v>
          </cell>
        </row>
        <row r="1452">
          <cell r="A1452" t="str">
            <v>ID2303</v>
          </cell>
          <cell r="B1452" t="str">
            <v>1-Jun-1995</v>
          </cell>
          <cell r="C1452">
            <v>31</v>
          </cell>
          <cell r="D1452">
            <v>0</v>
          </cell>
          <cell r="E1452">
            <v>1056</v>
          </cell>
          <cell r="F1452" t="str">
            <v>tier - 3</v>
          </cell>
          <cell r="G1452" t="str">
            <v>tier - 2</v>
          </cell>
          <cell r="H1452" t="str">
            <v>R1013</v>
          </cell>
        </row>
        <row r="1453">
          <cell r="A1453" t="str">
            <v>ID2304</v>
          </cell>
          <cell r="B1453" t="str">
            <v>1-Jul-2002</v>
          </cell>
          <cell r="C1453">
            <v>24</v>
          </cell>
          <cell r="D1453">
            <v>0</v>
          </cell>
          <cell r="E1453">
            <v>1049</v>
          </cell>
          <cell r="F1453" t="str">
            <v>tier - 3</v>
          </cell>
          <cell r="G1453" t="str">
            <v>tier - 2</v>
          </cell>
          <cell r="H1453" t="str">
            <v>R1012</v>
          </cell>
        </row>
        <row r="1454">
          <cell r="A1454" t="str">
            <v>ID2305</v>
          </cell>
          <cell r="B1454" t="str">
            <v>20-Jul-2002</v>
          </cell>
          <cell r="C1454">
            <v>24</v>
          </cell>
          <cell r="D1454">
            <v>0</v>
          </cell>
          <cell r="E1454">
            <v>1047</v>
          </cell>
          <cell r="F1454" t="str">
            <v>tier - 3</v>
          </cell>
          <cell r="G1454" t="str">
            <v>tier - 1</v>
          </cell>
          <cell r="H1454" t="str">
            <v>R1013</v>
          </cell>
        </row>
        <row r="1455">
          <cell r="A1455" t="str">
            <v>ID2306</v>
          </cell>
          <cell r="B1455" t="str">
            <v>17-Nov-1994</v>
          </cell>
          <cell r="C1455">
            <v>31</v>
          </cell>
          <cell r="D1455">
            <v>0</v>
          </cell>
          <cell r="E1455">
            <v>1044</v>
          </cell>
          <cell r="F1455" t="str">
            <v>tier - 3</v>
          </cell>
          <cell r="G1455" t="str">
            <v>tier - 2</v>
          </cell>
          <cell r="H1455" t="str">
            <v>R1013</v>
          </cell>
        </row>
        <row r="1456">
          <cell r="A1456" t="str">
            <v>ID2307</v>
          </cell>
          <cell r="B1456" t="str">
            <v>5-Oct-1995</v>
          </cell>
          <cell r="C1456">
            <v>31</v>
          </cell>
          <cell r="D1456">
            <v>0</v>
          </cell>
          <cell r="E1456">
            <v>1033.74</v>
          </cell>
          <cell r="F1456" t="str">
            <v>tier - 3</v>
          </cell>
          <cell r="G1456" t="str">
            <v>tier - 1</v>
          </cell>
          <cell r="H1456" t="str">
            <v>R1013</v>
          </cell>
        </row>
        <row r="1457">
          <cell r="A1457" t="str">
            <v>ID2308</v>
          </cell>
          <cell r="B1457" t="str">
            <v>5-Aug-1999</v>
          </cell>
          <cell r="C1457">
            <v>27</v>
          </cell>
          <cell r="D1457">
            <v>0</v>
          </cell>
          <cell r="E1457">
            <v>1019</v>
          </cell>
          <cell r="F1457" t="str">
            <v>tier - 3</v>
          </cell>
          <cell r="G1457" t="str">
            <v>tier - 2</v>
          </cell>
          <cell r="H1457" t="str">
            <v>R1013</v>
          </cell>
        </row>
        <row r="1458">
          <cell r="A1458" t="str">
            <v>ID2309</v>
          </cell>
          <cell r="B1458" t="str">
            <v>9-Oct-2000</v>
          </cell>
          <cell r="C1458">
            <v>26</v>
          </cell>
          <cell r="D1458">
            <v>0</v>
          </cell>
          <cell r="E1458">
            <v>1012</v>
          </cell>
          <cell r="F1458" t="str">
            <v>tier - 3</v>
          </cell>
          <cell r="G1458" t="str">
            <v>tier - 2</v>
          </cell>
          <cell r="H1458" t="str">
            <v>R1013</v>
          </cell>
        </row>
        <row r="1459">
          <cell r="A1459" t="str">
            <v>ID231</v>
          </cell>
          <cell r="B1459" t="str">
            <v>17-Sep-2003</v>
          </cell>
          <cell r="C1459">
            <v>23</v>
          </cell>
          <cell r="D1459">
            <v>0</v>
          </cell>
          <cell r="E1459">
            <v>34828.65</v>
          </cell>
          <cell r="F1459" t="str">
            <v>tier - 1</v>
          </cell>
          <cell r="G1459" t="str">
            <v>tier - 3</v>
          </cell>
          <cell r="H1459" t="str">
            <v>R1011</v>
          </cell>
        </row>
        <row r="1460">
          <cell r="A1460" t="str">
            <v>ID2310</v>
          </cell>
          <cell r="B1460" t="str">
            <v>22-Nov-1994</v>
          </cell>
          <cell r="C1460">
            <v>31</v>
          </cell>
          <cell r="D1460">
            <v>0</v>
          </cell>
          <cell r="E1460">
            <v>1006.65</v>
          </cell>
          <cell r="F1460" t="str">
            <v>tier - 3</v>
          </cell>
          <cell r="G1460" t="str">
            <v>tier - 2</v>
          </cell>
          <cell r="H1460" t="str">
            <v>R1013</v>
          </cell>
        </row>
        <row r="1461">
          <cell r="A1461" t="str">
            <v>ID2311</v>
          </cell>
          <cell r="B1461" t="str">
            <v>19-Aug-2001</v>
          </cell>
          <cell r="C1461">
            <v>25</v>
          </cell>
          <cell r="D1461">
            <v>0</v>
          </cell>
          <cell r="E1461">
            <v>964.71</v>
          </cell>
          <cell r="F1461" t="str">
            <v>tier - 3</v>
          </cell>
          <cell r="G1461" t="str">
            <v>tier - 2</v>
          </cell>
          <cell r="H1461" t="str">
            <v>R1013</v>
          </cell>
        </row>
        <row r="1462">
          <cell r="A1462" t="str">
            <v>ID2312</v>
          </cell>
          <cell r="B1462" t="str">
            <v>28-Oct-1995</v>
          </cell>
          <cell r="C1462">
            <v>30</v>
          </cell>
          <cell r="D1462">
            <v>0</v>
          </cell>
          <cell r="E1462">
            <v>928.59</v>
          </cell>
          <cell r="F1462" t="str">
            <v>tier - 3</v>
          </cell>
          <cell r="G1462" t="str">
            <v>tier - 1</v>
          </cell>
          <cell r="H1462" t="str">
            <v>R1013</v>
          </cell>
        </row>
        <row r="1463">
          <cell r="A1463" t="str">
            <v>ID2313</v>
          </cell>
          <cell r="B1463" t="str">
            <v>30-Oct-1994</v>
          </cell>
          <cell r="C1463">
            <v>31</v>
          </cell>
          <cell r="D1463">
            <v>0</v>
          </cell>
          <cell r="E1463">
            <v>915.07</v>
          </cell>
          <cell r="F1463" t="str">
            <v>tier - 3</v>
          </cell>
          <cell r="G1463" t="str">
            <v>tier - 1</v>
          </cell>
          <cell r="H1463" t="str">
            <v>R1013</v>
          </cell>
        </row>
        <row r="1464">
          <cell r="A1464" t="str">
            <v>ID2314</v>
          </cell>
          <cell r="B1464" t="str">
            <v>27-Nov-1993</v>
          </cell>
          <cell r="C1464">
            <v>32</v>
          </cell>
          <cell r="D1464">
            <v>0</v>
          </cell>
          <cell r="E1464">
            <v>896.21</v>
          </cell>
          <cell r="F1464" t="str">
            <v>tier - 3</v>
          </cell>
          <cell r="G1464" t="str">
            <v>tier - 1</v>
          </cell>
          <cell r="H1464" t="str">
            <v>R1013</v>
          </cell>
        </row>
        <row r="1465">
          <cell r="A1465" t="str">
            <v>ID2315</v>
          </cell>
          <cell r="B1465" t="str">
            <v>18-Nov-2000</v>
          </cell>
          <cell r="C1465">
            <v>25</v>
          </cell>
          <cell r="D1465">
            <v>0</v>
          </cell>
          <cell r="E1465">
            <v>865.41</v>
          </cell>
          <cell r="F1465" t="str">
            <v>tier - 3</v>
          </cell>
          <cell r="G1465" t="str">
            <v>tier - 1</v>
          </cell>
          <cell r="H1465" t="str">
            <v>R1013</v>
          </cell>
        </row>
        <row r="1466">
          <cell r="A1466" t="str">
            <v>ID2316</v>
          </cell>
          <cell r="B1466" t="str">
            <v>7-Oct-2004</v>
          </cell>
          <cell r="C1466">
            <v>22</v>
          </cell>
          <cell r="D1466">
            <v>0</v>
          </cell>
          <cell r="E1466">
            <v>830.52</v>
          </cell>
          <cell r="F1466" t="str">
            <v>tier - 3</v>
          </cell>
          <cell r="G1466" t="str">
            <v>tier - 2</v>
          </cell>
          <cell r="H1466" t="str">
            <v>R1011</v>
          </cell>
        </row>
        <row r="1467">
          <cell r="A1467" t="str">
            <v>ID2317</v>
          </cell>
          <cell r="B1467" t="str">
            <v>7-Dec-1995</v>
          </cell>
          <cell r="C1467">
            <v>30</v>
          </cell>
          <cell r="D1467">
            <v>0</v>
          </cell>
          <cell r="E1467">
            <v>773.54</v>
          </cell>
          <cell r="F1467" t="str">
            <v>tier - 3</v>
          </cell>
          <cell r="G1467" t="str">
            <v>tier - 2</v>
          </cell>
          <cell r="H1467" t="str">
            <v>R1013</v>
          </cell>
        </row>
        <row r="1468">
          <cell r="A1468" t="str">
            <v>ID2318</v>
          </cell>
          <cell r="B1468" t="str">
            <v>18-sep-1996</v>
          </cell>
          <cell r="C1468">
            <v>30</v>
          </cell>
          <cell r="D1468">
            <v>0</v>
          </cell>
          <cell r="E1468">
            <v>770.38</v>
          </cell>
          <cell r="F1468" t="str">
            <v>tier - 3</v>
          </cell>
          <cell r="G1468" t="str">
            <v>unknown</v>
          </cell>
          <cell r="H1468" t="str">
            <v>R1012</v>
          </cell>
        </row>
        <row r="1469">
          <cell r="A1469" t="str">
            <v>ID2319</v>
          </cell>
          <cell r="B1469" t="str">
            <v>28-Jun-1993</v>
          </cell>
          <cell r="C1469">
            <v>33</v>
          </cell>
          <cell r="D1469">
            <v>0</v>
          </cell>
          <cell r="E1469">
            <v>770</v>
          </cell>
          <cell r="F1469" t="str">
            <v>tier - 3</v>
          </cell>
          <cell r="G1469" t="str">
            <v>tier - 3</v>
          </cell>
          <cell r="H1469" t="str">
            <v>R1013</v>
          </cell>
        </row>
        <row r="1470">
          <cell r="A1470" t="str">
            <v>ID232</v>
          </cell>
          <cell r="B1470" t="str">
            <v>27-Dec-1995</v>
          </cell>
          <cell r="C1470">
            <v>30</v>
          </cell>
          <cell r="D1470">
            <v>1</v>
          </cell>
          <cell r="E1470">
            <v>34806.47</v>
          </cell>
          <cell r="F1470" t="str">
            <v>tier - 1</v>
          </cell>
          <cell r="G1470" t="str">
            <v>tier - 2</v>
          </cell>
          <cell r="H1470" t="str">
            <v>R1013</v>
          </cell>
        </row>
        <row r="1471">
          <cell r="A1471" t="str">
            <v>ID2320</v>
          </cell>
          <cell r="B1471" t="str">
            <v>22-Oct-1996</v>
          </cell>
          <cell r="C1471">
            <v>29</v>
          </cell>
          <cell r="D1471">
            <v>0</v>
          </cell>
          <cell r="E1471">
            <v>760</v>
          </cell>
          <cell r="F1471" t="str">
            <v>tier - 3</v>
          </cell>
          <cell r="G1471" t="str">
            <v>tier - 3</v>
          </cell>
          <cell r="H1471" t="str">
            <v>R1013</v>
          </cell>
        </row>
        <row r="1472">
          <cell r="A1472" t="str">
            <v>ID2321</v>
          </cell>
          <cell r="B1472" t="str">
            <v>9-Aug-1993</v>
          </cell>
          <cell r="C1472">
            <v>33</v>
          </cell>
          <cell r="D1472">
            <v>0</v>
          </cell>
          <cell r="E1472">
            <v>760</v>
          </cell>
          <cell r="F1472" t="str">
            <v>tier - 3</v>
          </cell>
          <cell r="G1472" t="str">
            <v>tier - 1</v>
          </cell>
          <cell r="H1472" t="str">
            <v>R1013</v>
          </cell>
        </row>
        <row r="1473">
          <cell r="A1473" t="str">
            <v>ID2322</v>
          </cell>
          <cell r="B1473" t="str">
            <v>19-sep-2002</v>
          </cell>
          <cell r="C1473">
            <v>24</v>
          </cell>
          <cell r="D1473">
            <v>0</v>
          </cell>
          <cell r="E1473">
            <v>750</v>
          </cell>
          <cell r="F1473" t="str">
            <v>tier - 3</v>
          </cell>
          <cell r="G1473" t="str">
            <v>tier - 1</v>
          </cell>
          <cell r="H1473" t="str">
            <v>R1012</v>
          </cell>
        </row>
        <row r="1474">
          <cell r="A1474" t="str">
            <v>ID2323</v>
          </cell>
          <cell r="B1474" t="str">
            <v>14-Dec-1999</v>
          </cell>
          <cell r="C1474">
            <v>26</v>
          </cell>
          <cell r="D1474">
            <v>0</v>
          </cell>
          <cell r="E1474">
            <v>722.99</v>
          </cell>
          <cell r="F1474" t="str">
            <v>tier - 3</v>
          </cell>
          <cell r="G1474" t="str">
            <v>tier - 1</v>
          </cell>
          <cell r="H1474" t="str">
            <v>R1013</v>
          </cell>
        </row>
        <row r="1475">
          <cell r="A1475" t="str">
            <v>ID2324</v>
          </cell>
          <cell r="B1475" t="str">
            <v>26-Dec-1999</v>
          </cell>
          <cell r="C1475">
            <v>26</v>
          </cell>
          <cell r="D1475">
            <v>0</v>
          </cell>
          <cell r="E1475">
            <v>700</v>
          </cell>
          <cell r="F1475" t="str">
            <v>unknown</v>
          </cell>
          <cell r="G1475" t="str">
            <v>tier - 3</v>
          </cell>
          <cell r="H1475" t="str">
            <v>R1013</v>
          </cell>
        </row>
        <row r="1476">
          <cell r="A1476" t="str">
            <v>ID2325</v>
          </cell>
          <cell r="B1476" t="str">
            <v>12-Sep-2001</v>
          </cell>
          <cell r="C1476">
            <v>25</v>
          </cell>
          <cell r="D1476">
            <v>0</v>
          </cell>
          <cell r="E1476">
            <v>687.54</v>
          </cell>
          <cell r="F1476" t="str">
            <v>tier - 3</v>
          </cell>
          <cell r="G1476" t="str">
            <v>tier - 2</v>
          </cell>
          <cell r="H1476" t="str">
            <v>R1013</v>
          </cell>
        </row>
        <row r="1477">
          <cell r="A1477" t="str">
            <v>ID2326</v>
          </cell>
          <cell r="B1477" t="str">
            <v>9-Nov-1997</v>
          </cell>
          <cell r="C1477">
            <v>28</v>
          </cell>
          <cell r="D1477">
            <v>0</v>
          </cell>
          <cell r="E1477">
            <v>670</v>
          </cell>
          <cell r="F1477" t="str">
            <v>tier - 3</v>
          </cell>
          <cell r="G1477" t="str">
            <v>tier - 3</v>
          </cell>
          <cell r="H1477" t="str">
            <v>R1013</v>
          </cell>
        </row>
        <row r="1478">
          <cell r="A1478" t="str">
            <v>ID2327</v>
          </cell>
          <cell r="B1478" t="str">
            <v>29-Nov-2002</v>
          </cell>
          <cell r="C1478">
            <v>23</v>
          </cell>
          <cell r="D1478">
            <v>0</v>
          </cell>
          <cell r="E1478">
            <v>668</v>
          </cell>
          <cell r="F1478" t="str">
            <v>tier - 3</v>
          </cell>
          <cell r="G1478" t="str">
            <v>tier - 2</v>
          </cell>
          <cell r="H1478" t="str">
            <v>R1012</v>
          </cell>
        </row>
        <row r="1479">
          <cell r="A1479" t="str">
            <v>ID2328</v>
          </cell>
          <cell r="B1479" t="str">
            <v>4-Jul-1995</v>
          </cell>
          <cell r="C1479">
            <v>31</v>
          </cell>
          <cell r="D1479">
            <v>0</v>
          </cell>
          <cell r="E1479">
            <v>650</v>
          </cell>
          <cell r="F1479" t="str">
            <v>tier - 3</v>
          </cell>
          <cell r="G1479" t="str">
            <v>tier - 3</v>
          </cell>
          <cell r="H1479" t="str">
            <v>R1013</v>
          </cell>
        </row>
        <row r="1480">
          <cell r="A1480" t="str">
            <v>ID2329</v>
          </cell>
          <cell r="B1480" t="str">
            <v>1-Jun-1993</v>
          </cell>
          <cell r="C1480">
            <v>33</v>
          </cell>
          <cell r="D1480">
            <v>0</v>
          </cell>
          <cell r="E1480">
            <v>650</v>
          </cell>
          <cell r="F1480" t="str">
            <v>tier - 3</v>
          </cell>
          <cell r="G1480" t="str">
            <v>tier - 3</v>
          </cell>
          <cell r="H1480" t="str">
            <v>R1013</v>
          </cell>
        </row>
        <row r="1481">
          <cell r="A1481" t="str">
            <v>ID233</v>
          </cell>
          <cell r="B1481" t="str">
            <v>3-Jul-2003</v>
          </cell>
          <cell r="C1481">
            <v>23</v>
          </cell>
          <cell r="D1481">
            <v>0</v>
          </cell>
          <cell r="E1481">
            <v>34779.620000000003</v>
          </cell>
          <cell r="F1481" t="str">
            <v>tier - 1</v>
          </cell>
          <cell r="G1481" t="str">
            <v>tier - 2</v>
          </cell>
          <cell r="H1481" t="str">
            <v>R1011</v>
          </cell>
        </row>
        <row r="1482">
          <cell r="A1482" t="str">
            <v>ID2330</v>
          </cell>
          <cell r="B1482" t="str">
            <v>20-Nov-2001</v>
          </cell>
          <cell r="C1482">
            <v>24</v>
          </cell>
          <cell r="D1482">
            <v>0</v>
          </cell>
          <cell r="E1482">
            <v>646.14</v>
          </cell>
          <cell r="F1482" t="str">
            <v>tier - 3</v>
          </cell>
          <cell r="G1482" t="str">
            <v>tier - 3</v>
          </cell>
          <cell r="H1482" t="str">
            <v>R1012</v>
          </cell>
        </row>
        <row r="1483">
          <cell r="A1483" t="str">
            <v>ID2331</v>
          </cell>
          <cell r="B1483" t="str">
            <v>27-Jul-1998</v>
          </cell>
          <cell r="C1483">
            <v>28</v>
          </cell>
          <cell r="D1483">
            <v>0</v>
          </cell>
          <cell r="E1483">
            <v>637.26</v>
          </cell>
          <cell r="F1483" t="str">
            <v>tier - 3</v>
          </cell>
          <cell r="G1483" t="str">
            <v>tier - 3</v>
          </cell>
          <cell r="H1483" t="str">
            <v>R1013</v>
          </cell>
        </row>
        <row r="1484">
          <cell r="A1484" t="str">
            <v>ID2332</v>
          </cell>
          <cell r="B1484" t="str">
            <v>13-Sep-1992</v>
          </cell>
          <cell r="C1484">
            <v>34</v>
          </cell>
          <cell r="D1484">
            <v>0</v>
          </cell>
          <cell r="E1484">
            <v>604.54</v>
          </cell>
          <cell r="F1484" t="str">
            <v>tier - 3</v>
          </cell>
          <cell r="G1484" t="str">
            <v>tier - 3</v>
          </cell>
          <cell r="H1484" t="str">
            <v>R1013</v>
          </cell>
        </row>
        <row r="1485">
          <cell r="A1485" t="str">
            <v>ID2333</v>
          </cell>
          <cell r="B1485" t="str">
            <v>30-Jun-1993</v>
          </cell>
          <cell r="C1485">
            <v>33</v>
          </cell>
          <cell r="D1485">
            <v>0</v>
          </cell>
          <cell r="E1485">
            <v>600</v>
          </cell>
          <cell r="F1485" t="str">
            <v>tier - 2</v>
          </cell>
          <cell r="G1485" t="str">
            <v>tier - 1</v>
          </cell>
          <cell r="H1485" t="str">
            <v>R1013</v>
          </cell>
        </row>
        <row r="1486">
          <cell r="A1486" t="str">
            <v>ID2334</v>
          </cell>
          <cell r="B1486" t="str">
            <v>30-Nov-1992</v>
          </cell>
          <cell r="C1486">
            <v>33</v>
          </cell>
          <cell r="D1486">
            <v>0</v>
          </cell>
          <cell r="E1486">
            <v>570.62</v>
          </cell>
          <cell r="F1486" t="str">
            <v>tier - 2</v>
          </cell>
          <cell r="G1486" t="str">
            <v>tier - 1</v>
          </cell>
          <cell r="H1486" t="str">
            <v>R1013</v>
          </cell>
        </row>
        <row r="1487">
          <cell r="A1487" t="str">
            <v>ID2335</v>
          </cell>
          <cell r="B1487" t="str">
            <v>9-Jul-1992</v>
          </cell>
          <cell r="C1487">
            <v>34</v>
          </cell>
          <cell r="D1487">
            <v>0</v>
          </cell>
          <cell r="E1487">
            <v>563.84</v>
          </cell>
          <cell r="F1487" t="str">
            <v>tier - 2</v>
          </cell>
          <cell r="G1487" t="str">
            <v>tier - 3</v>
          </cell>
          <cell r="H1487" t="str">
            <v>R1013</v>
          </cell>
        </row>
        <row r="1488">
          <cell r="A1488" t="str">
            <v>ID234</v>
          </cell>
          <cell r="B1488" t="str">
            <v>7-Jul-1994</v>
          </cell>
          <cell r="C1488">
            <v>32</v>
          </cell>
          <cell r="D1488">
            <v>0</v>
          </cell>
          <cell r="E1488">
            <v>34672.15</v>
          </cell>
          <cell r="F1488" t="str">
            <v>tier - 1</v>
          </cell>
          <cell r="G1488" t="str">
            <v>tier - 3</v>
          </cell>
          <cell r="H1488" t="str">
            <v>R1013</v>
          </cell>
        </row>
        <row r="1489">
          <cell r="A1489" t="str">
            <v>ID235</v>
          </cell>
          <cell r="B1489" t="str">
            <v>9-Oct-2004</v>
          </cell>
          <cell r="C1489">
            <v>22</v>
          </cell>
          <cell r="D1489">
            <v>0</v>
          </cell>
          <cell r="E1489">
            <v>34617.839999999997</v>
          </cell>
          <cell r="F1489" t="str">
            <v>tier - 1</v>
          </cell>
          <cell r="G1489" t="str">
            <v>tier - 3</v>
          </cell>
          <cell r="H1489" t="str">
            <v>R1016</v>
          </cell>
        </row>
        <row r="1490">
          <cell r="A1490" t="str">
            <v>ID236</v>
          </cell>
          <cell r="B1490" t="str">
            <v>25-Nov-1976</v>
          </cell>
          <cell r="C1490">
            <v>49</v>
          </cell>
          <cell r="D1490">
            <v>2</v>
          </cell>
          <cell r="E1490">
            <v>34543.39</v>
          </cell>
          <cell r="F1490" t="str">
            <v>tier - 2</v>
          </cell>
          <cell r="G1490" t="str">
            <v>tier - 3</v>
          </cell>
          <cell r="H1490" t="str">
            <v>R1011</v>
          </cell>
        </row>
        <row r="1491">
          <cell r="A1491" t="str">
            <v>ID237</v>
          </cell>
          <cell r="B1491" t="str">
            <v>24-Jun-1998</v>
          </cell>
          <cell r="C1491">
            <v>28</v>
          </cell>
          <cell r="D1491">
            <v>0</v>
          </cell>
          <cell r="E1491">
            <v>34472.839999999997</v>
          </cell>
          <cell r="F1491" t="str">
            <v>tier - 1</v>
          </cell>
          <cell r="G1491" t="str">
            <v>tier - 3</v>
          </cell>
          <cell r="H1491" t="str">
            <v>R1011</v>
          </cell>
        </row>
        <row r="1492">
          <cell r="A1492" t="str">
            <v>ID238</v>
          </cell>
          <cell r="B1492" t="str">
            <v>24-Sep-1990</v>
          </cell>
          <cell r="C1492">
            <v>36</v>
          </cell>
          <cell r="D1492">
            <v>3</v>
          </cell>
          <cell r="E1492">
            <v>34456.269999999997</v>
          </cell>
          <cell r="F1492" t="str">
            <v>tier - 1</v>
          </cell>
          <cell r="G1492" t="str">
            <v>tier - 2</v>
          </cell>
          <cell r="H1492" t="str">
            <v>R1011</v>
          </cell>
        </row>
        <row r="1493">
          <cell r="A1493" t="str">
            <v>ID239</v>
          </cell>
          <cell r="B1493" t="str">
            <v>5-Oct-2003</v>
          </cell>
          <cell r="C1493">
            <v>23</v>
          </cell>
          <cell r="D1493">
            <v>0</v>
          </cell>
          <cell r="E1493">
            <v>34439.86</v>
          </cell>
          <cell r="F1493" t="str">
            <v>tier - 2</v>
          </cell>
          <cell r="G1493" t="str">
            <v>tier - 1</v>
          </cell>
          <cell r="H1493" t="str">
            <v>R1013</v>
          </cell>
        </row>
        <row r="1494">
          <cell r="A1494" t="str">
            <v>ID24</v>
          </cell>
          <cell r="B1494" t="str">
            <v>28-Dec-1970</v>
          </cell>
          <cell r="C1494">
            <v>55</v>
          </cell>
          <cell r="D1494">
            <v>2</v>
          </cell>
          <cell r="E1494">
            <v>47269.85</v>
          </cell>
          <cell r="F1494" t="str">
            <v>tier - 1</v>
          </cell>
          <cell r="G1494" t="str">
            <v>tier - 2</v>
          </cell>
          <cell r="H1494" t="str">
            <v>R1013</v>
          </cell>
        </row>
        <row r="1495">
          <cell r="A1495" t="str">
            <v>ID240</v>
          </cell>
          <cell r="B1495" t="str">
            <v>1-Oct-1984</v>
          </cell>
          <cell r="C1495">
            <v>42</v>
          </cell>
          <cell r="D1495">
            <v>3</v>
          </cell>
          <cell r="E1495">
            <v>34402.22</v>
          </cell>
          <cell r="F1495" t="str">
            <v>tier - 2</v>
          </cell>
          <cell r="G1495" t="str">
            <v>tier - 3</v>
          </cell>
          <cell r="H1495" t="str">
            <v>R1011</v>
          </cell>
        </row>
        <row r="1496">
          <cell r="A1496" t="str">
            <v>ID241</v>
          </cell>
          <cell r="B1496" t="str">
            <v>2-Oct-1983</v>
          </cell>
          <cell r="C1496">
            <v>43</v>
          </cell>
          <cell r="D1496">
            <v>3</v>
          </cell>
          <cell r="E1496">
            <v>34307.22</v>
          </cell>
          <cell r="F1496" t="str">
            <v>tier - 2</v>
          </cell>
          <cell r="G1496" t="str">
            <v>tier - 2</v>
          </cell>
          <cell r="H1496" t="str">
            <v>R1012</v>
          </cell>
        </row>
        <row r="1497">
          <cell r="A1497" t="str">
            <v>ID242</v>
          </cell>
          <cell r="B1497" t="str">
            <v>11-Oct-1986</v>
          </cell>
          <cell r="C1497">
            <v>40</v>
          </cell>
          <cell r="D1497">
            <v>3</v>
          </cell>
          <cell r="E1497">
            <v>34293.120000000003</v>
          </cell>
          <cell r="F1497" t="str">
            <v>tier - 1</v>
          </cell>
          <cell r="G1497" t="str">
            <v>tier - 2</v>
          </cell>
          <cell r="H1497" t="str">
            <v>R1011</v>
          </cell>
        </row>
        <row r="1498">
          <cell r="A1498" t="str">
            <v>ID243</v>
          </cell>
          <cell r="B1498" t="str">
            <v>30-Oct-1995</v>
          </cell>
          <cell r="C1498">
            <v>30</v>
          </cell>
          <cell r="D1498">
            <v>0</v>
          </cell>
          <cell r="E1498">
            <v>34289.43</v>
          </cell>
          <cell r="F1498" t="str">
            <v>tier - 1</v>
          </cell>
          <cell r="G1498" t="str">
            <v>tier - 1</v>
          </cell>
          <cell r="H1498" t="str">
            <v>R1011</v>
          </cell>
        </row>
        <row r="1499">
          <cell r="A1499" t="str">
            <v>ID244</v>
          </cell>
          <cell r="B1499" t="str">
            <v>11-Jun-1998</v>
          </cell>
          <cell r="C1499">
            <v>28</v>
          </cell>
          <cell r="D1499">
            <v>0</v>
          </cell>
          <cell r="E1499">
            <v>34254.050000000003</v>
          </cell>
          <cell r="F1499" t="str">
            <v>tier - 1</v>
          </cell>
          <cell r="G1499" t="str">
            <v>tier - 3</v>
          </cell>
          <cell r="H1499" t="str">
            <v>R1019</v>
          </cell>
        </row>
        <row r="1500">
          <cell r="A1500" t="str">
            <v>ID2444</v>
          </cell>
          <cell r="B1500" t="str">
            <v>27-Nov-1987</v>
          </cell>
          <cell r="C1500">
            <v>38</v>
          </cell>
          <cell r="D1500">
            <v>2</v>
          </cell>
          <cell r="E1500">
            <v>20984.09</v>
          </cell>
          <cell r="F1500" t="str">
            <v>tier - 2</v>
          </cell>
          <cell r="G1500" t="str">
            <v>tier - 2</v>
          </cell>
          <cell r="H1500" t="str">
            <v>R1015</v>
          </cell>
        </row>
        <row r="1501">
          <cell r="A1501" t="str">
            <v>ID245</v>
          </cell>
          <cell r="B1501" t="str">
            <v>5-Jul-1962</v>
          </cell>
          <cell r="C1501">
            <v>64</v>
          </cell>
          <cell r="D1501">
            <v>0</v>
          </cell>
          <cell r="E1501">
            <v>34218.019999999997</v>
          </cell>
          <cell r="F1501" t="str">
            <v>tier - 1</v>
          </cell>
          <cell r="G1501" t="str">
            <v>tier - 1</v>
          </cell>
          <cell r="H1501" t="str">
            <v>R1011</v>
          </cell>
        </row>
        <row r="1502">
          <cell r="A1502" t="str">
            <v>ID246</v>
          </cell>
          <cell r="B1502" t="str">
            <v>21-Jul-1975</v>
          </cell>
          <cell r="C1502">
            <v>51</v>
          </cell>
          <cell r="D1502">
            <v>1</v>
          </cell>
          <cell r="E1502">
            <v>34210.33</v>
          </cell>
          <cell r="F1502" t="str">
            <v>tier - 2</v>
          </cell>
          <cell r="G1502" t="str">
            <v>tier - 1</v>
          </cell>
          <cell r="H1502" t="str">
            <v>R1012</v>
          </cell>
        </row>
        <row r="1503">
          <cell r="A1503" t="str">
            <v>ID247</v>
          </cell>
          <cell r="B1503" t="str">
            <v>25-Aug-1971</v>
          </cell>
          <cell r="C1503">
            <v>55</v>
          </cell>
          <cell r="D1503">
            <v>0</v>
          </cell>
          <cell r="E1503">
            <v>34205.07</v>
          </cell>
          <cell r="F1503" t="str">
            <v>tier - 2</v>
          </cell>
          <cell r="G1503" t="str">
            <v>tier - 2</v>
          </cell>
          <cell r="H1503" t="str">
            <v>R1011</v>
          </cell>
        </row>
        <row r="1504">
          <cell r="A1504" t="str">
            <v>ID248</v>
          </cell>
          <cell r="B1504" t="str">
            <v>6-Nov-1999</v>
          </cell>
          <cell r="C1504">
            <v>26</v>
          </cell>
          <cell r="D1504">
            <v>0</v>
          </cell>
          <cell r="E1504">
            <v>34166.269999999997</v>
          </cell>
          <cell r="F1504" t="str">
            <v>tier - 2</v>
          </cell>
          <cell r="G1504" t="str">
            <v>tier - 3</v>
          </cell>
          <cell r="H1504" t="str">
            <v>R1011</v>
          </cell>
        </row>
        <row r="1505">
          <cell r="A1505" t="str">
            <v>ID249</v>
          </cell>
          <cell r="B1505" t="str">
            <v>26-Dec-2002</v>
          </cell>
          <cell r="C1505">
            <v>23</v>
          </cell>
          <cell r="D1505">
            <v>0</v>
          </cell>
          <cell r="E1505">
            <v>34084.68</v>
          </cell>
          <cell r="F1505" t="str">
            <v>tier - 2</v>
          </cell>
          <cell r="G1505" t="str">
            <v>tier - 3</v>
          </cell>
          <cell r="H1505" t="str">
            <v>R1011</v>
          </cell>
        </row>
        <row r="1506">
          <cell r="A1506" t="str">
            <v>ID25</v>
          </cell>
          <cell r="B1506" t="str">
            <v>14-Jul-1959</v>
          </cell>
          <cell r="C1506">
            <v>67</v>
          </cell>
          <cell r="D1506">
            <v>0</v>
          </cell>
          <cell r="E1506">
            <v>47055.53</v>
          </cell>
          <cell r="F1506" t="str">
            <v>tier - 2</v>
          </cell>
          <cell r="G1506" t="str">
            <v>tier - 1</v>
          </cell>
          <cell r="H1506" t="str">
            <v>R1013</v>
          </cell>
        </row>
        <row r="1507">
          <cell r="A1507" t="str">
            <v>ID250</v>
          </cell>
          <cell r="B1507" t="str">
            <v>26-Jul-1972</v>
          </cell>
          <cell r="C1507">
            <v>54</v>
          </cell>
          <cell r="D1507">
            <v>0</v>
          </cell>
          <cell r="E1507">
            <v>34053.360000000001</v>
          </cell>
          <cell r="F1507" t="str">
            <v>tier - 2</v>
          </cell>
          <cell r="G1507" t="str">
            <v>tier - 2</v>
          </cell>
          <cell r="H1507" t="str">
            <v>R1011</v>
          </cell>
        </row>
        <row r="1508">
          <cell r="A1508" t="str">
            <v>ID251</v>
          </cell>
          <cell r="B1508" t="str">
            <v>25-Sep-1994</v>
          </cell>
          <cell r="C1508">
            <v>32</v>
          </cell>
          <cell r="D1508">
            <v>0</v>
          </cell>
          <cell r="E1508">
            <v>33975.47</v>
          </cell>
          <cell r="F1508" t="str">
            <v>tier - 2</v>
          </cell>
          <cell r="G1508" t="str">
            <v>tier - 2</v>
          </cell>
          <cell r="H1508" t="str">
            <v>R1011</v>
          </cell>
        </row>
        <row r="1509">
          <cell r="A1509" t="str">
            <v>ID252</v>
          </cell>
          <cell r="B1509" t="str">
            <v>27-Dec-2000</v>
          </cell>
          <cell r="C1509">
            <v>25</v>
          </cell>
          <cell r="D1509">
            <v>0</v>
          </cell>
          <cell r="E1509">
            <v>33907.550000000003</v>
          </cell>
          <cell r="F1509" t="str">
            <v>tier - 2</v>
          </cell>
          <cell r="G1509" t="str">
            <v>tier - 2</v>
          </cell>
          <cell r="H1509" t="str">
            <v>R1012</v>
          </cell>
        </row>
        <row r="1510">
          <cell r="A1510" t="str">
            <v>ID253</v>
          </cell>
          <cell r="B1510" t="str">
            <v>9-Aug-1997</v>
          </cell>
          <cell r="C1510">
            <v>29</v>
          </cell>
          <cell r="D1510">
            <v>0</v>
          </cell>
          <cell r="E1510">
            <v>33900.65</v>
          </cell>
          <cell r="F1510" t="str">
            <v>tier - 2</v>
          </cell>
          <cell r="G1510" t="str">
            <v>tier - 3</v>
          </cell>
          <cell r="H1510" t="str">
            <v>R1011</v>
          </cell>
        </row>
        <row r="1511">
          <cell r="A1511" t="str">
            <v>ID254</v>
          </cell>
          <cell r="B1511" t="str">
            <v>26-Oct-2000</v>
          </cell>
          <cell r="C1511">
            <v>25</v>
          </cell>
          <cell r="D1511">
            <v>0</v>
          </cell>
          <cell r="E1511">
            <v>33829.39</v>
          </cell>
          <cell r="F1511" t="str">
            <v>tier - 2</v>
          </cell>
          <cell r="G1511" t="str">
            <v>tier - 3</v>
          </cell>
          <cell r="H1511" t="str">
            <v>R1011</v>
          </cell>
        </row>
        <row r="1512">
          <cell r="A1512" t="str">
            <v>ID255</v>
          </cell>
          <cell r="B1512" t="str">
            <v>11-Dec-1962</v>
          </cell>
          <cell r="C1512">
            <v>63</v>
          </cell>
          <cell r="D1512">
            <v>0</v>
          </cell>
          <cell r="E1512">
            <v>33753.32</v>
          </cell>
          <cell r="F1512" t="str">
            <v>tier - 1</v>
          </cell>
          <cell r="G1512" t="str">
            <v>tier - 3</v>
          </cell>
          <cell r="H1512" t="str">
            <v>R1011</v>
          </cell>
        </row>
        <row r="1513">
          <cell r="A1513" t="str">
            <v>ID256</v>
          </cell>
          <cell r="B1513" t="str">
            <v>12-Sep-2003</v>
          </cell>
          <cell r="C1513">
            <v>23</v>
          </cell>
          <cell r="D1513">
            <v>0</v>
          </cell>
          <cell r="E1513">
            <v>33750.29</v>
          </cell>
          <cell r="F1513" t="str">
            <v>tier - 1</v>
          </cell>
          <cell r="G1513" t="str">
            <v>tier - 3</v>
          </cell>
          <cell r="H1513" t="str">
            <v>R1012</v>
          </cell>
        </row>
        <row r="1514">
          <cell r="A1514" t="str">
            <v>ID257</v>
          </cell>
          <cell r="B1514" t="str">
            <v>1-Nov-2004</v>
          </cell>
          <cell r="C1514">
            <v>21</v>
          </cell>
          <cell r="D1514">
            <v>0</v>
          </cell>
          <cell r="E1514">
            <v>33732.69</v>
          </cell>
          <cell r="F1514" t="str">
            <v>tier - 1</v>
          </cell>
          <cell r="G1514" t="str">
            <v>tier - 1</v>
          </cell>
          <cell r="H1514" t="str">
            <v>R1017</v>
          </cell>
        </row>
        <row r="1515">
          <cell r="A1515" t="str">
            <v>ID258</v>
          </cell>
          <cell r="B1515" t="str">
            <v>28-Nov-1993</v>
          </cell>
          <cell r="C1515">
            <v>32</v>
          </cell>
          <cell r="D1515">
            <v>0</v>
          </cell>
          <cell r="E1515">
            <v>33707.550000000003</v>
          </cell>
          <cell r="F1515" t="str">
            <v>tier - 2</v>
          </cell>
          <cell r="G1515" t="str">
            <v>tier - 2</v>
          </cell>
          <cell r="H1515" t="str">
            <v>R1011</v>
          </cell>
        </row>
        <row r="1516">
          <cell r="A1516" t="str">
            <v>ID259</v>
          </cell>
          <cell r="B1516" t="str">
            <v>9-Sep-2003</v>
          </cell>
          <cell r="C1516">
            <v>23</v>
          </cell>
          <cell r="D1516">
            <v>0</v>
          </cell>
          <cell r="E1516">
            <v>33611.71</v>
          </cell>
          <cell r="F1516" t="str">
            <v>tier - 1</v>
          </cell>
          <cell r="G1516" t="str">
            <v>tier - 2</v>
          </cell>
          <cell r="H1516" t="str">
            <v>R1011</v>
          </cell>
        </row>
        <row r="1517">
          <cell r="A1517" t="str">
            <v>ID26</v>
          </cell>
          <cell r="B1517" t="str">
            <v>15-Sep-1958</v>
          </cell>
          <cell r="C1517">
            <v>68</v>
          </cell>
          <cell r="D1517">
            <v>0</v>
          </cell>
          <cell r="E1517">
            <v>46889.26</v>
          </cell>
          <cell r="F1517" t="str">
            <v>tier - 2</v>
          </cell>
          <cell r="G1517" t="str">
            <v>tier - 3</v>
          </cell>
          <cell r="H1517" t="str">
            <v>R1013</v>
          </cell>
        </row>
        <row r="1518">
          <cell r="A1518" t="str">
            <v>ID260</v>
          </cell>
          <cell r="B1518" t="str">
            <v>22-Jul-1984</v>
          </cell>
          <cell r="C1518">
            <v>42</v>
          </cell>
          <cell r="D1518">
            <v>3</v>
          </cell>
          <cell r="E1518">
            <v>33527.1</v>
          </cell>
          <cell r="F1518" t="str">
            <v>tier - 2</v>
          </cell>
          <cell r="G1518" t="str">
            <v>tier - 3</v>
          </cell>
          <cell r="H1518" t="str">
            <v>R1011</v>
          </cell>
        </row>
        <row r="1519">
          <cell r="A1519" t="str">
            <v>ID261</v>
          </cell>
          <cell r="B1519" t="str">
            <v>25-Aug-2002</v>
          </cell>
          <cell r="C1519">
            <v>24</v>
          </cell>
          <cell r="D1519">
            <v>0</v>
          </cell>
          <cell r="E1519">
            <v>33475.82</v>
          </cell>
          <cell r="F1519" t="str">
            <v>tier - 1</v>
          </cell>
          <cell r="G1519" t="str">
            <v>tier - 1</v>
          </cell>
          <cell r="H1519" t="str">
            <v>R1018</v>
          </cell>
        </row>
        <row r="1520">
          <cell r="A1520" t="str">
            <v>ID262</v>
          </cell>
          <cell r="B1520" t="str">
            <v>18-Jun-1970</v>
          </cell>
          <cell r="C1520">
            <v>56</v>
          </cell>
          <cell r="D1520">
            <v>2</v>
          </cell>
          <cell r="E1520">
            <v>33471.97</v>
          </cell>
          <cell r="F1520" t="str">
            <v>tier - 2</v>
          </cell>
          <cell r="G1520" t="str">
            <v>tier - 2</v>
          </cell>
          <cell r="H1520" t="str">
            <v>R1012</v>
          </cell>
        </row>
        <row r="1521">
          <cell r="A1521" t="str">
            <v>ID263</v>
          </cell>
          <cell r="B1521" t="str">
            <v>7-Dec-1985</v>
          </cell>
          <cell r="C1521">
            <v>40</v>
          </cell>
          <cell r="D1521">
            <v>3</v>
          </cell>
          <cell r="E1521">
            <v>33450.99</v>
          </cell>
          <cell r="F1521" t="str">
            <v>tier - 2</v>
          </cell>
          <cell r="G1521" t="str">
            <v>tier - 2</v>
          </cell>
          <cell r="H1521" t="str">
            <v>R1011</v>
          </cell>
        </row>
        <row r="1522">
          <cell r="A1522" t="str">
            <v>ID264</v>
          </cell>
          <cell r="B1522" t="str">
            <v>5-Sep-1972</v>
          </cell>
          <cell r="C1522">
            <v>54</v>
          </cell>
          <cell r="D1522">
            <v>0</v>
          </cell>
          <cell r="E1522">
            <v>33344.449999999997</v>
          </cell>
          <cell r="F1522" t="str">
            <v>tier - 2</v>
          </cell>
          <cell r="G1522" t="str">
            <v>tier - 3</v>
          </cell>
          <cell r="H1522" t="str">
            <v>R1011</v>
          </cell>
        </row>
        <row r="1523">
          <cell r="A1523" t="str">
            <v>ID265</v>
          </cell>
          <cell r="B1523" t="str">
            <v>28-Nov-2003</v>
          </cell>
          <cell r="C1523">
            <v>22</v>
          </cell>
          <cell r="D1523">
            <v>0</v>
          </cell>
          <cell r="E1523">
            <v>33307.550000000003</v>
          </cell>
          <cell r="F1523" t="str">
            <v>tier - 2</v>
          </cell>
          <cell r="G1523" t="str">
            <v>tier - 3</v>
          </cell>
          <cell r="H1523" t="str">
            <v>R1012</v>
          </cell>
        </row>
        <row r="1524">
          <cell r="A1524" t="str">
            <v>ID266</v>
          </cell>
          <cell r="B1524" t="str">
            <v>12-Oct-1990</v>
          </cell>
          <cell r="C1524">
            <v>36</v>
          </cell>
          <cell r="D1524">
            <v>3</v>
          </cell>
          <cell r="E1524">
            <v>33292.83</v>
          </cell>
          <cell r="F1524" t="str">
            <v>tier - 2</v>
          </cell>
          <cell r="G1524" t="str">
            <v>tier - 1</v>
          </cell>
          <cell r="H1524" t="str">
            <v>R1011</v>
          </cell>
        </row>
        <row r="1525">
          <cell r="A1525" t="str">
            <v>ID267</v>
          </cell>
          <cell r="B1525" t="str">
            <v>15-Jul-1985</v>
          </cell>
          <cell r="C1525">
            <v>41</v>
          </cell>
          <cell r="D1525">
            <v>3</v>
          </cell>
          <cell r="E1525">
            <v>33121</v>
          </cell>
          <cell r="F1525" t="str">
            <v>tier - 2</v>
          </cell>
          <cell r="G1525" t="str">
            <v>tier - 1</v>
          </cell>
          <cell r="H1525" t="str">
            <v>R1011</v>
          </cell>
        </row>
        <row r="1526">
          <cell r="A1526" t="str">
            <v>ID268</v>
          </cell>
          <cell r="B1526" t="str">
            <v>30-Oct-1969</v>
          </cell>
          <cell r="C1526">
            <v>56</v>
          </cell>
          <cell r="D1526">
            <v>0</v>
          </cell>
          <cell r="E1526">
            <v>33090.660000000003</v>
          </cell>
          <cell r="F1526" t="str">
            <v>tier - 2</v>
          </cell>
          <cell r="G1526" t="str">
            <v>tier - 2</v>
          </cell>
          <cell r="H1526" t="str">
            <v>R1011</v>
          </cell>
        </row>
        <row r="1527">
          <cell r="A1527" t="str">
            <v>ID269</v>
          </cell>
          <cell r="B1527" t="str">
            <v>1-Jul-1962</v>
          </cell>
          <cell r="C1527">
            <v>64</v>
          </cell>
          <cell r="D1527">
            <v>0</v>
          </cell>
          <cell r="E1527">
            <v>33074.94</v>
          </cell>
          <cell r="F1527" t="str">
            <v>tier - 1</v>
          </cell>
          <cell r="G1527" t="str">
            <v>tier - 2</v>
          </cell>
          <cell r="H1527" t="str">
            <v>R1011</v>
          </cell>
        </row>
        <row r="1528">
          <cell r="A1528" t="str">
            <v>ID27</v>
          </cell>
          <cell r="B1528" t="str">
            <v>17-Nov-1960</v>
          </cell>
          <cell r="C1528">
            <v>65</v>
          </cell>
          <cell r="D1528">
            <v>3</v>
          </cell>
          <cell r="E1528">
            <v>46718.16</v>
          </cell>
          <cell r="F1528" t="str">
            <v>tier - 1</v>
          </cell>
          <cell r="G1528" t="str">
            <v>tier - 1</v>
          </cell>
          <cell r="H1528" t="str">
            <v>R1012</v>
          </cell>
        </row>
        <row r="1529">
          <cell r="A1529" t="str">
            <v>ID270</v>
          </cell>
          <cell r="B1529" t="str">
            <v>28-Jul-1994</v>
          </cell>
          <cell r="C1529">
            <v>32</v>
          </cell>
          <cell r="D1529">
            <v>0</v>
          </cell>
          <cell r="E1529">
            <v>33057.230000000003</v>
          </cell>
          <cell r="F1529" t="str">
            <v>tier - 1</v>
          </cell>
          <cell r="G1529" t="str">
            <v>tier - 2</v>
          </cell>
          <cell r="H1529" t="str">
            <v>R1011</v>
          </cell>
        </row>
        <row r="1530">
          <cell r="A1530" t="str">
            <v>ID271</v>
          </cell>
          <cell r="B1530" t="str">
            <v>10-Jul-1967</v>
          </cell>
          <cell r="C1530">
            <v>59</v>
          </cell>
          <cell r="D1530">
            <v>0</v>
          </cell>
          <cell r="E1530">
            <v>33025.32</v>
          </cell>
          <cell r="F1530" t="str">
            <v>tier - 2</v>
          </cell>
          <cell r="G1530" t="str">
            <v>tier - 3</v>
          </cell>
          <cell r="H1530" t="str">
            <v>R1011</v>
          </cell>
        </row>
        <row r="1531">
          <cell r="A1531" t="str">
            <v>ID272</v>
          </cell>
          <cell r="B1531" t="str">
            <v>8-Jul-1995</v>
          </cell>
          <cell r="C1531">
            <v>31</v>
          </cell>
          <cell r="D1531">
            <v>0</v>
          </cell>
          <cell r="E1531">
            <v>33017.46</v>
          </cell>
          <cell r="F1531" t="str">
            <v>tier - 1</v>
          </cell>
          <cell r="G1531" t="str">
            <v>tier - 1</v>
          </cell>
          <cell r="H1531" t="str">
            <v>R1011</v>
          </cell>
        </row>
        <row r="1532">
          <cell r="A1532" t="str">
            <v>ID273</v>
          </cell>
          <cell r="B1532" t="str">
            <v>24-Aug-1971</v>
          </cell>
          <cell r="C1532">
            <v>55</v>
          </cell>
          <cell r="D1532">
            <v>0</v>
          </cell>
          <cell r="E1532">
            <v>32947.629999999997</v>
          </cell>
          <cell r="F1532" t="str">
            <v>tier - 2</v>
          </cell>
          <cell r="G1532" t="str">
            <v>tier - 1</v>
          </cell>
          <cell r="H1532" t="str">
            <v>R1011</v>
          </cell>
        </row>
        <row r="1533">
          <cell r="A1533" t="str">
            <v>ID274</v>
          </cell>
          <cell r="B1533" t="str">
            <v>17-Nov-1981</v>
          </cell>
          <cell r="C1533">
            <v>44</v>
          </cell>
          <cell r="D1533">
            <v>1</v>
          </cell>
          <cell r="E1533">
            <v>32906.69</v>
          </cell>
          <cell r="F1533" t="str">
            <v>tier - 2</v>
          </cell>
          <cell r="G1533" t="str">
            <v>tier - 3</v>
          </cell>
          <cell r="H1533" t="str">
            <v>R1011</v>
          </cell>
        </row>
        <row r="1534">
          <cell r="A1534" t="str">
            <v>ID275</v>
          </cell>
          <cell r="B1534" t="str">
            <v>4-Dec-1995</v>
          </cell>
          <cell r="C1534">
            <v>30</v>
          </cell>
          <cell r="D1534">
            <v>0</v>
          </cell>
          <cell r="E1534">
            <v>32827.51</v>
          </cell>
          <cell r="F1534" t="str">
            <v>tier - 1</v>
          </cell>
          <cell r="G1534" t="str">
            <v>tier - 2</v>
          </cell>
          <cell r="H1534" t="str">
            <v>R1011</v>
          </cell>
        </row>
        <row r="1535">
          <cell r="A1535" t="str">
            <v>ID276</v>
          </cell>
          <cell r="B1535" t="str">
            <v>12-Dec-1980</v>
          </cell>
          <cell r="C1535">
            <v>45</v>
          </cell>
          <cell r="D1535">
            <v>3</v>
          </cell>
          <cell r="E1535">
            <v>32787.46</v>
          </cell>
          <cell r="F1535" t="str">
            <v>tier - 1</v>
          </cell>
          <cell r="G1535" t="str">
            <v>tier - 3</v>
          </cell>
          <cell r="H1535" t="str">
            <v>R1012</v>
          </cell>
        </row>
        <row r="1536">
          <cell r="A1536" t="str">
            <v>ID277</v>
          </cell>
          <cell r="B1536" t="str">
            <v>7-Nov-1972</v>
          </cell>
          <cell r="C1536">
            <v>53</v>
          </cell>
          <cell r="D1536">
            <v>0</v>
          </cell>
          <cell r="E1536">
            <v>32765.33</v>
          </cell>
          <cell r="F1536" t="str">
            <v>tier - 2</v>
          </cell>
          <cell r="G1536" t="str">
            <v>tier - 2</v>
          </cell>
          <cell r="H1536" t="str">
            <v>R1012</v>
          </cell>
        </row>
        <row r="1537">
          <cell r="A1537" t="str">
            <v>ID278</v>
          </cell>
          <cell r="B1537" t="str">
            <v>6-Dec-1974</v>
          </cell>
          <cell r="C1537">
            <v>51</v>
          </cell>
          <cell r="D1537">
            <v>0</v>
          </cell>
          <cell r="E1537">
            <v>32760.48</v>
          </cell>
          <cell r="F1537" t="str">
            <v>tier - 1</v>
          </cell>
          <cell r="G1537" t="str">
            <v>tier - 1</v>
          </cell>
          <cell r="H1537" t="str">
            <v>R1011</v>
          </cell>
        </row>
        <row r="1538">
          <cell r="A1538" t="str">
            <v>ID279</v>
          </cell>
          <cell r="B1538" t="str">
            <v>9-Jul-1990</v>
          </cell>
          <cell r="C1538">
            <v>36</v>
          </cell>
          <cell r="D1538">
            <v>2</v>
          </cell>
          <cell r="E1538">
            <v>32734.19</v>
          </cell>
          <cell r="F1538" t="str">
            <v>tier - 2</v>
          </cell>
          <cell r="G1538" t="str">
            <v>tier - 1</v>
          </cell>
          <cell r="H1538" t="str">
            <v>R1012</v>
          </cell>
        </row>
        <row r="1539">
          <cell r="A1539" t="str">
            <v>ID28</v>
          </cell>
          <cell r="B1539" t="str">
            <v>23-Jun-1969</v>
          </cell>
          <cell r="C1539">
            <v>57</v>
          </cell>
          <cell r="D1539">
            <v>3</v>
          </cell>
          <cell r="E1539">
            <v>46661.440000000002</v>
          </cell>
          <cell r="F1539" t="str">
            <v>tier - 1</v>
          </cell>
          <cell r="G1539" t="str">
            <v>tier - 3</v>
          </cell>
          <cell r="H1539" t="str">
            <v>R1012</v>
          </cell>
        </row>
        <row r="1540">
          <cell r="A1540" t="str">
            <v>ID280</v>
          </cell>
          <cell r="B1540" t="str">
            <v>30-Sep-1990</v>
          </cell>
          <cell r="C1540">
            <v>36</v>
          </cell>
          <cell r="D1540">
            <v>3</v>
          </cell>
          <cell r="E1540">
            <v>32716.2</v>
          </cell>
          <cell r="F1540" t="str">
            <v>tier - 1</v>
          </cell>
          <cell r="G1540" t="str">
            <v>tier - 2</v>
          </cell>
          <cell r="H1540" t="str">
            <v>R1011</v>
          </cell>
        </row>
        <row r="1541">
          <cell r="A1541" t="str">
            <v>ID281</v>
          </cell>
          <cell r="B1541" t="str">
            <v>1-Nov-1968</v>
          </cell>
          <cell r="C1541">
            <v>57</v>
          </cell>
          <cell r="D1541">
            <v>0</v>
          </cell>
          <cell r="E1541">
            <v>32686.080000000002</v>
          </cell>
          <cell r="F1541" t="str">
            <v>tier - 2</v>
          </cell>
          <cell r="G1541" t="str">
            <v>tier - 3</v>
          </cell>
          <cell r="H1541" t="str">
            <v>R1011</v>
          </cell>
        </row>
        <row r="1542">
          <cell r="A1542" t="str">
            <v>ID282</v>
          </cell>
          <cell r="B1542" t="str">
            <v>13-Jul-1990</v>
          </cell>
          <cell r="C1542">
            <v>36</v>
          </cell>
          <cell r="D1542">
            <v>3</v>
          </cell>
          <cell r="E1542">
            <v>32672.11</v>
          </cell>
          <cell r="F1542" t="str">
            <v>tier - 1</v>
          </cell>
          <cell r="G1542" t="str">
            <v>tier - 1</v>
          </cell>
          <cell r="H1542" t="str">
            <v>R1011</v>
          </cell>
        </row>
        <row r="1543">
          <cell r="A1543" t="str">
            <v>ID283</v>
          </cell>
          <cell r="B1543" t="str">
            <v>8-Oct-2003</v>
          </cell>
          <cell r="C1543">
            <v>23</v>
          </cell>
          <cell r="D1543">
            <v>0</v>
          </cell>
          <cell r="E1543">
            <v>32548.34</v>
          </cell>
          <cell r="F1543" t="str">
            <v>tier - 1</v>
          </cell>
          <cell r="G1543" t="str">
            <v>tier - 2</v>
          </cell>
          <cell r="H1543" t="str">
            <v>R1013</v>
          </cell>
        </row>
        <row r="1544">
          <cell r="A1544" t="str">
            <v>ID284</v>
          </cell>
          <cell r="B1544" t="str">
            <v>19-Sep-1976</v>
          </cell>
          <cell r="C1544">
            <v>50</v>
          </cell>
          <cell r="D1544">
            <v>2</v>
          </cell>
          <cell r="E1544">
            <v>32485.46</v>
          </cell>
          <cell r="F1544" t="str">
            <v>tier - 2</v>
          </cell>
          <cell r="G1544" t="str">
            <v>tier - 1</v>
          </cell>
          <cell r="H1544" t="str">
            <v>R1011</v>
          </cell>
        </row>
        <row r="1545">
          <cell r="A1545" t="str">
            <v>ID285</v>
          </cell>
          <cell r="B1545" t="str">
            <v>27-Sep-1981</v>
          </cell>
          <cell r="C1545">
            <v>45</v>
          </cell>
          <cell r="D1545">
            <v>1</v>
          </cell>
          <cell r="E1545">
            <v>32462.35</v>
          </cell>
          <cell r="F1545" t="str">
            <v>tier - 2</v>
          </cell>
          <cell r="G1545" t="str">
            <v>tier - 2</v>
          </cell>
          <cell r="H1545" t="str">
            <v>R1011</v>
          </cell>
        </row>
        <row r="1546">
          <cell r="A1546" t="str">
            <v>ID286</v>
          </cell>
          <cell r="B1546" t="str">
            <v>9-Aug-1976</v>
          </cell>
          <cell r="C1546">
            <v>50</v>
          </cell>
          <cell r="D1546">
            <v>2</v>
          </cell>
          <cell r="E1546">
            <v>32430.22</v>
          </cell>
          <cell r="F1546" t="str">
            <v>tier - 2</v>
          </cell>
          <cell r="G1546" t="str">
            <v>tier - 3</v>
          </cell>
          <cell r="H1546" t="str">
            <v>R1011</v>
          </cell>
        </row>
        <row r="1547">
          <cell r="A1547" t="str">
            <v>ID287</v>
          </cell>
          <cell r="B1547" t="str">
            <v>19-Oct-1972</v>
          </cell>
          <cell r="C1547">
            <v>53</v>
          </cell>
          <cell r="D1547">
            <v>0</v>
          </cell>
          <cell r="E1547">
            <v>32428.63</v>
          </cell>
          <cell r="F1547" t="str">
            <v>tier - 2</v>
          </cell>
          <cell r="G1547" t="str">
            <v>tier - 2</v>
          </cell>
          <cell r="H1547" t="str">
            <v>R1011</v>
          </cell>
        </row>
        <row r="1548">
          <cell r="A1548" t="str">
            <v>ID288</v>
          </cell>
          <cell r="B1548" t="str">
            <v>2-Dec-1986</v>
          </cell>
          <cell r="C1548">
            <v>39</v>
          </cell>
          <cell r="D1548">
            <v>3</v>
          </cell>
          <cell r="E1548">
            <v>32288.49</v>
          </cell>
          <cell r="F1548" t="str">
            <v>tier - 2</v>
          </cell>
          <cell r="G1548" t="str">
            <v>tier - 2</v>
          </cell>
          <cell r="H1548" t="str">
            <v>R1011</v>
          </cell>
        </row>
        <row r="1549">
          <cell r="A1549" t="str">
            <v>ID289</v>
          </cell>
          <cell r="B1549" t="str">
            <v>17-Dec-1975</v>
          </cell>
          <cell r="C1549">
            <v>50</v>
          </cell>
          <cell r="D1549">
            <v>1</v>
          </cell>
          <cell r="E1549">
            <v>32259.96</v>
          </cell>
          <cell r="F1549" t="str">
            <v>tier - 2</v>
          </cell>
          <cell r="G1549" t="str">
            <v>tier - 3</v>
          </cell>
          <cell r="H1549" t="str">
            <v>R1012</v>
          </cell>
        </row>
        <row r="1550">
          <cell r="A1550" t="str">
            <v>ID29</v>
          </cell>
          <cell r="B1550" t="str">
            <v>8-Aug-1961</v>
          </cell>
          <cell r="C1550">
            <v>65</v>
          </cell>
          <cell r="D1550">
            <v>0</v>
          </cell>
          <cell r="E1550">
            <v>46599.11</v>
          </cell>
          <cell r="F1550" t="str">
            <v>tier - 1</v>
          </cell>
          <cell r="G1550" t="str">
            <v>tier - 1</v>
          </cell>
          <cell r="H1550" t="str">
            <v>R1013</v>
          </cell>
        </row>
        <row r="1551">
          <cell r="A1551" t="str">
            <v>ID290</v>
          </cell>
          <cell r="B1551" t="str">
            <v>8-Sep-1994</v>
          </cell>
          <cell r="C1551">
            <v>32</v>
          </cell>
          <cell r="D1551">
            <v>0</v>
          </cell>
          <cell r="E1551">
            <v>32222.81</v>
          </cell>
          <cell r="F1551" t="str">
            <v>tier - 2</v>
          </cell>
          <cell r="G1551" t="str">
            <v>tier - 1</v>
          </cell>
          <cell r="H1551" t="str">
            <v>R1011</v>
          </cell>
        </row>
        <row r="1552">
          <cell r="A1552" t="str">
            <v>ID291</v>
          </cell>
          <cell r="B1552" t="str">
            <v>11-Sep-1969</v>
          </cell>
          <cell r="C1552">
            <v>57</v>
          </cell>
          <cell r="D1552">
            <v>0</v>
          </cell>
          <cell r="E1552">
            <v>32192.76</v>
          </cell>
          <cell r="F1552" t="str">
            <v>tier - 1</v>
          </cell>
          <cell r="G1552" t="str">
            <v>tier - 2</v>
          </cell>
          <cell r="H1552" t="str">
            <v>R1011</v>
          </cell>
        </row>
        <row r="1553">
          <cell r="A1553" t="str">
            <v>ID292</v>
          </cell>
          <cell r="B1553" t="str">
            <v>10-Nov-1978</v>
          </cell>
          <cell r="C1553">
            <v>47</v>
          </cell>
          <cell r="D1553">
            <v>2</v>
          </cell>
          <cell r="E1553">
            <v>32108.66</v>
          </cell>
          <cell r="F1553" t="str">
            <v>tier - 1</v>
          </cell>
          <cell r="G1553" t="str">
            <v>tier - 3</v>
          </cell>
          <cell r="H1553" t="str">
            <v>R1017</v>
          </cell>
        </row>
        <row r="1554">
          <cell r="A1554" t="str">
            <v>ID293</v>
          </cell>
          <cell r="B1554" t="str">
            <v>13-Sep-1993</v>
          </cell>
          <cell r="C1554">
            <v>33</v>
          </cell>
          <cell r="D1554">
            <v>0</v>
          </cell>
          <cell r="E1554">
            <v>32086.21</v>
          </cell>
          <cell r="F1554" t="str">
            <v>tier - 1</v>
          </cell>
          <cell r="G1554" t="str">
            <v>tier - 3</v>
          </cell>
          <cell r="H1554" t="str">
            <v>R1011</v>
          </cell>
        </row>
        <row r="1555">
          <cell r="A1555" t="str">
            <v>ID294</v>
          </cell>
          <cell r="B1555" t="str">
            <v>21-Sep-1972</v>
          </cell>
          <cell r="C1555">
            <v>54</v>
          </cell>
          <cell r="D1555">
            <v>0</v>
          </cell>
          <cell r="E1555">
            <v>31980.89</v>
          </cell>
          <cell r="F1555" t="str">
            <v>tier - 2</v>
          </cell>
          <cell r="G1555" t="str">
            <v>tier - 1</v>
          </cell>
          <cell r="H1555" t="str">
            <v>R1011</v>
          </cell>
        </row>
        <row r="1556">
          <cell r="A1556" t="str">
            <v>ID295</v>
          </cell>
          <cell r="B1556" t="str">
            <v>25-Sep-1975</v>
          </cell>
          <cell r="C1556">
            <v>51</v>
          </cell>
          <cell r="D1556">
            <v>1</v>
          </cell>
          <cell r="E1556">
            <v>31897.1</v>
          </cell>
          <cell r="F1556" t="str">
            <v>tier - 2</v>
          </cell>
          <cell r="G1556" t="str">
            <v>tier - 3</v>
          </cell>
          <cell r="H1556" t="str">
            <v>R1011</v>
          </cell>
        </row>
        <row r="1557">
          <cell r="A1557" t="str">
            <v>ID296</v>
          </cell>
          <cell r="B1557" t="str">
            <v>10-Sep-1984</v>
          </cell>
          <cell r="C1557">
            <v>42</v>
          </cell>
          <cell r="D1557">
            <v>3</v>
          </cell>
          <cell r="E1557">
            <v>31743.919999999998</v>
          </cell>
          <cell r="F1557" t="str">
            <v>tier - 2</v>
          </cell>
          <cell r="G1557" t="str">
            <v>tier - 1</v>
          </cell>
          <cell r="H1557" t="str">
            <v>R1011</v>
          </cell>
        </row>
        <row r="1558">
          <cell r="A1558" t="str">
            <v>ID297</v>
          </cell>
          <cell r="B1558" t="str">
            <v>14-Oct-1977</v>
          </cell>
          <cell r="C1558">
            <v>49</v>
          </cell>
          <cell r="D1558">
            <v>2</v>
          </cell>
          <cell r="E1558">
            <v>31736.7</v>
          </cell>
          <cell r="F1558" t="str">
            <v>tier - 2</v>
          </cell>
          <cell r="G1558" t="str">
            <v>tier - 2</v>
          </cell>
          <cell r="H1558" t="str">
            <v>R1012</v>
          </cell>
        </row>
        <row r="1559">
          <cell r="A1559" t="str">
            <v>ID298</v>
          </cell>
          <cell r="B1559" t="str">
            <v>13-Dec-1960</v>
          </cell>
          <cell r="C1559">
            <v>65</v>
          </cell>
          <cell r="D1559">
            <v>1</v>
          </cell>
          <cell r="E1559">
            <v>31620</v>
          </cell>
          <cell r="F1559" t="str">
            <v>tier - 2</v>
          </cell>
          <cell r="G1559" t="str">
            <v>tier - 1</v>
          </cell>
          <cell r="H1559" t="str">
            <v>R1024</v>
          </cell>
        </row>
        <row r="1560">
          <cell r="A1560" t="str">
            <v>ID299</v>
          </cell>
          <cell r="B1560" t="str">
            <v>29-Oct-1975</v>
          </cell>
          <cell r="C1560">
            <v>50</v>
          </cell>
          <cell r="D1560">
            <v>1</v>
          </cell>
          <cell r="E1560">
            <v>31591.82</v>
          </cell>
          <cell r="F1560" t="str">
            <v>tier - 2</v>
          </cell>
          <cell r="G1560" t="str">
            <v>tier - 1</v>
          </cell>
          <cell r="H1560" t="str">
            <v>R1011</v>
          </cell>
        </row>
        <row r="1561">
          <cell r="A1561" t="str">
            <v>ID3</v>
          </cell>
          <cell r="B1561" t="str">
            <v>11-sep-1970</v>
          </cell>
          <cell r="C1561">
            <v>56</v>
          </cell>
          <cell r="D1561">
            <v>3</v>
          </cell>
          <cell r="E1561">
            <v>60021.4</v>
          </cell>
          <cell r="F1561" t="str">
            <v>tier - 1</v>
          </cell>
          <cell r="G1561" t="str">
            <v>tier - 1</v>
          </cell>
          <cell r="H1561" t="str">
            <v>R1012</v>
          </cell>
        </row>
        <row r="1562">
          <cell r="A1562" t="str">
            <v>ID30</v>
          </cell>
          <cell r="B1562" t="str">
            <v>6-Dec-1971</v>
          </cell>
          <cell r="C1562">
            <v>54</v>
          </cell>
          <cell r="D1562">
            <v>3</v>
          </cell>
          <cell r="E1562">
            <v>46255.11</v>
          </cell>
          <cell r="F1562" t="str">
            <v>tier - 1</v>
          </cell>
          <cell r="G1562" t="str">
            <v>tier - 3</v>
          </cell>
          <cell r="H1562" t="str">
            <v>R1024</v>
          </cell>
        </row>
        <row r="1563">
          <cell r="A1563" t="str">
            <v>ID300</v>
          </cell>
          <cell r="B1563" t="str">
            <v>8-Oct-1974</v>
          </cell>
          <cell r="C1563">
            <v>52</v>
          </cell>
          <cell r="D1563">
            <v>0</v>
          </cell>
          <cell r="E1563">
            <v>31368.81</v>
          </cell>
          <cell r="F1563" t="str">
            <v>tier - 2</v>
          </cell>
          <cell r="G1563" t="str">
            <v>tier - 3</v>
          </cell>
          <cell r="H1563" t="str">
            <v>R1011</v>
          </cell>
        </row>
        <row r="1564">
          <cell r="A1564" t="str">
            <v>ID301</v>
          </cell>
          <cell r="B1564" t="str">
            <v>27-Sep-1995</v>
          </cell>
          <cell r="C1564">
            <v>31</v>
          </cell>
          <cell r="D1564">
            <v>0</v>
          </cell>
          <cell r="E1564">
            <v>31328.27</v>
          </cell>
          <cell r="F1564" t="str">
            <v>tier - 2</v>
          </cell>
          <cell r="G1564" t="str">
            <v>tier - 2</v>
          </cell>
          <cell r="H1564" t="str">
            <v>R1011</v>
          </cell>
        </row>
        <row r="1565">
          <cell r="A1565" t="str">
            <v>ID302</v>
          </cell>
          <cell r="B1565" t="str">
            <v>9-Jul-1968</v>
          </cell>
          <cell r="C1565">
            <v>58</v>
          </cell>
          <cell r="D1565">
            <v>0</v>
          </cell>
          <cell r="E1565">
            <v>31322.53</v>
          </cell>
          <cell r="F1565" t="str">
            <v>tier - 2</v>
          </cell>
          <cell r="G1565" t="str">
            <v>tier - 1</v>
          </cell>
          <cell r="H1565" t="str">
            <v>R1011</v>
          </cell>
        </row>
        <row r="1566">
          <cell r="A1566" t="str">
            <v>ID303</v>
          </cell>
          <cell r="B1566" t="str">
            <v>22-Jul-2000</v>
          </cell>
          <cell r="C1566">
            <v>26</v>
          </cell>
          <cell r="D1566">
            <v>0</v>
          </cell>
          <cell r="E1566">
            <v>31234.560000000001</v>
          </cell>
          <cell r="F1566" t="str">
            <v>tier - 1</v>
          </cell>
          <cell r="G1566" t="str">
            <v>tier - 1</v>
          </cell>
          <cell r="H1566" t="str">
            <v>R1011</v>
          </cell>
        </row>
        <row r="1567">
          <cell r="A1567" t="str">
            <v>ID304</v>
          </cell>
          <cell r="B1567" t="str">
            <v>9-Nov-2004</v>
          </cell>
          <cell r="C1567">
            <v>21</v>
          </cell>
          <cell r="D1567">
            <v>0</v>
          </cell>
          <cell r="E1567">
            <v>31196.61</v>
          </cell>
          <cell r="F1567" t="str">
            <v>tier - 2</v>
          </cell>
          <cell r="G1567" t="str">
            <v>tier - 1</v>
          </cell>
          <cell r="H1567" t="str">
            <v>R1011</v>
          </cell>
        </row>
        <row r="1568">
          <cell r="A1568" t="str">
            <v>ID305</v>
          </cell>
          <cell r="B1568" t="str">
            <v>9-Sep-1961</v>
          </cell>
          <cell r="C1568">
            <v>65</v>
          </cell>
          <cell r="D1568">
            <v>3</v>
          </cell>
          <cell r="E1568">
            <v>30942.19</v>
          </cell>
          <cell r="F1568" t="str">
            <v>tier - 2</v>
          </cell>
          <cell r="G1568" t="str">
            <v>tier - 2</v>
          </cell>
          <cell r="H1568" t="str">
            <v>R1013</v>
          </cell>
        </row>
        <row r="1569">
          <cell r="A1569" t="str">
            <v>ID306</v>
          </cell>
          <cell r="B1569" t="str">
            <v>5-Sep-1988</v>
          </cell>
          <cell r="C1569">
            <v>38</v>
          </cell>
          <cell r="D1569">
            <v>3</v>
          </cell>
          <cell r="E1569">
            <v>30763.01</v>
          </cell>
          <cell r="F1569" t="str">
            <v>tier - 2</v>
          </cell>
          <cell r="G1569" t="str">
            <v>tier - 1</v>
          </cell>
          <cell r="H1569" t="str">
            <v>R1011</v>
          </cell>
        </row>
        <row r="1570">
          <cell r="A1570" t="str">
            <v>ID307</v>
          </cell>
          <cell r="B1570" t="str">
            <v>21-Dec-1983</v>
          </cell>
          <cell r="C1570">
            <v>42</v>
          </cell>
          <cell r="D1570">
            <v>3</v>
          </cell>
          <cell r="E1570">
            <v>30724.44</v>
          </cell>
          <cell r="F1570" t="str">
            <v>tier - 2</v>
          </cell>
          <cell r="G1570" t="str">
            <v>tier - 3</v>
          </cell>
          <cell r="H1570" t="str">
            <v>R1011</v>
          </cell>
        </row>
        <row r="1571">
          <cell r="A1571" t="str">
            <v>ID308</v>
          </cell>
          <cell r="B1571" t="str">
            <v>21-Sep-1999</v>
          </cell>
          <cell r="C1571">
            <v>27</v>
          </cell>
          <cell r="D1571">
            <v>0</v>
          </cell>
          <cell r="E1571">
            <v>30697.71</v>
          </cell>
          <cell r="F1571" t="str">
            <v>tier - 1</v>
          </cell>
          <cell r="G1571" t="str">
            <v>tier - 2</v>
          </cell>
          <cell r="H1571" t="str">
            <v>R1011</v>
          </cell>
        </row>
        <row r="1572">
          <cell r="A1572" t="str">
            <v>ID309</v>
          </cell>
          <cell r="B1572" t="str">
            <v>11-Nov-1970</v>
          </cell>
          <cell r="C1572">
            <v>55</v>
          </cell>
          <cell r="D1572">
            <v>0</v>
          </cell>
          <cell r="E1572">
            <v>30625.65</v>
          </cell>
          <cell r="F1572" t="str">
            <v>tier - 2</v>
          </cell>
          <cell r="G1572" t="str">
            <v>tier - 3</v>
          </cell>
          <cell r="H1572" t="str">
            <v>R1011</v>
          </cell>
        </row>
        <row r="1573">
          <cell r="A1573" t="str">
            <v>ID31</v>
          </cell>
          <cell r="B1573" t="str">
            <v>17-Aug-1978</v>
          </cell>
          <cell r="C1573">
            <v>48</v>
          </cell>
          <cell r="D1573">
            <v>2</v>
          </cell>
          <cell r="E1573">
            <v>46200.99</v>
          </cell>
          <cell r="F1573" t="str">
            <v>tier - 1</v>
          </cell>
          <cell r="G1573" t="str">
            <v>tier - 1</v>
          </cell>
          <cell r="H1573" t="str">
            <v>R1013</v>
          </cell>
        </row>
        <row r="1574">
          <cell r="A1574" t="str">
            <v>ID310</v>
          </cell>
          <cell r="B1574" t="str">
            <v>10-Aug-1986</v>
          </cell>
          <cell r="C1574">
            <v>40</v>
          </cell>
          <cell r="D1574">
            <v>3</v>
          </cell>
          <cell r="E1574">
            <v>30530.5</v>
          </cell>
          <cell r="F1574" t="str">
            <v>tier - 2</v>
          </cell>
          <cell r="G1574" t="str">
            <v>tier - 1</v>
          </cell>
          <cell r="H1574" t="str">
            <v>R1011</v>
          </cell>
        </row>
        <row r="1575">
          <cell r="A1575" t="str">
            <v>ID311</v>
          </cell>
          <cell r="B1575" t="str">
            <v>3-Sep-1983</v>
          </cell>
          <cell r="C1575">
            <v>43</v>
          </cell>
          <cell r="D1575">
            <v>3</v>
          </cell>
          <cell r="E1575">
            <v>30457.37</v>
          </cell>
          <cell r="F1575" t="str">
            <v>tier - 2</v>
          </cell>
          <cell r="G1575" t="str">
            <v>tier - 1</v>
          </cell>
          <cell r="H1575" t="str">
            <v>R1012</v>
          </cell>
        </row>
        <row r="1576">
          <cell r="A1576" t="str">
            <v>ID312</v>
          </cell>
          <cell r="B1576" t="str">
            <v>28-Oct-1998</v>
          </cell>
          <cell r="C1576">
            <v>27</v>
          </cell>
          <cell r="D1576">
            <v>0</v>
          </cell>
          <cell r="E1576">
            <v>30422.03</v>
          </cell>
          <cell r="F1576" t="str">
            <v>tier - 2</v>
          </cell>
          <cell r="G1576" t="str">
            <v>tier - 3</v>
          </cell>
          <cell r="H1576" t="str">
            <v>R1011</v>
          </cell>
        </row>
        <row r="1577">
          <cell r="A1577" t="str">
            <v>ID313</v>
          </cell>
          <cell r="B1577" t="str">
            <v>3-Sep-1976</v>
          </cell>
          <cell r="C1577">
            <v>50</v>
          </cell>
          <cell r="D1577">
            <v>2</v>
          </cell>
          <cell r="E1577">
            <v>30409.53</v>
          </cell>
          <cell r="F1577" t="str">
            <v>tier - 2</v>
          </cell>
          <cell r="G1577" t="str">
            <v>tier - 3</v>
          </cell>
          <cell r="H1577" t="str">
            <v>R1012</v>
          </cell>
        </row>
        <row r="1578">
          <cell r="A1578" t="str">
            <v>ID314</v>
          </cell>
          <cell r="B1578" t="str">
            <v>30-Jul-1969</v>
          </cell>
          <cell r="C1578">
            <v>57</v>
          </cell>
          <cell r="D1578">
            <v>0</v>
          </cell>
          <cell r="E1578">
            <v>30366.93</v>
          </cell>
          <cell r="F1578" t="str">
            <v>tier - 2</v>
          </cell>
          <cell r="G1578" t="str">
            <v>tier - 2</v>
          </cell>
          <cell r="H1578" t="str">
            <v>R1011</v>
          </cell>
        </row>
        <row r="1579">
          <cell r="A1579" t="str">
            <v>ID315</v>
          </cell>
          <cell r="B1579" t="str">
            <v>1-Jun-2004</v>
          </cell>
          <cell r="C1579">
            <v>22</v>
          </cell>
          <cell r="D1579">
            <v>0</v>
          </cell>
          <cell r="E1579">
            <v>30328.27</v>
          </cell>
          <cell r="F1579" t="str">
            <v>tier - 2</v>
          </cell>
          <cell r="G1579" t="str">
            <v>tier - 2</v>
          </cell>
          <cell r="H1579" t="str">
            <v>R1011</v>
          </cell>
        </row>
        <row r="1580">
          <cell r="A1580" t="str">
            <v>ID316</v>
          </cell>
          <cell r="B1580" t="str">
            <v>24-Jul-1972</v>
          </cell>
          <cell r="C1580">
            <v>54</v>
          </cell>
          <cell r="D1580">
            <v>2</v>
          </cell>
          <cell r="E1580">
            <v>30284.639999999999</v>
          </cell>
          <cell r="F1580" t="str">
            <v>tier - 1</v>
          </cell>
          <cell r="G1580" t="str">
            <v>tier - 1</v>
          </cell>
          <cell r="H1580" t="str">
            <v>R1012</v>
          </cell>
        </row>
        <row r="1581">
          <cell r="A1581" t="str">
            <v>ID317</v>
          </cell>
          <cell r="B1581" t="str">
            <v>15-Sep-1962</v>
          </cell>
          <cell r="C1581">
            <v>64</v>
          </cell>
          <cell r="D1581">
            <v>0</v>
          </cell>
          <cell r="E1581">
            <v>30260</v>
          </cell>
          <cell r="F1581" t="str">
            <v>tier - 1</v>
          </cell>
          <cell r="G1581" t="str">
            <v>tier - 1</v>
          </cell>
          <cell r="H1581" t="str">
            <v>R1014</v>
          </cell>
        </row>
        <row r="1582">
          <cell r="A1582" t="str">
            <v>ID318</v>
          </cell>
          <cell r="B1582" t="str">
            <v>13-Sep-1963</v>
          </cell>
          <cell r="C1582">
            <v>63</v>
          </cell>
          <cell r="D1582">
            <v>3</v>
          </cell>
          <cell r="E1582">
            <v>30184.94</v>
          </cell>
          <cell r="F1582" t="str">
            <v>tier - 1</v>
          </cell>
          <cell r="G1582" t="str">
            <v>tier - 1</v>
          </cell>
          <cell r="H1582" t="str">
            <v>R1014</v>
          </cell>
        </row>
        <row r="1583">
          <cell r="A1583" t="str">
            <v>ID319</v>
          </cell>
          <cell r="B1583" t="str">
            <v>11-Aug-1958</v>
          </cell>
          <cell r="C1583">
            <v>68</v>
          </cell>
          <cell r="D1583">
            <v>1</v>
          </cell>
          <cell r="E1583">
            <v>30166.62</v>
          </cell>
          <cell r="F1583" t="str">
            <v>tier - 1</v>
          </cell>
          <cell r="G1583" t="str">
            <v>tier - 3</v>
          </cell>
          <cell r="H1583" t="str">
            <v>R1012</v>
          </cell>
        </row>
        <row r="1584">
          <cell r="A1584" t="str">
            <v>ID32</v>
          </cell>
          <cell r="B1584" t="str">
            <v>2-Dec-1976</v>
          </cell>
          <cell r="C1584">
            <v>49</v>
          </cell>
          <cell r="D1584">
            <v>3</v>
          </cell>
          <cell r="E1584">
            <v>46151.12</v>
          </cell>
          <cell r="F1584" t="str">
            <v>tier - 1</v>
          </cell>
          <cell r="G1584" t="str">
            <v>tier - 3</v>
          </cell>
          <cell r="H1584" t="str">
            <v>R1013</v>
          </cell>
        </row>
        <row r="1585">
          <cell r="A1585" t="str">
            <v>ID320</v>
          </cell>
          <cell r="B1585" t="str">
            <v>25-Dec-1971</v>
          </cell>
          <cell r="C1585">
            <v>54</v>
          </cell>
          <cell r="D1585">
            <v>0</v>
          </cell>
          <cell r="E1585">
            <v>30134.75</v>
          </cell>
          <cell r="F1585" t="str">
            <v>tier - 2</v>
          </cell>
          <cell r="G1585" t="str">
            <v>tier - 3</v>
          </cell>
          <cell r="H1585" t="str">
            <v>R1011</v>
          </cell>
        </row>
        <row r="1586">
          <cell r="A1586" t="str">
            <v>ID321</v>
          </cell>
          <cell r="B1586" t="str">
            <v>2-Sep-1979</v>
          </cell>
          <cell r="C1586">
            <v>47</v>
          </cell>
          <cell r="D1586">
            <v>2</v>
          </cell>
          <cell r="E1586">
            <v>30095.97</v>
          </cell>
          <cell r="F1586" t="str">
            <v>tier - 2</v>
          </cell>
          <cell r="G1586" t="str">
            <v>tier - 3</v>
          </cell>
          <cell r="H1586" t="str">
            <v>R1011</v>
          </cell>
        </row>
        <row r="1587">
          <cell r="A1587" t="str">
            <v>ID322</v>
          </cell>
          <cell r="B1587" t="str">
            <v>16-Jun-1967</v>
          </cell>
          <cell r="C1587">
            <v>59</v>
          </cell>
          <cell r="D1587">
            <v>3</v>
          </cell>
          <cell r="E1587">
            <v>30063.58</v>
          </cell>
          <cell r="F1587" t="str">
            <v>tier - 1</v>
          </cell>
          <cell r="G1587" t="str">
            <v>tier - 1</v>
          </cell>
          <cell r="H1587" t="str">
            <v>R1012</v>
          </cell>
        </row>
        <row r="1588">
          <cell r="A1588" t="str">
            <v>ID323</v>
          </cell>
          <cell r="B1588" t="str">
            <v>4-Aug-1981</v>
          </cell>
          <cell r="C1588">
            <v>45</v>
          </cell>
          <cell r="D1588">
            <v>1</v>
          </cell>
          <cell r="E1588">
            <v>30026.87</v>
          </cell>
          <cell r="F1588" t="str">
            <v>tier - 2</v>
          </cell>
          <cell r="G1588" t="str">
            <v>tier - 3</v>
          </cell>
          <cell r="H1588" t="str">
            <v>R1012</v>
          </cell>
        </row>
        <row r="1589">
          <cell r="A1589" t="str">
            <v>ID324</v>
          </cell>
          <cell r="B1589" t="str">
            <v>5-Oct-1991</v>
          </cell>
          <cell r="C1589">
            <v>35</v>
          </cell>
          <cell r="D1589">
            <v>3</v>
          </cell>
          <cell r="E1589">
            <v>29969.67</v>
          </cell>
          <cell r="F1589" t="str">
            <v>tier - 1</v>
          </cell>
          <cell r="G1589" t="str">
            <v>tier - 1</v>
          </cell>
          <cell r="H1589" t="str">
            <v>R1011</v>
          </cell>
        </row>
        <row r="1590">
          <cell r="A1590" t="str">
            <v>ID325</v>
          </cell>
          <cell r="B1590" t="str">
            <v>12-Jun-1976</v>
          </cell>
          <cell r="C1590">
            <v>50</v>
          </cell>
          <cell r="D1590">
            <v>2</v>
          </cell>
          <cell r="E1590">
            <v>29933.75</v>
          </cell>
          <cell r="F1590" t="str">
            <v>tier - 1</v>
          </cell>
          <cell r="G1590" t="str">
            <v>tier - 1</v>
          </cell>
          <cell r="H1590" t="str">
            <v>R1011</v>
          </cell>
        </row>
        <row r="1591">
          <cell r="A1591" t="str">
            <v>ID326</v>
          </cell>
          <cell r="B1591" t="str">
            <v>30-Dec-1988</v>
          </cell>
          <cell r="C1591">
            <v>37</v>
          </cell>
          <cell r="D1591">
            <v>3</v>
          </cell>
          <cell r="E1591">
            <v>29929.56</v>
          </cell>
          <cell r="F1591" t="str">
            <v>tier - 1</v>
          </cell>
          <cell r="G1591" t="str">
            <v>tier - 1</v>
          </cell>
          <cell r="H1591" t="str">
            <v>R1011</v>
          </cell>
        </row>
        <row r="1592">
          <cell r="A1592" t="str">
            <v>ID327</v>
          </cell>
          <cell r="B1592" t="str">
            <v>19-Aug-1975</v>
          </cell>
          <cell r="C1592">
            <v>51</v>
          </cell>
          <cell r="D1592">
            <v>1</v>
          </cell>
          <cell r="E1592">
            <v>29899.25</v>
          </cell>
          <cell r="F1592" t="str">
            <v>tier - 1</v>
          </cell>
          <cell r="G1592" t="str">
            <v>tier - 3</v>
          </cell>
          <cell r="H1592" t="str">
            <v>R1011</v>
          </cell>
        </row>
        <row r="1593">
          <cell r="A1593" t="str">
            <v>ID328</v>
          </cell>
          <cell r="B1593" t="str">
            <v>30-Dec-1989</v>
          </cell>
          <cell r="C1593">
            <v>36</v>
          </cell>
          <cell r="D1593">
            <v>3</v>
          </cell>
          <cell r="E1593">
            <v>29852.48</v>
          </cell>
          <cell r="F1593" t="str">
            <v>tier - 1</v>
          </cell>
          <cell r="G1593" t="str">
            <v>tier - 3</v>
          </cell>
          <cell r="H1593" t="str">
            <v>R1011</v>
          </cell>
        </row>
        <row r="1594">
          <cell r="A1594" t="str">
            <v>ID329</v>
          </cell>
          <cell r="B1594" t="str">
            <v>29-Oct-1982</v>
          </cell>
          <cell r="C1594">
            <v>43</v>
          </cell>
          <cell r="D1594">
            <v>3</v>
          </cell>
          <cell r="E1594">
            <v>29818.76</v>
          </cell>
          <cell r="F1594" t="str">
            <v>tier - 1</v>
          </cell>
          <cell r="G1594" t="str">
            <v>tier - 1</v>
          </cell>
          <cell r="H1594" t="str">
            <v>R1012</v>
          </cell>
        </row>
        <row r="1595">
          <cell r="A1595" t="str">
            <v>ID33</v>
          </cell>
          <cell r="B1595" t="str">
            <v>4-Dec-1962</v>
          </cell>
          <cell r="C1595">
            <v>63</v>
          </cell>
          <cell r="D1595">
            <v>3</v>
          </cell>
          <cell r="E1595">
            <v>46130.53</v>
          </cell>
          <cell r="F1595" t="str">
            <v>tier - 1</v>
          </cell>
          <cell r="G1595" t="str">
            <v>tier - 1</v>
          </cell>
          <cell r="H1595" t="str">
            <v>R1012</v>
          </cell>
        </row>
        <row r="1596">
          <cell r="A1596" t="str">
            <v>ID330</v>
          </cell>
          <cell r="B1596" t="str">
            <v>13-Aug-1981</v>
          </cell>
          <cell r="C1596">
            <v>45</v>
          </cell>
          <cell r="D1596">
            <v>1</v>
          </cell>
          <cell r="E1596">
            <v>29816.639999999999</v>
          </cell>
          <cell r="F1596" t="str">
            <v>tier - 1</v>
          </cell>
          <cell r="G1596" t="str">
            <v>tier - 2</v>
          </cell>
          <cell r="H1596" t="str">
            <v>R1011</v>
          </cell>
        </row>
        <row r="1597">
          <cell r="A1597" t="str">
            <v>ID331</v>
          </cell>
          <cell r="B1597" t="str">
            <v>20-Jun-1998</v>
          </cell>
          <cell r="C1597">
            <v>28</v>
          </cell>
          <cell r="D1597">
            <v>0</v>
          </cell>
          <cell r="E1597">
            <v>29760.6</v>
          </cell>
          <cell r="F1597" t="str">
            <v>tier - 1</v>
          </cell>
          <cell r="G1597" t="str">
            <v>tier - 2</v>
          </cell>
          <cell r="H1597" t="str">
            <v>R1011</v>
          </cell>
        </row>
        <row r="1598">
          <cell r="A1598" t="str">
            <v>ID332</v>
          </cell>
          <cell r="B1598" t="str">
            <v>23-Aug-1973</v>
          </cell>
          <cell r="C1598">
            <v>53</v>
          </cell>
          <cell r="D1598">
            <v>0</v>
          </cell>
          <cell r="E1598">
            <v>29757.69</v>
          </cell>
          <cell r="F1598" t="str">
            <v>tier - 1</v>
          </cell>
          <cell r="G1598" t="str">
            <v>tier - 3</v>
          </cell>
          <cell r="H1598" t="str">
            <v>R1011</v>
          </cell>
        </row>
        <row r="1599">
          <cell r="A1599" t="str">
            <v>ID333</v>
          </cell>
          <cell r="B1599" t="str">
            <v>27-Jul-1993</v>
          </cell>
          <cell r="C1599">
            <v>33</v>
          </cell>
          <cell r="D1599">
            <v>0</v>
          </cell>
          <cell r="E1599">
            <v>29622.69</v>
          </cell>
          <cell r="F1599" t="str">
            <v>tier - 1</v>
          </cell>
          <cell r="G1599" t="str">
            <v>tier - 1</v>
          </cell>
          <cell r="H1599" t="str">
            <v>R1011</v>
          </cell>
        </row>
        <row r="1600">
          <cell r="A1600" t="str">
            <v>ID334</v>
          </cell>
          <cell r="B1600" t="str">
            <v>3-Nov-1975</v>
          </cell>
          <cell r="C1600">
            <v>50</v>
          </cell>
          <cell r="D1600">
            <v>1</v>
          </cell>
          <cell r="E1600">
            <v>29583.8</v>
          </cell>
          <cell r="F1600" t="str">
            <v>tier - 1</v>
          </cell>
          <cell r="G1600" t="str">
            <v>tier - 1</v>
          </cell>
          <cell r="H1600" t="str">
            <v>R1011</v>
          </cell>
        </row>
        <row r="1601">
          <cell r="A1601" t="str">
            <v>ID335</v>
          </cell>
          <cell r="B1601" t="str">
            <v>20-Oct-1959</v>
          </cell>
          <cell r="C1601">
            <v>66</v>
          </cell>
          <cell r="D1601">
            <v>0</v>
          </cell>
          <cell r="E1601">
            <v>29523.17</v>
          </cell>
          <cell r="F1601" t="str">
            <v>tier - 1</v>
          </cell>
          <cell r="G1601" t="str">
            <v>tier - 2</v>
          </cell>
          <cell r="H1601" t="str">
            <v>R1024</v>
          </cell>
        </row>
        <row r="1602">
          <cell r="A1602" t="str">
            <v>ID336</v>
          </cell>
          <cell r="B1602" t="str">
            <v>16-Jul-1987</v>
          </cell>
          <cell r="C1602">
            <v>39</v>
          </cell>
          <cell r="D1602">
            <v>3</v>
          </cell>
          <cell r="E1602">
            <v>29443.59</v>
          </cell>
          <cell r="F1602" t="str">
            <v>tier - 1</v>
          </cell>
          <cell r="G1602" t="str">
            <v>tier - 1</v>
          </cell>
          <cell r="H1602" t="str">
            <v>R1011</v>
          </cell>
        </row>
        <row r="1603">
          <cell r="A1603" t="str">
            <v>ID337</v>
          </cell>
          <cell r="B1603" t="str">
            <v>7-Nov-1985</v>
          </cell>
          <cell r="C1603">
            <v>40</v>
          </cell>
          <cell r="D1603">
            <v>3</v>
          </cell>
          <cell r="E1603">
            <v>29352.560000000001</v>
          </cell>
          <cell r="F1603" t="str">
            <v>tier - 1</v>
          </cell>
          <cell r="G1603" t="str">
            <v>tier - 1</v>
          </cell>
          <cell r="H1603" t="str">
            <v>R1011</v>
          </cell>
        </row>
        <row r="1604">
          <cell r="A1604" t="str">
            <v>ID338</v>
          </cell>
          <cell r="B1604" t="str">
            <v>5-Jun-1958</v>
          </cell>
          <cell r="C1604">
            <v>68</v>
          </cell>
          <cell r="D1604">
            <v>0</v>
          </cell>
          <cell r="E1604">
            <v>29330.98</v>
          </cell>
          <cell r="F1604" t="str">
            <v>tier - 1</v>
          </cell>
          <cell r="G1604" t="str">
            <v>tier - 2</v>
          </cell>
          <cell r="H1604" t="str">
            <v>R1012</v>
          </cell>
        </row>
        <row r="1605">
          <cell r="A1605" t="str">
            <v>ID339</v>
          </cell>
          <cell r="B1605" t="str">
            <v>21-Jul-1978</v>
          </cell>
          <cell r="C1605">
            <v>48</v>
          </cell>
          <cell r="D1605">
            <v>2</v>
          </cell>
          <cell r="E1605">
            <v>29227.599999999999</v>
          </cell>
          <cell r="F1605" t="str">
            <v>tier - 1</v>
          </cell>
          <cell r="G1605" t="str">
            <v>tier - 3</v>
          </cell>
          <cell r="H1605" t="str">
            <v>R1012</v>
          </cell>
        </row>
        <row r="1606">
          <cell r="A1606" t="str">
            <v>ID34</v>
          </cell>
          <cell r="B1606" t="str">
            <v>30-Sep-1985</v>
          </cell>
          <cell r="C1606">
            <v>41</v>
          </cell>
          <cell r="D1606">
            <v>2</v>
          </cell>
          <cell r="E1606">
            <v>46113.51</v>
          </cell>
          <cell r="F1606" t="str">
            <v>tier - 2</v>
          </cell>
          <cell r="G1606" t="str">
            <v>tier - 3</v>
          </cell>
          <cell r="H1606" t="str">
            <v>R1011</v>
          </cell>
        </row>
        <row r="1607">
          <cell r="A1607" t="str">
            <v>ID340</v>
          </cell>
          <cell r="B1607" t="str">
            <v>9-Jul-1969</v>
          </cell>
          <cell r="C1607">
            <v>57</v>
          </cell>
          <cell r="D1607">
            <v>2</v>
          </cell>
          <cell r="E1607">
            <v>29186.48</v>
          </cell>
          <cell r="F1607" t="str">
            <v>tier - 1</v>
          </cell>
          <cell r="G1607" t="str">
            <v>tier - 3</v>
          </cell>
          <cell r="H1607" t="str">
            <v>R1024</v>
          </cell>
        </row>
        <row r="1608">
          <cell r="A1608" t="str">
            <v>ID341</v>
          </cell>
          <cell r="B1608" t="str">
            <v>8-Nov-1976</v>
          </cell>
          <cell r="C1608">
            <v>49</v>
          </cell>
          <cell r="D1608">
            <v>2</v>
          </cell>
          <cell r="E1608">
            <v>29160.39</v>
          </cell>
          <cell r="F1608" t="str">
            <v>tier - 1</v>
          </cell>
          <cell r="G1608" t="str">
            <v>tier - 2</v>
          </cell>
          <cell r="H1608" t="str">
            <v>R1011</v>
          </cell>
        </row>
        <row r="1609">
          <cell r="A1609" t="str">
            <v>ID342</v>
          </cell>
          <cell r="B1609" t="str">
            <v>24-Dec-1961</v>
          </cell>
          <cell r="C1609">
            <v>64</v>
          </cell>
          <cell r="D1609">
            <v>0</v>
          </cell>
          <cell r="E1609">
            <v>29141.360000000001</v>
          </cell>
          <cell r="F1609" t="str">
            <v>tier - 1</v>
          </cell>
          <cell r="G1609" t="str">
            <v>tier - 3</v>
          </cell>
          <cell r="H1609" t="str">
            <v>R1012</v>
          </cell>
        </row>
        <row r="1610">
          <cell r="A1610" t="str">
            <v>ID343</v>
          </cell>
          <cell r="B1610" t="str">
            <v>29-Nov-1978</v>
          </cell>
          <cell r="C1610">
            <v>47</v>
          </cell>
          <cell r="D1610">
            <v>2</v>
          </cell>
          <cell r="E1610">
            <v>29114.77</v>
          </cell>
          <cell r="F1610" t="str">
            <v>tier - 1</v>
          </cell>
          <cell r="G1610" t="str">
            <v>tier - 1</v>
          </cell>
          <cell r="H1610" t="str">
            <v>R1011</v>
          </cell>
        </row>
        <row r="1611">
          <cell r="A1611" t="str">
            <v>ID344</v>
          </cell>
          <cell r="B1611" t="str">
            <v>14-Jul-1980</v>
          </cell>
          <cell r="C1611">
            <v>46</v>
          </cell>
          <cell r="D1611">
            <v>2</v>
          </cell>
          <cell r="E1611">
            <v>29114.21</v>
          </cell>
          <cell r="F1611" t="str">
            <v>tier - 1</v>
          </cell>
          <cell r="G1611" t="str">
            <v>tier - 3</v>
          </cell>
          <cell r="H1611" t="str">
            <v>R1011</v>
          </cell>
        </row>
        <row r="1612">
          <cell r="A1612" t="str">
            <v>ID3444</v>
          </cell>
          <cell r="B1612" t="str">
            <v>1-Nov-2004</v>
          </cell>
          <cell r="C1612">
            <v>21</v>
          </cell>
          <cell r="D1612">
            <v>2</v>
          </cell>
          <cell r="E1612">
            <v>34303.17</v>
          </cell>
          <cell r="F1612" t="str">
            <v>tier - 1</v>
          </cell>
          <cell r="G1612" t="str">
            <v>tier - 3</v>
          </cell>
          <cell r="H1612" t="str">
            <v>R1013</v>
          </cell>
        </row>
        <row r="1613">
          <cell r="A1613" t="str">
            <v>ID345</v>
          </cell>
          <cell r="B1613" t="str">
            <v>7-Jul-1992</v>
          </cell>
          <cell r="C1613">
            <v>34</v>
          </cell>
          <cell r="D1613">
            <v>0</v>
          </cell>
          <cell r="E1613">
            <v>29007.82</v>
          </cell>
          <cell r="F1613" t="str">
            <v>tier - 1</v>
          </cell>
          <cell r="G1613" t="str">
            <v>tier - 3</v>
          </cell>
          <cell r="H1613" t="str">
            <v>R1011</v>
          </cell>
        </row>
        <row r="1614">
          <cell r="A1614" t="str">
            <v>ID346</v>
          </cell>
          <cell r="B1614" t="str">
            <v>1-Sep-2003</v>
          </cell>
          <cell r="C1614">
            <v>23</v>
          </cell>
          <cell r="D1614">
            <v>0</v>
          </cell>
          <cell r="E1614">
            <v>28998.68</v>
          </cell>
          <cell r="F1614" t="str">
            <v>tier - 1</v>
          </cell>
          <cell r="G1614" t="str">
            <v>tier - 3</v>
          </cell>
          <cell r="H1614" t="str">
            <v>R1011</v>
          </cell>
        </row>
        <row r="1615">
          <cell r="A1615" t="str">
            <v>ID347</v>
          </cell>
          <cell r="B1615" t="str">
            <v>5-Dec-1959</v>
          </cell>
          <cell r="C1615">
            <v>66</v>
          </cell>
          <cell r="D1615">
            <v>0</v>
          </cell>
          <cell r="E1615">
            <v>28950.47</v>
          </cell>
          <cell r="F1615" t="str">
            <v>tier - 1</v>
          </cell>
          <cell r="G1615" t="str">
            <v>tier - 1</v>
          </cell>
          <cell r="H1615" t="str">
            <v>R1012</v>
          </cell>
        </row>
        <row r="1616">
          <cell r="A1616" t="str">
            <v>ID348</v>
          </cell>
          <cell r="B1616" t="str">
            <v>25-Jul-1962</v>
          </cell>
          <cell r="C1616">
            <v>64</v>
          </cell>
          <cell r="D1616">
            <v>0</v>
          </cell>
          <cell r="E1616">
            <v>28923.14</v>
          </cell>
          <cell r="F1616" t="str">
            <v>tier - 1</v>
          </cell>
          <cell r="G1616" t="str">
            <v>tier - 1</v>
          </cell>
          <cell r="H1616" t="str">
            <v>R1012</v>
          </cell>
        </row>
        <row r="1617">
          <cell r="A1617" t="str">
            <v>ID349</v>
          </cell>
          <cell r="B1617" t="str">
            <v>3-Aug-1961</v>
          </cell>
          <cell r="C1617">
            <v>65</v>
          </cell>
          <cell r="D1617">
            <v>1</v>
          </cell>
          <cell r="E1617">
            <v>28868.66</v>
          </cell>
          <cell r="F1617" t="str">
            <v>tier - 1</v>
          </cell>
          <cell r="G1617" t="str">
            <v>tier - 2</v>
          </cell>
          <cell r="H1617" t="str">
            <v>R1012</v>
          </cell>
        </row>
        <row r="1618">
          <cell r="A1618" t="str">
            <v>ID35</v>
          </cell>
          <cell r="B1618" t="str">
            <v>12-Aug-1979</v>
          </cell>
          <cell r="C1618">
            <v>47</v>
          </cell>
          <cell r="D1618">
            <v>0</v>
          </cell>
          <cell r="E1618">
            <v>45863.21</v>
          </cell>
          <cell r="F1618" t="str">
            <v>tier - 2</v>
          </cell>
          <cell r="G1618" t="str">
            <v>tier - 1</v>
          </cell>
          <cell r="H1618" t="str">
            <v>R1013</v>
          </cell>
        </row>
        <row r="1619">
          <cell r="A1619" t="str">
            <v>ID350</v>
          </cell>
          <cell r="B1619" t="str">
            <v>5-Dec-1990</v>
          </cell>
          <cell r="C1619">
            <v>35</v>
          </cell>
          <cell r="D1619">
            <v>3</v>
          </cell>
          <cell r="E1619">
            <v>28716.14</v>
          </cell>
          <cell r="F1619" t="str">
            <v>tier - 1</v>
          </cell>
          <cell r="G1619" t="str">
            <v>tier - 3</v>
          </cell>
          <cell r="H1619" t="str">
            <v>R1011</v>
          </cell>
        </row>
        <row r="1620">
          <cell r="A1620" t="str">
            <v>ID351</v>
          </cell>
          <cell r="B1620" t="str">
            <v>27-Sep-1985</v>
          </cell>
          <cell r="C1620">
            <v>41</v>
          </cell>
          <cell r="D1620">
            <v>3</v>
          </cell>
          <cell r="E1620">
            <v>28542.86</v>
          </cell>
          <cell r="F1620" t="str">
            <v>tier - 1</v>
          </cell>
          <cell r="G1620" t="str">
            <v>tier - 3</v>
          </cell>
          <cell r="H1620" t="str">
            <v>R1011</v>
          </cell>
        </row>
        <row r="1621">
          <cell r="A1621" t="str">
            <v>ID352</v>
          </cell>
          <cell r="B1621" t="str">
            <v>11-Dec-1982</v>
          </cell>
          <cell r="C1621">
            <v>43</v>
          </cell>
          <cell r="D1621">
            <v>1</v>
          </cell>
          <cell r="E1621">
            <v>28476.73</v>
          </cell>
          <cell r="F1621" t="str">
            <v>tier - 1</v>
          </cell>
          <cell r="G1621" t="str">
            <v>tier - 2</v>
          </cell>
          <cell r="H1621" t="str">
            <v>R1012</v>
          </cell>
        </row>
        <row r="1622">
          <cell r="A1622" t="str">
            <v>ID353</v>
          </cell>
          <cell r="B1622" t="str">
            <v>16-Sep-1974</v>
          </cell>
          <cell r="C1622">
            <v>52</v>
          </cell>
          <cell r="D1622">
            <v>1</v>
          </cell>
          <cell r="E1622">
            <v>28468.92</v>
          </cell>
          <cell r="F1622" t="str">
            <v>tier - 1</v>
          </cell>
          <cell r="G1622" t="str">
            <v>tier - 1</v>
          </cell>
          <cell r="H1622" t="str">
            <v>R1012</v>
          </cell>
        </row>
        <row r="1623">
          <cell r="A1623" t="str">
            <v>ID354</v>
          </cell>
          <cell r="B1623" t="str">
            <v>2-Dec-1977</v>
          </cell>
          <cell r="C1623">
            <v>48</v>
          </cell>
          <cell r="D1623">
            <v>1</v>
          </cell>
          <cell r="E1623">
            <v>28340.19</v>
          </cell>
          <cell r="F1623" t="str">
            <v>tier - 1</v>
          </cell>
          <cell r="G1623" t="str">
            <v>tier - 2</v>
          </cell>
          <cell r="H1623" t="str">
            <v>R1012</v>
          </cell>
        </row>
        <row r="1624">
          <cell r="A1624" t="str">
            <v>ID355</v>
          </cell>
          <cell r="B1624" t="str">
            <v>24-Dec-1990</v>
          </cell>
          <cell r="C1624">
            <v>35</v>
          </cell>
          <cell r="D1624">
            <v>3</v>
          </cell>
          <cell r="E1624">
            <v>28302.33</v>
          </cell>
          <cell r="F1624" t="str">
            <v>tier - 1</v>
          </cell>
          <cell r="G1624" t="str">
            <v>tier - 2</v>
          </cell>
          <cell r="H1624" t="str">
            <v>R1011</v>
          </cell>
        </row>
        <row r="1625">
          <cell r="A1625" t="str">
            <v>ID356</v>
          </cell>
          <cell r="B1625" t="str">
            <v>25-Nov-1963</v>
          </cell>
          <cell r="C1625">
            <v>62</v>
          </cell>
          <cell r="D1625">
            <v>1</v>
          </cell>
          <cell r="E1625">
            <v>28287.9</v>
          </cell>
          <cell r="F1625" t="str">
            <v>tier - 1</v>
          </cell>
          <cell r="G1625" t="str">
            <v>tier - 1</v>
          </cell>
          <cell r="H1625" t="str">
            <v>R1013</v>
          </cell>
        </row>
        <row r="1626">
          <cell r="A1626" t="str">
            <v>ID357</v>
          </cell>
          <cell r="B1626" t="str">
            <v>6-Sep-1999</v>
          </cell>
          <cell r="C1626">
            <v>27</v>
          </cell>
          <cell r="D1626">
            <v>0</v>
          </cell>
          <cell r="E1626">
            <v>28245.34</v>
          </cell>
          <cell r="F1626" t="str">
            <v>tier - 1</v>
          </cell>
          <cell r="G1626" t="str">
            <v>tier - 3</v>
          </cell>
          <cell r="H1626" t="str">
            <v>R1011</v>
          </cell>
        </row>
        <row r="1627">
          <cell r="A1627" t="str">
            <v>ID358</v>
          </cell>
          <cell r="B1627" t="str">
            <v>22-Nov-1960</v>
          </cell>
          <cell r="C1627">
            <v>65</v>
          </cell>
          <cell r="D1627">
            <v>0</v>
          </cell>
          <cell r="E1627">
            <v>28101.33</v>
          </cell>
          <cell r="F1627" t="str">
            <v>tier - 1</v>
          </cell>
          <cell r="G1627" t="str">
            <v>tier - 2</v>
          </cell>
          <cell r="H1627" t="str">
            <v>R1019</v>
          </cell>
        </row>
        <row r="1628">
          <cell r="A1628" t="str">
            <v>ID359</v>
          </cell>
          <cell r="B1628" t="str">
            <v>29-Nov-1985</v>
          </cell>
          <cell r="C1628">
            <v>40</v>
          </cell>
          <cell r="D1628">
            <v>3</v>
          </cell>
          <cell r="E1628">
            <v>28006.94</v>
          </cell>
          <cell r="F1628" t="str">
            <v>tier - 1</v>
          </cell>
          <cell r="G1628" t="str">
            <v>tier - 2</v>
          </cell>
          <cell r="H1628" t="str">
            <v>R1011</v>
          </cell>
        </row>
        <row r="1629">
          <cell r="A1629" t="str">
            <v>ID36</v>
          </cell>
          <cell r="B1629" t="str">
            <v>21-Dec-1960</v>
          </cell>
          <cell r="C1629">
            <v>65</v>
          </cell>
          <cell r="D1629">
            <v>0</v>
          </cell>
          <cell r="E1629">
            <v>45710.21</v>
          </cell>
          <cell r="F1629" t="str">
            <v>tier - 2</v>
          </cell>
          <cell r="G1629" t="str">
            <v>tier - 2</v>
          </cell>
          <cell r="H1629" t="str">
            <v>R1016</v>
          </cell>
        </row>
        <row r="1630">
          <cell r="A1630" t="str">
            <v>ID360</v>
          </cell>
          <cell r="B1630" t="str">
            <v>21-Dec-1999</v>
          </cell>
          <cell r="C1630">
            <v>26</v>
          </cell>
          <cell r="D1630">
            <v>0</v>
          </cell>
          <cell r="E1630">
            <v>27980.77</v>
          </cell>
          <cell r="F1630" t="str">
            <v>tier - 1</v>
          </cell>
          <cell r="G1630" t="str">
            <v>tier - 1</v>
          </cell>
          <cell r="H1630" t="str">
            <v>R1011</v>
          </cell>
        </row>
        <row r="1631">
          <cell r="A1631" t="str">
            <v>ID361</v>
          </cell>
          <cell r="B1631" t="str">
            <v>28-Jul-1961</v>
          </cell>
          <cell r="C1631">
            <v>65</v>
          </cell>
          <cell r="D1631">
            <v>3</v>
          </cell>
          <cell r="E1631">
            <v>27941.29</v>
          </cell>
          <cell r="F1631" t="str">
            <v>tier - 1</v>
          </cell>
          <cell r="G1631" t="str">
            <v>tier - 3</v>
          </cell>
          <cell r="H1631" t="str">
            <v>R1011</v>
          </cell>
        </row>
        <row r="1632">
          <cell r="A1632" t="str">
            <v>ID362</v>
          </cell>
          <cell r="B1632" t="str">
            <v>4-Jun-1991</v>
          </cell>
          <cell r="C1632">
            <v>35</v>
          </cell>
          <cell r="D1632">
            <v>3</v>
          </cell>
          <cell r="E1632">
            <v>27931.11</v>
          </cell>
          <cell r="F1632" t="str">
            <v>tier - 1</v>
          </cell>
          <cell r="G1632" t="str">
            <v>tier - 3</v>
          </cell>
          <cell r="H1632" t="str">
            <v>R1011</v>
          </cell>
        </row>
        <row r="1633">
          <cell r="A1633" t="str">
            <v>ID363</v>
          </cell>
          <cell r="B1633" t="str">
            <v>21-Nov-1989</v>
          </cell>
          <cell r="C1633">
            <v>36</v>
          </cell>
          <cell r="D1633">
            <v>3</v>
          </cell>
          <cell r="E1633">
            <v>27925.86</v>
          </cell>
          <cell r="F1633" t="str">
            <v>tier - 1</v>
          </cell>
          <cell r="G1633" t="str">
            <v>tier - 2</v>
          </cell>
          <cell r="H1633" t="str">
            <v>R1011</v>
          </cell>
        </row>
        <row r="1634">
          <cell r="A1634" t="str">
            <v>ID364</v>
          </cell>
          <cell r="B1634" t="str">
            <v>4-Dec-1985</v>
          </cell>
          <cell r="C1634">
            <v>40</v>
          </cell>
          <cell r="D1634">
            <v>3</v>
          </cell>
          <cell r="E1634">
            <v>27849.94</v>
          </cell>
          <cell r="F1634" t="str">
            <v>tier - 1</v>
          </cell>
          <cell r="G1634" t="str">
            <v>tier - 1</v>
          </cell>
          <cell r="H1634" t="str">
            <v>R1011</v>
          </cell>
        </row>
        <row r="1635">
          <cell r="A1635" t="str">
            <v>ID365</v>
          </cell>
          <cell r="B1635" t="str">
            <v>6-Jul-1960</v>
          </cell>
          <cell r="C1635">
            <v>66</v>
          </cell>
          <cell r="D1635">
            <v>0</v>
          </cell>
          <cell r="E1635">
            <v>27808.73</v>
          </cell>
          <cell r="F1635" t="str">
            <v>tier - 1</v>
          </cell>
          <cell r="G1635" t="str">
            <v>tier - 1</v>
          </cell>
          <cell r="H1635" t="str">
            <v>R1013</v>
          </cell>
        </row>
        <row r="1636">
          <cell r="A1636" t="str">
            <v>ID366</v>
          </cell>
          <cell r="B1636" t="str">
            <v>6-Dec-2002</v>
          </cell>
          <cell r="C1636">
            <v>23</v>
          </cell>
          <cell r="D1636">
            <v>1</v>
          </cell>
          <cell r="E1636">
            <v>27724.29</v>
          </cell>
          <cell r="F1636" t="str">
            <v>tier - 1</v>
          </cell>
          <cell r="G1636" t="str">
            <v>tier - 3</v>
          </cell>
          <cell r="H1636" t="str">
            <v>R1013</v>
          </cell>
        </row>
        <row r="1637">
          <cell r="A1637" t="str">
            <v>ID367</v>
          </cell>
          <cell r="B1637" t="str">
            <v>3-Jul-1992</v>
          </cell>
          <cell r="C1637">
            <v>34</v>
          </cell>
          <cell r="D1637">
            <v>0</v>
          </cell>
          <cell r="E1637">
            <v>27696.11</v>
          </cell>
          <cell r="F1637" t="str">
            <v>tier - 1</v>
          </cell>
          <cell r="G1637" t="str">
            <v>tier - 2</v>
          </cell>
          <cell r="H1637" t="str">
            <v>R1011</v>
          </cell>
        </row>
        <row r="1638">
          <cell r="A1638" t="str">
            <v>ID368</v>
          </cell>
          <cell r="B1638" t="str">
            <v>7-Oct-1997</v>
          </cell>
          <cell r="C1638">
            <v>29</v>
          </cell>
          <cell r="D1638">
            <v>0</v>
          </cell>
          <cell r="E1638">
            <v>27625.17</v>
          </cell>
          <cell r="F1638" t="str">
            <v>tier - 1</v>
          </cell>
          <cell r="G1638" t="str">
            <v>tier - 1</v>
          </cell>
          <cell r="H1638" t="str">
            <v>R1011</v>
          </cell>
        </row>
        <row r="1639">
          <cell r="A1639" t="str">
            <v>ID369</v>
          </cell>
          <cell r="B1639" t="str">
            <v>9-Sep-1997</v>
          </cell>
          <cell r="C1639">
            <v>29</v>
          </cell>
          <cell r="D1639">
            <v>0</v>
          </cell>
          <cell r="E1639">
            <v>27619.360000000001</v>
          </cell>
          <cell r="F1639" t="str">
            <v>tier - 2</v>
          </cell>
          <cell r="G1639" t="str">
            <v>tier - 3</v>
          </cell>
          <cell r="H1639" t="str">
            <v>R1011</v>
          </cell>
        </row>
        <row r="1640">
          <cell r="A1640" t="str">
            <v>ID37</v>
          </cell>
          <cell r="B1640" t="str">
            <v>9-Aug-1974</v>
          </cell>
          <cell r="C1640">
            <v>52</v>
          </cell>
          <cell r="D1640">
            <v>2</v>
          </cell>
          <cell r="E1640">
            <v>45702.02</v>
          </cell>
          <cell r="F1640" t="str">
            <v>tier - 2</v>
          </cell>
          <cell r="G1640" t="str">
            <v>tier - 2</v>
          </cell>
          <cell r="H1640" t="str">
            <v>R1012</v>
          </cell>
        </row>
        <row r="1641">
          <cell r="A1641" t="str">
            <v>ID370</v>
          </cell>
          <cell r="B1641" t="str">
            <v>11-Jun-1992</v>
          </cell>
          <cell r="C1641">
            <v>34</v>
          </cell>
          <cell r="D1641">
            <v>0</v>
          </cell>
          <cell r="E1641">
            <v>27614.71</v>
          </cell>
          <cell r="F1641" t="str">
            <v>tier - 2</v>
          </cell>
          <cell r="G1641" t="str">
            <v>tier - 3</v>
          </cell>
          <cell r="H1641" t="str">
            <v>R1011</v>
          </cell>
        </row>
        <row r="1642">
          <cell r="A1642" t="str">
            <v>ID371</v>
          </cell>
          <cell r="B1642" t="str">
            <v>6-Nov-1985</v>
          </cell>
          <cell r="C1642">
            <v>40</v>
          </cell>
          <cell r="D1642">
            <v>3</v>
          </cell>
          <cell r="E1642">
            <v>27598.93</v>
          </cell>
          <cell r="F1642" t="str">
            <v>tier - 2</v>
          </cell>
          <cell r="G1642" t="str">
            <v>tier - 1</v>
          </cell>
          <cell r="H1642" t="str">
            <v>R1011</v>
          </cell>
        </row>
        <row r="1643">
          <cell r="A1643" t="str">
            <v>ID372</v>
          </cell>
          <cell r="B1643" t="str">
            <v>22-Jul-1984</v>
          </cell>
          <cell r="C1643">
            <v>42</v>
          </cell>
          <cell r="D1643">
            <v>3</v>
          </cell>
          <cell r="E1643">
            <v>27534.53</v>
          </cell>
          <cell r="F1643" t="str">
            <v>tier - 2</v>
          </cell>
          <cell r="G1643" t="str">
            <v>tier - 2</v>
          </cell>
          <cell r="H1643" t="str">
            <v>R1011</v>
          </cell>
        </row>
        <row r="1644">
          <cell r="A1644" t="str">
            <v>ID373</v>
          </cell>
          <cell r="B1644" t="str">
            <v>19-Oct-1965</v>
          </cell>
          <cell r="C1644">
            <v>60</v>
          </cell>
          <cell r="D1644">
            <v>0</v>
          </cell>
          <cell r="E1644">
            <v>27533.91</v>
          </cell>
          <cell r="F1644" t="str">
            <v>tier - 2</v>
          </cell>
          <cell r="G1644" t="str">
            <v>tier - 3</v>
          </cell>
          <cell r="H1644" t="str">
            <v>R1013</v>
          </cell>
        </row>
        <row r="1645">
          <cell r="A1645" t="str">
            <v>ID374</v>
          </cell>
          <cell r="B1645" t="str">
            <v>3-Oct-1981</v>
          </cell>
          <cell r="C1645">
            <v>45</v>
          </cell>
          <cell r="D1645">
            <v>1</v>
          </cell>
          <cell r="E1645">
            <v>27495.59</v>
          </cell>
          <cell r="F1645" t="str">
            <v>tier - 2</v>
          </cell>
          <cell r="G1645" t="str">
            <v>tier - 1</v>
          </cell>
          <cell r="H1645" t="str">
            <v>R1011</v>
          </cell>
        </row>
        <row r="1646">
          <cell r="A1646" t="str">
            <v>ID375</v>
          </cell>
          <cell r="B1646" t="str">
            <v>5-Dec-1985</v>
          </cell>
          <cell r="C1646">
            <v>40</v>
          </cell>
          <cell r="D1646">
            <v>3</v>
          </cell>
          <cell r="E1646">
            <v>27432.73</v>
          </cell>
          <cell r="F1646" t="str">
            <v>tier - 2</v>
          </cell>
          <cell r="G1646" t="str">
            <v>tier - 1</v>
          </cell>
          <cell r="H1646" t="str">
            <v>R1011</v>
          </cell>
        </row>
        <row r="1647">
          <cell r="A1647" t="str">
            <v>ID376</v>
          </cell>
          <cell r="B1647" t="str">
            <v>15-Sep-1988</v>
          </cell>
          <cell r="C1647">
            <v>38</v>
          </cell>
          <cell r="D1647">
            <v>2</v>
          </cell>
          <cell r="E1647">
            <v>27375.9</v>
          </cell>
          <cell r="F1647" t="str">
            <v>tier - 2</v>
          </cell>
          <cell r="G1647" t="str">
            <v>tier - 3</v>
          </cell>
          <cell r="H1647" t="str">
            <v>R1015</v>
          </cell>
        </row>
        <row r="1648">
          <cell r="A1648" t="str">
            <v>ID377</v>
          </cell>
          <cell r="B1648" t="str">
            <v>16-Oct-1969</v>
          </cell>
          <cell r="C1648">
            <v>57</v>
          </cell>
          <cell r="D1648">
            <v>0</v>
          </cell>
          <cell r="E1648">
            <v>27346.04</v>
          </cell>
          <cell r="F1648" t="str">
            <v>tier - 2</v>
          </cell>
          <cell r="G1648" t="str">
            <v>tier - 2</v>
          </cell>
          <cell r="H1648" t="str">
            <v>R1013</v>
          </cell>
        </row>
        <row r="1649">
          <cell r="A1649" t="str">
            <v>ID378</v>
          </cell>
          <cell r="B1649" t="str">
            <v>6-Jun-1968</v>
          </cell>
          <cell r="C1649">
            <v>58</v>
          </cell>
          <cell r="D1649">
            <v>3</v>
          </cell>
          <cell r="E1649">
            <v>27322.73</v>
          </cell>
          <cell r="F1649" t="str">
            <v>tier - 2</v>
          </cell>
          <cell r="G1649" t="str">
            <v>tier - 2</v>
          </cell>
          <cell r="H1649" t="str">
            <v>R1013</v>
          </cell>
        </row>
        <row r="1650">
          <cell r="A1650" t="str">
            <v>ID379</v>
          </cell>
          <cell r="B1650" t="str">
            <v>2-Dec-1999</v>
          </cell>
          <cell r="C1650">
            <v>26</v>
          </cell>
          <cell r="D1650">
            <v>0</v>
          </cell>
          <cell r="E1650">
            <v>27236.959999999999</v>
          </cell>
          <cell r="F1650" t="str">
            <v>tier - 2</v>
          </cell>
          <cell r="G1650" t="str">
            <v>tier - 1</v>
          </cell>
          <cell r="H1650" t="str">
            <v>R1011</v>
          </cell>
        </row>
        <row r="1651">
          <cell r="A1651" t="str">
            <v>ID38</v>
          </cell>
          <cell r="B1651" t="str">
            <v>17-Dec-1962</v>
          </cell>
          <cell r="C1651">
            <v>63</v>
          </cell>
          <cell r="D1651">
            <v>0</v>
          </cell>
          <cell r="E1651">
            <v>45008.959999999999</v>
          </cell>
          <cell r="F1651" t="str">
            <v>tier - 2</v>
          </cell>
          <cell r="G1651" t="str">
            <v>tier - 2</v>
          </cell>
          <cell r="H1651" t="str">
            <v>R1013</v>
          </cell>
        </row>
        <row r="1652">
          <cell r="A1652" t="str">
            <v>ID380</v>
          </cell>
          <cell r="B1652" t="str">
            <v>21-Dec-1965</v>
          </cell>
          <cell r="C1652">
            <v>60</v>
          </cell>
          <cell r="D1652">
            <v>0</v>
          </cell>
          <cell r="E1652">
            <v>27218.44</v>
          </cell>
          <cell r="F1652" t="str">
            <v>tier - 2</v>
          </cell>
          <cell r="G1652" t="str">
            <v>tier - 1</v>
          </cell>
          <cell r="H1652" t="str">
            <v>R1017</v>
          </cell>
        </row>
        <row r="1653">
          <cell r="A1653" t="str">
            <v>ID381</v>
          </cell>
          <cell r="B1653" t="str">
            <v>2-Oct-1970</v>
          </cell>
          <cell r="C1653">
            <v>56</v>
          </cell>
          <cell r="D1653">
            <v>0</v>
          </cell>
          <cell r="E1653">
            <v>27117.99</v>
          </cell>
          <cell r="F1653" t="str">
            <v>tier - 2</v>
          </cell>
          <cell r="G1653" t="str">
            <v>tier - 2</v>
          </cell>
          <cell r="H1653" t="str">
            <v>R1013</v>
          </cell>
        </row>
        <row r="1654">
          <cell r="A1654" t="str">
            <v>ID382</v>
          </cell>
          <cell r="B1654" t="str">
            <v>13-Dec-1990</v>
          </cell>
          <cell r="C1654">
            <v>35</v>
          </cell>
          <cell r="D1654">
            <v>3</v>
          </cell>
          <cell r="E1654">
            <v>27092.38</v>
          </cell>
          <cell r="F1654" t="str">
            <v>tier - 2</v>
          </cell>
          <cell r="G1654" t="str">
            <v>tier - 3</v>
          </cell>
          <cell r="H1654" t="str">
            <v>R1011</v>
          </cell>
        </row>
        <row r="1655">
          <cell r="A1655" t="str">
            <v>ID383</v>
          </cell>
          <cell r="B1655" t="str">
            <v>2-Jul-1994</v>
          </cell>
          <cell r="C1655">
            <v>32</v>
          </cell>
          <cell r="D1655">
            <v>0</v>
          </cell>
          <cell r="E1655">
            <v>27080.639999999999</v>
          </cell>
          <cell r="F1655" t="str">
            <v>tier - 2</v>
          </cell>
          <cell r="G1655" t="str">
            <v>tier - 2</v>
          </cell>
          <cell r="H1655" t="str">
            <v>R1011</v>
          </cell>
        </row>
        <row r="1656">
          <cell r="A1656" t="str">
            <v>ID384</v>
          </cell>
          <cell r="B1656" t="str">
            <v>30-Jun-1958</v>
          </cell>
          <cell r="C1656">
            <v>68</v>
          </cell>
          <cell r="D1656">
            <v>0</v>
          </cell>
          <cell r="E1656">
            <v>27037.91</v>
          </cell>
          <cell r="F1656" t="str">
            <v>tier - 2</v>
          </cell>
          <cell r="G1656" t="str">
            <v>tier - 2</v>
          </cell>
          <cell r="H1656" t="str">
            <v>R1013</v>
          </cell>
        </row>
        <row r="1657">
          <cell r="A1657" t="str">
            <v>ID385</v>
          </cell>
          <cell r="B1657" t="str">
            <v>9-Jul-1960</v>
          </cell>
          <cell r="C1657">
            <v>66</v>
          </cell>
          <cell r="D1657">
            <v>1</v>
          </cell>
          <cell r="E1657">
            <v>27000.98</v>
          </cell>
          <cell r="F1657" t="str">
            <v>tier - 2</v>
          </cell>
          <cell r="G1657" t="str">
            <v>tier - 2</v>
          </cell>
          <cell r="H1657" t="str">
            <v>R1013</v>
          </cell>
        </row>
        <row r="1658">
          <cell r="A1658" t="str">
            <v>ID386</v>
          </cell>
          <cell r="B1658" t="str">
            <v>9-Nov-2000</v>
          </cell>
          <cell r="C1658">
            <v>25</v>
          </cell>
          <cell r="D1658">
            <v>0</v>
          </cell>
          <cell r="E1658">
            <v>26936.98</v>
          </cell>
          <cell r="F1658" t="str">
            <v>tier - 2</v>
          </cell>
          <cell r="G1658" t="str">
            <v>tier - 3</v>
          </cell>
          <cell r="H1658" t="str">
            <v>R1011</v>
          </cell>
        </row>
        <row r="1659">
          <cell r="A1659" t="str">
            <v>ID387</v>
          </cell>
          <cell r="B1659" t="str">
            <v>17-Jun-2002</v>
          </cell>
          <cell r="C1659">
            <v>24</v>
          </cell>
          <cell r="D1659">
            <v>0</v>
          </cell>
          <cell r="E1659">
            <v>26927.69</v>
          </cell>
          <cell r="F1659" t="str">
            <v>tier - 2</v>
          </cell>
          <cell r="G1659" t="str">
            <v>tier - 2</v>
          </cell>
          <cell r="H1659" t="str">
            <v>R1011</v>
          </cell>
        </row>
        <row r="1660">
          <cell r="A1660" t="str">
            <v>ID388</v>
          </cell>
          <cell r="B1660" t="str">
            <v>25-Dec-1958</v>
          </cell>
          <cell r="C1660">
            <v>67</v>
          </cell>
          <cell r="D1660">
            <v>0</v>
          </cell>
          <cell r="E1660">
            <v>26926.51</v>
          </cell>
          <cell r="F1660" t="str">
            <v>tier - 2</v>
          </cell>
          <cell r="G1660" t="str">
            <v>tier - 1</v>
          </cell>
          <cell r="H1660" t="str">
            <v>R1013</v>
          </cell>
        </row>
        <row r="1661">
          <cell r="A1661" t="str">
            <v>ID389</v>
          </cell>
          <cell r="B1661" t="str">
            <v>22-Aug-1991</v>
          </cell>
          <cell r="C1661">
            <v>35</v>
          </cell>
          <cell r="D1661">
            <v>3</v>
          </cell>
          <cell r="E1661">
            <v>26912.560000000001</v>
          </cell>
          <cell r="F1661" t="str">
            <v>tier - 2</v>
          </cell>
          <cell r="G1661" t="str">
            <v>tier - 2</v>
          </cell>
          <cell r="H1661" t="str">
            <v>R1011</v>
          </cell>
        </row>
        <row r="1662">
          <cell r="A1662" t="str">
            <v>ID39</v>
          </cell>
          <cell r="B1662" t="str">
            <v>13-Aug-1971</v>
          </cell>
          <cell r="C1662">
            <v>55</v>
          </cell>
          <cell r="D1662">
            <v>2</v>
          </cell>
          <cell r="E1662">
            <v>44641.2</v>
          </cell>
          <cell r="F1662" t="str">
            <v>tier - 2</v>
          </cell>
          <cell r="G1662" t="str">
            <v>tier - 3</v>
          </cell>
          <cell r="H1662" t="str">
            <v>R1024</v>
          </cell>
        </row>
        <row r="1663">
          <cell r="A1663" t="str">
            <v>ID390</v>
          </cell>
          <cell r="B1663" t="str">
            <v>22-Jul-1988</v>
          </cell>
          <cell r="C1663">
            <v>38</v>
          </cell>
          <cell r="D1663">
            <v>3</v>
          </cell>
          <cell r="E1663">
            <v>26607.89</v>
          </cell>
          <cell r="F1663" t="str">
            <v>tier - 2</v>
          </cell>
          <cell r="G1663" t="str">
            <v>tier - 1</v>
          </cell>
          <cell r="H1663" t="str">
            <v>R1011</v>
          </cell>
        </row>
        <row r="1664">
          <cell r="A1664" t="str">
            <v>ID391</v>
          </cell>
          <cell r="B1664" t="str">
            <v>5-Sep-2004</v>
          </cell>
          <cell r="C1664">
            <v>22</v>
          </cell>
          <cell r="D1664">
            <v>0</v>
          </cell>
          <cell r="E1664">
            <v>26479.4</v>
          </cell>
          <cell r="F1664" t="str">
            <v>tier - 2</v>
          </cell>
          <cell r="G1664" t="str">
            <v>tier - 2</v>
          </cell>
          <cell r="H1664" t="str">
            <v>R1011</v>
          </cell>
        </row>
        <row r="1665">
          <cell r="A1665" t="str">
            <v>ID392</v>
          </cell>
          <cell r="B1665" t="str">
            <v>27-Aug-1970</v>
          </cell>
          <cell r="C1665">
            <v>56</v>
          </cell>
          <cell r="D1665">
            <v>2</v>
          </cell>
          <cell r="E1665">
            <v>26467.1</v>
          </cell>
          <cell r="F1665" t="str">
            <v>tier - 2</v>
          </cell>
          <cell r="G1665" t="str">
            <v>tier - 3</v>
          </cell>
          <cell r="H1665" t="str">
            <v>R1012</v>
          </cell>
        </row>
        <row r="1666">
          <cell r="A1666" t="str">
            <v>ID393</v>
          </cell>
          <cell r="B1666" t="str">
            <v>21-Sep-1974</v>
          </cell>
          <cell r="C1666">
            <v>52</v>
          </cell>
          <cell r="D1666">
            <v>1</v>
          </cell>
          <cell r="E1666">
            <v>26392.26</v>
          </cell>
          <cell r="F1666" t="str">
            <v>tier - 2</v>
          </cell>
          <cell r="G1666" t="str">
            <v>tier - 2</v>
          </cell>
          <cell r="H1666" t="str">
            <v>R1024</v>
          </cell>
        </row>
        <row r="1667">
          <cell r="A1667" t="str">
            <v>ID394</v>
          </cell>
          <cell r="B1667" t="str">
            <v>5-Dec-2004</v>
          </cell>
          <cell r="C1667">
            <v>21</v>
          </cell>
          <cell r="D1667">
            <v>0</v>
          </cell>
          <cell r="E1667">
            <v>26316.59</v>
          </cell>
          <cell r="F1667" t="str">
            <v>tier - 2</v>
          </cell>
          <cell r="G1667" t="str">
            <v>tier - 3</v>
          </cell>
          <cell r="H1667" t="str">
            <v>R1011</v>
          </cell>
        </row>
        <row r="1668">
          <cell r="A1668" t="str">
            <v>ID395</v>
          </cell>
          <cell r="B1668" t="str">
            <v>4-Jun-1975</v>
          </cell>
          <cell r="C1668">
            <v>51</v>
          </cell>
          <cell r="D1668">
            <v>1</v>
          </cell>
          <cell r="E1668">
            <v>26236.58</v>
          </cell>
          <cell r="F1668" t="str">
            <v>tier - 2</v>
          </cell>
          <cell r="G1668" t="str">
            <v>tier - 1</v>
          </cell>
          <cell r="H1668" t="str">
            <v>R1011</v>
          </cell>
        </row>
        <row r="1669">
          <cell r="A1669" t="str">
            <v>ID396</v>
          </cell>
          <cell r="B1669" t="str">
            <v>7-Jul-1973</v>
          </cell>
          <cell r="C1669">
            <v>53</v>
          </cell>
          <cell r="D1669">
            <v>1</v>
          </cell>
          <cell r="E1669">
            <v>26140.36</v>
          </cell>
          <cell r="F1669" t="str">
            <v>tier - 2</v>
          </cell>
          <cell r="G1669" t="str">
            <v>tier - 3</v>
          </cell>
          <cell r="H1669" t="str">
            <v>R1011</v>
          </cell>
        </row>
        <row r="1670">
          <cell r="A1670" t="str">
            <v>ID397</v>
          </cell>
          <cell r="B1670" t="str">
            <v>11-Oct-2002</v>
          </cell>
          <cell r="C1670">
            <v>24</v>
          </cell>
          <cell r="D1670">
            <v>0</v>
          </cell>
          <cell r="E1670">
            <v>26125.67</v>
          </cell>
          <cell r="F1670" t="str">
            <v>tier - 2</v>
          </cell>
          <cell r="G1670" t="str">
            <v>tier - 1</v>
          </cell>
          <cell r="H1670" t="str">
            <v>R1013</v>
          </cell>
        </row>
        <row r="1671">
          <cell r="A1671" t="str">
            <v>ID398</v>
          </cell>
          <cell r="B1671" t="str">
            <v>9-Jul-1966</v>
          </cell>
          <cell r="C1671">
            <v>60</v>
          </cell>
          <cell r="D1671">
            <v>1</v>
          </cell>
          <cell r="E1671">
            <v>26109.33</v>
          </cell>
          <cell r="F1671" t="str">
            <v>tier - 2</v>
          </cell>
          <cell r="G1671" t="str">
            <v>tier - 3</v>
          </cell>
          <cell r="H1671" t="str">
            <v>R1012</v>
          </cell>
        </row>
        <row r="1672">
          <cell r="A1672" t="str">
            <v>ID399</v>
          </cell>
          <cell r="B1672" t="str">
            <v>26-Dec-2000</v>
          </cell>
          <cell r="C1672">
            <v>25</v>
          </cell>
          <cell r="D1672">
            <v>0</v>
          </cell>
          <cell r="E1672">
            <v>26026.97</v>
          </cell>
          <cell r="F1672" t="str">
            <v>tier - 2</v>
          </cell>
          <cell r="G1672" t="str">
            <v>tier - 3</v>
          </cell>
          <cell r="H1672" t="str">
            <v>R1011</v>
          </cell>
        </row>
        <row r="1673">
          <cell r="A1673" t="str">
            <v>ID4</v>
          </cell>
          <cell r="B1673" t="str">
            <v>6-Jun-1991</v>
          </cell>
          <cell r="C1673">
            <v>35</v>
          </cell>
          <cell r="D1673">
            <v>1</v>
          </cell>
          <cell r="E1673">
            <v>58571.07</v>
          </cell>
          <cell r="F1673" t="str">
            <v>tier - 1</v>
          </cell>
          <cell r="G1673" t="str">
            <v>tier - 3</v>
          </cell>
          <cell r="H1673" t="str">
            <v>R1024</v>
          </cell>
        </row>
        <row r="1674">
          <cell r="A1674" t="str">
            <v>ID40</v>
          </cell>
          <cell r="B1674" t="str">
            <v>11-Oct-1993</v>
          </cell>
          <cell r="C1674">
            <v>33</v>
          </cell>
          <cell r="D1674">
            <v>2</v>
          </cell>
          <cell r="E1674">
            <v>44585.46</v>
          </cell>
          <cell r="F1674" t="str">
            <v>tier - 2</v>
          </cell>
          <cell r="G1674" t="str">
            <v>tier - 2</v>
          </cell>
          <cell r="H1674" t="str">
            <v>R1011</v>
          </cell>
        </row>
        <row r="1675">
          <cell r="A1675" t="str">
            <v>ID400</v>
          </cell>
          <cell r="B1675" t="str">
            <v>5-Jun-2001</v>
          </cell>
          <cell r="C1675">
            <v>25</v>
          </cell>
          <cell r="D1675">
            <v>2</v>
          </cell>
          <cell r="E1675">
            <v>26018.95</v>
          </cell>
          <cell r="F1675" t="str">
            <v>tier - 2</v>
          </cell>
          <cell r="G1675" t="str">
            <v>tier - 2</v>
          </cell>
          <cell r="H1675" t="str">
            <v>R1012</v>
          </cell>
        </row>
        <row r="1676">
          <cell r="A1676" t="str">
            <v>ID401</v>
          </cell>
          <cell r="B1676" t="str">
            <v>3-Dec-1970</v>
          </cell>
          <cell r="C1676">
            <v>55</v>
          </cell>
          <cell r="D1676">
            <v>3</v>
          </cell>
          <cell r="E1676">
            <v>25992.82</v>
          </cell>
          <cell r="F1676" t="str">
            <v>tier - 2</v>
          </cell>
          <cell r="G1676" t="str">
            <v>tier - 2</v>
          </cell>
          <cell r="H1676" t="str">
            <v>R1013</v>
          </cell>
        </row>
        <row r="1677">
          <cell r="A1677" t="str">
            <v>ID402</v>
          </cell>
          <cell r="B1677" t="str">
            <v>21-Aug-1963</v>
          </cell>
          <cell r="C1677">
            <v>63</v>
          </cell>
          <cell r="D1677">
            <v>0</v>
          </cell>
          <cell r="E1677">
            <v>25678.78</v>
          </cell>
          <cell r="F1677" t="str">
            <v>tier - 2</v>
          </cell>
          <cell r="G1677" t="str">
            <v>tier - 3</v>
          </cell>
          <cell r="H1677" t="str">
            <v>R1012</v>
          </cell>
        </row>
        <row r="1678">
          <cell r="A1678" t="str">
            <v>ID403</v>
          </cell>
          <cell r="B1678" t="str">
            <v>17-Jul-1972</v>
          </cell>
          <cell r="C1678">
            <v>54</v>
          </cell>
          <cell r="D1678">
            <v>0</v>
          </cell>
          <cell r="E1678">
            <v>25656.58</v>
          </cell>
          <cell r="F1678" t="str">
            <v>tier - 2</v>
          </cell>
          <cell r="G1678" t="str">
            <v>tier - 3</v>
          </cell>
          <cell r="H1678" t="str">
            <v>R1024</v>
          </cell>
        </row>
        <row r="1679">
          <cell r="A1679" t="str">
            <v>ID404</v>
          </cell>
          <cell r="B1679" t="str">
            <v>2-Aug-2001</v>
          </cell>
          <cell r="C1679">
            <v>25</v>
          </cell>
          <cell r="D1679">
            <v>0</v>
          </cell>
          <cell r="E1679">
            <v>25648.98</v>
          </cell>
          <cell r="F1679" t="str">
            <v>tier - 2</v>
          </cell>
          <cell r="G1679" t="str">
            <v>tier - 1</v>
          </cell>
          <cell r="H1679" t="str">
            <v>R1011</v>
          </cell>
        </row>
        <row r="1680">
          <cell r="A1680" t="str">
            <v>ID405</v>
          </cell>
          <cell r="B1680" t="str">
            <v>11-Dec-1968</v>
          </cell>
          <cell r="C1680">
            <v>57</v>
          </cell>
          <cell r="D1680">
            <v>1</v>
          </cell>
          <cell r="E1680">
            <v>25517.11</v>
          </cell>
          <cell r="F1680" t="str">
            <v>tier - 2</v>
          </cell>
          <cell r="G1680" t="str">
            <v>tier - 3</v>
          </cell>
          <cell r="H1680" t="str">
            <v>R1017</v>
          </cell>
        </row>
        <row r="1681">
          <cell r="A1681" t="str">
            <v>ID406</v>
          </cell>
          <cell r="B1681" t="str">
            <v>22-Aug-1968</v>
          </cell>
          <cell r="C1681">
            <v>58</v>
          </cell>
          <cell r="D1681">
            <v>3</v>
          </cell>
          <cell r="E1681">
            <v>25382.3</v>
          </cell>
          <cell r="F1681" t="str">
            <v>tier - 2</v>
          </cell>
          <cell r="G1681" t="str">
            <v>tier - 2</v>
          </cell>
          <cell r="H1681" t="str">
            <v>R1011</v>
          </cell>
        </row>
        <row r="1682">
          <cell r="A1682" t="str">
            <v>ID407</v>
          </cell>
          <cell r="B1682" t="str">
            <v>26-Sep-1972</v>
          </cell>
          <cell r="C1682">
            <v>54</v>
          </cell>
          <cell r="D1682">
            <v>2</v>
          </cell>
          <cell r="E1682">
            <v>25333.33</v>
          </cell>
          <cell r="F1682" t="str">
            <v>tier - 2</v>
          </cell>
          <cell r="G1682" t="str">
            <v>tier - 2</v>
          </cell>
          <cell r="H1682" t="str">
            <v>R1017</v>
          </cell>
        </row>
        <row r="1683">
          <cell r="A1683" t="str">
            <v>ID408</v>
          </cell>
          <cell r="B1683" t="str">
            <v>14-Dec-1975</v>
          </cell>
          <cell r="C1683">
            <v>50</v>
          </cell>
          <cell r="D1683">
            <v>3</v>
          </cell>
          <cell r="E1683">
            <v>25309.49</v>
          </cell>
          <cell r="F1683" t="str">
            <v>tier - 2</v>
          </cell>
          <cell r="G1683" t="str">
            <v>tier - 1</v>
          </cell>
          <cell r="H1683" t="str">
            <v>R1011</v>
          </cell>
        </row>
        <row r="1684">
          <cell r="A1684" t="str">
            <v>ID409</v>
          </cell>
          <cell r="B1684" t="str">
            <v>24-Nov-1998</v>
          </cell>
          <cell r="C1684">
            <v>27</v>
          </cell>
          <cell r="D1684">
            <v>0</v>
          </cell>
          <cell r="E1684">
            <v>25127.22</v>
          </cell>
          <cell r="F1684" t="str">
            <v>tier - 2</v>
          </cell>
          <cell r="G1684" t="str">
            <v>tier - 3</v>
          </cell>
          <cell r="H1684" t="str">
            <v>R1011</v>
          </cell>
        </row>
        <row r="1685">
          <cell r="A1685" t="str">
            <v>ID41</v>
          </cell>
          <cell r="B1685" t="str">
            <v>2-Aug-2000</v>
          </cell>
          <cell r="C1685">
            <v>26</v>
          </cell>
          <cell r="D1685">
            <v>1</v>
          </cell>
          <cell r="E1685">
            <v>44501.4</v>
          </cell>
          <cell r="F1685" t="str">
            <v>tier - 2</v>
          </cell>
          <cell r="G1685" t="str">
            <v>tier - 3</v>
          </cell>
          <cell r="H1685" t="str">
            <v>R1013</v>
          </cell>
        </row>
        <row r="1686">
          <cell r="A1686" t="str">
            <v>ID410</v>
          </cell>
          <cell r="B1686" t="str">
            <v>14-Jun-1998</v>
          </cell>
          <cell r="C1686">
            <v>28</v>
          </cell>
          <cell r="D1686">
            <v>0</v>
          </cell>
          <cell r="E1686">
            <v>25081.77</v>
          </cell>
          <cell r="F1686" t="str">
            <v>tier - 2</v>
          </cell>
          <cell r="G1686" t="str">
            <v>tier - 2</v>
          </cell>
          <cell r="H1686" t="str">
            <v>R1013</v>
          </cell>
        </row>
        <row r="1687">
          <cell r="A1687" t="str">
            <v>ID411</v>
          </cell>
          <cell r="B1687" t="str">
            <v>4-Dec-1995</v>
          </cell>
          <cell r="C1687">
            <v>30</v>
          </cell>
          <cell r="D1687">
            <v>0</v>
          </cell>
          <cell r="E1687">
            <v>25075.97</v>
          </cell>
          <cell r="F1687" t="str">
            <v>tier - 2</v>
          </cell>
          <cell r="G1687" t="str">
            <v>tier - 2</v>
          </cell>
          <cell r="H1687" t="str">
            <v>R1011</v>
          </cell>
        </row>
        <row r="1688">
          <cell r="A1688" t="str">
            <v>ID412</v>
          </cell>
          <cell r="B1688" t="str">
            <v>14-Nov-1975</v>
          </cell>
          <cell r="C1688">
            <v>50</v>
          </cell>
          <cell r="D1688">
            <v>3</v>
          </cell>
          <cell r="E1688">
            <v>24915.22</v>
          </cell>
          <cell r="F1688" t="str">
            <v>tier - 2</v>
          </cell>
          <cell r="G1688" t="str">
            <v>tier - 3</v>
          </cell>
          <cell r="H1688" t="str">
            <v>R1012</v>
          </cell>
        </row>
        <row r="1689">
          <cell r="A1689" t="str">
            <v>ID413</v>
          </cell>
          <cell r="B1689" t="str">
            <v>14-Jun-1987</v>
          </cell>
          <cell r="C1689">
            <v>39</v>
          </cell>
          <cell r="D1689">
            <v>2</v>
          </cell>
          <cell r="E1689">
            <v>24915.05</v>
          </cell>
          <cell r="F1689" t="str">
            <v>tier - 2</v>
          </cell>
          <cell r="G1689" t="str">
            <v>tier - 1</v>
          </cell>
          <cell r="H1689" t="str">
            <v>R1024</v>
          </cell>
        </row>
        <row r="1690">
          <cell r="A1690" t="str">
            <v>ID414</v>
          </cell>
          <cell r="B1690" t="str">
            <v>23-Jul-1969</v>
          </cell>
          <cell r="C1690">
            <v>57</v>
          </cell>
          <cell r="D1690">
            <v>3</v>
          </cell>
          <cell r="E1690">
            <v>24873.38</v>
          </cell>
          <cell r="F1690" t="str">
            <v>tier - 2</v>
          </cell>
          <cell r="G1690" t="str">
            <v>tier - 1</v>
          </cell>
          <cell r="H1690" t="str">
            <v>R1024</v>
          </cell>
        </row>
        <row r="1691">
          <cell r="A1691" t="str">
            <v>ID415</v>
          </cell>
          <cell r="B1691" t="str">
            <v>26-Nov-1970</v>
          </cell>
          <cell r="C1691">
            <v>55</v>
          </cell>
          <cell r="D1691">
            <v>3</v>
          </cell>
          <cell r="E1691">
            <v>24869.84</v>
          </cell>
          <cell r="F1691" t="str">
            <v>tier - 2</v>
          </cell>
          <cell r="G1691" t="str">
            <v>tier - 2</v>
          </cell>
          <cell r="H1691" t="str">
            <v>R1016</v>
          </cell>
        </row>
        <row r="1692">
          <cell r="A1692" t="str">
            <v>ID416</v>
          </cell>
          <cell r="B1692" t="str">
            <v>10-Jun-1995</v>
          </cell>
          <cell r="C1692">
            <v>31</v>
          </cell>
          <cell r="D1692">
            <v>0</v>
          </cell>
          <cell r="E1692">
            <v>24863.25</v>
          </cell>
          <cell r="F1692" t="str">
            <v>tier - 2</v>
          </cell>
          <cell r="G1692" t="str">
            <v>tier - 3</v>
          </cell>
          <cell r="H1692" t="str">
            <v>R1011</v>
          </cell>
        </row>
        <row r="1693">
          <cell r="A1693" t="str">
            <v>ID417</v>
          </cell>
          <cell r="B1693" t="str">
            <v>9-Sep-1994</v>
          </cell>
          <cell r="C1693">
            <v>32</v>
          </cell>
          <cell r="D1693">
            <v>0</v>
          </cell>
          <cell r="E1693">
            <v>24817.25</v>
          </cell>
          <cell r="F1693" t="str">
            <v>tier - 2</v>
          </cell>
          <cell r="G1693" t="str">
            <v>tier - 2</v>
          </cell>
          <cell r="H1693" t="str">
            <v>R1011</v>
          </cell>
        </row>
        <row r="1694">
          <cell r="A1694" t="str">
            <v>ID418</v>
          </cell>
          <cell r="B1694" t="str">
            <v>11-Oct-1992</v>
          </cell>
          <cell r="C1694">
            <v>34</v>
          </cell>
          <cell r="D1694">
            <v>0</v>
          </cell>
          <cell r="E1694">
            <v>24795.040000000001</v>
          </cell>
          <cell r="F1694" t="str">
            <v>tier - 2</v>
          </cell>
          <cell r="G1694" t="str">
            <v>tier - 3</v>
          </cell>
          <cell r="H1694" t="str">
            <v>R1011</v>
          </cell>
        </row>
        <row r="1695">
          <cell r="A1695" t="str">
            <v>ID419</v>
          </cell>
          <cell r="B1695" t="str">
            <v>28-Aug-1996</v>
          </cell>
          <cell r="C1695">
            <v>30</v>
          </cell>
          <cell r="D1695">
            <v>4</v>
          </cell>
          <cell r="E1695">
            <v>24671.66</v>
          </cell>
          <cell r="F1695" t="str">
            <v>tier - 2</v>
          </cell>
          <cell r="G1695" t="str">
            <v>tier - 1</v>
          </cell>
          <cell r="H1695" t="str">
            <v>R1024</v>
          </cell>
        </row>
        <row r="1696">
          <cell r="A1696" t="str">
            <v>ID42</v>
          </cell>
          <cell r="B1696" t="str">
            <v>14-Sep-1967</v>
          </cell>
          <cell r="C1696">
            <v>59</v>
          </cell>
          <cell r="D1696">
            <v>0</v>
          </cell>
          <cell r="E1696">
            <v>44423.8</v>
          </cell>
          <cell r="F1696" t="str">
            <v>tier - 2</v>
          </cell>
          <cell r="G1696" t="str">
            <v>tier - 3</v>
          </cell>
          <cell r="H1696" t="str">
            <v>R1013</v>
          </cell>
        </row>
        <row r="1697">
          <cell r="A1697" t="str">
            <v>ID420</v>
          </cell>
          <cell r="B1697" t="str">
            <v>12-Jun-1970</v>
          </cell>
          <cell r="C1697">
            <v>56</v>
          </cell>
          <cell r="D1697">
            <v>2</v>
          </cell>
          <cell r="E1697">
            <v>24667.42</v>
          </cell>
          <cell r="F1697" t="str">
            <v>tier - 2</v>
          </cell>
          <cell r="G1697" t="str">
            <v>tier - 3</v>
          </cell>
          <cell r="H1697" t="str">
            <v>R1013</v>
          </cell>
        </row>
        <row r="1698">
          <cell r="A1698" t="str">
            <v>ID421</v>
          </cell>
          <cell r="B1698" t="str">
            <v>12-Oct-1976</v>
          </cell>
          <cell r="C1698">
            <v>50</v>
          </cell>
          <cell r="D1698">
            <v>0</v>
          </cell>
          <cell r="E1698">
            <v>24603.05</v>
          </cell>
          <cell r="F1698" t="str">
            <v>tier - 2</v>
          </cell>
          <cell r="G1698" t="str">
            <v>tier - 2</v>
          </cell>
          <cell r="H1698" t="str">
            <v>R1011</v>
          </cell>
        </row>
        <row r="1699">
          <cell r="A1699" t="str">
            <v>ID422</v>
          </cell>
          <cell r="B1699" t="str">
            <v>13-Jun-1975</v>
          </cell>
          <cell r="C1699">
            <v>51</v>
          </cell>
          <cell r="D1699">
            <v>2</v>
          </cell>
          <cell r="E1699">
            <v>24535.7</v>
          </cell>
          <cell r="F1699" t="str">
            <v>tier - 2</v>
          </cell>
          <cell r="G1699" t="str">
            <v>tier - 2</v>
          </cell>
          <cell r="H1699" t="str">
            <v>R1012</v>
          </cell>
        </row>
        <row r="1700">
          <cell r="A1700" t="str">
            <v>ID423</v>
          </cell>
          <cell r="B1700" t="str">
            <v>14-Sep-1972</v>
          </cell>
          <cell r="C1700">
            <v>54</v>
          </cell>
          <cell r="D1700">
            <v>1</v>
          </cell>
          <cell r="E1700">
            <v>24520.26</v>
          </cell>
          <cell r="F1700" t="str">
            <v>tier - 2</v>
          </cell>
          <cell r="G1700" t="str">
            <v>tier - 3</v>
          </cell>
          <cell r="H1700" t="str">
            <v>R1011</v>
          </cell>
        </row>
        <row r="1701">
          <cell r="A1701" t="str">
            <v>ID424</v>
          </cell>
          <cell r="B1701" t="str">
            <v>21-Oct-1961</v>
          </cell>
          <cell r="C1701">
            <v>64</v>
          </cell>
          <cell r="D1701">
            <v>0</v>
          </cell>
          <cell r="E1701">
            <v>24513.09</v>
          </cell>
          <cell r="F1701" t="str">
            <v>tier - 2</v>
          </cell>
          <cell r="G1701" t="str">
            <v>tier - 2</v>
          </cell>
          <cell r="H1701" t="str">
            <v>R1013</v>
          </cell>
        </row>
        <row r="1702">
          <cell r="A1702" t="str">
            <v>ID425</v>
          </cell>
          <cell r="B1702" t="str">
            <v>6-Jul-1968</v>
          </cell>
          <cell r="C1702">
            <v>58</v>
          </cell>
          <cell r="D1702">
            <v>0</v>
          </cell>
          <cell r="E1702">
            <v>24476.48</v>
          </cell>
          <cell r="F1702" t="str">
            <v>tier - 2</v>
          </cell>
          <cell r="G1702" t="str">
            <v>tier - 2</v>
          </cell>
          <cell r="H1702" t="str">
            <v>R1012</v>
          </cell>
        </row>
        <row r="1703">
          <cell r="A1703" t="str">
            <v>ID426</v>
          </cell>
          <cell r="B1703" t="str">
            <v>30-Nov-1970</v>
          </cell>
          <cell r="C1703">
            <v>55</v>
          </cell>
          <cell r="D1703">
            <v>0</v>
          </cell>
          <cell r="E1703">
            <v>24393.62</v>
          </cell>
          <cell r="F1703" t="str">
            <v>tier - 2</v>
          </cell>
          <cell r="G1703" t="str">
            <v>tier - 3</v>
          </cell>
          <cell r="H1703" t="str">
            <v>R1012</v>
          </cell>
        </row>
        <row r="1704">
          <cell r="A1704" t="str">
            <v>ID427</v>
          </cell>
          <cell r="B1704" t="str">
            <v>7-Oct-1999</v>
          </cell>
          <cell r="C1704">
            <v>27</v>
          </cell>
          <cell r="D1704">
            <v>0</v>
          </cell>
          <cell r="E1704">
            <v>24387.74</v>
          </cell>
          <cell r="F1704" t="str">
            <v>tier - 2</v>
          </cell>
          <cell r="G1704" t="str">
            <v>tier - 1</v>
          </cell>
          <cell r="H1704" t="str">
            <v>R1011</v>
          </cell>
        </row>
        <row r="1705">
          <cell r="A1705" t="str">
            <v>ID428</v>
          </cell>
          <cell r="B1705" t="str">
            <v>3-Aug-2004</v>
          </cell>
          <cell r="C1705">
            <v>22</v>
          </cell>
          <cell r="D1705">
            <v>0</v>
          </cell>
          <cell r="E1705">
            <v>24294.02</v>
          </cell>
          <cell r="F1705" t="str">
            <v>tier - 2</v>
          </cell>
          <cell r="G1705" t="str">
            <v>tier - 1</v>
          </cell>
          <cell r="H1705" t="str">
            <v>R1011</v>
          </cell>
        </row>
        <row r="1706">
          <cell r="A1706" t="str">
            <v>ID429</v>
          </cell>
          <cell r="B1706" t="str">
            <v>16-Dec-1964</v>
          </cell>
          <cell r="C1706">
            <v>61</v>
          </cell>
          <cell r="D1706">
            <v>0</v>
          </cell>
          <cell r="E1706">
            <v>24227.34</v>
          </cell>
          <cell r="F1706" t="str">
            <v>tier - 2</v>
          </cell>
          <cell r="G1706" t="str">
            <v>tier - 1</v>
          </cell>
          <cell r="H1706" t="str">
            <v>R1013</v>
          </cell>
        </row>
        <row r="1707">
          <cell r="A1707" t="str">
            <v>ID43</v>
          </cell>
          <cell r="B1707" t="str">
            <v>29-Oct-1971</v>
          </cell>
          <cell r="C1707">
            <v>54</v>
          </cell>
          <cell r="D1707">
            <v>0</v>
          </cell>
          <cell r="E1707">
            <v>44400.41</v>
          </cell>
          <cell r="F1707" t="str">
            <v>tier - 2</v>
          </cell>
          <cell r="G1707" t="str">
            <v>tier - 2</v>
          </cell>
          <cell r="H1707" t="str">
            <v>R1013</v>
          </cell>
        </row>
        <row r="1708">
          <cell r="A1708" t="str">
            <v>ID430</v>
          </cell>
          <cell r="B1708" t="str">
            <v>10-Sep-1974</v>
          </cell>
          <cell r="C1708">
            <v>52</v>
          </cell>
          <cell r="D1708">
            <v>3</v>
          </cell>
          <cell r="E1708">
            <v>24180.93</v>
          </cell>
          <cell r="F1708" t="str">
            <v>tier - 2</v>
          </cell>
          <cell r="G1708" t="str">
            <v>tier - 1</v>
          </cell>
          <cell r="H1708" t="str">
            <v>R1013</v>
          </cell>
        </row>
        <row r="1709">
          <cell r="A1709" t="str">
            <v>ID431</v>
          </cell>
          <cell r="B1709" t="str">
            <v>13-Jun-1973</v>
          </cell>
          <cell r="C1709">
            <v>53</v>
          </cell>
          <cell r="D1709">
            <v>3</v>
          </cell>
          <cell r="E1709">
            <v>24106.91</v>
          </cell>
          <cell r="F1709" t="str">
            <v>tier - 2</v>
          </cell>
          <cell r="G1709" t="str">
            <v>tier - 2</v>
          </cell>
          <cell r="H1709" t="str">
            <v>R1024</v>
          </cell>
        </row>
        <row r="1710">
          <cell r="A1710" t="str">
            <v>ID432</v>
          </cell>
          <cell r="B1710" t="str">
            <v>30-Dec-2003</v>
          </cell>
          <cell r="C1710">
            <v>22</v>
          </cell>
          <cell r="D1710">
            <v>2</v>
          </cell>
          <cell r="E1710">
            <v>24059.68</v>
          </cell>
          <cell r="F1710" t="str">
            <v>tier - 2</v>
          </cell>
          <cell r="G1710" t="str">
            <v>tier - 2</v>
          </cell>
          <cell r="H1710" t="str">
            <v>R1012</v>
          </cell>
        </row>
        <row r="1711">
          <cell r="A1711" t="str">
            <v>ID433</v>
          </cell>
          <cell r="B1711" t="str">
            <v>10-Jul-1971</v>
          </cell>
          <cell r="C1711">
            <v>55</v>
          </cell>
          <cell r="D1711">
            <v>2</v>
          </cell>
          <cell r="E1711">
            <v>23967.38</v>
          </cell>
          <cell r="F1711" t="str">
            <v>tier - 2</v>
          </cell>
          <cell r="G1711" t="str">
            <v>tier - 2</v>
          </cell>
          <cell r="H1711" t="str">
            <v>R1012</v>
          </cell>
        </row>
        <row r="1712">
          <cell r="A1712" t="str">
            <v>ID434</v>
          </cell>
          <cell r="B1712" t="str">
            <v>8-Aug-1970</v>
          </cell>
          <cell r="C1712">
            <v>56</v>
          </cell>
          <cell r="D1712">
            <v>1</v>
          </cell>
          <cell r="E1712">
            <v>23887.66</v>
          </cell>
          <cell r="F1712" t="str">
            <v>tier - 2</v>
          </cell>
          <cell r="G1712" t="str">
            <v>tier - 3</v>
          </cell>
          <cell r="H1712" t="str">
            <v>R1012</v>
          </cell>
        </row>
        <row r="1713">
          <cell r="A1713" t="str">
            <v>ID435</v>
          </cell>
          <cell r="B1713" t="str">
            <v>27-Jun-1973</v>
          </cell>
          <cell r="C1713">
            <v>53</v>
          </cell>
          <cell r="D1713">
            <v>2</v>
          </cell>
          <cell r="E1713">
            <v>23807.24</v>
          </cell>
          <cell r="F1713" t="str">
            <v>tier - 2</v>
          </cell>
          <cell r="G1713" t="str">
            <v>tier - 3</v>
          </cell>
          <cell r="H1713" t="str">
            <v>R1012</v>
          </cell>
        </row>
        <row r="1714">
          <cell r="A1714" t="str">
            <v>ID436</v>
          </cell>
          <cell r="B1714" t="str">
            <v>2-Jun-1974</v>
          </cell>
          <cell r="C1714">
            <v>52</v>
          </cell>
          <cell r="D1714">
            <v>1</v>
          </cell>
          <cell r="E1714">
            <v>23568.27</v>
          </cell>
          <cell r="F1714" t="str">
            <v>tier - 2</v>
          </cell>
          <cell r="G1714" t="str">
            <v>tier - 2</v>
          </cell>
          <cell r="H1714" t="str">
            <v>R1011</v>
          </cell>
        </row>
        <row r="1715">
          <cell r="A1715" t="str">
            <v>ID437</v>
          </cell>
          <cell r="B1715" t="str">
            <v>26-Aug-1983</v>
          </cell>
          <cell r="C1715">
            <v>43</v>
          </cell>
          <cell r="D1715">
            <v>2</v>
          </cell>
          <cell r="E1715">
            <v>23563.02</v>
          </cell>
          <cell r="F1715" t="str">
            <v>tier - 2</v>
          </cell>
          <cell r="G1715" t="str">
            <v>tier - 2</v>
          </cell>
          <cell r="H1715" t="str">
            <v>R1013</v>
          </cell>
        </row>
        <row r="1716">
          <cell r="A1716" t="str">
            <v>ID438</v>
          </cell>
          <cell r="B1716" t="str">
            <v>13-Nov-1975</v>
          </cell>
          <cell r="C1716">
            <v>50</v>
          </cell>
          <cell r="D1716">
            <v>1</v>
          </cell>
          <cell r="E1716">
            <v>23401.31</v>
          </cell>
          <cell r="F1716" t="str">
            <v>tier - 2</v>
          </cell>
          <cell r="G1716" t="str">
            <v>tier - 3</v>
          </cell>
          <cell r="H1716" t="str">
            <v>R1024</v>
          </cell>
        </row>
        <row r="1717">
          <cell r="A1717" t="str">
            <v>ID439</v>
          </cell>
          <cell r="B1717" t="str">
            <v>22-Oct-1973</v>
          </cell>
          <cell r="C1717">
            <v>52</v>
          </cell>
          <cell r="D1717">
            <v>2</v>
          </cell>
          <cell r="E1717">
            <v>23306.55</v>
          </cell>
          <cell r="F1717" t="str">
            <v>tier - 2</v>
          </cell>
          <cell r="G1717" t="str">
            <v>tier - 2</v>
          </cell>
          <cell r="H1717" t="str">
            <v>R1011</v>
          </cell>
        </row>
        <row r="1718">
          <cell r="A1718" t="str">
            <v>ID44</v>
          </cell>
          <cell r="B1718" t="str">
            <v>24-Nov-1968</v>
          </cell>
          <cell r="C1718">
            <v>57</v>
          </cell>
          <cell r="D1718">
            <v>2</v>
          </cell>
          <cell r="E1718">
            <v>44260.75</v>
          </cell>
          <cell r="F1718" t="str">
            <v>tier - 2</v>
          </cell>
          <cell r="G1718" t="str">
            <v>tier - 1</v>
          </cell>
          <cell r="H1718" t="str">
            <v>R1013</v>
          </cell>
        </row>
        <row r="1719">
          <cell r="A1719" t="str">
            <v>ID440</v>
          </cell>
          <cell r="B1719" t="str">
            <v>3-Oct-1994</v>
          </cell>
          <cell r="C1719">
            <v>32</v>
          </cell>
          <cell r="D1719">
            <v>1</v>
          </cell>
          <cell r="E1719">
            <v>23288.93</v>
          </cell>
          <cell r="F1719" t="str">
            <v>tier - 2</v>
          </cell>
          <cell r="G1719" t="str">
            <v>tier - 3</v>
          </cell>
          <cell r="H1719" t="str">
            <v>R1024</v>
          </cell>
        </row>
        <row r="1720">
          <cell r="A1720" t="str">
            <v>ID441</v>
          </cell>
          <cell r="B1720" t="str">
            <v>14-Nov-1969</v>
          </cell>
          <cell r="C1720">
            <v>56</v>
          </cell>
          <cell r="D1720">
            <v>1</v>
          </cell>
          <cell r="E1720">
            <v>23244.79</v>
          </cell>
          <cell r="F1720" t="str">
            <v>tier - 2</v>
          </cell>
          <cell r="G1720" t="str">
            <v>tier - 3</v>
          </cell>
          <cell r="H1720" t="str">
            <v>R1013</v>
          </cell>
        </row>
        <row r="1721">
          <cell r="A1721" t="str">
            <v>ID442</v>
          </cell>
          <cell r="B1721" t="str">
            <v>7-Aug-1997</v>
          </cell>
          <cell r="C1721">
            <v>29</v>
          </cell>
          <cell r="D1721">
            <v>2</v>
          </cell>
          <cell r="E1721">
            <v>23241.47</v>
          </cell>
          <cell r="F1721" t="str">
            <v>tier - 2</v>
          </cell>
          <cell r="G1721" t="str">
            <v>tier - 3</v>
          </cell>
          <cell r="H1721" t="str">
            <v>R1018</v>
          </cell>
        </row>
        <row r="1722">
          <cell r="A1722" t="str">
            <v>ID443</v>
          </cell>
          <cell r="B1722" t="str">
            <v>14-Dec-2003</v>
          </cell>
          <cell r="C1722">
            <v>22</v>
          </cell>
          <cell r="D1722">
            <v>0</v>
          </cell>
          <cell r="E1722">
            <v>23082.959999999999</v>
          </cell>
          <cell r="F1722" t="str">
            <v>tier - 2</v>
          </cell>
          <cell r="G1722" t="str">
            <v>tier - 2</v>
          </cell>
          <cell r="H1722" t="str">
            <v>R1011</v>
          </cell>
        </row>
        <row r="1723">
          <cell r="A1723" t="str">
            <v>ID444</v>
          </cell>
          <cell r="B1723" t="str">
            <v>9-Sep-1975</v>
          </cell>
          <cell r="C1723">
            <v>51</v>
          </cell>
          <cell r="D1723">
            <v>0</v>
          </cell>
          <cell r="E1723">
            <v>23065.42</v>
          </cell>
          <cell r="F1723" t="str">
            <v>tier - 2</v>
          </cell>
          <cell r="G1723" t="str">
            <v>tier - 2</v>
          </cell>
          <cell r="H1723" t="str">
            <v>R1013</v>
          </cell>
        </row>
        <row r="1724">
          <cell r="A1724" t="str">
            <v>ID445</v>
          </cell>
          <cell r="B1724" t="str">
            <v>9-Nov-1970</v>
          </cell>
          <cell r="C1724">
            <v>55</v>
          </cell>
          <cell r="D1724">
            <v>0</v>
          </cell>
          <cell r="E1724">
            <v>23045.57</v>
          </cell>
          <cell r="F1724" t="str">
            <v>tier - 2</v>
          </cell>
          <cell r="G1724" t="str">
            <v>tier - 2</v>
          </cell>
          <cell r="H1724" t="str">
            <v>R1024</v>
          </cell>
        </row>
        <row r="1725">
          <cell r="A1725" t="str">
            <v>ID446</v>
          </cell>
          <cell r="B1725" t="str">
            <v>25-Jul-2003</v>
          </cell>
          <cell r="C1725">
            <v>23</v>
          </cell>
          <cell r="D1725">
            <v>2</v>
          </cell>
          <cell r="E1725">
            <v>22493.66</v>
          </cell>
          <cell r="F1725" t="str">
            <v>tier - 2</v>
          </cell>
          <cell r="G1725" t="str">
            <v>tier - 1</v>
          </cell>
          <cell r="H1725" t="str">
            <v>R1012</v>
          </cell>
        </row>
        <row r="1726">
          <cell r="A1726" t="str">
            <v>ID447</v>
          </cell>
          <cell r="B1726" t="str">
            <v>14-Nov-1979</v>
          </cell>
          <cell r="C1726">
            <v>46</v>
          </cell>
          <cell r="D1726">
            <v>2</v>
          </cell>
          <cell r="E1726">
            <v>22478.6</v>
          </cell>
          <cell r="F1726" t="str">
            <v>tier - 3</v>
          </cell>
          <cell r="G1726" t="str">
            <v>tier - 2</v>
          </cell>
          <cell r="H1726" t="str">
            <v>R1011</v>
          </cell>
        </row>
        <row r="1727">
          <cell r="A1727" t="str">
            <v>ID448</v>
          </cell>
          <cell r="B1727" t="str">
            <v>21-Dec-1983</v>
          </cell>
          <cell r="C1727">
            <v>42</v>
          </cell>
          <cell r="D1727">
            <v>1</v>
          </cell>
          <cell r="E1727">
            <v>22462.04</v>
          </cell>
          <cell r="F1727" t="str">
            <v>tier - 3</v>
          </cell>
          <cell r="G1727" t="str">
            <v>tier - 1</v>
          </cell>
          <cell r="H1727" t="str">
            <v>R1019</v>
          </cell>
        </row>
        <row r="1728">
          <cell r="A1728" t="str">
            <v>ID449</v>
          </cell>
          <cell r="B1728" t="str">
            <v>18-Aug-1966</v>
          </cell>
          <cell r="C1728">
            <v>60</v>
          </cell>
          <cell r="D1728">
            <v>0</v>
          </cell>
          <cell r="E1728">
            <v>22412.65</v>
          </cell>
          <cell r="F1728" t="str">
            <v>tier - 3</v>
          </cell>
          <cell r="G1728" t="str">
            <v>tier - 3</v>
          </cell>
          <cell r="H1728" t="str">
            <v>R1014</v>
          </cell>
        </row>
        <row r="1729">
          <cell r="A1729" t="str">
            <v>ID45</v>
          </cell>
          <cell r="B1729" t="str">
            <v>1-Jun-1975</v>
          </cell>
          <cell r="C1729">
            <v>51</v>
          </cell>
          <cell r="D1729">
            <v>2</v>
          </cell>
          <cell r="E1729">
            <v>44202.65</v>
          </cell>
          <cell r="F1729" t="str">
            <v>tier - 2</v>
          </cell>
          <cell r="G1729" t="str">
            <v>tier - 2</v>
          </cell>
          <cell r="H1729" t="str">
            <v>R1013</v>
          </cell>
        </row>
        <row r="1730">
          <cell r="A1730" t="str">
            <v>ID450</v>
          </cell>
          <cell r="B1730" t="str">
            <v>26-Aug-1999</v>
          </cell>
          <cell r="C1730">
            <v>27</v>
          </cell>
          <cell r="D1730">
            <v>2</v>
          </cell>
          <cell r="E1730">
            <v>22395.74</v>
          </cell>
          <cell r="F1730" t="str">
            <v>tier - 3</v>
          </cell>
          <cell r="G1730" t="str">
            <v>tier - 2</v>
          </cell>
          <cell r="H1730" t="str">
            <v>R1024</v>
          </cell>
        </row>
        <row r="1731">
          <cell r="A1731" t="str">
            <v>ID451</v>
          </cell>
          <cell r="B1731" t="str">
            <v>27-Dec-1982</v>
          </cell>
          <cell r="C1731">
            <v>43</v>
          </cell>
          <cell r="D1731">
            <v>1</v>
          </cell>
          <cell r="E1731">
            <v>22331.57</v>
          </cell>
          <cell r="F1731" t="str">
            <v>tier - 2</v>
          </cell>
          <cell r="G1731" t="str">
            <v>tier - 3</v>
          </cell>
          <cell r="H1731" t="str">
            <v>R1024</v>
          </cell>
        </row>
        <row r="1732">
          <cell r="A1732" t="str">
            <v>ID452</v>
          </cell>
          <cell r="B1732" t="str">
            <v>16-Jun-1971</v>
          </cell>
          <cell r="C1732">
            <v>55</v>
          </cell>
          <cell r="D1732">
            <v>1</v>
          </cell>
          <cell r="E1732">
            <v>22218.11</v>
          </cell>
          <cell r="F1732" t="str">
            <v>tier - 2</v>
          </cell>
          <cell r="G1732" t="str">
            <v>tier - 3</v>
          </cell>
          <cell r="H1732" t="str">
            <v>R1013</v>
          </cell>
        </row>
        <row r="1733">
          <cell r="A1733" t="str">
            <v>ID453</v>
          </cell>
          <cell r="B1733" t="str">
            <v>24-Aug-1965</v>
          </cell>
          <cell r="C1733">
            <v>61</v>
          </cell>
          <cell r="D1733">
            <v>1</v>
          </cell>
          <cell r="E1733">
            <v>22192.44</v>
          </cell>
          <cell r="F1733" t="str">
            <v>tier - 3</v>
          </cell>
          <cell r="G1733" t="str">
            <v>tier - 1</v>
          </cell>
          <cell r="H1733" t="str">
            <v>R1013</v>
          </cell>
        </row>
        <row r="1734">
          <cell r="A1734" t="str">
            <v>ID454</v>
          </cell>
          <cell r="B1734" t="str">
            <v>12-Sep-1980</v>
          </cell>
          <cell r="C1734">
            <v>46</v>
          </cell>
          <cell r="D1734">
            <v>0</v>
          </cell>
          <cell r="E1734">
            <v>22144.03</v>
          </cell>
          <cell r="F1734" t="str">
            <v>tier - 2</v>
          </cell>
          <cell r="G1734" t="str">
            <v>tier - 2</v>
          </cell>
          <cell r="H1734" t="str">
            <v>R1011</v>
          </cell>
        </row>
        <row r="1735">
          <cell r="A1735" t="str">
            <v>ID455</v>
          </cell>
          <cell r="B1735" t="str">
            <v>28-Aug-2001</v>
          </cell>
          <cell r="C1735">
            <v>25</v>
          </cell>
          <cell r="D1735">
            <v>0</v>
          </cell>
          <cell r="E1735">
            <v>22097.62</v>
          </cell>
          <cell r="F1735" t="str">
            <v>tier - 3</v>
          </cell>
          <cell r="G1735" t="str">
            <v>tier - 1</v>
          </cell>
          <cell r="H1735" t="str">
            <v>R1011</v>
          </cell>
        </row>
        <row r="1736">
          <cell r="A1736" t="str">
            <v>ID456</v>
          </cell>
          <cell r="B1736" t="str">
            <v>14-Oct-1989</v>
          </cell>
          <cell r="C1736">
            <v>37</v>
          </cell>
          <cell r="D1736">
            <v>0</v>
          </cell>
          <cell r="E1736">
            <v>21984.47</v>
          </cell>
          <cell r="F1736" t="str">
            <v>tier - 3</v>
          </cell>
          <cell r="G1736" t="str">
            <v>tier - 1</v>
          </cell>
          <cell r="H1736" t="str">
            <v>R1012</v>
          </cell>
        </row>
        <row r="1737">
          <cell r="A1737" t="str">
            <v>ID457</v>
          </cell>
          <cell r="B1737" t="str">
            <v>19-Dec-1975</v>
          </cell>
          <cell r="C1737">
            <v>50</v>
          </cell>
          <cell r="D1737">
            <v>1</v>
          </cell>
          <cell r="E1737">
            <v>21978.68</v>
          </cell>
          <cell r="F1737" t="str">
            <v>tier - 3</v>
          </cell>
          <cell r="G1737" t="str">
            <v>tier - 3</v>
          </cell>
          <cell r="H1737" t="str">
            <v>R1013</v>
          </cell>
        </row>
        <row r="1738">
          <cell r="A1738" t="str">
            <v>ID458</v>
          </cell>
          <cell r="B1738" t="str">
            <v>28-Sep-2003</v>
          </cell>
          <cell r="C1738">
            <v>23</v>
          </cell>
          <cell r="D1738">
            <v>0</v>
          </cell>
          <cell r="E1738">
            <v>21882.400000000001</v>
          </cell>
          <cell r="F1738" t="str">
            <v>tier - 2</v>
          </cell>
          <cell r="G1738" t="str">
            <v>tier - 1</v>
          </cell>
          <cell r="H1738" t="str">
            <v>R1011</v>
          </cell>
        </row>
        <row r="1739">
          <cell r="A1739" t="str">
            <v>ID459</v>
          </cell>
          <cell r="B1739" t="str">
            <v>17-Aug-1979</v>
          </cell>
          <cell r="C1739">
            <v>47</v>
          </cell>
          <cell r="D1739">
            <v>2</v>
          </cell>
          <cell r="E1739">
            <v>21880.82</v>
          </cell>
          <cell r="F1739" t="str">
            <v>tier - 3</v>
          </cell>
          <cell r="G1739" t="str">
            <v>tier - 1</v>
          </cell>
          <cell r="H1739" t="str">
            <v>R1012</v>
          </cell>
        </row>
        <row r="1740">
          <cell r="A1740" t="str">
            <v>ID46</v>
          </cell>
          <cell r="B1740" t="str">
            <v>16-Jul-1988</v>
          </cell>
          <cell r="C1740">
            <v>38</v>
          </cell>
          <cell r="D1740">
            <v>1</v>
          </cell>
          <cell r="E1740">
            <v>43943.88</v>
          </cell>
          <cell r="F1740" t="str">
            <v>tier - 2</v>
          </cell>
          <cell r="G1740" t="str">
            <v>tier - 1</v>
          </cell>
          <cell r="H1740" t="str">
            <v>R1012</v>
          </cell>
        </row>
        <row r="1741">
          <cell r="A1741" t="str">
            <v>ID460</v>
          </cell>
          <cell r="B1741" t="str">
            <v>27-Aug-1963</v>
          </cell>
          <cell r="C1741">
            <v>63</v>
          </cell>
          <cell r="D1741">
            <v>0</v>
          </cell>
          <cell r="E1741">
            <v>21797</v>
          </cell>
          <cell r="F1741" t="str">
            <v>tier - 3</v>
          </cell>
          <cell r="G1741" t="str">
            <v>tier - 1</v>
          </cell>
          <cell r="H1741" t="str">
            <v>R1011</v>
          </cell>
        </row>
        <row r="1742">
          <cell r="A1742" t="str">
            <v>ID461</v>
          </cell>
          <cell r="B1742" t="str">
            <v>28-Sep-1979</v>
          </cell>
          <cell r="C1742">
            <v>47</v>
          </cell>
          <cell r="D1742">
            <v>0</v>
          </cell>
          <cell r="E1742">
            <v>21774.32</v>
          </cell>
          <cell r="F1742" t="str">
            <v>tier - 3</v>
          </cell>
          <cell r="G1742" t="str">
            <v>tier - 2</v>
          </cell>
          <cell r="H1742" t="str">
            <v>R1012</v>
          </cell>
        </row>
        <row r="1743">
          <cell r="A1743" t="str">
            <v>ID462</v>
          </cell>
          <cell r="B1743" t="str">
            <v>20-Sep-1979</v>
          </cell>
          <cell r="C1743">
            <v>47</v>
          </cell>
          <cell r="D1743">
            <v>1</v>
          </cell>
          <cell r="E1743">
            <v>21771.34</v>
          </cell>
          <cell r="F1743" t="str">
            <v>tier - 3</v>
          </cell>
          <cell r="G1743" t="str">
            <v>tier - 1</v>
          </cell>
          <cell r="H1743" t="str">
            <v>R1024</v>
          </cell>
        </row>
        <row r="1744">
          <cell r="A1744" t="str">
            <v>ID463</v>
          </cell>
          <cell r="B1744" t="str">
            <v>18-Jul-1976</v>
          </cell>
          <cell r="C1744">
            <v>50</v>
          </cell>
          <cell r="D1744">
            <v>1</v>
          </cell>
          <cell r="E1744">
            <v>21677.279999999999</v>
          </cell>
          <cell r="F1744" t="str">
            <v>tier - 3</v>
          </cell>
          <cell r="G1744" t="str">
            <v>tier - 1</v>
          </cell>
          <cell r="H1744" t="str">
            <v>R1012</v>
          </cell>
        </row>
        <row r="1745">
          <cell r="A1745" t="str">
            <v>ID464</v>
          </cell>
          <cell r="B1745" t="str">
            <v>16-Nov-1962</v>
          </cell>
          <cell r="C1745">
            <v>63</v>
          </cell>
          <cell r="D1745">
            <v>0</v>
          </cell>
          <cell r="E1745">
            <v>21661.16</v>
          </cell>
          <cell r="F1745" t="str">
            <v>tier - 2</v>
          </cell>
          <cell r="G1745" t="str">
            <v>tier - 2</v>
          </cell>
          <cell r="H1745" t="str">
            <v>R1012</v>
          </cell>
        </row>
        <row r="1746">
          <cell r="A1746" t="str">
            <v>ID465</v>
          </cell>
          <cell r="B1746" t="str">
            <v>25-Dec-1983</v>
          </cell>
          <cell r="C1746">
            <v>42</v>
          </cell>
          <cell r="D1746">
            <v>3</v>
          </cell>
          <cell r="E1746">
            <v>21659.93</v>
          </cell>
          <cell r="F1746" t="str">
            <v>tier - 3</v>
          </cell>
          <cell r="G1746" t="str">
            <v>tier - 3</v>
          </cell>
          <cell r="H1746" t="str">
            <v>R1024</v>
          </cell>
        </row>
        <row r="1747">
          <cell r="A1747" t="str">
            <v>ID466</v>
          </cell>
          <cell r="B1747" t="str">
            <v>12-Jun-1999</v>
          </cell>
          <cell r="C1747">
            <v>27</v>
          </cell>
          <cell r="D1747">
            <v>0</v>
          </cell>
          <cell r="E1747">
            <v>21595.38</v>
          </cell>
          <cell r="F1747" t="str">
            <v>tier - 2</v>
          </cell>
          <cell r="G1747" t="str">
            <v>tier - 3</v>
          </cell>
          <cell r="H1747" t="str">
            <v>R1012</v>
          </cell>
        </row>
        <row r="1748">
          <cell r="A1748" t="str">
            <v>ID467</v>
          </cell>
          <cell r="B1748" t="str">
            <v>21-Nov-1990</v>
          </cell>
          <cell r="C1748">
            <v>35</v>
          </cell>
          <cell r="D1748">
            <v>4</v>
          </cell>
          <cell r="E1748">
            <v>21472.48</v>
          </cell>
          <cell r="F1748" t="str">
            <v>tier - 2</v>
          </cell>
          <cell r="G1748" t="str">
            <v>tier - 2</v>
          </cell>
          <cell r="H1748" t="str">
            <v>R1012</v>
          </cell>
        </row>
        <row r="1749">
          <cell r="A1749" t="str">
            <v>ID468</v>
          </cell>
          <cell r="B1749" t="str">
            <v>4-Sep-1980</v>
          </cell>
          <cell r="C1749">
            <v>46</v>
          </cell>
          <cell r="D1749">
            <v>0</v>
          </cell>
          <cell r="E1749">
            <v>21348.71</v>
          </cell>
          <cell r="F1749" t="str">
            <v>tier - 2</v>
          </cell>
          <cell r="G1749" t="str">
            <v>tier - 1</v>
          </cell>
          <cell r="H1749" t="str">
            <v>R1012</v>
          </cell>
        </row>
        <row r="1750">
          <cell r="A1750" t="str">
            <v>ID469</v>
          </cell>
          <cell r="B1750" t="str">
            <v>4-Aug-2004</v>
          </cell>
          <cell r="C1750">
            <v>22</v>
          </cell>
          <cell r="D1750">
            <v>0</v>
          </cell>
          <cell r="E1750">
            <v>21344.85</v>
          </cell>
          <cell r="F1750" t="str">
            <v>tier - 3</v>
          </cell>
          <cell r="G1750" t="str">
            <v>tier - 1</v>
          </cell>
          <cell r="H1750" t="str">
            <v>R1024</v>
          </cell>
        </row>
        <row r="1751">
          <cell r="A1751" t="str">
            <v>ID47</v>
          </cell>
          <cell r="B1751" t="str">
            <v>5-Oct-1966</v>
          </cell>
          <cell r="C1751">
            <v>60</v>
          </cell>
          <cell r="D1751">
            <v>0</v>
          </cell>
          <cell r="E1751">
            <v>43921.18</v>
          </cell>
          <cell r="F1751" t="str">
            <v>tier - 2</v>
          </cell>
          <cell r="G1751" t="str">
            <v>tier - 2</v>
          </cell>
          <cell r="H1751" t="str">
            <v>R1012</v>
          </cell>
        </row>
        <row r="1752">
          <cell r="A1752" t="str">
            <v>ID470</v>
          </cell>
          <cell r="B1752" t="str">
            <v>10-Dec-1980</v>
          </cell>
          <cell r="C1752">
            <v>45</v>
          </cell>
          <cell r="D1752">
            <v>2</v>
          </cell>
          <cell r="E1752">
            <v>21259.38</v>
          </cell>
          <cell r="F1752" t="str">
            <v>tier - 3</v>
          </cell>
          <cell r="G1752" t="str">
            <v>tier - 3</v>
          </cell>
          <cell r="H1752" t="str">
            <v>R1019</v>
          </cell>
        </row>
        <row r="1753">
          <cell r="A1753" t="str">
            <v>ID471</v>
          </cell>
          <cell r="B1753" t="str">
            <v>3-Sep-1974</v>
          </cell>
          <cell r="C1753">
            <v>52</v>
          </cell>
          <cell r="D1753">
            <v>0</v>
          </cell>
          <cell r="E1753">
            <v>21232.18</v>
          </cell>
          <cell r="F1753" t="str">
            <v>tier - 3</v>
          </cell>
          <cell r="G1753" t="str">
            <v>tier - 2</v>
          </cell>
          <cell r="H1753" t="str">
            <v>R1011</v>
          </cell>
        </row>
        <row r="1754">
          <cell r="A1754" t="str">
            <v>ID472</v>
          </cell>
          <cell r="B1754" t="str">
            <v>14-Oct-1974</v>
          </cell>
          <cell r="C1754">
            <v>52</v>
          </cell>
          <cell r="D1754">
            <v>0</v>
          </cell>
          <cell r="E1754">
            <v>21223.68</v>
          </cell>
          <cell r="F1754" t="str">
            <v>tier - 3</v>
          </cell>
          <cell r="G1754" t="str">
            <v>tier - 2</v>
          </cell>
          <cell r="H1754" t="str">
            <v>R1013</v>
          </cell>
        </row>
        <row r="1755">
          <cell r="A1755" t="str">
            <v>ID473</v>
          </cell>
          <cell r="B1755" t="str">
            <v>26-Aug-1969</v>
          </cell>
          <cell r="C1755">
            <v>57</v>
          </cell>
          <cell r="D1755">
            <v>0</v>
          </cell>
          <cell r="E1755">
            <v>21195.82</v>
          </cell>
          <cell r="F1755" t="str">
            <v>tier - 3</v>
          </cell>
          <cell r="G1755" t="str">
            <v>tier - 1</v>
          </cell>
          <cell r="H1755" t="str">
            <v>R1013</v>
          </cell>
        </row>
        <row r="1756">
          <cell r="A1756" t="str">
            <v>ID474</v>
          </cell>
          <cell r="B1756" t="str">
            <v>23-Nov-1977</v>
          </cell>
          <cell r="C1756">
            <v>48</v>
          </cell>
          <cell r="D1756">
            <v>2</v>
          </cell>
          <cell r="E1756">
            <v>21098.55</v>
          </cell>
          <cell r="F1756" t="str">
            <v>tier - 3</v>
          </cell>
          <cell r="G1756" t="str">
            <v>tier - 3</v>
          </cell>
          <cell r="H1756" t="str">
            <v>R1012</v>
          </cell>
        </row>
        <row r="1757">
          <cell r="A1757" t="str">
            <v>ID475</v>
          </cell>
          <cell r="B1757" t="str">
            <v>2-Jul-1983</v>
          </cell>
          <cell r="C1757">
            <v>43</v>
          </cell>
          <cell r="D1757">
            <v>1</v>
          </cell>
          <cell r="E1757">
            <v>21082.16</v>
          </cell>
          <cell r="F1757" t="str">
            <v>tier - 3</v>
          </cell>
          <cell r="G1757" t="str">
            <v>tier - 2</v>
          </cell>
          <cell r="H1757" t="str">
            <v>R1011</v>
          </cell>
        </row>
        <row r="1758">
          <cell r="A1758" t="str">
            <v>ID476</v>
          </cell>
          <cell r="B1758" t="str">
            <v>19-Nov-1964</v>
          </cell>
          <cell r="C1758">
            <v>61</v>
          </cell>
          <cell r="D1758">
            <v>0</v>
          </cell>
          <cell r="E1758">
            <v>20893.060000000001</v>
          </cell>
          <cell r="F1758" t="str">
            <v>tier - 2</v>
          </cell>
          <cell r="G1758" t="str">
            <v>tier - 3</v>
          </cell>
          <cell r="H1758" t="str">
            <v>R1012</v>
          </cell>
        </row>
        <row r="1759">
          <cell r="A1759" t="str">
            <v>ID477</v>
          </cell>
          <cell r="B1759" t="str">
            <v>8-Dec-1975</v>
          </cell>
          <cell r="C1759">
            <v>50</v>
          </cell>
          <cell r="D1759">
            <v>0</v>
          </cell>
          <cell r="E1759">
            <v>20878.78</v>
          </cell>
          <cell r="F1759" t="str">
            <v>tier - 2</v>
          </cell>
          <cell r="G1759" t="str">
            <v>tier - 1</v>
          </cell>
          <cell r="H1759" t="str">
            <v>R1024</v>
          </cell>
        </row>
        <row r="1760">
          <cell r="A1760" t="str">
            <v>ID478</v>
          </cell>
          <cell r="B1760" t="str">
            <v>8-Sep-1967</v>
          </cell>
          <cell r="C1760">
            <v>59</v>
          </cell>
          <cell r="D1760">
            <v>0</v>
          </cell>
          <cell r="E1760">
            <v>20781.490000000002</v>
          </cell>
          <cell r="F1760" t="str">
            <v>tier - 2</v>
          </cell>
          <cell r="G1760" t="str">
            <v>tier - 3</v>
          </cell>
          <cell r="H1760" t="str">
            <v>R1013</v>
          </cell>
        </row>
        <row r="1761">
          <cell r="A1761" t="str">
            <v>ID479</v>
          </cell>
          <cell r="B1761" t="str">
            <v>4-Aug-1986</v>
          </cell>
          <cell r="C1761">
            <v>40</v>
          </cell>
          <cell r="D1761">
            <v>1</v>
          </cell>
          <cell r="E1761">
            <v>20773.63</v>
          </cell>
          <cell r="F1761" t="str">
            <v>tier - 2</v>
          </cell>
          <cell r="G1761" t="str">
            <v>tier - 3</v>
          </cell>
          <cell r="H1761" t="str">
            <v>R1017</v>
          </cell>
        </row>
        <row r="1762">
          <cell r="A1762" t="str">
            <v>ID48</v>
          </cell>
          <cell r="B1762" t="str">
            <v>10-Nov-1980</v>
          </cell>
          <cell r="C1762">
            <v>45</v>
          </cell>
          <cell r="D1762">
            <v>2</v>
          </cell>
          <cell r="E1762">
            <v>43896.38</v>
          </cell>
          <cell r="F1762" t="str">
            <v>tier - 2</v>
          </cell>
          <cell r="G1762" t="str">
            <v>tier - 1</v>
          </cell>
          <cell r="H1762" t="str">
            <v>R1013</v>
          </cell>
        </row>
        <row r="1763">
          <cell r="A1763" t="str">
            <v>ID480</v>
          </cell>
          <cell r="B1763" t="str">
            <v>14-Sep-1992</v>
          </cell>
          <cell r="C1763">
            <v>34</v>
          </cell>
          <cell r="D1763">
            <v>3</v>
          </cell>
          <cell r="E1763">
            <v>20745.990000000002</v>
          </cell>
          <cell r="F1763" t="str">
            <v>tier - 3</v>
          </cell>
          <cell r="G1763" t="str">
            <v>tier - 1</v>
          </cell>
          <cell r="H1763" t="str">
            <v>R1012</v>
          </cell>
        </row>
        <row r="1764">
          <cell r="A1764" t="str">
            <v>ID481</v>
          </cell>
          <cell r="B1764" t="str">
            <v>1-Aug-1965</v>
          </cell>
          <cell r="C1764">
            <v>61</v>
          </cell>
          <cell r="D1764">
            <v>0</v>
          </cell>
          <cell r="E1764">
            <v>20709.02</v>
          </cell>
          <cell r="F1764" t="str">
            <v>tier - 3</v>
          </cell>
          <cell r="G1764" t="str">
            <v>tier - 2</v>
          </cell>
          <cell r="H1764" t="str">
            <v>R1019</v>
          </cell>
        </row>
        <row r="1765">
          <cell r="A1765" t="str">
            <v>ID482</v>
          </cell>
          <cell r="B1765" t="str">
            <v>17-Dec-1967</v>
          </cell>
          <cell r="C1765">
            <v>58</v>
          </cell>
          <cell r="D1765">
            <v>0</v>
          </cell>
          <cell r="E1765">
            <v>20630.28</v>
          </cell>
          <cell r="F1765" t="str">
            <v>tier - 2</v>
          </cell>
          <cell r="G1765" t="str">
            <v>tier - 3</v>
          </cell>
          <cell r="H1765" t="str">
            <v>R1011</v>
          </cell>
        </row>
        <row r="1766">
          <cell r="A1766" t="str">
            <v>ID483</v>
          </cell>
          <cell r="B1766" t="str">
            <v>9-Jul-1966</v>
          </cell>
          <cell r="C1766">
            <v>60</v>
          </cell>
          <cell r="D1766">
            <v>0</v>
          </cell>
          <cell r="E1766">
            <v>20568.32</v>
          </cell>
          <cell r="F1766" t="str">
            <v>tier - 3</v>
          </cell>
          <cell r="G1766" t="str">
            <v>tier - 2</v>
          </cell>
          <cell r="H1766" t="str">
            <v>R1012</v>
          </cell>
        </row>
        <row r="1767">
          <cell r="A1767" t="str">
            <v>ID484</v>
          </cell>
          <cell r="B1767" t="str">
            <v>13-Oct-1969</v>
          </cell>
          <cell r="C1767">
            <v>57</v>
          </cell>
          <cell r="D1767">
            <v>3</v>
          </cell>
          <cell r="E1767">
            <v>20463</v>
          </cell>
          <cell r="F1767" t="str">
            <v>tier - 2</v>
          </cell>
          <cell r="G1767" t="str">
            <v>tier - 2</v>
          </cell>
          <cell r="H1767" t="str">
            <v>R1013</v>
          </cell>
        </row>
        <row r="1768">
          <cell r="A1768" t="str">
            <v>ID485</v>
          </cell>
          <cell r="B1768" t="str">
            <v>18-Oct-1962</v>
          </cell>
          <cell r="C1768">
            <v>64</v>
          </cell>
          <cell r="D1768">
            <v>0</v>
          </cell>
          <cell r="E1768">
            <v>20446.849999999999</v>
          </cell>
          <cell r="F1768" t="str">
            <v>tier - 2</v>
          </cell>
          <cell r="G1768" t="str">
            <v>tier - 1</v>
          </cell>
          <cell r="H1768" t="str">
            <v>R1012</v>
          </cell>
        </row>
        <row r="1769">
          <cell r="A1769" t="str">
            <v>ID486</v>
          </cell>
          <cell r="B1769" t="str">
            <v>12-Jul-1985</v>
          </cell>
          <cell r="C1769">
            <v>41</v>
          </cell>
          <cell r="D1769">
            <v>0</v>
          </cell>
          <cell r="E1769">
            <v>20420.599999999999</v>
          </cell>
          <cell r="F1769" t="str">
            <v>tier - 3</v>
          </cell>
          <cell r="G1769" t="str">
            <v>tier - 2</v>
          </cell>
          <cell r="H1769" t="str">
            <v>R1011</v>
          </cell>
        </row>
        <row r="1770">
          <cell r="A1770" t="str">
            <v>ID487</v>
          </cell>
          <cell r="B1770" t="str">
            <v>2-Jul-1962</v>
          </cell>
          <cell r="C1770">
            <v>64</v>
          </cell>
          <cell r="D1770">
            <v>0</v>
          </cell>
          <cell r="E1770">
            <v>20354.5</v>
          </cell>
          <cell r="F1770" t="str">
            <v>tier - 3</v>
          </cell>
          <cell r="G1770" t="str">
            <v>tier - 2</v>
          </cell>
          <cell r="H1770" t="str">
            <v>R1026</v>
          </cell>
        </row>
        <row r="1771">
          <cell r="A1771" t="str">
            <v>ID488</v>
          </cell>
          <cell r="B1771" t="str">
            <v>17-Sep-1985</v>
          </cell>
          <cell r="C1771">
            <v>41</v>
          </cell>
          <cell r="D1771">
            <v>1</v>
          </cell>
          <cell r="E1771">
            <v>20296.86</v>
          </cell>
          <cell r="F1771" t="str">
            <v>tier - 3</v>
          </cell>
          <cell r="G1771" t="str">
            <v>tier - 1</v>
          </cell>
          <cell r="H1771" t="str">
            <v>R1024</v>
          </cell>
        </row>
        <row r="1772">
          <cell r="A1772" t="str">
            <v>ID489</v>
          </cell>
          <cell r="B1772" t="str">
            <v>7-Sep-1993</v>
          </cell>
          <cell r="C1772">
            <v>33</v>
          </cell>
          <cell r="D1772">
            <v>1</v>
          </cell>
          <cell r="E1772">
            <v>20277.810000000001</v>
          </cell>
          <cell r="F1772" t="str">
            <v>tier - 3</v>
          </cell>
          <cell r="G1772" t="str">
            <v>tier - 3</v>
          </cell>
          <cell r="H1772" t="str">
            <v>R1016</v>
          </cell>
        </row>
        <row r="1773">
          <cell r="A1773" t="str">
            <v>ID49</v>
          </cell>
          <cell r="B1773" t="str">
            <v>2-Jul-1966</v>
          </cell>
          <cell r="C1773">
            <v>60</v>
          </cell>
          <cell r="D1773">
            <v>0</v>
          </cell>
          <cell r="E1773">
            <v>43817.45</v>
          </cell>
          <cell r="F1773" t="str">
            <v>tier - 2</v>
          </cell>
          <cell r="G1773" t="str">
            <v>tier - 3</v>
          </cell>
          <cell r="H1773" t="str">
            <v>R1012</v>
          </cell>
        </row>
        <row r="1774">
          <cell r="A1774" t="str">
            <v>ID490</v>
          </cell>
          <cell r="B1774" t="str">
            <v>22-Aug-1966</v>
          </cell>
          <cell r="C1774">
            <v>60</v>
          </cell>
          <cell r="D1774">
            <v>0</v>
          </cell>
          <cell r="E1774">
            <v>20253.84</v>
          </cell>
          <cell r="F1774" t="str">
            <v>tier - 2</v>
          </cell>
          <cell r="G1774" t="str">
            <v>tier - 3</v>
          </cell>
          <cell r="H1774" t="str">
            <v>R1012</v>
          </cell>
        </row>
        <row r="1775">
          <cell r="A1775" t="str">
            <v>ID491</v>
          </cell>
          <cell r="B1775" t="str">
            <v>17-Oct-1987</v>
          </cell>
          <cell r="C1775">
            <v>39</v>
          </cell>
          <cell r="D1775">
            <v>0</v>
          </cell>
          <cell r="E1775">
            <v>20234.849999999999</v>
          </cell>
          <cell r="F1775" t="str">
            <v>tier - 2</v>
          </cell>
          <cell r="G1775" t="str">
            <v>tier - 3</v>
          </cell>
          <cell r="H1775" t="str">
            <v>R1012</v>
          </cell>
        </row>
        <row r="1776">
          <cell r="A1776" t="str">
            <v>ID492</v>
          </cell>
          <cell r="B1776" t="str">
            <v>8-Jun-1994</v>
          </cell>
          <cell r="C1776">
            <v>32</v>
          </cell>
          <cell r="D1776">
            <v>2</v>
          </cell>
          <cell r="E1776">
            <v>20177.669999999998</v>
          </cell>
          <cell r="F1776" t="str">
            <v>tier - 2</v>
          </cell>
          <cell r="G1776" t="str">
            <v>tier - 1</v>
          </cell>
          <cell r="H1776" t="str">
            <v>R1011</v>
          </cell>
        </row>
        <row r="1777">
          <cell r="A1777" t="str">
            <v>ID493</v>
          </cell>
          <cell r="B1777" t="str">
            <v>9-Jul-2002</v>
          </cell>
          <cell r="C1777">
            <v>24</v>
          </cell>
          <cell r="D1777">
            <v>0</v>
          </cell>
          <cell r="E1777">
            <v>20167.34</v>
          </cell>
          <cell r="F1777" t="str">
            <v>tier - 3</v>
          </cell>
          <cell r="G1777" t="str">
            <v>tier - 3</v>
          </cell>
          <cell r="H1777" t="str">
            <v>R1011</v>
          </cell>
        </row>
        <row r="1778">
          <cell r="A1778" t="str">
            <v>ID494</v>
          </cell>
          <cell r="B1778" t="str">
            <v>6-Oct-1983</v>
          </cell>
          <cell r="C1778">
            <v>43</v>
          </cell>
          <cell r="D1778">
            <v>0</v>
          </cell>
          <cell r="E1778">
            <v>20149.32</v>
          </cell>
          <cell r="F1778" t="str">
            <v>tier - 2</v>
          </cell>
          <cell r="G1778" t="str">
            <v>tier - 1</v>
          </cell>
          <cell r="H1778" t="str">
            <v>R1016</v>
          </cell>
        </row>
        <row r="1779">
          <cell r="A1779" t="str">
            <v>ID495</v>
          </cell>
          <cell r="B1779" t="str">
            <v>25-Jul-1988</v>
          </cell>
          <cell r="C1779">
            <v>38</v>
          </cell>
          <cell r="D1779">
            <v>1</v>
          </cell>
          <cell r="E1779">
            <v>20009.63</v>
          </cell>
          <cell r="F1779" t="str">
            <v>tier - 2</v>
          </cell>
          <cell r="G1779" t="str">
            <v>tier - 1</v>
          </cell>
          <cell r="H1779" t="str">
            <v>R1012</v>
          </cell>
        </row>
        <row r="1780">
          <cell r="A1780" t="str">
            <v>ID496</v>
          </cell>
          <cell r="B1780" t="str">
            <v>10-Aug-1966</v>
          </cell>
          <cell r="C1780">
            <v>60</v>
          </cell>
          <cell r="D1780">
            <v>0</v>
          </cell>
          <cell r="E1780">
            <v>19995.29</v>
          </cell>
          <cell r="F1780" t="str">
            <v>tier - 1</v>
          </cell>
          <cell r="G1780" t="str">
            <v>tier - 3</v>
          </cell>
          <cell r="H1780" t="str">
            <v>R1026</v>
          </cell>
        </row>
        <row r="1781">
          <cell r="A1781" t="str">
            <v>ID497</v>
          </cell>
          <cell r="B1781" t="str">
            <v>9-Oct-1980</v>
          </cell>
          <cell r="C1781">
            <v>46</v>
          </cell>
          <cell r="D1781">
            <v>0</v>
          </cell>
          <cell r="E1781">
            <v>19964.75</v>
          </cell>
          <cell r="F1781" t="str">
            <v>tier - 1</v>
          </cell>
          <cell r="G1781" t="str">
            <v>tier - 2</v>
          </cell>
          <cell r="H1781" t="str">
            <v>R1024</v>
          </cell>
        </row>
        <row r="1782">
          <cell r="A1782" t="str">
            <v>ID498</v>
          </cell>
          <cell r="B1782" t="str">
            <v>18-Oct-1997</v>
          </cell>
          <cell r="C1782">
            <v>29</v>
          </cell>
          <cell r="D1782">
            <v>3</v>
          </cell>
          <cell r="E1782">
            <v>19933.46</v>
          </cell>
          <cell r="F1782" t="str">
            <v>tier - 1</v>
          </cell>
          <cell r="G1782" t="str">
            <v>tier - 3</v>
          </cell>
          <cell r="H1782" t="str">
            <v>R1011</v>
          </cell>
        </row>
        <row r="1783">
          <cell r="A1783" t="str">
            <v>ID499</v>
          </cell>
          <cell r="B1783" t="str">
            <v>30-Oct-1979</v>
          </cell>
          <cell r="C1783">
            <v>46</v>
          </cell>
          <cell r="D1783">
            <v>2</v>
          </cell>
          <cell r="E1783">
            <v>19798.05</v>
          </cell>
          <cell r="F1783" t="str">
            <v>tier - 1</v>
          </cell>
          <cell r="G1783" t="str">
            <v>tier - 1</v>
          </cell>
          <cell r="H1783" t="str">
            <v>R1024</v>
          </cell>
        </row>
        <row r="1784">
          <cell r="A1784" t="str">
            <v>ID5</v>
          </cell>
          <cell r="B1784" t="str">
            <v>19-Jun-1989</v>
          </cell>
          <cell r="C1784">
            <v>37</v>
          </cell>
          <cell r="D1784">
            <v>0</v>
          </cell>
          <cell r="E1784">
            <v>55135.4</v>
          </cell>
          <cell r="F1784" t="str">
            <v>tier - 1</v>
          </cell>
          <cell r="G1784" t="str">
            <v>tier - 2</v>
          </cell>
          <cell r="H1784" t="str">
            <v>R1012</v>
          </cell>
        </row>
        <row r="1785">
          <cell r="A1785" t="str">
            <v>ID50</v>
          </cell>
          <cell r="B1785" t="str">
            <v>25-Oct-1966</v>
          </cell>
          <cell r="C1785">
            <v>59</v>
          </cell>
          <cell r="D1785">
            <v>2</v>
          </cell>
          <cell r="E1785">
            <v>43813.87</v>
          </cell>
          <cell r="F1785" t="str">
            <v>tier - 2</v>
          </cell>
          <cell r="G1785" t="str">
            <v>tier - 2</v>
          </cell>
          <cell r="H1785" t="str">
            <v>R1013</v>
          </cell>
        </row>
        <row r="1786">
          <cell r="A1786" t="str">
            <v>ID500</v>
          </cell>
          <cell r="B1786" t="str">
            <v>14-Jun-1972</v>
          </cell>
          <cell r="C1786">
            <v>54</v>
          </cell>
          <cell r="D1786">
            <v>3</v>
          </cell>
          <cell r="E1786">
            <v>19749.38</v>
          </cell>
          <cell r="F1786" t="str">
            <v>tier - 1</v>
          </cell>
          <cell r="G1786" t="str">
            <v>tier - 3</v>
          </cell>
          <cell r="H1786" t="str">
            <v>R1013</v>
          </cell>
        </row>
        <row r="1787">
          <cell r="A1787" t="str">
            <v>ID501</v>
          </cell>
          <cell r="B1787" t="str">
            <v>8-Aug-1990</v>
          </cell>
          <cell r="C1787">
            <v>36</v>
          </cell>
          <cell r="D1787">
            <v>1</v>
          </cell>
          <cell r="E1787">
            <v>19719.689999999999</v>
          </cell>
          <cell r="F1787" t="str">
            <v>tier - 1</v>
          </cell>
          <cell r="G1787" t="str">
            <v>tier - 2</v>
          </cell>
          <cell r="H1787" t="str">
            <v>R1013</v>
          </cell>
        </row>
        <row r="1788">
          <cell r="A1788" t="str">
            <v>ID502</v>
          </cell>
          <cell r="B1788" t="str">
            <v>27-Aug-1994</v>
          </cell>
          <cell r="C1788">
            <v>32</v>
          </cell>
          <cell r="D1788">
            <v>0</v>
          </cell>
          <cell r="E1788">
            <v>19673.34</v>
          </cell>
          <cell r="F1788" t="str">
            <v>tier - 1</v>
          </cell>
          <cell r="G1788" t="str">
            <v>tier - 2</v>
          </cell>
          <cell r="H1788" t="str">
            <v>R1012</v>
          </cell>
        </row>
        <row r="1789">
          <cell r="A1789" t="str">
            <v>ID503</v>
          </cell>
          <cell r="B1789" t="str">
            <v>24-Sep-1978</v>
          </cell>
          <cell r="C1789">
            <v>48</v>
          </cell>
          <cell r="D1789">
            <v>1</v>
          </cell>
          <cell r="E1789">
            <v>19594.810000000001</v>
          </cell>
          <cell r="F1789" t="str">
            <v>tier - 1</v>
          </cell>
          <cell r="G1789" t="str">
            <v>tier - 1</v>
          </cell>
          <cell r="H1789" t="str">
            <v>R1024</v>
          </cell>
        </row>
        <row r="1790">
          <cell r="A1790" t="str">
            <v>ID504</v>
          </cell>
          <cell r="B1790" t="str">
            <v>14-Jul-1963</v>
          </cell>
          <cell r="C1790">
            <v>63</v>
          </cell>
          <cell r="D1790">
            <v>0</v>
          </cell>
          <cell r="E1790">
            <v>19551.34</v>
          </cell>
          <cell r="F1790" t="str">
            <v>tier - 1</v>
          </cell>
          <cell r="G1790" t="str">
            <v>tier - 3</v>
          </cell>
          <cell r="H1790" t="str">
            <v>R1012</v>
          </cell>
        </row>
        <row r="1791">
          <cell r="A1791" t="str">
            <v>ID505</v>
          </cell>
          <cell r="B1791" t="str">
            <v>17-Sep-1985</v>
          </cell>
          <cell r="C1791">
            <v>41</v>
          </cell>
          <cell r="D1791">
            <v>0</v>
          </cell>
          <cell r="E1791">
            <v>19539.240000000002</v>
          </cell>
          <cell r="F1791" t="str">
            <v>tier - 1</v>
          </cell>
          <cell r="G1791" t="str">
            <v>tier - 1</v>
          </cell>
          <cell r="H1791" t="str">
            <v>R1013</v>
          </cell>
        </row>
        <row r="1792">
          <cell r="A1792" t="str">
            <v>ID506</v>
          </cell>
          <cell r="B1792" t="str">
            <v>19-Aug-1992</v>
          </cell>
          <cell r="C1792">
            <v>34</v>
          </cell>
          <cell r="D1792">
            <v>1</v>
          </cell>
          <cell r="E1792">
            <v>19521.97</v>
          </cell>
          <cell r="F1792" t="str">
            <v>tier - 1</v>
          </cell>
          <cell r="G1792" t="str">
            <v>tier - 2</v>
          </cell>
          <cell r="H1792" t="str">
            <v>R1013</v>
          </cell>
        </row>
        <row r="1793">
          <cell r="A1793" t="str">
            <v>ID507</v>
          </cell>
          <cell r="B1793" t="str">
            <v>8-Nov-1980</v>
          </cell>
          <cell r="C1793">
            <v>45</v>
          </cell>
          <cell r="D1793">
            <v>0</v>
          </cell>
          <cell r="E1793">
            <v>19515.54</v>
          </cell>
          <cell r="F1793" t="str">
            <v>tier - 1</v>
          </cell>
          <cell r="G1793" t="str">
            <v>tier - 1</v>
          </cell>
          <cell r="H1793" t="str">
            <v>R1013</v>
          </cell>
        </row>
        <row r="1794">
          <cell r="A1794" t="str">
            <v>ID508</v>
          </cell>
          <cell r="B1794" t="str">
            <v>30-Nov-1987</v>
          </cell>
          <cell r="C1794">
            <v>38</v>
          </cell>
          <cell r="D1794">
            <v>4</v>
          </cell>
          <cell r="E1794">
            <v>19496.72</v>
          </cell>
          <cell r="F1794" t="str">
            <v>tier - 1</v>
          </cell>
          <cell r="G1794" t="str">
            <v>tier - 3</v>
          </cell>
          <cell r="H1794" t="str">
            <v>R1019</v>
          </cell>
        </row>
        <row r="1795">
          <cell r="A1795" t="str">
            <v>ID509</v>
          </cell>
          <cell r="B1795" t="str">
            <v>15-Dec-1982</v>
          </cell>
          <cell r="C1795">
            <v>43</v>
          </cell>
          <cell r="D1795">
            <v>2</v>
          </cell>
          <cell r="E1795">
            <v>19444.27</v>
          </cell>
          <cell r="F1795" t="str">
            <v>tier - 1</v>
          </cell>
          <cell r="G1795" t="str">
            <v>tier - 1</v>
          </cell>
          <cell r="H1795" t="str">
            <v>R1013</v>
          </cell>
        </row>
        <row r="1796">
          <cell r="A1796" t="str">
            <v>ID51</v>
          </cell>
          <cell r="B1796" t="str">
            <v>29-Dec-1986</v>
          </cell>
          <cell r="C1796">
            <v>39</v>
          </cell>
          <cell r="D1796">
            <v>3</v>
          </cell>
          <cell r="E1796">
            <v>43753.34</v>
          </cell>
          <cell r="F1796" t="str">
            <v>tier - 2</v>
          </cell>
          <cell r="G1796" t="str">
            <v>tier - 1</v>
          </cell>
          <cell r="H1796" t="str">
            <v>R1015</v>
          </cell>
        </row>
        <row r="1797">
          <cell r="A1797" t="str">
            <v>ID510</v>
          </cell>
          <cell r="B1797" t="str">
            <v>6-Sep-1993</v>
          </cell>
          <cell r="C1797">
            <v>33</v>
          </cell>
          <cell r="D1797">
            <v>2</v>
          </cell>
          <cell r="E1797">
            <v>19442.349999999999</v>
          </cell>
          <cell r="F1797" t="str">
            <v>tier - 1</v>
          </cell>
          <cell r="G1797" t="str">
            <v>tier - 3</v>
          </cell>
          <cell r="H1797" t="str">
            <v>R1012</v>
          </cell>
        </row>
        <row r="1798">
          <cell r="A1798" t="str">
            <v>ID511</v>
          </cell>
          <cell r="B1798" t="str">
            <v>30-Jun-1987</v>
          </cell>
          <cell r="C1798">
            <v>39</v>
          </cell>
          <cell r="D1798">
            <v>3</v>
          </cell>
          <cell r="E1798">
            <v>19362</v>
          </cell>
          <cell r="F1798" t="str">
            <v>tier - 1</v>
          </cell>
          <cell r="G1798" t="str">
            <v>tier - 3</v>
          </cell>
          <cell r="H1798" t="str">
            <v>R1013</v>
          </cell>
        </row>
        <row r="1799">
          <cell r="A1799" t="str">
            <v>ID512</v>
          </cell>
          <cell r="B1799" t="str">
            <v>24-Aug-1991</v>
          </cell>
          <cell r="C1799">
            <v>35</v>
          </cell>
          <cell r="D1799">
            <v>0</v>
          </cell>
          <cell r="E1799">
            <v>19350.37</v>
          </cell>
          <cell r="F1799" t="str">
            <v>tier - 1</v>
          </cell>
          <cell r="G1799" t="str">
            <v>tier - 3</v>
          </cell>
          <cell r="H1799" t="str">
            <v>R1013</v>
          </cell>
        </row>
        <row r="1800">
          <cell r="A1800" t="str">
            <v>ID513</v>
          </cell>
          <cell r="B1800" t="str">
            <v>15-Nov-1966</v>
          </cell>
          <cell r="C1800">
            <v>59</v>
          </cell>
          <cell r="D1800">
            <v>0</v>
          </cell>
          <cell r="E1800">
            <v>19321.060000000001</v>
          </cell>
          <cell r="F1800" t="str">
            <v>tier - 1</v>
          </cell>
          <cell r="G1800" t="str">
            <v>tier - 1</v>
          </cell>
          <cell r="H1800" t="str">
            <v>R1012</v>
          </cell>
        </row>
        <row r="1801">
          <cell r="A1801" t="str">
            <v>ID514</v>
          </cell>
          <cell r="B1801" t="str">
            <v>29-Jul-1967</v>
          </cell>
          <cell r="C1801">
            <v>59</v>
          </cell>
          <cell r="D1801">
            <v>0</v>
          </cell>
          <cell r="E1801">
            <v>19259.96</v>
          </cell>
          <cell r="F1801" t="str">
            <v>tier - 1</v>
          </cell>
          <cell r="G1801" t="str">
            <v>tier - 1</v>
          </cell>
          <cell r="H1801" t="str">
            <v>R1012</v>
          </cell>
        </row>
        <row r="1802">
          <cell r="A1802" t="str">
            <v>ID515</v>
          </cell>
          <cell r="B1802" t="str">
            <v>28-Dec-1985</v>
          </cell>
          <cell r="C1802">
            <v>40</v>
          </cell>
          <cell r="D1802">
            <v>0</v>
          </cell>
          <cell r="E1802">
            <v>19214.71</v>
          </cell>
          <cell r="F1802" t="str">
            <v>tier - 1</v>
          </cell>
          <cell r="G1802" t="str">
            <v>tier - 3</v>
          </cell>
          <cell r="H1802" t="str">
            <v>R1013</v>
          </cell>
        </row>
        <row r="1803">
          <cell r="A1803" t="str">
            <v>ID516</v>
          </cell>
          <cell r="B1803" t="str">
            <v>16-Sep-1991</v>
          </cell>
          <cell r="C1803">
            <v>35</v>
          </cell>
          <cell r="D1803">
            <v>3</v>
          </cell>
          <cell r="E1803">
            <v>19199.939999999999</v>
          </cell>
          <cell r="F1803" t="str">
            <v>tier - 1</v>
          </cell>
          <cell r="G1803" t="str">
            <v>tier - 3</v>
          </cell>
          <cell r="H1803" t="str">
            <v>R1011</v>
          </cell>
        </row>
        <row r="1804">
          <cell r="A1804" t="str">
            <v>ID517</v>
          </cell>
          <cell r="B1804" t="str">
            <v>2-Jul-1979</v>
          </cell>
          <cell r="C1804">
            <v>47</v>
          </cell>
          <cell r="D1804">
            <v>2</v>
          </cell>
          <cell r="E1804">
            <v>19144.580000000002</v>
          </cell>
          <cell r="F1804" t="str">
            <v>tier - 1</v>
          </cell>
          <cell r="G1804" t="str">
            <v>tier - 1</v>
          </cell>
          <cell r="H1804" t="str">
            <v>R1024</v>
          </cell>
        </row>
        <row r="1805">
          <cell r="A1805" t="str">
            <v>ID518</v>
          </cell>
          <cell r="B1805" t="str">
            <v>28-Sep-1993</v>
          </cell>
          <cell r="C1805">
            <v>33</v>
          </cell>
          <cell r="D1805">
            <v>1</v>
          </cell>
          <cell r="E1805">
            <v>19107.78</v>
          </cell>
          <cell r="F1805" t="str">
            <v>tier - 1</v>
          </cell>
          <cell r="G1805" t="str">
            <v>tier - 2</v>
          </cell>
          <cell r="H1805" t="str">
            <v>R1013</v>
          </cell>
        </row>
        <row r="1806">
          <cell r="A1806" t="str">
            <v>ID519</v>
          </cell>
          <cell r="B1806" t="str">
            <v>5-Jun-1989</v>
          </cell>
          <cell r="C1806">
            <v>37</v>
          </cell>
          <cell r="D1806">
            <v>1</v>
          </cell>
          <cell r="E1806">
            <v>19040.88</v>
          </cell>
          <cell r="F1806" t="str">
            <v>tier - 1</v>
          </cell>
          <cell r="G1806" t="str">
            <v>tier - 3</v>
          </cell>
          <cell r="H1806" t="str">
            <v>R1011</v>
          </cell>
        </row>
        <row r="1807">
          <cell r="A1807" t="str">
            <v>ID52</v>
          </cell>
          <cell r="B1807" t="str">
            <v>22-Aug-1965</v>
          </cell>
          <cell r="C1807">
            <v>61</v>
          </cell>
          <cell r="D1807">
            <v>0</v>
          </cell>
          <cell r="E1807">
            <v>43578.94</v>
          </cell>
          <cell r="F1807" t="str">
            <v>tier - 2</v>
          </cell>
          <cell r="G1807" t="str">
            <v>tier - 2</v>
          </cell>
          <cell r="H1807" t="str">
            <v>R1012</v>
          </cell>
        </row>
        <row r="1808">
          <cell r="A1808" t="str">
            <v>ID520</v>
          </cell>
          <cell r="B1808" t="str">
            <v>19-Dec-1983</v>
          </cell>
          <cell r="C1808">
            <v>42</v>
          </cell>
          <cell r="D1808">
            <v>5</v>
          </cell>
          <cell r="E1808">
            <v>19023.259999999998</v>
          </cell>
          <cell r="F1808" t="str">
            <v>tier - 1</v>
          </cell>
          <cell r="G1808" t="str">
            <v>tier - 3</v>
          </cell>
          <cell r="H1808" t="str">
            <v>R1011</v>
          </cell>
        </row>
        <row r="1809">
          <cell r="A1809" t="str">
            <v>ID521</v>
          </cell>
          <cell r="B1809" t="str">
            <v>24-Oct-1988</v>
          </cell>
          <cell r="C1809">
            <v>37</v>
          </cell>
          <cell r="D1809">
            <v>2</v>
          </cell>
          <cell r="E1809">
            <v>18972.5</v>
          </cell>
          <cell r="F1809" t="str">
            <v>tier - 1</v>
          </cell>
          <cell r="G1809" t="str">
            <v>tier - 3</v>
          </cell>
          <cell r="H1809" t="str">
            <v>R1013</v>
          </cell>
        </row>
        <row r="1810">
          <cell r="A1810" t="str">
            <v>ID522</v>
          </cell>
          <cell r="B1810" t="str">
            <v>30-Nov-1992</v>
          </cell>
          <cell r="C1810">
            <v>33</v>
          </cell>
          <cell r="D1810">
            <v>1</v>
          </cell>
          <cell r="E1810">
            <v>18963.169999999998</v>
          </cell>
          <cell r="F1810" t="str">
            <v>tier - 1</v>
          </cell>
          <cell r="G1810" t="str">
            <v>tier - 1</v>
          </cell>
          <cell r="H1810" t="str">
            <v>R1013</v>
          </cell>
        </row>
        <row r="1811">
          <cell r="A1811" t="str">
            <v>ID523</v>
          </cell>
          <cell r="B1811" t="str">
            <v>6-Aug-1998</v>
          </cell>
          <cell r="C1811">
            <v>28</v>
          </cell>
          <cell r="D1811">
            <v>0</v>
          </cell>
          <cell r="E1811">
            <v>18955.22</v>
          </cell>
          <cell r="F1811" t="str">
            <v>tier - 1</v>
          </cell>
          <cell r="G1811" t="str">
            <v>tier - 3</v>
          </cell>
          <cell r="H1811" t="str">
            <v>R1011</v>
          </cell>
        </row>
        <row r="1812">
          <cell r="A1812" t="str">
            <v>ID524</v>
          </cell>
          <cell r="B1812" t="str">
            <v>20-Oct-1963</v>
          </cell>
          <cell r="C1812">
            <v>62</v>
          </cell>
          <cell r="D1812">
            <v>0</v>
          </cell>
          <cell r="E1812">
            <v>18954.560000000001</v>
          </cell>
          <cell r="F1812" t="str">
            <v>tier - 1</v>
          </cell>
          <cell r="G1812" t="str">
            <v>tier - 1</v>
          </cell>
          <cell r="H1812" t="str">
            <v>R1026</v>
          </cell>
        </row>
        <row r="1813">
          <cell r="A1813" t="str">
            <v>ID525</v>
          </cell>
          <cell r="B1813" t="str">
            <v>3-Aug-1969</v>
          </cell>
          <cell r="C1813">
            <v>57</v>
          </cell>
          <cell r="D1813">
            <v>0</v>
          </cell>
          <cell r="E1813">
            <v>18932.810000000001</v>
          </cell>
          <cell r="F1813" t="str">
            <v>tier - 1</v>
          </cell>
          <cell r="G1813" t="str">
            <v>tier - 3</v>
          </cell>
          <cell r="H1813" t="str">
            <v>R1012</v>
          </cell>
        </row>
        <row r="1814">
          <cell r="A1814" t="str">
            <v>ID526</v>
          </cell>
          <cell r="B1814" t="str">
            <v>27-Sep-1995</v>
          </cell>
          <cell r="C1814">
            <v>31</v>
          </cell>
          <cell r="D1814">
            <v>1</v>
          </cell>
          <cell r="E1814">
            <v>18903.490000000002</v>
          </cell>
          <cell r="F1814" t="str">
            <v>tier - 1</v>
          </cell>
          <cell r="G1814" t="str">
            <v>tier - 2</v>
          </cell>
          <cell r="H1814" t="str">
            <v>R1024</v>
          </cell>
        </row>
        <row r="1815">
          <cell r="A1815" t="str">
            <v>ID527</v>
          </cell>
          <cell r="B1815" t="str">
            <v>6-Dec-1963</v>
          </cell>
          <cell r="C1815">
            <v>62</v>
          </cell>
          <cell r="D1815">
            <v>0</v>
          </cell>
          <cell r="E1815">
            <v>18883.330000000002</v>
          </cell>
          <cell r="F1815" t="str">
            <v>tier - 1</v>
          </cell>
          <cell r="G1815" t="str">
            <v>tier - 1</v>
          </cell>
          <cell r="H1815" t="str">
            <v>R1026</v>
          </cell>
        </row>
        <row r="1816">
          <cell r="A1816" t="str">
            <v>ID528</v>
          </cell>
          <cell r="B1816" t="str">
            <v>24-Jul-2003</v>
          </cell>
          <cell r="C1816">
            <v>23</v>
          </cell>
          <cell r="D1816">
            <v>3</v>
          </cell>
          <cell r="E1816">
            <v>18838.7</v>
          </cell>
          <cell r="F1816" t="str">
            <v>tier - 1</v>
          </cell>
          <cell r="G1816" t="str">
            <v>tier - 3</v>
          </cell>
          <cell r="H1816" t="str">
            <v>R1012</v>
          </cell>
        </row>
        <row r="1817">
          <cell r="A1817" t="str">
            <v>ID529</v>
          </cell>
          <cell r="B1817" t="str">
            <v>18-Dec-1962</v>
          </cell>
          <cell r="C1817">
            <v>63</v>
          </cell>
          <cell r="D1817">
            <v>0</v>
          </cell>
          <cell r="E1817">
            <v>18815.53</v>
          </cell>
          <cell r="F1817" t="str">
            <v>tier - 1</v>
          </cell>
          <cell r="G1817" t="str">
            <v>tier - 1</v>
          </cell>
          <cell r="H1817" t="str">
            <v>R1023</v>
          </cell>
        </row>
        <row r="1818">
          <cell r="A1818" t="str">
            <v>ID53</v>
          </cell>
          <cell r="B1818" t="str">
            <v>3-Dec-1969</v>
          </cell>
          <cell r="C1818">
            <v>56</v>
          </cell>
          <cell r="D1818">
            <v>0</v>
          </cell>
          <cell r="E1818">
            <v>43254.42</v>
          </cell>
          <cell r="F1818" t="str">
            <v>tier - 2</v>
          </cell>
          <cell r="G1818" t="str">
            <v>tier - 2</v>
          </cell>
          <cell r="H1818" t="str">
            <v>R1016</v>
          </cell>
        </row>
        <row r="1819">
          <cell r="A1819" t="str">
            <v>ID530</v>
          </cell>
          <cell r="B1819" t="str">
            <v>15-Oct-1979</v>
          </cell>
          <cell r="C1819">
            <v>47</v>
          </cell>
          <cell r="D1819">
            <v>2</v>
          </cell>
          <cell r="E1819">
            <v>18806.150000000001</v>
          </cell>
          <cell r="F1819" t="str">
            <v>tier - 1</v>
          </cell>
          <cell r="G1819" t="str">
            <v>tier - 2</v>
          </cell>
          <cell r="H1819" t="str">
            <v>R1013</v>
          </cell>
        </row>
        <row r="1820">
          <cell r="A1820" t="str">
            <v>ID531</v>
          </cell>
          <cell r="B1820" t="str">
            <v>28-Nov-1995</v>
          </cell>
          <cell r="C1820">
            <v>30</v>
          </cell>
          <cell r="D1820">
            <v>3</v>
          </cell>
          <cell r="E1820">
            <v>18804.75</v>
          </cell>
          <cell r="F1820" t="str">
            <v>tier - 1</v>
          </cell>
          <cell r="G1820" t="str">
            <v>tier - 1</v>
          </cell>
          <cell r="H1820" t="str">
            <v>R1012</v>
          </cell>
        </row>
        <row r="1821">
          <cell r="A1821" t="str">
            <v>ID532</v>
          </cell>
          <cell r="B1821" t="str">
            <v>19-Nov-1979</v>
          </cell>
          <cell r="C1821">
            <v>46</v>
          </cell>
          <cell r="D1821">
            <v>2</v>
          </cell>
          <cell r="E1821">
            <v>18767.740000000002</v>
          </cell>
          <cell r="F1821" t="str">
            <v>tier - 1</v>
          </cell>
          <cell r="G1821" t="str">
            <v>tier - 1</v>
          </cell>
          <cell r="H1821" t="str">
            <v>R1013</v>
          </cell>
        </row>
        <row r="1822">
          <cell r="A1822" t="str">
            <v>ID533</v>
          </cell>
          <cell r="B1822" t="str">
            <v>27-Dec-1992</v>
          </cell>
          <cell r="C1822">
            <v>33</v>
          </cell>
          <cell r="D1822">
            <v>3</v>
          </cell>
          <cell r="E1822">
            <v>18765.88</v>
          </cell>
          <cell r="F1822" t="str">
            <v>tier - 1</v>
          </cell>
          <cell r="G1822" t="str">
            <v>tier - 2</v>
          </cell>
          <cell r="H1822" t="str">
            <v>R1012</v>
          </cell>
        </row>
        <row r="1823">
          <cell r="A1823" t="str">
            <v>ID534</v>
          </cell>
          <cell r="B1823" t="str">
            <v>30-Aug-1967</v>
          </cell>
          <cell r="C1823">
            <v>59</v>
          </cell>
          <cell r="D1823">
            <v>0</v>
          </cell>
          <cell r="E1823">
            <v>18694.689999999999</v>
          </cell>
          <cell r="F1823" t="str">
            <v>tier - 1</v>
          </cell>
          <cell r="G1823" t="str">
            <v>tier - 1</v>
          </cell>
          <cell r="H1823" t="str">
            <v>R1023</v>
          </cell>
        </row>
        <row r="1824">
          <cell r="A1824" t="str">
            <v>ID535</v>
          </cell>
          <cell r="B1824" t="str">
            <v>17-Oct-1970</v>
          </cell>
          <cell r="C1824">
            <v>56</v>
          </cell>
          <cell r="D1824">
            <v>0</v>
          </cell>
          <cell r="E1824">
            <v>18682.740000000002</v>
          </cell>
          <cell r="F1824" t="str">
            <v>tier - 1</v>
          </cell>
          <cell r="G1824" t="str">
            <v>tier - 3</v>
          </cell>
          <cell r="H1824" t="str">
            <v>R1012</v>
          </cell>
        </row>
        <row r="1825">
          <cell r="A1825" t="str">
            <v>ID536</v>
          </cell>
          <cell r="B1825" t="str">
            <v>23-Sep-1998</v>
          </cell>
          <cell r="C1825">
            <v>28</v>
          </cell>
          <cell r="D1825">
            <v>0</v>
          </cell>
          <cell r="E1825">
            <v>18648.419999999998</v>
          </cell>
          <cell r="F1825" t="str">
            <v>tier - 1</v>
          </cell>
          <cell r="G1825" t="str">
            <v>tier - 1</v>
          </cell>
          <cell r="H1825" t="str">
            <v>R1019</v>
          </cell>
        </row>
        <row r="1826">
          <cell r="A1826" t="str">
            <v>ID537</v>
          </cell>
          <cell r="B1826" t="str">
            <v>12-Aug-1986</v>
          </cell>
          <cell r="C1826">
            <v>40</v>
          </cell>
          <cell r="D1826">
            <v>2</v>
          </cell>
          <cell r="E1826">
            <v>18608.259999999998</v>
          </cell>
          <cell r="F1826" t="str">
            <v>tier - 1</v>
          </cell>
          <cell r="G1826" t="str">
            <v>tier - 3</v>
          </cell>
          <cell r="H1826" t="str">
            <v>R1011</v>
          </cell>
        </row>
        <row r="1827">
          <cell r="A1827" t="str">
            <v>ID538</v>
          </cell>
          <cell r="B1827" t="str">
            <v>26-Sep-1964</v>
          </cell>
          <cell r="C1827">
            <v>62</v>
          </cell>
          <cell r="D1827">
            <v>0</v>
          </cell>
          <cell r="E1827">
            <v>18443.11</v>
          </cell>
          <cell r="F1827" t="str">
            <v>tier - 1</v>
          </cell>
          <cell r="G1827" t="str">
            <v>tier - 2</v>
          </cell>
          <cell r="H1827" t="str">
            <v>R1012</v>
          </cell>
        </row>
        <row r="1828">
          <cell r="A1828" t="str">
            <v>ID539</v>
          </cell>
          <cell r="B1828" t="str">
            <v>15-Dec-1999</v>
          </cell>
          <cell r="C1828">
            <v>26</v>
          </cell>
          <cell r="D1828">
            <v>1</v>
          </cell>
          <cell r="E1828">
            <v>18328.240000000002</v>
          </cell>
          <cell r="F1828" t="str">
            <v>tier - 1</v>
          </cell>
          <cell r="G1828" t="str">
            <v>tier - 2</v>
          </cell>
          <cell r="H1828" t="str">
            <v>R1013</v>
          </cell>
        </row>
        <row r="1829">
          <cell r="A1829" t="str">
            <v>ID54</v>
          </cell>
          <cell r="B1829" t="str">
            <v>29-Nov-1965</v>
          </cell>
          <cell r="C1829">
            <v>60</v>
          </cell>
          <cell r="D1829">
            <v>0</v>
          </cell>
          <cell r="E1829">
            <v>43073.760000000002</v>
          </cell>
          <cell r="F1829" t="str">
            <v>tier - 2</v>
          </cell>
          <cell r="G1829" t="str">
            <v>tier - 2</v>
          </cell>
          <cell r="H1829" t="str">
            <v>R1011</v>
          </cell>
        </row>
        <row r="1830">
          <cell r="A1830" t="str">
            <v>ID540</v>
          </cell>
          <cell r="B1830" t="str">
            <v>4-Jul-1995</v>
          </cell>
          <cell r="C1830">
            <v>31</v>
          </cell>
          <cell r="D1830">
            <v>0</v>
          </cell>
          <cell r="E1830">
            <v>18310.740000000002</v>
          </cell>
          <cell r="F1830" t="str">
            <v>tier - 1</v>
          </cell>
          <cell r="G1830" t="str">
            <v>tier - 3</v>
          </cell>
          <cell r="H1830" t="str">
            <v>R1012</v>
          </cell>
        </row>
        <row r="1831">
          <cell r="A1831" t="str">
            <v>ID541</v>
          </cell>
          <cell r="B1831" t="str">
            <v>25-Dec-1992</v>
          </cell>
          <cell r="C1831">
            <v>33</v>
          </cell>
          <cell r="D1831">
            <v>3</v>
          </cell>
          <cell r="E1831">
            <v>18259.22</v>
          </cell>
          <cell r="F1831" t="str">
            <v>tier - 1</v>
          </cell>
          <cell r="G1831" t="str">
            <v>tier - 3</v>
          </cell>
          <cell r="H1831" t="str">
            <v>R1011</v>
          </cell>
        </row>
        <row r="1832">
          <cell r="A1832" t="str">
            <v>ID542</v>
          </cell>
          <cell r="B1832" t="str">
            <v>3-Aug-1995</v>
          </cell>
          <cell r="C1832">
            <v>31</v>
          </cell>
          <cell r="D1832">
            <v>0</v>
          </cell>
          <cell r="E1832">
            <v>18246.5</v>
          </cell>
          <cell r="F1832" t="str">
            <v>tier - 1</v>
          </cell>
          <cell r="G1832" t="str">
            <v>tier - 1</v>
          </cell>
          <cell r="H1832" t="str">
            <v>R1013</v>
          </cell>
        </row>
        <row r="1833">
          <cell r="A1833" t="str">
            <v>ID543</v>
          </cell>
          <cell r="B1833" t="str">
            <v>10-Sep-2004</v>
          </cell>
          <cell r="C1833">
            <v>22</v>
          </cell>
          <cell r="D1833">
            <v>3</v>
          </cell>
          <cell r="E1833">
            <v>18223.45</v>
          </cell>
          <cell r="F1833" t="str">
            <v>tier - 1</v>
          </cell>
          <cell r="G1833" t="str">
            <v>tier - 3</v>
          </cell>
          <cell r="H1833" t="str">
            <v>R1013</v>
          </cell>
        </row>
        <row r="1834">
          <cell r="A1834" t="str">
            <v>ID544</v>
          </cell>
          <cell r="B1834" t="str">
            <v>15-Jun-1997</v>
          </cell>
          <cell r="C1834">
            <v>29</v>
          </cell>
          <cell r="D1834">
            <v>1</v>
          </cell>
          <cell r="E1834">
            <v>18218.16</v>
          </cell>
          <cell r="F1834" t="str">
            <v>tier - 1</v>
          </cell>
          <cell r="G1834" t="str">
            <v>tier - 1</v>
          </cell>
          <cell r="H1834" t="str">
            <v>R1013</v>
          </cell>
        </row>
        <row r="1835">
          <cell r="A1835" t="str">
            <v>ID545</v>
          </cell>
          <cell r="B1835" t="str">
            <v>4-Jul-1963</v>
          </cell>
          <cell r="C1835">
            <v>63</v>
          </cell>
          <cell r="D1835">
            <v>0</v>
          </cell>
          <cell r="E1835">
            <v>18208.34</v>
          </cell>
          <cell r="F1835" t="str">
            <v>tier - 1</v>
          </cell>
          <cell r="G1835" t="str">
            <v>tier - 2</v>
          </cell>
          <cell r="H1835" t="str">
            <v>R1026</v>
          </cell>
        </row>
        <row r="1836">
          <cell r="A1836" t="str">
            <v>ID546</v>
          </cell>
          <cell r="B1836" t="str">
            <v>12-Jul-1993</v>
          </cell>
          <cell r="C1836">
            <v>33</v>
          </cell>
          <cell r="D1836">
            <v>2</v>
          </cell>
          <cell r="E1836">
            <v>18157.88</v>
          </cell>
          <cell r="F1836" t="str">
            <v>tier - 1</v>
          </cell>
          <cell r="G1836" t="str">
            <v>tier - 1</v>
          </cell>
          <cell r="H1836" t="str">
            <v>R1012</v>
          </cell>
        </row>
        <row r="1837">
          <cell r="A1837" t="str">
            <v>ID547</v>
          </cell>
          <cell r="B1837" t="str">
            <v>24-Oct-1999</v>
          </cell>
          <cell r="C1837">
            <v>26</v>
          </cell>
          <cell r="D1837">
            <v>0</v>
          </cell>
          <cell r="E1837">
            <v>18033.97</v>
          </cell>
          <cell r="F1837" t="str">
            <v>tier - 1</v>
          </cell>
          <cell r="G1837" t="str">
            <v>tier - 1</v>
          </cell>
          <cell r="H1837" t="str">
            <v>R1012</v>
          </cell>
        </row>
        <row r="1838">
          <cell r="A1838" t="str">
            <v>ID548</v>
          </cell>
          <cell r="B1838" t="str">
            <v>17-Oct-1965</v>
          </cell>
          <cell r="C1838">
            <v>61</v>
          </cell>
          <cell r="D1838">
            <v>0</v>
          </cell>
          <cell r="E1838">
            <v>18031.189999999999</v>
          </cell>
          <cell r="F1838" t="str">
            <v>tier - 1</v>
          </cell>
          <cell r="G1838" t="str">
            <v>tier - 2</v>
          </cell>
          <cell r="H1838" t="str">
            <v>R1012</v>
          </cell>
        </row>
        <row r="1839">
          <cell r="A1839" t="str">
            <v>ID549</v>
          </cell>
          <cell r="B1839" t="str">
            <v>27-Jun-1975</v>
          </cell>
          <cell r="C1839">
            <v>51</v>
          </cell>
          <cell r="D1839">
            <v>1</v>
          </cell>
          <cell r="E1839">
            <v>18031.16</v>
          </cell>
          <cell r="F1839" t="str">
            <v>tier - 1</v>
          </cell>
          <cell r="G1839" t="str">
            <v>tier - 3</v>
          </cell>
          <cell r="H1839" t="str">
            <v>R1023</v>
          </cell>
        </row>
        <row r="1840">
          <cell r="A1840" t="str">
            <v>ID55</v>
          </cell>
          <cell r="B1840" t="str">
            <v>4-Nov-1978</v>
          </cell>
          <cell r="C1840">
            <v>47</v>
          </cell>
          <cell r="D1840">
            <v>0</v>
          </cell>
          <cell r="E1840">
            <v>42983.46</v>
          </cell>
          <cell r="F1840" t="str">
            <v>tier - 1</v>
          </cell>
          <cell r="G1840" t="str">
            <v>tier - 2</v>
          </cell>
          <cell r="H1840" t="str">
            <v>R1012</v>
          </cell>
        </row>
        <row r="1841">
          <cell r="A1841" t="str">
            <v>ID550</v>
          </cell>
          <cell r="B1841" t="str">
            <v>28-Sep-2001</v>
          </cell>
          <cell r="C1841">
            <v>25</v>
          </cell>
          <cell r="D1841">
            <v>4</v>
          </cell>
          <cell r="E1841">
            <v>17942.11</v>
          </cell>
          <cell r="F1841" t="str">
            <v>tier - 1</v>
          </cell>
          <cell r="G1841" t="str">
            <v>tier - 2</v>
          </cell>
          <cell r="H1841" t="str">
            <v>R1011</v>
          </cell>
        </row>
        <row r="1842">
          <cell r="A1842" t="str">
            <v>ID551</v>
          </cell>
          <cell r="B1842" t="str">
            <v>17-Oct-1977</v>
          </cell>
          <cell r="C1842">
            <v>49</v>
          </cell>
          <cell r="D1842">
            <v>0</v>
          </cell>
          <cell r="E1842">
            <v>17929.3</v>
          </cell>
          <cell r="F1842" t="str">
            <v>tier - 1</v>
          </cell>
          <cell r="G1842" t="str">
            <v>tier - 2</v>
          </cell>
          <cell r="H1842" t="str">
            <v>R1013</v>
          </cell>
        </row>
        <row r="1843">
          <cell r="A1843" t="str">
            <v>ID552</v>
          </cell>
          <cell r="B1843" t="str">
            <v>4-Dec-1989</v>
          </cell>
          <cell r="C1843">
            <v>36</v>
          </cell>
          <cell r="D1843">
            <v>0</v>
          </cell>
          <cell r="E1843">
            <v>17904.53</v>
          </cell>
          <cell r="F1843" t="str">
            <v>tier - 1</v>
          </cell>
          <cell r="G1843" t="str">
            <v>tier - 2</v>
          </cell>
          <cell r="H1843" t="str">
            <v>R1017</v>
          </cell>
        </row>
        <row r="1844">
          <cell r="A1844" t="str">
            <v>ID553</v>
          </cell>
          <cell r="B1844" t="str">
            <v>12-Nov-1979</v>
          </cell>
          <cell r="C1844">
            <v>46</v>
          </cell>
          <cell r="D1844">
            <v>2</v>
          </cell>
          <cell r="E1844">
            <v>17882.669999999998</v>
          </cell>
          <cell r="F1844" t="str">
            <v>tier - 1</v>
          </cell>
          <cell r="G1844" t="str">
            <v>tier - 3</v>
          </cell>
          <cell r="H1844" t="str">
            <v>R1012</v>
          </cell>
        </row>
        <row r="1845">
          <cell r="A1845" t="str">
            <v>ID554</v>
          </cell>
          <cell r="B1845" t="str">
            <v>26-Aug-1997</v>
          </cell>
          <cell r="C1845">
            <v>29</v>
          </cell>
          <cell r="D1845">
            <v>0</v>
          </cell>
          <cell r="E1845">
            <v>17878.900000000001</v>
          </cell>
          <cell r="F1845" t="str">
            <v>tier - 1</v>
          </cell>
          <cell r="G1845" t="str">
            <v>tier - 2</v>
          </cell>
          <cell r="H1845" t="str">
            <v>R1024</v>
          </cell>
        </row>
        <row r="1846">
          <cell r="A1846" t="str">
            <v>ID555</v>
          </cell>
          <cell r="B1846" t="str">
            <v>12-Dec-1976</v>
          </cell>
          <cell r="C1846">
            <v>49</v>
          </cell>
          <cell r="D1846">
            <v>2</v>
          </cell>
          <cell r="E1846">
            <v>17862.919999999998</v>
          </cell>
          <cell r="F1846" t="str">
            <v>tier - 1</v>
          </cell>
          <cell r="G1846" t="str">
            <v>tier - 2</v>
          </cell>
          <cell r="H1846" t="str">
            <v>R1012</v>
          </cell>
        </row>
        <row r="1847">
          <cell r="A1847" t="str">
            <v>ID556</v>
          </cell>
          <cell r="B1847" t="str">
            <v>8-Dec-1963</v>
          </cell>
          <cell r="C1847">
            <v>62</v>
          </cell>
          <cell r="D1847">
            <v>0</v>
          </cell>
          <cell r="E1847">
            <v>17832.599999999999</v>
          </cell>
          <cell r="F1847" t="str">
            <v>tier - 1</v>
          </cell>
          <cell r="G1847" t="str">
            <v>tier - 2</v>
          </cell>
          <cell r="H1847" t="str">
            <v>R1012</v>
          </cell>
        </row>
        <row r="1848">
          <cell r="A1848" t="str">
            <v>ID557</v>
          </cell>
          <cell r="B1848" t="str">
            <v>10-Oct-1979</v>
          </cell>
          <cell r="C1848">
            <v>47</v>
          </cell>
          <cell r="D1848">
            <v>2</v>
          </cell>
          <cell r="E1848">
            <v>17779.939999999999</v>
          </cell>
          <cell r="F1848" t="str">
            <v>tier - 1</v>
          </cell>
          <cell r="G1848" t="str">
            <v>tier - 2</v>
          </cell>
          <cell r="H1848" t="str">
            <v>R1012</v>
          </cell>
        </row>
        <row r="1849">
          <cell r="A1849" t="str">
            <v>ID558</v>
          </cell>
          <cell r="B1849" t="str">
            <v>21-Jun-1966</v>
          </cell>
          <cell r="C1849">
            <v>60</v>
          </cell>
          <cell r="D1849">
            <v>0</v>
          </cell>
          <cell r="E1849">
            <v>17777.73</v>
          </cell>
          <cell r="F1849" t="str">
            <v>tier - 1</v>
          </cell>
          <cell r="G1849" t="str">
            <v>tier - 3</v>
          </cell>
          <cell r="H1849" t="str">
            <v>R1012</v>
          </cell>
        </row>
        <row r="1850">
          <cell r="A1850" t="str">
            <v>ID559</v>
          </cell>
          <cell r="B1850" t="str">
            <v>14-Jul-2003</v>
          </cell>
          <cell r="C1850">
            <v>23</v>
          </cell>
          <cell r="D1850">
            <v>0</v>
          </cell>
          <cell r="E1850">
            <v>17748.509999999998</v>
          </cell>
          <cell r="F1850" t="str">
            <v>tier - 1</v>
          </cell>
          <cell r="G1850" t="str">
            <v>tier - 1</v>
          </cell>
          <cell r="H1850" t="str">
            <v>R1012</v>
          </cell>
        </row>
        <row r="1851">
          <cell r="A1851" t="str">
            <v>ID56</v>
          </cell>
          <cell r="B1851" t="str">
            <v>23-Oct-1975</v>
          </cell>
          <cell r="C1851">
            <v>50</v>
          </cell>
          <cell r="D1851">
            <v>1</v>
          </cell>
          <cell r="E1851">
            <v>42969.85</v>
          </cell>
          <cell r="F1851" t="str">
            <v>tier - 1</v>
          </cell>
          <cell r="G1851" t="str">
            <v>tier - 3</v>
          </cell>
          <cell r="H1851" t="str">
            <v>R1013</v>
          </cell>
        </row>
        <row r="1852">
          <cell r="A1852" t="str">
            <v>ID560</v>
          </cell>
          <cell r="B1852" t="str">
            <v>1-Jul-1994</v>
          </cell>
          <cell r="C1852">
            <v>32</v>
          </cell>
          <cell r="D1852">
            <v>3</v>
          </cell>
          <cell r="E1852">
            <v>17663.14</v>
          </cell>
          <cell r="F1852" t="str">
            <v>tier - 1</v>
          </cell>
          <cell r="G1852" t="str">
            <v>tier - 3</v>
          </cell>
          <cell r="H1852" t="str">
            <v>R1013</v>
          </cell>
        </row>
        <row r="1853">
          <cell r="A1853" t="str">
            <v>ID561</v>
          </cell>
          <cell r="B1853" t="str">
            <v>25-Oct-1990</v>
          </cell>
          <cell r="C1853">
            <v>35</v>
          </cell>
          <cell r="D1853">
            <v>1</v>
          </cell>
          <cell r="E1853">
            <v>17626.240000000002</v>
          </cell>
          <cell r="F1853" t="str">
            <v>tier - 1</v>
          </cell>
          <cell r="G1853" t="str">
            <v>tier - 3</v>
          </cell>
          <cell r="H1853" t="str">
            <v>R1013</v>
          </cell>
        </row>
        <row r="1854">
          <cell r="A1854" t="str">
            <v>ID562</v>
          </cell>
          <cell r="B1854" t="str">
            <v>26-Jul-1970</v>
          </cell>
          <cell r="C1854">
            <v>56</v>
          </cell>
          <cell r="D1854">
            <v>0</v>
          </cell>
          <cell r="E1854">
            <v>17584.72</v>
          </cell>
          <cell r="F1854" t="str">
            <v>tier - 1</v>
          </cell>
          <cell r="G1854" t="str">
            <v>tier - 3</v>
          </cell>
          <cell r="H1854" t="str">
            <v>R1012</v>
          </cell>
        </row>
        <row r="1855">
          <cell r="A1855" t="str">
            <v>ID563</v>
          </cell>
          <cell r="B1855" t="str">
            <v>25-Aug-2002</v>
          </cell>
          <cell r="C1855">
            <v>24</v>
          </cell>
          <cell r="D1855">
            <v>1</v>
          </cell>
          <cell r="E1855">
            <v>17560.38</v>
          </cell>
          <cell r="F1855" t="str">
            <v>tier - 1</v>
          </cell>
          <cell r="G1855" t="str">
            <v>tier - 1</v>
          </cell>
          <cell r="H1855" t="str">
            <v>R1012</v>
          </cell>
        </row>
        <row r="1856">
          <cell r="A1856" t="str">
            <v>ID564</v>
          </cell>
          <cell r="B1856" t="str">
            <v>16-Nov-1963</v>
          </cell>
          <cell r="C1856">
            <v>62</v>
          </cell>
          <cell r="D1856">
            <v>0</v>
          </cell>
          <cell r="E1856">
            <v>17556.88</v>
          </cell>
          <cell r="F1856" t="str">
            <v>tier - 1</v>
          </cell>
          <cell r="G1856" t="str">
            <v>tier - 2</v>
          </cell>
          <cell r="H1856" t="str">
            <v>R1012</v>
          </cell>
        </row>
        <row r="1857">
          <cell r="A1857" t="str">
            <v>ID565</v>
          </cell>
          <cell r="B1857" t="str">
            <v>12-Jul-1968</v>
          </cell>
          <cell r="C1857">
            <v>58</v>
          </cell>
          <cell r="D1857">
            <v>0</v>
          </cell>
          <cell r="E1857">
            <v>17507.47</v>
          </cell>
          <cell r="F1857" t="str">
            <v>tier - 1</v>
          </cell>
          <cell r="G1857" t="str">
            <v>tier - 1</v>
          </cell>
          <cell r="H1857" t="str">
            <v>R1026</v>
          </cell>
        </row>
        <row r="1858">
          <cell r="A1858" t="str">
            <v>ID566</v>
          </cell>
          <cell r="B1858" t="str">
            <v>16-Jun-1965</v>
          </cell>
          <cell r="C1858">
            <v>61</v>
          </cell>
          <cell r="D1858">
            <v>0</v>
          </cell>
          <cell r="E1858">
            <v>17505.650000000001</v>
          </cell>
          <cell r="F1858" t="str">
            <v>tier - 1</v>
          </cell>
          <cell r="G1858" t="str">
            <v>tier - 2</v>
          </cell>
          <cell r="H1858" t="str">
            <v>R1023</v>
          </cell>
        </row>
        <row r="1859">
          <cell r="A1859" t="str">
            <v>ID567</v>
          </cell>
          <cell r="B1859" t="str">
            <v>29-Dec-1990</v>
          </cell>
          <cell r="C1859">
            <v>35</v>
          </cell>
          <cell r="D1859">
            <v>0</v>
          </cell>
          <cell r="E1859">
            <v>17496.310000000001</v>
          </cell>
          <cell r="F1859" t="str">
            <v>tier - 1</v>
          </cell>
          <cell r="G1859" t="str">
            <v>tier - 2</v>
          </cell>
          <cell r="H1859" t="str">
            <v>R1011</v>
          </cell>
        </row>
        <row r="1860">
          <cell r="A1860" t="str">
            <v>ID568</v>
          </cell>
          <cell r="B1860" t="str">
            <v>8-Jun-1971</v>
          </cell>
          <cell r="C1860">
            <v>55</v>
          </cell>
          <cell r="D1860">
            <v>0</v>
          </cell>
          <cell r="E1860">
            <v>17479.53</v>
          </cell>
          <cell r="F1860" t="str">
            <v>tier - 1</v>
          </cell>
          <cell r="G1860" t="str">
            <v>tier - 1</v>
          </cell>
          <cell r="H1860" t="str">
            <v>R1012</v>
          </cell>
        </row>
        <row r="1861">
          <cell r="A1861" t="str">
            <v>ID569</v>
          </cell>
          <cell r="B1861" t="str">
            <v>2-Nov-2003</v>
          </cell>
          <cell r="C1861">
            <v>22</v>
          </cell>
          <cell r="D1861">
            <v>0</v>
          </cell>
          <cell r="E1861">
            <v>17468.98</v>
          </cell>
          <cell r="F1861" t="str">
            <v>tier - 2</v>
          </cell>
          <cell r="G1861" t="str">
            <v>tier - 1</v>
          </cell>
          <cell r="H1861" t="str">
            <v>R1012</v>
          </cell>
        </row>
        <row r="1862">
          <cell r="A1862" t="str">
            <v>ID57</v>
          </cell>
          <cell r="B1862" t="str">
            <v>10-Sep-1972</v>
          </cell>
          <cell r="C1862">
            <v>54</v>
          </cell>
          <cell r="D1862">
            <v>2</v>
          </cell>
          <cell r="E1862">
            <v>42856.84</v>
          </cell>
          <cell r="F1862" t="str">
            <v>tier - 1</v>
          </cell>
          <cell r="G1862" t="str">
            <v>tier - 1</v>
          </cell>
          <cell r="H1862" t="str">
            <v>R1011</v>
          </cell>
        </row>
        <row r="1863">
          <cell r="A1863" t="str">
            <v>ID570</v>
          </cell>
          <cell r="B1863" t="str">
            <v>18-Oct-1992</v>
          </cell>
          <cell r="C1863">
            <v>34</v>
          </cell>
          <cell r="D1863">
            <v>2</v>
          </cell>
          <cell r="E1863">
            <v>17361.77</v>
          </cell>
          <cell r="F1863" t="str">
            <v>tier - 2</v>
          </cell>
          <cell r="G1863" t="str">
            <v>tier - 1</v>
          </cell>
          <cell r="H1863" t="str">
            <v>R1012</v>
          </cell>
        </row>
        <row r="1864">
          <cell r="A1864" t="str">
            <v>ID571</v>
          </cell>
          <cell r="B1864" t="str">
            <v>1-Nov-2003</v>
          </cell>
          <cell r="C1864">
            <v>22</v>
          </cell>
          <cell r="D1864">
            <v>0</v>
          </cell>
          <cell r="E1864">
            <v>17352.68</v>
          </cell>
          <cell r="F1864" t="str">
            <v>tier - 2</v>
          </cell>
          <cell r="G1864" t="str">
            <v>tier - 3</v>
          </cell>
          <cell r="H1864" t="str">
            <v>R1012</v>
          </cell>
        </row>
        <row r="1865">
          <cell r="A1865" t="str">
            <v>ID572</v>
          </cell>
          <cell r="B1865" t="str">
            <v>12-Jul-1963</v>
          </cell>
          <cell r="C1865">
            <v>63</v>
          </cell>
          <cell r="D1865">
            <v>0</v>
          </cell>
          <cell r="E1865">
            <v>17337.580000000002</v>
          </cell>
          <cell r="F1865" t="str">
            <v>tier - 2</v>
          </cell>
          <cell r="G1865" t="str">
            <v>tier - 3</v>
          </cell>
          <cell r="H1865" t="str">
            <v>R1023</v>
          </cell>
        </row>
        <row r="1866">
          <cell r="A1866" t="str">
            <v>ID573</v>
          </cell>
          <cell r="B1866" t="str">
            <v>25-Aug-1975</v>
          </cell>
          <cell r="C1866">
            <v>51</v>
          </cell>
          <cell r="D1866">
            <v>1</v>
          </cell>
          <cell r="E1866">
            <v>17253.43</v>
          </cell>
          <cell r="F1866" t="str">
            <v>tier - 2</v>
          </cell>
          <cell r="G1866" t="str">
            <v>tier - 3</v>
          </cell>
          <cell r="H1866" t="str">
            <v>R1026</v>
          </cell>
        </row>
        <row r="1867">
          <cell r="A1867" t="str">
            <v>ID574</v>
          </cell>
          <cell r="B1867" t="str">
            <v>22-Oct-1982</v>
          </cell>
          <cell r="C1867">
            <v>43</v>
          </cell>
          <cell r="D1867">
            <v>1</v>
          </cell>
          <cell r="E1867">
            <v>17179.52</v>
          </cell>
          <cell r="F1867" t="str">
            <v>tier - 2</v>
          </cell>
          <cell r="G1867" t="str">
            <v>tier - 1</v>
          </cell>
          <cell r="H1867" t="str">
            <v>R1013</v>
          </cell>
        </row>
        <row r="1868">
          <cell r="A1868" t="str">
            <v>ID575</v>
          </cell>
          <cell r="B1868" t="str">
            <v>18-Aug-2004</v>
          </cell>
          <cell r="C1868">
            <v>22</v>
          </cell>
          <cell r="D1868">
            <v>1</v>
          </cell>
          <cell r="E1868">
            <v>17178.68</v>
          </cell>
          <cell r="F1868" t="str">
            <v>tier - 2</v>
          </cell>
          <cell r="G1868" t="str">
            <v>tier - 2</v>
          </cell>
          <cell r="H1868" t="str">
            <v>R1019</v>
          </cell>
        </row>
        <row r="1869">
          <cell r="A1869" t="str">
            <v>ID576</v>
          </cell>
          <cell r="B1869" t="str">
            <v>7-Jun-1964</v>
          </cell>
          <cell r="C1869">
            <v>62</v>
          </cell>
          <cell r="D1869">
            <v>0</v>
          </cell>
          <cell r="E1869">
            <v>17174.52</v>
          </cell>
          <cell r="F1869" t="str">
            <v>tier - 2</v>
          </cell>
          <cell r="G1869" t="str">
            <v>tier - 2</v>
          </cell>
          <cell r="H1869" t="str">
            <v>R1012</v>
          </cell>
        </row>
        <row r="1870">
          <cell r="A1870" t="str">
            <v>ID577</v>
          </cell>
          <cell r="B1870" t="str">
            <v>16-Sep-1965</v>
          </cell>
          <cell r="C1870">
            <v>61</v>
          </cell>
          <cell r="D1870">
            <v>0</v>
          </cell>
          <cell r="E1870">
            <v>17172.27</v>
          </cell>
          <cell r="F1870" t="str">
            <v>tier - 2</v>
          </cell>
          <cell r="G1870" t="str">
            <v>tier - 2</v>
          </cell>
          <cell r="H1870" t="str">
            <v>R1026</v>
          </cell>
        </row>
        <row r="1871">
          <cell r="A1871" t="str">
            <v>ID578</v>
          </cell>
          <cell r="B1871" t="str">
            <v>3-Jun-1998</v>
          </cell>
          <cell r="C1871">
            <v>28</v>
          </cell>
          <cell r="D1871">
            <v>4</v>
          </cell>
          <cell r="E1871">
            <v>17128.43</v>
          </cell>
          <cell r="F1871" t="str">
            <v>tier - 2</v>
          </cell>
          <cell r="G1871" t="str">
            <v>tier - 3</v>
          </cell>
          <cell r="H1871" t="str">
            <v>R1016</v>
          </cell>
        </row>
        <row r="1872">
          <cell r="A1872" t="str">
            <v>ID579</v>
          </cell>
          <cell r="B1872" t="str">
            <v>28-Jun-2002</v>
          </cell>
          <cell r="C1872">
            <v>24</v>
          </cell>
          <cell r="D1872">
            <v>1</v>
          </cell>
          <cell r="E1872">
            <v>17085.27</v>
          </cell>
          <cell r="F1872" t="str">
            <v>tier - 2</v>
          </cell>
          <cell r="G1872" t="str">
            <v>tier - 3</v>
          </cell>
          <cell r="H1872" t="str">
            <v>R1013</v>
          </cell>
        </row>
        <row r="1873">
          <cell r="A1873" t="str">
            <v>ID58</v>
          </cell>
          <cell r="B1873" t="str">
            <v>29-Oct-1965</v>
          </cell>
          <cell r="C1873">
            <v>60</v>
          </cell>
          <cell r="D1873">
            <v>0</v>
          </cell>
          <cell r="E1873">
            <v>42764.12</v>
          </cell>
          <cell r="F1873" t="str">
            <v>tier - 1</v>
          </cell>
          <cell r="G1873" t="str">
            <v>tier - 2</v>
          </cell>
          <cell r="H1873" t="str">
            <v>R1011</v>
          </cell>
        </row>
        <row r="1874">
          <cell r="A1874" t="str">
            <v>ID580</v>
          </cell>
          <cell r="B1874" t="str">
            <v>26-Dec-2003</v>
          </cell>
          <cell r="C1874">
            <v>22</v>
          </cell>
          <cell r="D1874">
            <v>0</v>
          </cell>
          <cell r="E1874">
            <v>17081.080000000002</v>
          </cell>
          <cell r="F1874" t="str">
            <v>tier - 2</v>
          </cell>
          <cell r="G1874" t="str">
            <v>tier - 2</v>
          </cell>
          <cell r="H1874" t="str">
            <v>R1011</v>
          </cell>
        </row>
        <row r="1875">
          <cell r="A1875" t="str">
            <v>ID581</v>
          </cell>
          <cell r="B1875" t="str">
            <v>10-Jun-1996</v>
          </cell>
          <cell r="C1875">
            <v>30</v>
          </cell>
          <cell r="D1875">
            <v>0</v>
          </cell>
          <cell r="E1875">
            <v>17043.34</v>
          </cell>
          <cell r="F1875" t="str">
            <v>tier - 2</v>
          </cell>
          <cell r="G1875" t="str">
            <v>tier - 3</v>
          </cell>
          <cell r="H1875" t="str">
            <v>R1013</v>
          </cell>
        </row>
        <row r="1876">
          <cell r="A1876" t="str">
            <v>ID582</v>
          </cell>
          <cell r="B1876" t="str">
            <v>22-Aug-1971</v>
          </cell>
          <cell r="C1876">
            <v>55</v>
          </cell>
          <cell r="D1876">
            <v>0</v>
          </cell>
          <cell r="E1876">
            <v>17016.009999999998</v>
          </cell>
          <cell r="F1876" t="str">
            <v>tier - 2</v>
          </cell>
          <cell r="G1876" t="str">
            <v>tier - 2</v>
          </cell>
          <cell r="H1876" t="str">
            <v>R1023</v>
          </cell>
        </row>
        <row r="1877">
          <cell r="A1877" t="str">
            <v>ID583</v>
          </cell>
          <cell r="B1877" t="str">
            <v>16-Jul-1980</v>
          </cell>
          <cell r="C1877">
            <v>46</v>
          </cell>
          <cell r="D1877">
            <v>2</v>
          </cell>
          <cell r="E1877">
            <v>16990.55</v>
          </cell>
          <cell r="F1877" t="str">
            <v>tier - 2</v>
          </cell>
          <cell r="G1877" t="str">
            <v>tier - 3</v>
          </cell>
          <cell r="H1877" t="str">
            <v>R1012</v>
          </cell>
        </row>
        <row r="1878">
          <cell r="A1878" t="str">
            <v>ID584</v>
          </cell>
          <cell r="B1878" t="str">
            <v>25-Aug-1977</v>
          </cell>
          <cell r="C1878">
            <v>49</v>
          </cell>
          <cell r="D1878">
            <v>2</v>
          </cell>
          <cell r="E1878">
            <v>16921.09</v>
          </cell>
          <cell r="F1878" t="str">
            <v>tier - 2</v>
          </cell>
          <cell r="G1878" t="str">
            <v>tier - 3</v>
          </cell>
          <cell r="H1878" t="str">
            <v>R1023</v>
          </cell>
        </row>
        <row r="1879">
          <cell r="A1879" t="str">
            <v>ID585</v>
          </cell>
          <cell r="B1879" t="str">
            <v>21-Oct-1968</v>
          </cell>
          <cell r="C1879">
            <v>57</v>
          </cell>
          <cell r="D1879">
            <v>0</v>
          </cell>
          <cell r="E1879">
            <v>16903.5</v>
          </cell>
          <cell r="F1879" t="str">
            <v>tier - 2</v>
          </cell>
          <cell r="G1879" t="str">
            <v>tier - 3</v>
          </cell>
          <cell r="H1879" t="str">
            <v>R1012</v>
          </cell>
        </row>
        <row r="1880">
          <cell r="A1880" t="str">
            <v>ID586</v>
          </cell>
          <cell r="B1880" t="str">
            <v>10-Sep-2003</v>
          </cell>
          <cell r="C1880">
            <v>23</v>
          </cell>
          <cell r="D1880">
            <v>0</v>
          </cell>
          <cell r="E1880">
            <v>16884.919999999998</v>
          </cell>
          <cell r="F1880" t="str">
            <v>tier - 2</v>
          </cell>
          <cell r="G1880" t="str">
            <v>tier - 2</v>
          </cell>
          <cell r="H1880" t="str">
            <v>R1011</v>
          </cell>
        </row>
        <row r="1881">
          <cell r="A1881" t="str">
            <v>ID587</v>
          </cell>
          <cell r="B1881" t="str">
            <v>8-Aug-1974</v>
          </cell>
          <cell r="C1881">
            <v>52</v>
          </cell>
          <cell r="D1881">
            <v>0</v>
          </cell>
          <cell r="E1881">
            <v>16841.32</v>
          </cell>
          <cell r="F1881" t="str">
            <v>tier - 2</v>
          </cell>
          <cell r="G1881" t="str">
            <v>tier - 3</v>
          </cell>
          <cell r="H1881" t="str">
            <v>R1011</v>
          </cell>
        </row>
        <row r="1882">
          <cell r="A1882" t="str">
            <v>ID588</v>
          </cell>
          <cell r="B1882" t="str">
            <v>19-Oct-1995</v>
          </cell>
          <cell r="C1882">
            <v>30</v>
          </cell>
          <cell r="D1882">
            <v>1</v>
          </cell>
          <cell r="E1882">
            <v>16796.41</v>
          </cell>
          <cell r="F1882" t="str">
            <v>tier - 2</v>
          </cell>
          <cell r="G1882" t="str">
            <v>tier - 3</v>
          </cell>
          <cell r="H1882" t="str">
            <v>R1024</v>
          </cell>
        </row>
        <row r="1883">
          <cell r="A1883" t="str">
            <v>ID589</v>
          </cell>
          <cell r="B1883" t="str">
            <v>29-Jul-1962</v>
          </cell>
          <cell r="C1883">
            <v>64</v>
          </cell>
          <cell r="D1883">
            <v>0</v>
          </cell>
          <cell r="E1883">
            <v>16779.400000000001</v>
          </cell>
          <cell r="F1883" t="str">
            <v>tier - 2</v>
          </cell>
          <cell r="G1883" t="str">
            <v>tier - 2</v>
          </cell>
          <cell r="H1883" t="str">
            <v>R1026</v>
          </cell>
        </row>
        <row r="1884">
          <cell r="A1884" t="str">
            <v>ID59</v>
          </cell>
          <cell r="B1884" t="str">
            <v>21-Oct-1977</v>
          </cell>
          <cell r="C1884">
            <v>48</v>
          </cell>
          <cell r="D1884">
            <v>2</v>
          </cell>
          <cell r="E1884">
            <v>42760.5</v>
          </cell>
          <cell r="F1884" t="str">
            <v>tier - 1</v>
          </cell>
          <cell r="G1884" t="str">
            <v>tier - 2</v>
          </cell>
          <cell r="H1884" t="str">
            <v>R1012</v>
          </cell>
        </row>
        <row r="1885">
          <cell r="A1885" t="str">
            <v>ID590</v>
          </cell>
          <cell r="B1885" t="str">
            <v>23-Sep-1989</v>
          </cell>
          <cell r="C1885">
            <v>37</v>
          </cell>
          <cell r="D1885">
            <v>2</v>
          </cell>
          <cell r="E1885">
            <v>16776.3</v>
          </cell>
          <cell r="F1885" t="str">
            <v>tier - 2</v>
          </cell>
          <cell r="G1885" t="str">
            <v>tier - 2</v>
          </cell>
          <cell r="H1885" t="str">
            <v>R1024</v>
          </cell>
        </row>
        <row r="1886">
          <cell r="A1886" t="str">
            <v>ID591</v>
          </cell>
          <cell r="B1886" t="str">
            <v>28-Aug-1974</v>
          </cell>
          <cell r="C1886">
            <v>52</v>
          </cell>
          <cell r="D1886">
            <v>0</v>
          </cell>
          <cell r="E1886">
            <v>16770.990000000002</v>
          </cell>
          <cell r="F1886" t="str">
            <v>tier - 2</v>
          </cell>
          <cell r="G1886" t="str">
            <v>tier - 1</v>
          </cell>
          <cell r="H1886" t="str">
            <v>R1012</v>
          </cell>
        </row>
        <row r="1887">
          <cell r="A1887" t="str">
            <v>ID592</v>
          </cell>
          <cell r="B1887" t="str">
            <v>5-Nov-1993</v>
          </cell>
          <cell r="C1887">
            <v>32</v>
          </cell>
          <cell r="D1887">
            <v>1</v>
          </cell>
          <cell r="E1887">
            <v>16657.72</v>
          </cell>
          <cell r="F1887" t="str">
            <v>tier - 2</v>
          </cell>
          <cell r="G1887" t="str">
            <v>tier - 1</v>
          </cell>
          <cell r="H1887" t="str">
            <v>R1024</v>
          </cell>
        </row>
        <row r="1888">
          <cell r="A1888" t="str">
            <v>ID593</v>
          </cell>
          <cell r="B1888" t="str">
            <v>25-Sep-1977</v>
          </cell>
          <cell r="C1888">
            <v>49</v>
          </cell>
          <cell r="D1888">
            <v>2</v>
          </cell>
          <cell r="E1888">
            <v>16631.61</v>
          </cell>
          <cell r="F1888" t="str">
            <v>tier - 2</v>
          </cell>
          <cell r="G1888" t="str">
            <v>tier - 1</v>
          </cell>
          <cell r="H1888" t="str">
            <v>R1012</v>
          </cell>
        </row>
        <row r="1889">
          <cell r="A1889" t="str">
            <v>ID594</v>
          </cell>
          <cell r="B1889" t="str">
            <v>24-Jul-1975</v>
          </cell>
          <cell r="C1889">
            <v>51</v>
          </cell>
          <cell r="D1889">
            <v>1</v>
          </cell>
          <cell r="E1889">
            <v>16602.18</v>
          </cell>
          <cell r="F1889" t="str">
            <v>tier - 2</v>
          </cell>
          <cell r="G1889" t="str">
            <v>tier - 1</v>
          </cell>
          <cell r="H1889" t="str">
            <v>R1026</v>
          </cell>
        </row>
        <row r="1890">
          <cell r="A1890" t="str">
            <v>ID595</v>
          </cell>
          <cell r="B1890" t="str">
            <v>10-Jul-1970</v>
          </cell>
          <cell r="C1890">
            <v>56</v>
          </cell>
          <cell r="D1890">
            <v>0</v>
          </cell>
          <cell r="E1890">
            <v>16600.16</v>
          </cell>
          <cell r="F1890" t="str">
            <v>tier - 2</v>
          </cell>
          <cell r="G1890" t="str">
            <v>tier - 2</v>
          </cell>
          <cell r="H1890" t="str">
            <v>R1011</v>
          </cell>
        </row>
        <row r="1891">
          <cell r="A1891" t="str">
            <v>ID596</v>
          </cell>
          <cell r="B1891" t="str">
            <v>25-Jun-1963</v>
          </cell>
          <cell r="C1891">
            <v>63</v>
          </cell>
          <cell r="D1891">
            <v>0</v>
          </cell>
          <cell r="E1891">
            <v>16587.96</v>
          </cell>
          <cell r="F1891" t="str">
            <v>tier - 2</v>
          </cell>
          <cell r="G1891" t="str">
            <v>tier - 2</v>
          </cell>
          <cell r="H1891" t="str">
            <v>R1023</v>
          </cell>
        </row>
        <row r="1892">
          <cell r="A1892" t="str">
            <v>ID597</v>
          </cell>
          <cell r="B1892" t="str">
            <v>25-Jun-2001</v>
          </cell>
          <cell r="C1892">
            <v>25</v>
          </cell>
          <cell r="D1892">
            <v>0</v>
          </cell>
          <cell r="E1892">
            <v>16586.5</v>
          </cell>
          <cell r="F1892" t="str">
            <v>tier - 2</v>
          </cell>
          <cell r="G1892" t="str">
            <v>tier - 1</v>
          </cell>
          <cell r="H1892" t="str">
            <v>R1013</v>
          </cell>
        </row>
        <row r="1893">
          <cell r="A1893" t="str">
            <v>ID598</v>
          </cell>
          <cell r="B1893" t="str">
            <v>23-Dec-1995</v>
          </cell>
          <cell r="C1893">
            <v>30</v>
          </cell>
          <cell r="D1893">
            <v>0</v>
          </cell>
          <cell r="E1893">
            <v>16577.78</v>
          </cell>
          <cell r="F1893" t="str">
            <v>tier - 2</v>
          </cell>
          <cell r="G1893" t="str">
            <v>tier - 1</v>
          </cell>
          <cell r="H1893" t="str">
            <v>R1013</v>
          </cell>
        </row>
        <row r="1894">
          <cell r="A1894" t="str">
            <v>ID599</v>
          </cell>
          <cell r="B1894" t="str">
            <v>10-Oct-1958</v>
          </cell>
          <cell r="C1894">
            <v>68</v>
          </cell>
          <cell r="D1894">
            <v>3</v>
          </cell>
          <cell r="E1894">
            <v>16455.71</v>
          </cell>
          <cell r="F1894" t="str">
            <v>tier - 2</v>
          </cell>
          <cell r="G1894" t="str">
            <v>tier - 2</v>
          </cell>
          <cell r="H1894" t="str">
            <v>R1012</v>
          </cell>
        </row>
        <row r="1895">
          <cell r="A1895" t="str">
            <v>ID6</v>
          </cell>
          <cell r="B1895" t="str">
            <v>4-Aug-1962</v>
          </cell>
          <cell r="C1895">
            <v>64</v>
          </cell>
          <cell r="D1895">
            <v>0</v>
          </cell>
          <cell r="E1895">
            <v>52590.83</v>
          </cell>
          <cell r="F1895" t="str">
            <v>tier - 1</v>
          </cell>
          <cell r="G1895" t="str">
            <v>tier - 3</v>
          </cell>
          <cell r="H1895" t="str">
            <v>R1011</v>
          </cell>
        </row>
        <row r="1896">
          <cell r="A1896" t="str">
            <v>ID60</v>
          </cell>
          <cell r="B1896" t="str">
            <v>3-Nov-1971</v>
          </cell>
          <cell r="C1896">
            <v>54</v>
          </cell>
          <cell r="D1896">
            <v>0</v>
          </cell>
          <cell r="E1896">
            <v>42644.2</v>
          </cell>
          <cell r="F1896" t="str">
            <v>tier - 1</v>
          </cell>
          <cell r="G1896" t="str">
            <v>tier - 3</v>
          </cell>
          <cell r="H1896" t="str">
            <v>R1011</v>
          </cell>
        </row>
        <row r="1897">
          <cell r="A1897" t="str">
            <v>ID600</v>
          </cell>
          <cell r="B1897" t="str">
            <v>20-Dec-2003</v>
          </cell>
          <cell r="C1897">
            <v>22</v>
          </cell>
          <cell r="D1897">
            <v>1</v>
          </cell>
          <cell r="E1897">
            <v>16450.89</v>
          </cell>
          <cell r="F1897" t="str">
            <v>tier - 2</v>
          </cell>
          <cell r="G1897" t="str">
            <v>tier - 1</v>
          </cell>
          <cell r="H1897" t="str">
            <v>R1012</v>
          </cell>
        </row>
        <row r="1898">
          <cell r="A1898" t="str">
            <v>ID601</v>
          </cell>
          <cell r="B1898" t="str">
            <v>28-Sep-1995</v>
          </cell>
          <cell r="C1898">
            <v>31</v>
          </cell>
          <cell r="D1898">
            <v>3</v>
          </cell>
          <cell r="E1898">
            <v>16420.490000000002</v>
          </cell>
          <cell r="F1898" t="str">
            <v>tier - 2</v>
          </cell>
          <cell r="G1898" t="str">
            <v>tier - 3</v>
          </cell>
          <cell r="H1898" t="str">
            <v>R1012</v>
          </cell>
        </row>
        <row r="1899">
          <cell r="A1899" t="str">
            <v>ID602</v>
          </cell>
          <cell r="B1899" t="str">
            <v>5-Dec-1965</v>
          </cell>
          <cell r="C1899">
            <v>60</v>
          </cell>
          <cell r="D1899">
            <v>0</v>
          </cell>
          <cell r="E1899">
            <v>16351.42</v>
          </cell>
          <cell r="F1899" t="str">
            <v>tier - 2</v>
          </cell>
          <cell r="G1899" t="str">
            <v>tier - 3</v>
          </cell>
          <cell r="H1899" t="str">
            <v>R1026</v>
          </cell>
        </row>
        <row r="1900">
          <cell r="A1900" t="str">
            <v>ID603</v>
          </cell>
          <cell r="B1900" t="str">
            <v>8-Aug-1969</v>
          </cell>
          <cell r="C1900">
            <v>57</v>
          </cell>
          <cell r="D1900">
            <v>0</v>
          </cell>
          <cell r="E1900">
            <v>16311.05</v>
          </cell>
          <cell r="F1900" t="str">
            <v>tier - 2</v>
          </cell>
          <cell r="G1900" t="str">
            <v>tier - 3</v>
          </cell>
          <cell r="H1900" t="str">
            <v>R1026</v>
          </cell>
        </row>
        <row r="1901">
          <cell r="A1901" t="str">
            <v>ID604</v>
          </cell>
          <cell r="B1901" t="str">
            <v>24-Aug-2003</v>
          </cell>
          <cell r="C1901">
            <v>23</v>
          </cell>
          <cell r="D1901">
            <v>0</v>
          </cell>
          <cell r="E1901">
            <v>16297.85</v>
          </cell>
          <cell r="F1901" t="str">
            <v>tier - 2</v>
          </cell>
          <cell r="G1901" t="str">
            <v>tier - 3</v>
          </cell>
          <cell r="H1901" t="str">
            <v>R1011</v>
          </cell>
        </row>
        <row r="1902">
          <cell r="A1902" t="str">
            <v>ID605</v>
          </cell>
          <cell r="B1902" t="str">
            <v>30-Jul-1972</v>
          </cell>
          <cell r="C1902">
            <v>54</v>
          </cell>
          <cell r="D1902">
            <v>0</v>
          </cell>
          <cell r="E1902">
            <v>16267.32</v>
          </cell>
          <cell r="F1902" t="str">
            <v>tier - 2</v>
          </cell>
          <cell r="G1902" t="str">
            <v>tier - 2</v>
          </cell>
          <cell r="H1902" t="str">
            <v>R1023</v>
          </cell>
        </row>
        <row r="1903">
          <cell r="A1903" t="str">
            <v>ID606</v>
          </cell>
          <cell r="B1903" t="str">
            <v>8-Sep-2002</v>
          </cell>
          <cell r="C1903">
            <v>24</v>
          </cell>
          <cell r="D1903">
            <v>0</v>
          </cell>
          <cell r="E1903">
            <v>16232.85</v>
          </cell>
          <cell r="F1903" t="str">
            <v>tier - 2</v>
          </cell>
          <cell r="G1903" t="str">
            <v>tier - 1</v>
          </cell>
          <cell r="H1903" t="str">
            <v>R1011</v>
          </cell>
        </row>
        <row r="1904">
          <cell r="A1904" t="str">
            <v>ID607</v>
          </cell>
          <cell r="B1904" t="str">
            <v>21-Aug-1988</v>
          </cell>
          <cell r="C1904">
            <v>38</v>
          </cell>
          <cell r="D1904">
            <v>3</v>
          </cell>
          <cell r="E1904">
            <v>16205.88</v>
          </cell>
          <cell r="F1904" t="str">
            <v>tier - 2</v>
          </cell>
          <cell r="G1904" t="str">
            <v>tier - 1</v>
          </cell>
          <cell r="H1904" t="str">
            <v>R1012</v>
          </cell>
        </row>
        <row r="1905">
          <cell r="A1905" t="str">
            <v>ID608</v>
          </cell>
          <cell r="B1905" t="str">
            <v>6-Aug-1988</v>
          </cell>
          <cell r="C1905">
            <v>38</v>
          </cell>
          <cell r="D1905">
            <v>3</v>
          </cell>
          <cell r="E1905">
            <v>16199.1</v>
          </cell>
          <cell r="F1905" t="str">
            <v>tier - 2</v>
          </cell>
          <cell r="G1905" t="str">
            <v>tier - 2</v>
          </cell>
          <cell r="H1905" t="str">
            <v>R1012</v>
          </cell>
        </row>
        <row r="1906">
          <cell r="A1906" t="str">
            <v>ID609</v>
          </cell>
          <cell r="B1906" t="str">
            <v>11-Sep-1974</v>
          </cell>
          <cell r="C1906">
            <v>52</v>
          </cell>
          <cell r="D1906">
            <v>0</v>
          </cell>
          <cell r="E1906">
            <v>16190.97</v>
          </cell>
          <cell r="F1906" t="str">
            <v>tier - 2</v>
          </cell>
          <cell r="G1906" t="str">
            <v>tier - 3</v>
          </cell>
          <cell r="H1906" t="str">
            <v>R1012</v>
          </cell>
        </row>
        <row r="1907">
          <cell r="A1907" t="str">
            <v>ID61</v>
          </cell>
          <cell r="B1907" t="str">
            <v>27-Dec-1979</v>
          </cell>
          <cell r="C1907">
            <v>46</v>
          </cell>
          <cell r="D1907">
            <v>2</v>
          </cell>
          <cell r="E1907">
            <v>42560.43</v>
          </cell>
          <cell r="F1907" t="str">
            <v>tier - 1</v>
          </cell>
          <cell r="G1907" t="str">
            <v>tier - 3</v>
          </cell>
          <cell r="H1907" t="str">
            <v>R1013</v>
          </cell>
        </row>
        <row r="1908">
          <cell r="A1908" t="str">
            <v>ID610</v>
          </cell>
          <cell r="B1908" t="str">
            <v>6-Jul-1982</v>
          </cell>
          <cell r="C1908">
            <v>44</v>
          </cell>
          <cell r="D1908">
            <v>3</v>
          </cell>
          <cell r="E1908">
            <v>16152.04</v>
          </cell>
          <cell r="F1908" t="str">
            <v>tier - 2</v>
          </cell>
          <cell r="G1908" t="str">
            <v>tier - 1</v>
          </cell>
          <cell r="H1908" t="str">
            <v>R1026</v>
          </cell>
        </row>
        <row r="1909">
          <cell r="A1909" t="str">
            <v>ID611</v>
          </cell>
          <cell r="B1909" t="str">
            <v>12-Dec-1993</v>
          </cell>
          <cell r="C1909">
            <v>32</v>
          </cell>
          <cell r="D1909">
            <v>0</v>
          </cell>
          <cell r="E1909">
            <v>16138.76</v>
          </cell>
          <cell r="F1909" t="str">
            <v>tier - 2</v>
          </cell>
          <cell r="G1909" t="str">
            <v>tier - 3</v>
          </cell>
          <cell r="H1909" t="str">
            <v>R1017</v>
          </cell>
        </row>
        <row r="1910">
          <cell r="A1910" t="str">
            <v>ID612</v>
          </cell>
          <cell r="B1910" t="str">
            <v>6-Oct-1987</v>
          </cell>
          <cell r="C1910">
            <v>39</v>
          </cell>
          <cell r="D1910">
            <v>3</v>
          </cell>
          <cell r="E1910">
            <v>16122.65</v>
          </cell>
          <cell r="F1910" t="str">
            <v>tier - 2</v>
          </cell>
          <cell r="G1910" t="str">
            <v>tier - 1</v>
          </cell>
          <cell r="H1910" t="str">
            <v>R1011</v>
          </cell>
        </row>
        <row r="1911">
          <cell r="A1911" t="str">
            <v>ID613</v>
          </cell>
          <cell r="B1911" t="str">
            <v>8-Aug-1993</v>
          </cell>
          <cell r="C1911">
            <v>33</v>
          </cell>
          <cell r="D1911">
            <v>0</v>
          </cell>
          <cell r="E1911">
            <v>16115.3</v>
          </cell>
          <cell r="F1911" t="str">
            <v>tier - 2</v>
          </cell>
          <cell r="G1911" t="str">
            <v>tier - 1</v>
          </cell>
          <cell r="H1911" t="str">
            <v>R1024</v>
          </cell>
        </row>
        <row r="1912">
          <cell r="A1912" t="str">
            <v>ID614</v>
          </cell>
          <cell r="B1912" t="str">
            <v>27-Aug-1985</v>
          </cell>
          <cell r="C1912">
            <v>41</v>
          </cell>
          <cell r="D1912">
            <v>3</v>
          </cell>
          <cell r="E1912">
            <v>16097.94</v>
          </cell>
          <cell r="F1912" t="str">
            <v>tier - 2</v>
          </cell>
          <cell r="G1912" t="str">
            <v>tier - 3</v>
          </cell>
          <cell r="H1912" t="str">
            <v>R1012</v>
          </cell>
        </row>
        <row r="1913">
          <cell r="A1913" t="str">
            <v>ID615</v>
          </cell>
          <cell r="B1913" t="str">
            <v>21-Jun-1958</v>
          </cell>
          <cell r="C1913">
            <v>68</v>
          </cell>
          <cell r="D1913">
            <v>3</v>
          </cell>
          <cell r="E1913">
            <v>16085.13</v>
          </cell>
          <cell r="F1913" t="str">
            <v>tier - 2</v>
          </cell>
          <cell r="G1913" t="str">
            <v>tier - 2</v>
          </cell>
          <cell r="H1913" t="str">
            <v>R1013</v>
          </cell>
        </row>
        <row r="1914">
          <cell r="A1914" t="str">
            <v>ID616</v>
          </cell>
          <cell r="B1914" t="str">
            <v>22-Oct-1958</v>
          </cell>
          <cell r="C1914">
            <v>67</v>
          </cell>
          <cell r="D1914">
            <v>2</v>
          </cell>
          <cell r="E1914">
            <v>16069.08</v>
          </cell>
          <cell r="F1914" t="str">
            <v>tier - 2</v>
          </cell>
          <cell r="G1914" t="str">
            <v>tier - 2</v>
          </cell>
          <cell r="H1914" t="str">
            <v>R1024</v>
          </cell>
        </row>
        <row r="1915">
          <cell r="A1915" t="str">
            <v>ID617</v>
          </cell>
          <cell r="B1915" t="str">
            <v>16-Sep-1978</v>
          </cell>
          <cell r="C1915">
            <v>48</v>
          </cell>
          <cell r="D1915">
            <v>2</v>
          </cell>
          <cell r="E1915">
            <v>16062.89</v>
          </cell>
          <cell r="F1915" t="str">
            <v>tier - 2</v>
          </cell>
          <cell r="G1915" t="str">
            <v>tier - 2</v>
          </cell>
          <cell r="H1915" t="str">
            <v>R1026</v>
          </cell>
        </row>
        <row r="1916">
          <cell r="A1916" t="str">
            <v>ID618</v>
          </cell>
          <cell r="B1916" t="str">
            <v>5-Dec-1988</v>
          </cell>
          <cell r="C1916">
            <v>37</v>
          </cell>
          <cell r="D1916">
            <v>3</v>
          </cell>
          <cell r="E1916">
            <v>16059.06</v>
          </cell>
          <cell r="F1916" t="str">
            <v>tier - 2</v>
          </cell>
          <cell r="G1916" t="str">
            <v>tier - 3</v>
          </cell>
          <cell r="H1916" t="str">
            <v>R1012</v>
          </cell>
        </row>
        <row r="1917">
          <cell r="A1917" t="str">
            <v>ID619</v>
          </cell>
          <cell r="B1917" t="str">
            <v>19-Sep-1980</v>
          </cell>
          <cell r="C1917">
            <v>46</v>
          </cell>
          <cell r="D1917">
            <v>2</v>
          </cell>
          <cell r="E1917">
            <v>15966.19</v>
          </cell>
          <cell r="F1917" t="str">
            <v>tier - 2</v>
          </cell>
          <cell r="G1917" t="str">
            <v>tier - 2</v>
          </cell>
          <cell r="H1917" t="str">
            <v>R1012</v>
          </cell>
        </row>
        <row r="1918">
          <cell r="A1918" t="str">
            <v>ID62</v>
          </cell>
          <cell r="B1918" t="str">
            <v>27-Jun-1967</v>
          </cell>
          <cell r="C1918">
            <v>59</v>
          </cell>
          <cell r="D1918">
            <v>0</v>
          </cell>
          <cell r="E1918">
            <v>42538.720000000001</v>
          </cell>
          <cell r="F1918" t="str">
            <v>tier - 1</v>
          </cell>
          <cell r="G1918" t="str">
            <v>tier - 3</v>
          </cell>
          <cell r="H1918" t="str">
            <v>R1011</v>
          </cell>
        </row>
        <row r="1919">
          <cell r="A1919" t="str">
            <v>ID620</v>
          </cell>
          <cell r="B1919" t="str">
            <v>24-Jul-1982</v>
          </cell>
          <cell r="C1919">
            <v>44</v>
          </cell>
          <cell r="D1919">
            <v>3</v>
          </cell>
          <cell r="E1919">
            <v>15965.29</v>
          </cell>
          <cell r="F1919" t="str">
            <v>tier - 2</v>
          </cell>
          <cell r="G1919" t="str">
            <v>tier - 1</v>
          </cell>
          <cell r="H1919" t="str">
            <v>R1012</v>
          </cell>
        </row>
        <row r="1920">
          <cell r="A1920" t="str">
            <v>ID621</v>
          </cell>
          <cell r="B1920" t="str">
            <v>12-Oct-1980</v>
          </cell>
          <cell r="C1920">
            <v>46</v>
          </cell>
          <cell r="D1920">
            <v>2</v>
          </cell>
          <cell r="E1920">
            <v>15922.29</v>
          </cell>
          <cell r="F1920" t="str">
            <v>tier - 2</v>
          </cell>
          <cell r="G1920" t="str">
            <v>tier - 3</v>
          </cell>
          <cell r="H1920" t="str">
            <v>R1026</v>
          </cell>
        </row>
        <row r="1921">
          <cell r="A1921" t="str">
            <v>ID622</v>
          </cell>
          <cell r="B1921" t="str">
            <v>25-Dec-1962</v>
          </cell>
          <cell r="C1921">
            <v>63</v>
          </cell>
          <cell r="D1921">
            <v>0</v>
          </cell>
          <cell r="E1921">
            <v>15840.81</v>
          </cell>
          <cell r="F1921" t="str">
            <v>tier - 2</v>
          </cell>
          <cell r="G1921" t="str">
            <v>tier - 1</v>
          </cell>
          <cell r="H1921" t="str">
            <v>R1022</v>
          </cell>
        </row>
        <row r="1922">
          <cell r="A1922" t="str">
            <v>ID623</v>
          </cell>
          <cell r="B1922" t="str">
            <v>11-Nov-1982</v>
          </cell>
          <cell r="C1922">
            <v>43</v>
          </cell>
          <cell r="D1922">
            <v>4</v>
          </cell>
          <cell r="E1922">
            <v>15828.82</v>
          </cell>
          <cell r="F1922" t="str">
            <v>tier - 2</v>
          </cell>
          <cell r="G1922" t="str">
            <v>tier - 3</v>
          </cell>
          <cell r="H1922" t="str">
            <v>R1011</v>
          </cell>
        </row>
        <row r="1923">
          <cell r="A1923" t="str">
            <v>ID624</v>
          </cell>
          <cell r="B1923" t="str">
            <v>26-Jun-1984</v>
          </cell>
          <cell r="C1923">
            <v>42</v>
          </cell>
          <cell r="D1923">
            <v>0</v>
          </cell>
          <cell r="E1923">
            <v>15820.7</v>
          </cell>
          <cell r="F1923" t="str">
            <v>tier - 2</v>
          </cell>
          <cell r="G1923" t="str">
            <v>tier - 3</v>
          </cell>
          <cell r="H1923" t="str">
            <v>R1011</v>
          </cell>
        </row>
        <row r="1924">
          <cell r="A1924" t="str">
            <v>ID625</v>
          </cell>
          <cell r="B1924" t="str">
            <v>9-Oct-1997</v>
          </cell>
          <cell r="C1924">
            <v>29</v>
          </cell>
          <cell r="D1924">
            <v>0</v>
          </cell>
          <cell r="E1924">
            <v>15817.99</v>
          </cell>
          <cell r="F1924" t="str">
            <v>tier - 2</v>
          </cell>
          <cell r="G1924" t="str">
            <v>tier - 2</v>
          </cell>
          <cell r="H1924" t="str">
            <v>R1012</v>
          </cell>
        </row>
        <row r="1925">
          <cell r="A1925" t="str">
            <v>ID626</v>
          </cell>
          <cell r="B1925" t="str">
            <v>29-Aug-1974</v>
          </cell>
          <cell r="C1925">
            <v>52</v>
          </cell>
          <cell r="D1925">
            <v>0</v>
          </cell>
          <cell r="E1925">
            <v>15746.62</v>
          </cell>
          <cell r="F1925" t="str">
            <v>tier - 2</v>
          </cell>
          <cell r="G1925" t="str">
            <v>tier - 1</v>
          </cell>
          <cell r="H1925" t="str">
            <v>R1012</v>
          </cell>
        </row>
        <row r="1926">
          <cell r="A1926" t="str">
            <v>ID627</v>
          </cell>
          <cell r="B1926" t="str">
            <v>20-Sep-1976</v>
          </cell>
          <cell r="C1926">
            <v>50</v>
          </cell>
          <cell r="D1926">
            <v>2</v>
          </cell>
          <cell r="E1926">
            <v>15698.86</v>
          </cell>
          <cell r="F1926" t="str">
            <v>tier - 2</v>
          </cell>
          <cell r="G1926" t="str">
            <v>tier - 2</v>
          </cell>
          <cell r="H1926" t="str">
            <v>R1012</v>
          </cell>
        </row>
        <row r="1927">
          <cell r="A1927" t="str">
            <v>ID628</v>
          </cell>
          <cell r="B1927" t="str">
            <v>26-Jun-1973</v>
          </cell>
          <cell r="C1927">
            <v>53</v>
          </cell>
          <cell r="D1927">
            <v>0</v>
          </cell>
          <cell r="E1927">
            <v>15670.3</v>
          </cell>
          <cell r="F1927" t="str">
            <v>tier - 2</v>
          </cell>
          <cell r="G1927" t="str">
            <v>tier - 2</v>
          </cell>
          <cell r="H1927" t="str">
            <v>R1026</v>
          </cell>
        </row>
        <row r="1928">
          <cell r="A1928" t="str">
            <v>ID629</v>
          </cell>
          <cell r="B1928" t="str">
            <v>22-Dec-1988</v>
          </cell>
          <cell r="C1928">
            <v>37</v>
          </cell>
          <cell r="D1928">
            <v>3</v>
          </cell>
          <cell r="E1928">
            <v>15646.28</v>
          </cell>
          <cell r="F1928" t="str">
            <v>tier - 2</v>
          </cell>
          <cell r="G1928" t="str">
            <v>tier - 2</v>
          </cell>
          <cell r="H1928" t="str">
            <v>R1011</v>
          </cell>
        </row>
        <row r="1929">
          <cell r="A1929" t="str">
            <v>ID63</v>
          </cell>
          <cell r="B1929" t="str">
            <v>3-Aug-1968</v>
          </cell>
          <cell r="C1929">
            <v>58</v>
          </cell>
          <cell r="D1929">
            <v>0</v>
          </cell>
          <cell r="E1929">
            <v>42478.6</v>
          </cell>
          <cell r="F1929" t="str">
            <v>tier - 1</v>
          </cell>
          <cell r="G1929" t="str">
            <v>tier - 2</v>
          </cell>
          <cell r="H1929" t="str">
            <v>R1011</v>
          </cell>
        </row>
        <row r="1930">
          <cell r="A1930" t="str">
            <v>ID630</v>
          </cell>
          <cell r="B1930" t="str">
            <v>6-Jun-1960</v>
          </cell>
          <cell r="C1930">
            <v>66</v>
          </cell>
          <cell r="D1930">
            <v>3</v>
          </cell>
          <cell r="E1930">
            <v>15612.19</v>
          </cell>
          <cell r="F1930" t="str">
            <v>tier - 2</v>
          </cell>
          <cell r="G1930" t="str">
            <v>tier - 2</v>
          </cell>
          <cell r="H1930" t="str">
            <v>R1012</v>
          </cell>
        </row>
        <row r="1931">
          <cell r="A1931" t="str">
            <v>ID631</v>
          </cell>
          <cell r="B1931" t="str">
            <v>28-Oct-1965</v>
          </cell>
          <cell r="C1931">
            <v>60</v>
          </cell>
          <cell r="D1931">
            <v>0</v>
          </cell>
          <cell r="E1931">
            <v>15608.58</v>
          </cell>
          <cell r="F1931" t="str">
            <v>tier - 2</v>
          </cell>
          <cell r="G1931" t="str">
            <v>tier - 2</v>
          </cell>
          <cell r="H1931" t="str">
            <v>R1026</v>
          </cell>
        </row>
        <row r="1932">
          <cell r="A1932" t="str">
            <v>ID632</v>
          </cell>
          <cell r="B1932" t="str">
            <v>30-Jul-1974</v>
          </cell>
          <cell r="C1932">
            <v>52</v>
          </cell>
          <cell r="D1932">
            <v>0</v>
          </cell>
          <cell r="E1932">
            <v>15556.67</v>
          </cell>
          <cell r="F1932" t="str">
            <v>tier - 2</v>
          </cell>
          <cell r="G1932" t="str">
            <v>tier - 2</v>
          </cell>
          <cell r="H1932" t="str">
            <v>R1012</v>
          </cell>
        </row>
        <row r="1933">
          <cell r="A1933" t="str">
            <v>ID633</v>
          </cell>
          <cell r="B1933" t="str">
            <v>2-Oct-1959</v>
          </cell>
          <cell r="C1933">
            <v>67</v>
          </cell>
          <cell r="D1933">
            <v>3</v>
          </cell>
          <cell r="E1933">
            <v>15555.19</v>
          </cell>
          <cell r="F1933" t="str">
            <v>tier - 2</v>
          </cell>
          <cell r="G1933" t="str">
            <v>tier - 3</v>
          </cell>
          <cell r="H1933" t="str">
            <v>R1012</v>
          </cell>
        </row>
        <row r="1934">
          <cell r="A1934" t="str">
            <v>ID634</v>
          </cell>
          <cell r="B1934" t="str">
            <v>28-Jun-1974</v>
          </cell>
          <cell r="C1934">
            <v>52</v>
          </cell>
          <cell r="D1934">
            <v>0</v>
          </cell>
          <cell r="E1934">
            <v>15532.16</v>
          </cell>
          <cell r="F1934" t="str">
            <v>tier - 2</v>
          </cell>
          <cell r="G1934" t="str">
            <v>tier - 2</v>
          </cell>
          <cell r="H1934" t="str">
            <v>R1026</v>
          </cell>
        </row>
        <row r="1935">
          <cell r="A1935" t="str">
            <v>ID635</v>
          </cell>
          <cell r="B1935" t="str">
            <v>17-Jul-2004</v>
          </cell>
          <cell r="C1935">
            <v>22</v>
          </cell>
          <cell r="D1935">
            <v>0</v>
          </cell>
          <cell r="E1935">
            <v>15518.18</v>
          </cell>
          <cell r="F1935" t="str">
            <v>tier - 2</v>
          </cell>
          <cell r="G1935" t="str">
            <v>tier - 3</v>
          </cell>
          <cell r="H1935" t="str">
            <v>R1015</v>
          </cell>
        </row>
        <row r="1936">
          <cell r="A1936" t="str">
            <v>ID636</v>
          </cell>
          <cell r="B1936" t="str">
            <v>20-Jul-1976</v>
          </cell>
          <cell r="C1936">
            <v>50</v>
          </cell>
          <cell r="D1936">
            <v>2</v>
          </cell>
          <cell r="E1936">
            <v>15450.48</v>
          </cell>
          <cell r="F1936" t="str">
            <v>tier - 2</v>
          </cell>
          <cell r="G1936" t="str">
            <v>tier - 1</v>
          </cell>
          <cell r="H1936" t="str">
            <v>R1026</v>
          </cell>
        </row>
        <row r="1937">
          <cell r="A1937" t="str">
            <v>ID637</v>
          </cell>
          <cell r="B1937" t="str">
            <v>25-Oct-1990</v>
          </cell>
          <cell r="C1937">
            <v>35</v>
          </cell>
          <cell r="D1937">
            <v>3</v>
          </cell>
          <cell r="E1937">
            <v>15440.2</v>
          </cell>
          <cell r="F1937" t="str">
            <v>tier - 2</v>
          </cell>
          <cell r="G1937" t="str">
            <v>tier - 1</v>
          </cell>
          <cell r="H1937" t="str">
            <v>R1012</v>
          </cell>
        </row>
        <row r="1938">
          <cell r="A1938" t="str">
            <v>ID638</v>
          </cell>
          <cell r="B1938" t="str">
            <v>4-Sep-1964</v>
          </cell>
          <cell r="C1938">
            <v>62</v>
          </cell>
          <cell r="D1938">
            <v>0</v>
          </cell>
          <cell r="E1938">
            <v>15377.77</v>
          </cell>
          <cell r="F1938" t="str">
            <v>tier - 2</v>
          </cell>
          <cell r="G1938" t="str">
            <v>tier - 2</v>
          </cell>
          <cell r="H1938" t="str">
            <v>R1012</v>
          </cell>
        </row>
        <row r="1939">
          <cell r="A1939" t="str">
            <v>ID639</v>
          </cell>
          <cell r="B1939" t="str">
            <v>6-Sep-1962</v>
          </cell>
          <cell r="C1939">
            <v>64</v>
          </cell>
          <cell r="D1939">
            <v>0</v>
          </cell>
          <cell r="E1939">
            <v>15368.22</v>
          </cell>
          <cell r="F1939" t="str">
            <v>tier - 2</v>
          </cell>
          <cell r="G1939" t="str">
            <v>tier - 2</v>
          </cell>
          <cell r="H1939" t="str">
            <v>R1011</v>
          </cell>
        </row>
        <row r="1940">
          <cell r="A1940" t="str">
            <v>ID64</v>
          </cell>
          <cell r="B1940" t="str">
            <v>28-Jun-1967</v>
          </cell>
          <cell r="C1940">
            <v>59</v>
          </cell>
          <cell r="D1940">
            <v>0</v>
          </cell>
          <cell r="E1940">
            <v>42303.69</v>
          </cell>
          <cell r="F1940" t="str">
            <v>tier - 1</v>
          </cell>
          <cell r="G1940" t="str">
            <v>tier - 2</v>
          </cell>
          <cell r="H1940" t="str">
            <v>R1016</v>
          </cell>
        </row>
        <row r="1941">
          <cell r="A1941" t="str">
            <v>ID640</v>
          </cell>
          <cell r="B1941" t="str">
            <v>18-Jul-1968</v>
          </cell>
          <cell r="C1941">
            <v>58</v>
          </cell>
          <cell r="D1941">
            <v>0</v>
          </cell>
          <cell r="E1941">
            <v>15363.77</v>
          </cell>
          <cell r="F1941" t="str">
            <v>tier - 2</v>
          </cell>
          <cell r="G1941" t="str">
            <v>tier - 1</v>
          </cell>
          <cell r="H1941" t="str">
            <v>R1026</v>
          </cell>
        </row>
        <row r="1942">
          <cell r="A1942" t="str">
            <v>ID641</v>
          </cell>
          <cell r="B1942" t="str">
            <v>17-Dec-1988</v>
          </cell>
          <cell r="C1942">
            <v>37</v>
          </cell>
          <cell r="D1942">
            <v>3</v>
          </cell>
          <cell r="E1942">
            <v>15361.5</v>
          </cell>
          <cell r="F1942" t="str">
            <v>tier - 2</v>
          </cell>
          <cell r="G1942" t="str">
            <v>tier - 3</v>
          </cell>
          <cell r="H1942" t="str">
            <v>R1023</v>
          </cell>
        </row>
        <row r="1943">
          <cell r="A1943" t="str">
            <v>ID642</v>
          </cell>
          <cell r="B1943" t="str">
            <v>14-Jul-2001</v>
          </cell>
          <cell r="C1943">
            <v>25</v>
          </cell>
          <cell r="D1943">
            <v>1</v>
          </cell>
          <cell r="E1943">
            <v>15359.1</v>
          </cell>
          <cell r="F1943" t="str">
            <v>tier - 2</v>
          </cell>
          <cell r="G1943" t="str">
            <v>tier - 3</v>
          </cell>
          <cell r="H1943" t="str">
            <v>R1024</v>
          </cell>
        </row>
        <row r="1944">
          <cell r="A1944" t="str">
            <v>ID643</v>
          </cell>
          <cell r="B1944" t="str">
            <v>13-Dec-1963</v>
          </cell>
          <cell r="C1944">
            <v>62</v>
          </cell>
          <cell r="D1944">
            <v>0</v>
          </cell>
          <cell r="E1944">
            <v>15322.77</v>
          </cell>
          <cell r="F1944" t="str">
            <v>tier - 2</v>
          </cell>
          <cell r="G1944" t="str">
            <v>tier - 3</v>
          </cell>
          <cell r="H1944" t="str">
            <v>R1021</v>
          </cell>
        </row>
        <row r="1945">
          <cell r="A1945" t="str">
            <v>ID644</v>
          </cell>
          <cell r="B1945" t="str">
            <v>16-Sep-1969</v>
          </cell>
          <cell r="C1945">
            <v>57</v>
          </cell>
          <cell r="D1945">
            <v>0</v>
          </cell>
          <cell r="E1945">
            <v>15260.52</v>
          </cell>
          <cell r="F1945" t="str">
            <v>tier - 2</v>
          </cell>
          <cell r="G1945" t="str">
            <v>tier - 2</v>
          </cell>
          <cell r="H1945" t="str">
            <v>R1023</v>
          </cell>
        </row>
        <row r="1946">
          <cell r="A1946" t="str">
            <v>ID645</v>
          </cell>
          <cell r="B1946" t="str">
            <v>25-Jul-1960</v>
          </cell>
          <cell r="C1946">
            <v>66</v>
          </cell>
          <cell r="D1946">
            <v>2</v>
          </cell>
          <cell r="E1946">
            <v>15230.32</v>
          </cell>
          <cell r="F1946" t="str">
            <v>tier - 2</v>
          </cell>
          <cell r="G1946" t="str">
            <v>tier - 2</v>
          </cell>
          <cell r="H1946" t="str">
            <v>R1024</v>
          </cell>
        </row>
        <row r="1947">
          <cell r="A1947" t="str">
            <v>ID646</v>
          </cell>
          <cell r="B1947" t="str">
            <v>23-Nov-1978</v>
          </cell>
          <cell r="C1947">
            <v>47</v>
          </cell>
          <cell r="D1947">
            <v>2</v>
          </cell>
          <cell r="E1947">
            <v>15207.92</v>
          </cell>
          <cell r="F1947" t="str">
            <v>tier - 2</v>
          </cell>
          <cell r="G1947" t="str">
            <v>tier - 1</v>
          </cell>
          <cell r="H1947" t="str">
            <v>R1012</v>
          </cell>
        </row>
        <row r="1948">
          <cell r="A1948" t="str">
            <v>ID647</v>
          </cell>
          <cell r="B1948" t="str">
            <v>17-Jun-1962</v>
          </cell>
          <cell r="C1948">
            <v>64</v>
          </cell>
          <cell r="D1948">
            <v>0</v>
          </cell>
          <cell r="E1948">
            <v>15174.81</v>
          </cell>
          <cell r="F1948" t="str">
            <v>tier - 2</v>
          </cell>
          <cell r="G1948" t="str">
            <v>tier - 1</v>
          </cell>
          <cell r="H1948" t="str">
            <v>R1012</v>
          </cell>
        </row>
        <row r="1949">
          <cell r="A1949" t="str">
            <v>ID648</v>
          </cell>
          <cell r="B1949" t="str">
            <v>3-Dec-1959</v>
          </cell>
          <cell r="C1949">
            <v>66</v>
          </cell>
          <cell r="D1949">
            <v>3</v>
          </cell>
          <cell r="E1949">
            <v>15170.07</v>
          </cell>
          <cell r="F1949" t="str">
            <v>tier - 2</v>
          </cell>
          <cell r="G1949" t="str">
            <v>tier - 3</v>
          </cell>
          <cell r="H1949" t="str">
            <v>R1011</v>
          </cell>
        </row>
        <row r="1950">
          <cell r="A1950" t="str">
            <v>ID649</v>
          </cell>
          <cell r="B1950" t="str">
            <v>4-Jun-1959</v>
          </cell>
          <cell r="C1950">
            <v>67</v>
          </cell>
          <cell r="D1950">
            <v>3</v>
          </cell>
          <cell r="E1950">
            <v>15161.53</v>
          </cell>
          <cell r="F1950" t="str">
            <v>tier - 2</v>
          </cell>
          <cell r="G1950" t="str">
            <v>tier - 1</v>
          </cell>
          <cell r="H1950" t="str">
            <v>R1013</v>
          </cell>
        </row>
        <row r="1951">
          <cell r="A1951" t="str">
            <v>ID65</v>
          </cell>
          <cell r="B1951" t="str">
            <v>15-Aug-1975</v>
          </cell>
          <cell r="C1951">
            <v>51</v>
          </cell>
          <cell r="D1951">
            <v>1</v>
          </cell>
          <cell r="E1951">
            <v>42211.14</v>
          </cell>
          <cell r="F1951" t="str">
            <v>tier - 1</v>
          </cell>
          <cell r="G1951" t="str">
            <v>tier - 3</v>
          </cell>
          <cell r="H1951" t="str">
            <v>R1013</v>
          </cell>
        </row>
        <row r="1952">
          <cell r="A1952" t="str">
            <v>ID650</v>
          </cell>
          <cell r="B1952" t="str">
            <v>25-Oct-1962</v>
          </cell>
          <cell r="C1952">
            <v>63</v>
          </cell>
          <cell r="D1952">
            <v>0</v>
          </cell>
          <cell r="E1952">
            <v>15161.25</v>
          </cell>
          <cell r="F1952" t="str">
            <v>tier - 2</v>
          </cell>
          <cell r="G1952" t="str">
            <v>tier - 2</v>
          </cell>
          <cell r="H1952" t="str">
            <v>R1012</v>
          </cell>
        </row>
        <row r="1953">
          <cell r="A1953" t="str">
            <v>ID651</v>
          </cell>
          <cell r="B1953" t="str">
            <v>25-Nov-1971</v>
          </cell>
          <cell r="C1953">
            <v>54</v>
          </cell>
          <cell r="D1953">
            <v>0</v>
          </cell>
          <cell r="E1953">
            <v>15150.44</v>
          </cell>
          <cell r="F1953" t="str">
            <v>tier - 2</v>
          </cell>
          <cell r="G1953" t="str">
            <v>tier - 1</v>
          </cell>
          <cell r="H1953" t="str">
            <v>R1023</v>
          </cell>
        </row>
        <row r="1954">
          <cell r="A1954" t="str">
            <v>ID652</v>
          </cell>
          <cell r="B1954" t="str">
            <v>5-Sep-1978</v>
          </cell>
          <cell r="C1954">
            <v>48</v>
          </cell>
          <cell r="D1954">
            <v>2</v>
          </cell>
          <cell r="E1954">
            <v>15123.19</v>
          </cell>
          <cell r="F1954" t="str">
            <v>tier - 2</v>
          </cell>
          <cell r="G1954" t="str">
            <v>tier - 1</v>
          </cell>
          <cell r="H1954" t="str">
            <v>R1011</v>
          </cell>
        </row>
        <row r="1955">
          <cell r="A1955" t="str">
            <v>ID653</v>
          </cell>
          <cell r="B1955" t="str">
            <v>7-Nov-1972</v>
          </cell>
          <cell r="C1955">
            <v>53</v>
          </cell>
          <cell r="D1955">
            <v>0</v>
          </cell>
          <cell r="E1955">
            <v>15103.69</v>
          </cell>
          <cell r="F1955" t="str">
            <v>tier - 2</v>
          </cell>
          <cell r="G1955" t="str">
            <v>tier - 1</v>
          </cell>
          <cell r="H1955" t="str">
            <v>R1012</v>
          </cell>
        </row>
        <row r="1956">
          <cell r="A1956" t="str">
            <v>ID654</v>
          </cell>
          <cell r="B1956" t="str">
            <v>26-Oct-1975</v>
          </cell>
          <cell r="C1956">
            <v>50</v>
          </cell>
          <cell r="D1956">
            <v>1</v>
          </cell>
          <cell r="E1956">
            <v>15090.35</v>
          </cell>
          <cell r="F1956" t="str">
            <v>tier - 2</v>
          </cell>
          <cell r="G1956" t="str">
            <v>tier - 1</v>
          </cell>
          <cell r="H1956" t="str">
            <v>R1023</v>
          </cell>
        </row>
        <row r="1957">
          <cell r="A1957" t="str">
            <v>ID655</v>
          </cell>
          <cell r="B1957" t="str">
            <v>12-Jun-1968</v>
          </cell>
          <cell r="C1957">
            <v>58</v>
          </cell>
          <cell r="D1957">
            <v>0</v>
          </cell>
          <cell r="E1957">
            <v>15052.68</v>
          </cell>
          <cell r="F1957" t="str">
            <v>tier - 2</v>
          </cell>
          <cell r="G1957" t="str">
            <v>tier - 2</v>
          </cell>
          <cell r="H1957" t="str">
            <v>R1022</v>
          </cell>
        </row>
        <row r="1958">
          <cell r="A1958" t="str">
            <v>ID656</v>
          </cell>
          <cell r="B1958" t="str">
            <v>15-Aug-1971</v>
          </cell>
          <cell r="C1958">
            <v>55</v>
          </cell>
          <cell r="D1958">
            <v>0</v>
          </cell>
          <cell r="E1958">
            <v>15038.51</v>
          </cell>
          <cell r="F1958" t="str">
            <v>tier - 2</v>
          </cell>
          <cell r="G1958" t="str">
            <v>tier - 3</v>
          </cell>
          <cell r="H1958" t="str">
            <v>R1023</v>
          </cell>
        </row>
        <row r="1959">
          <cell r="A1959" t="str">
            <v>ID657</v>
          </cell>
          <cell r="B1959" t="str">
            <v>11-Sep-1970</v>
          </cell>
          <cell r="C1959">
            <v>56</v>
          </cell>
          <cell r="D1959">
            <v>0</v>
          </cell>
          <cell r="E1959">
            <v>15026.3</v>
          </cell>
          <cell r="F1959" t="str">
            <v>tier - 2</v>
          </cell>
          <cell r="G1959" t="str">
            <v>tier - 3</v>
          </cell>
          <cell r="H1959" t="str">
            <v>R1011</v>
          </cell>
        </row>
        <row r="1960">
          <cell r="A1960" t="str">
            <v>ID658</v>
          </cell>
          <cell r="B1960" t="str">
            <v>25-Nov-1979</v>
          </cell>
          <cell r="C1960">
            <v>46</v>
          </cell>
          <cell r="D1960">
            <v>2</v>
          </cell>
          <cell r="E1960">
            <v>15025.76</v>
          </cell>
          <cell r="F1960" t="str">
            <v>tier - 2</v>
          </cell>
          <cell r="G1960" t="str">
            <v>tier - 1</v>
          </cell>
          <cell r="H1960" t="str">
            <v>R1011</v>
          </cell>
        </row>
        <row r="1961">
          <cell r="A1961" t="str">
            <v>ID659</v>
          </cell>
          <cell r="B1961" t="str">
            <v>8-Aug-1960</v>
          </cell>
          <cell r="C1961">
            <v>66</v>
          </cell>
          <cell r="D1961">
            <v>2</v>
          </cell>
          <cell r="E1961">
            <v>15019.76</v>
          </cell>
          <cell r="F1961" t="str">
            <v>tier - 2</v>
          </cell>
          <cell r="G1961" t="str">
            <v>tier - 2</v>
          </cell>
          <cell r="H1961" t="str">
            <v>R1012</v>
          </cell>
        </row>
        <row r="1962">
          <cell r="A1962" t="str">
            <v>ID66</v>
          </cell>
          <cell r="B1962" t="str">
            <v>18-Sep-1973</v>
          </cell>
          <cell r="C1962">
            <v>53</v>
          </cell>
          <cell r="D1962">
            <v>0</v>
          </cell>
          <cell r="E1962">
            <v>42188.15</v>
          </cell>
          <cell r="F1962" t="str">
            <v>tier - 1</v>
          </cell>
          <cell r="G1962" t="str">
            <v>tier - 1</v>
          </cell>
          <cell r="H1962" t="str">
            <v>R1011</v>
          </cell>
        </row>
        <row r="1963">
          <cell r="A1963" t="str">
            <v>ID660</v>
          </cell>
          <cell r="B1963" t="str">
            <v>2-Aug-1995</v>
          </cell>
          <cell r="C1963">
            <v>31</v>
          </cell>
          <cell r="D1963">
            <v>2</v>
          </cell>
          <cell r="E1963">
            <v>15006.58</v>
          </cell>
          <cell r="F1963" t="str">
            <v>tier - 2</v>
          </cell>
          <cell r="G1963" t="str">
            <v>tier - 2</v>
          </cell>
          <cell r="H1963" t="str">
            <v>R1024</v>
          </cell>
        </row>
        <row r="1964">
          <cell r="A1964" t="str">
            <v>ID661</v>
          </cell>
          <cell r="B1964" t="str">
            <v>29-Jul-1958</v>
          </cell>
          <cell r="C1964">
            <v>68</v>
          </cell>
          <cell r="D1964">
            <v>2</v>
          </cell>
          <cell r="E1964">
            <v>14988.43</v>
          </cell>
          <cell r="F1964" t="str">
            <v>tier - 2</v>
          </cell>
          <cell r="G1964" t="str">
            <v>tier - 3</v>
          </cell>
          <cell r="H1964" t="str">
            <v>R1011</v>
          </cell>
        </row>
        <row r="1965">
          <cell r="A1965" t="str">
            <v>ID662</v>
          </cell>
          <cell r="B1965" t="str">
            <v>29-Nov-1962</v>
          </cell>
          <cell r="C1965">
            <v>63</v>
          </cell>
          <cell r="D1965">
            <v>0</v>
          </cell>
          <cell r="E1965">
            <v>14945.34</v>
          </cell>
          <cell r="F1965" t="str">
            <v>tier - 2</v>
          </cell>
          <cell r="G1965" t="str">
            <v>tier - 1</v>
          </cell>
          <cell r="H1965" t="str">
            <v>R1021</v>
          </cell>
        </row>
        <row r="1966">
          <cell r="A1966" t="str">
            <v>ID663</v>
          </cell>
          <cell r="B1966" t="str">
            <v>8-Nov-1968</v>
          </cell>
          <cell r="C1966">
            <v>57</v>
          </cell>
          <cell r="D1966">
            <v>0</v>
          </cell>
          <cell r="E1966">
            <v>14926.97</v>
          </cell>
          <cell r="F1966" t="str">
            <v>tier - 2</v>
          </cell>
          <cell r="G1966" t="str">
            <v>tier - 2</v>
          </cell>
          <cell r="H1966" t="str">
            <v>R1012</v>
          </cell>
        </row>
        <row r="1967">
          <cell r="A1967" t="str">
            <v>ID664</v>
          </cell>
          <cell r="B1967" t="str">
            <v>4-Jul-1981</v>
          </cell>
          <cell r="C1967">
            <v>45</v>
          </cell>
          <cell r="D1967">
            <v>1</v>
          </cell>
          <cell r="E1967">
            <v>14908.27</v>
          </cell>
          <cell r="F1967" t="str">
            <v>tier - 2</v>
          </cell>
          <cell r="G1967" t="str">
            <v>tier - 1</v>
          </cell>
          <cell r="H1967" t="str">
            <v>R1011</v>
          </cell>
        </row>
        <row r="1968">
          <cell r="A1968" t="str">
            <v>ID665</v>
          </cell>
          <cell r="B1968" t="str">
            <v>17-Oct-1958</v>
          </cell>
          <cell r="C1968">
            <v>68</v>
          </cell>
          <cell r="D1968">
            <v>0</v>
          </cell>
          <cell r="E1968">
            <v>14901.52</v>
          </cell>
          <cell r="F1968" t="str">
            <v>tier - 2</v>
          </cell>
          <cell r="G1968" t="str">
            <v>tier - 2</v>
          </cell>
          <cell r="H1968" t="str">
            <v>R1024</v>
          </cell>
        </row>
        <row r="1969">
          <cell r="A1969" t="str">
            <v>ID666</v>
          </cell>
          <cell r="B1969" t="str">
            <v>11-Nov-1970</v>
          </cell>
          <cell r="C1969">
            <v>55</v>
          </cell>
          <cell r="D1969">
            <v>0</v>
          </cell>
          <cell r="E1969">
            <v>14847.63</v>
          </cell>
          <cell r="F1969" t="str">
            <v>tier - 2</v>
          </cell>
          <cell r="G1969" t="str">
            <v>tier - 2</v>
          </cell>
          <cell r="H1969" t="str">
            <v>R1023</v>
          </cell>
        </row>
        <row r="1970">
          <cell r="A1970" t="str">
            <v>ID667</v>
          </cell>
          <cell r="B1970" t="str">
            <v>5-Jun-1981</v>
          </cell>
          <cell r="C1970">
            <v>45</v>
          </cell>
          <cell r="D1970">
            <v>1</v>
          </cell>
          <cell r="E1970">
            <v>14843.96</v>
          </cell>
          <cell r="F1970" t="str">
            <v>tier - 2</v>
          </cell>
          <cell r="G1970" t="str">
            <v>tier - 3</v>
          </cell>
          <cell r="H1970" t="str">
            <v>R1026</v>
          </cell>
        </row>
        <row r="1971">
          <cell r="A1971" t="str">
            <v>ID668</v>
          </cell>
          <cell r="B1971" t="str">
            <v>18-Oct-1979</v>
          </cell>
          <cell r="C1971">
            <v>47</v>
          </cell>
          <cell r="D1971">
            <v>2</v>
          </cell>
          <cell r="E1971">
            <v>14839.34</v>
          </cell>
          <cell r="F1971" t="str">
            <v>tier - 2</v>
          </cell>
          <cell r="G1971" t="str">
            <v>tier - 3</v>
          </cell>
          <cell r="H1971" t="str">
            <v>R1026</v>
          </cell>
        </row>
        <row r="1972">
          <cell r="A1972" t="str">
            <v>ID669</v>
          </cell>
          <cell r="B1972" t="str">
            <v>10-Dec-1975</v>
          </cell>
          <cell r="C1972">
            <v>50</v>
          </cell>
          <cell r="D1972">
            <v>1</v>
          </cell>
          <cell r="E1972">
            <v>14819</v>
          </cell>
          <cell r="F1972" t="str">
            <v>tier - 2</v>
          </cell>
          <cell r="G1972" t="str">
            <v>tier - 3</v>
          </cell>
          <cell r="H1972" t="str">
            <v>R1023</v>
          </cell>
        </row>
        <row r="1973">
          <cell r="A1973" t="str">
            <v>ID67</v>
          </cell>
          <cell r="B1973" t="str">
            <v>3-Jul-1979</v>
          </cell>
          <cell r="C1973">
            <v>47</v>
          </cell>
          <cell r="D1973">
            <v>3</v>
          </cell>
          <cell r="E1973">
            <v>42124.52</v>
          </cell>
          <cell r="F1973" t="str">
            <v>tier - 1</v>
          </cell>
          <cell r="G1973" t="str">
            <v>tier - 1</v>
          </cell>
          <cell r="H1973" t="str">
            <v>R1013</v>
          </cell>
        </row>
        <row r="1974">
          <cell r="A1974" t="str">
            <v>ID670</v>
          </cell>
          <cell r="B1974" t="str">
            <v>27-Jul-1965</v>
          </cell>
          <cell r="C1974">
            <v>61</v>
          </cell>
          <cell r="D1974">
            <v>0</v>
          </cell>
          <cell r="E1974">
            <v>14750.42</v>
          </cell>
          <cell r="F1974" t="str">
            <v>tier - 2</v>
          </cell>
          <cell r="G1974" t="str">
            <v>tier - 2</v>
          </cell>
          <cell r="H1974" t="str">
            <v>R1026</v>
          </cell>
        </row>
        <row r="1975">
          <cell r="A1975" t="str">
            <v>ID671</v>
          </cell>
          <cell r="B1975" t="str">
            <v>29-Jul-1962</v>
          </cell>
          <cell r="C1975">
            <v>64</v>
          </cell>
          <cell r="D1975">
            <v>0</v>
          </cell>
          <cell r="E1975">
            <v>14738.43</v>
          </cell>
          <cell r="F1975" t="str">
            <v>tier - 2</v>
          </cell>
          <cell r="G1975" t="str">
            <v>tier - 3</v>
          </cell>
          <cell r="H1975" t="str">
            <v>R1021</v>
          </cell>
        </row>
        <row r="1976">
          <cell r="A1976" t="str">
            <v>ID672</v>
          </cell>
          <cell r="B1976" t="str">
            <v>24-Sep-2002</v>
          </cell>
          <cell r="C1976">
            <v>24</v>
          </cell>
          <cell r="D1976">
            <v>0</v>
          </cell>
          <cell r="E1976">
            <v>14711.74</v>
          </cell>
          <cell r="F1976" t="str">
            <v>tier - 2</v>
          </cell>
          <cell r="G1976" t="str">
            <v>tier - 2</v>
          </cell>
          <cell r="H1976" t="str">
            <v>R1012</v>
          </cell>
        </row>
        <row r="1977">
          <cell r="A1977" t="str">
            <v>ID673</v>
          </cell>
          <cell r="B1977" t="str">
            <v>4-Sep-1982</v>
          </cell>
          <cell r="C1977">
            <v>44</v>
          </cell>
          <cell r="D1977">
            <v>3</v>
          </cell>
          <cell r="E1977">
            <v>14696.77</v>
          </cell>
          <cell r="F1977" t="str">
            <v>tier - 2</v>
          </cell>
          <cell r="G1977" t="str">
            <v>tier - 2</v>
          </cell>
          <cell r="H1977" t="str">
            <v>R1011</v>
          </cell>
        </row>
        <row r="1978">
          <cell r="A1978" t="str">
            <v>ID674</v>
          </cell>
          <cell r="B1978" t="str">
            <v>23-Jul-1958</v>
          </cell>
          <cell r="C1978">
            <v>68</v>
          </cell>
          <cell r="D1978">
            <v>0</v>
          </cell>
          <cell r="E1978">
            <v>14692.67</v>
          </cell>
          <cell r="F1978" t="str">
            <v>tier - 2</v>
          </cell>
          <cell r="G1978" t="str">
            <v>tier - 1</v>
          </cell>
          <cell r="H1978" t="str">
            <v>R1012</v>
          </cell>
        </row>
        <row r="1979">
          <cell r="A1979" t="str">
            <v>ID675</v>
          </cell>
          <cell r="B1979" t="str">
            <v>20-Oct-1969</v>
          </cell>
          <cell r="C1979">
            <v>56</v>
          </cell>
          <cell r="D1979">
            <v>0</v>
          </cell>
          <cell r="E1979">
            <v>14665.75</v>
          </cell>
          <cell r="F1979" t="str">
            <v>tier - 2</v>
          </cell>
          <cell r="G1979" t="str">
            <v>tier - 1</v>
          </cell>
          <cell r="H1979" t="str">
            <v>R1012</v>
          </cell>
        </row>
        <row r="1980">
          <cell r="A1980" t="str">
            <v>ID676</v>
          </cell>
          <cell r="B1980" t="str">
            <v>13-Nov-1981</v>
          </cell>
          <cell r="C1980">
            <v>44</v>
          </cell>
          <cell r="D1980">
            <v>1</v>
          </cell>
          <cell r="E1980">
            <v>14657.2</v>
          </cell>
          <cell r="F1980" t="str">
            <v>tier - 2</v>
          </cell>
          <cell r="G1980" t="str">
            <v>tier - 1</v>
          </cell>
          <cell r="H1980" t="str">
            <v>R1012</v>
          </cell>
        </row>
        <row r="1981">
          <cell r="A1981" t="str">
            <v>ID677</v>
          </cell>
          <cell r="B1981" t="str">
            <v>1-Sep-1967</v>
          </cell>
          <cell r="C1981">
            <v>59</v>
          </cell>
          <cell r="D1981">
            <v>0</v>
          </cell>
          <cell r="E1981">
            <v>14640.35</v>
          </cell>
          <cell r="F1981" t="str">
            <v>tier - 2</v>
          </cell>
          <cell r="G1981" t="str">
            <v>tier - 3</v>
          </cell>
          <cell r="H1981" t="str">
            <v>R1026</v>
          </cell>
        </row>
        <row r="1982">
          <cell r="A1982" t="str">
            <v>ID678</v>
          </cell>
          <cell r="B1982" t="str">
            <v>21-Aug-1991</v>
          </cell>
          <cell r="C1982">
            <v>35</v>
          </cell>
          <cell r="D1982">
            <v>3</v>
          </cell>
          <cell r="E1982">
            <v>14630.52</v>
          </cell>
          <cell r="F1982" t="str">
            <v>tier - 2</v>
          </cell>
          <cell r="G1982" t="str">
            <v>tier - 3</v>
          </cell>
          <cell r="H1982" t="str">
            <v>R1011</v>
          </cell>
        </row>
        <row r="1983">
          <cell r="A1983" t="str">
            <v>ID679</v>
          </cell>
          <cell r="B1983" t="str">
            <v>8-Nov-1965</v>
          </cell>
          <cell r="C1983">
            <v>60</v>
          </cell>
          <cell r="D1983">
            <v>0</v>
          </cell>
          <cell r="E1983">
            <v>14612.33</v>
          </cell>
          <cell r="F1983" t="str">
            <v>tier - 2</v>
          </cell>
          <cell r="G1983" t="str">
            <v>tier - 3</v>
          </cell>
          <cell r="H1983" t="str">
            <v>R1021</v>
          </cell>
        </row>
        <row r="1984">
          <cell r="A1984" t="str">
            <v>ID68</v>
          </cell>
          <cell r="B1984" t="str">
            <v>9-Dec-1997</v>
          </cell>
          <cell r="C1984">
            <v>28</v>
          </cell>
          <cell r="D1984">
            <v>2</v>
          </cell>
          <cell r="E1984">
            <v>42112.24</v>
          </cell>
          <cell r="F1984" t="str">
            <v>tier - 1</v>
          </cell>
          <cell r="G1984" t="str">
            <v>tier - 3</v>
          </cell>
          <cell r="H1984" t="str">
            <v>R1013</v>
          </cell>
        </row>
        <row r="1985">
          <cell r="A1985" t="str">
            <v>ID680</v>
          </cell>
          <cell r="B1985" t="str">
            <v>18-Jul-1967</v>
          </cell>
          <cell r="C1985">
            <v>59</v>
          </cell>
          <cell r="D1985">
            <v>0</v>
          </cell>
          <cell r="E1985">
            <v>14600.62</v>
          </cell>
          <cell r="F1985" t="str">
            <v>tier - 2</v>
          </cell>
          <cell r="G1985" t="str">
            <v>tier - 3</v>
          </cell>
          <cell r="H1985" t="str">
            <v>R1022</v>
          </cell>
        </row>
        <row r="1986">
          <cell r="A1986" t="str">
            <v>ID681</v>
          </cell>
          <cell r="B1986" t="str">
            <v>14-Oct-1963</v>
          </cell>
          <cell r="C1986">
            <v>63</v>
          </cell>
          <cell r="D1986">
            <v>3</v>
          </cell>
          <cell r="E1986">
            <v>14590.63</v>
          </cell>
          <cell r="F1986" t="str">
            <v>tier - 2</v>
          </cell>
          <cell r="G1986" t="str">
            <v>tier - 1</v>
          </cell>
          <cell r="H1986" t="str">
            <v>R1024</v>
          </cell>
        </row>
        <row r="1987">
          <cell r="A1987" t="str">
            <v>ID682</v>
          </cell>
          <cell r="B1987" t="str">
            <v>3-Dec-1962</v>
          </cell>
          <cell r="C1987">
            <v>63</v>
          </cell>
          <cell r="D1987">
            <v>0</v>
          </cell>
          <cell r="E1987">
            <v>14574.64</v>
          </cell>
          <cell r="F1987" t="str">
            <v>tier - 2</v>
          </cell>
          <cell r="G1987" t="str">
            <v>tier - 1</v>
          </cell>
          <cell r="H1987" t="str">
            <v>R1025</v>
          </cell>
        </row>
        <row r="1988">
          <cell r="A1988" t="str">
            <v>ID683</v>
          </cell>
          <cell r="B1988" t="str">
            <v>12-Sep-1998</v>
          </cell>
          <cell r="C1988">
            <v>28</v>
          </cell>
          <cell r="D1988">
            <v>0</v>
          </cell>
          <cell r="E1988">
            <v>14571.89</v>
          </cell>
          <cell r="F1988" t="str">
            <v>tier - 2</v>
          </cell>
          <cell r="G1988" t="str">
            <v>tier - 1</v>
          </cell>
          <cell r="H1988" t="str">
            <v>R1024</v>
          </cell>
        </row>
        <row r="1989">
          <cell r="A1989" t="str">
            <v>ID684</v>
          </cell>
          <cell r="B1989" t="str">
            <v>14-Jul-1989</v>
          </cell>
          <cell r="C1989">
            <v>37</v>
          </cell>
          <cell r="D1989">
            <v>3</v>
          </cell>
          <cell r="E1989">
            <v>14547.26</v>
          </cell>
          <cell r="F1989" t="str">
            <v>tier - 2</v>
          </cell>
          <cell r="G1989" t="str">
            <v>tier - 3</v>
          </cell>
          <cell r="H1989" t="str">
            <v>R1011</v>
          </cell>
        </row>
        <row r="1990">
          <cell r="A1990" t="str">
            <v>ID685</v>
          </cell>
          <cell r="B1990" t="str">
            <v>22-Jul-1989</v>
          </cell>
          <cell r="C1990">
            <v>37</v>
          </cell>
          <cell r="D1990">
            <v>3</v>
          </cell>
          <cell r="E1990">
            <v>14507.46</v>
          </cell>
          <cell r="F1990" t="str">
            <v>tier - 2</v>
          </cell>
          <cell r="G1990" t="str">
            <v>tier - 3</v>
          </cell>
          <cell r="H1990" t="str">
            <v>R1012</v>
          </cell>
        </row>
        <row r="1991">
          <cell r="A1991" t="str">
            <v>ID686</v>
          </cell>
          <cell r="B1991" t="str">
            <v>20-Oct-1979</v>
          </cell>
          <cell r="C1991">
            <v>46</v>
          </cell>
          <cell r="D1991">
            <v>5</v>
          </cell>
          <cell r="E1991">
            <v>14478.33</v>
          </cell>
          <cell r="F1991" t="str">
            <v>tier - 2</v>
          </cell>
          <cell r="G1991" t="str">
            <v>tier - 2</v>
          </cell>
          <cell r="H1991" t="str">
            <v>R1013</v>
          </cell>
        </row>
        <row r="1992">
          <cell r="A1992" t="str">
            <v>ID687</v>
          </cell>
          <cell r="B1992" t="str">
            <v>20-Nov-1959</v>
          </cell>
          <cell r="C1992">
            <v>66</v>
          </cell>
          <cell r="D1992">
            <v>1</v>
          </cell>
          <cell r="E1992">
            <v>14474.68</v>
          </cell>
          <cell r="F1992" t="str">
            <v>tier - 2</v>
          </cell>
          <cell r="G1992" t="str">
            <v>tier - 2</v>
          </cell>
          <cell r="H1992" t="str">
            <v>R1013</v>
          </cell>
        </row>
        <row r="1993">
          <cell r="A1993" t="str">
            <v>ID688</v>
          </cell>
          <cell r="B1993" t="str">
            <v>27-Nov-1976</v>
          </cell>
          <cell r="C1993">
            <v>49</v>
          </cell>
          <cell r="D1993">
            <v>2</v>
          </cell>
          <cell r="E1993">
            <v>14470.01</v>
          </cell>
          <cell r="F1993" t="str">
            <v>tier - 2</v>
          </cell>
          <cell r="G1993" t="str">
            <v>tier - 3</v>
          </cell>
          <cell r="H1993" t="str">
            <v>R1012</v>
          </cell>
        </row>
        <row r="1994">
          <cell r="A1994" t="str">
            <v>ID689</v>
          </cell>
          <cell r="B1994" t="str">
            <v>10-Nov-1996</v>
          </cell>
          <cell r="C1994">
            <v>29</v>
          </cell>
          <cell r="D1994">
            <v>2</v>
          </cell>
          <cell r="E1994">
            <v>14455.64</v>
          </cell>
          <cell r="F1994" t="str">
            <v>tier - 2</v>
          </cell>
          <cell r="G1994" t="str">
            <v>tier - 3</v>
          </cell>
          <cell r="H1994" t="str">
            <v>R1024</v>
          </cell>
        </row>
        <row r="1995">
          <cell r="A1995" t="str">
            <v>ID69</v>
          </cell>
          <cell r="B1995" t="str">
            <v>28-Nov-1976</v>
          </cell>
          <cell r="C1995">
            <v>49</v>
          </cell>
          <cell r="D1995">
            <v>0</v>
          </cell>
          <cell r="E1995">
            <v>42111.66</v>
          </cell>
          <cell r="F1995" t="str">
            <v>tier - 1</v>
          </cell>
          <cell r="G1995" t="str">
            <v>tier - 1</v>
          </cell>
          <cell r="H1995" t="str">
            <v>R1024</v>
          </cell>
        </row>
        <row r="1996">
          <cell r="A1996" t="str">
            <v>ID690</v>
          </cell>
          <cell r="B1996" t="str">
            <v>3-Aug-1959</v>
          </cell>
          <cell r="C1996">
            <v>67</v>
          </cell>
          <cell r="D1996">
            <v>0</v>
          </cell>
          <cell r="E1996">
            <v>14451.84</v>
          </cell>
          <cell r="F1996" t="str">
            <v>tier - 2</v>
          </cell>
          <cell r="G1996" t="str">
            <v>tier - 3</v>
          </cell>
          <cell r="H1996" t="str">
            <v>R1023</v>
          </cell>
        </row>
        <row r="1997">
          <cell r="A1997" t="str">
            <v>ID691</v>
          </cell>
          <cell r="B1997" t="str">
            <v>29-Jun-1959</v>
          </cell>
          <cell r="C1997">
            <v>67</v>
          </cell>
          <cell r="D1997">
            <v>0</v>
          </cell>
          <cell r="E1997">
            <v>14449.85</v>
          </cell>
          <cell r="F1997" t="str">
            <v>tier - 2</v>
          </cell>
          <cell r="G1997" t="str">
            <v>tier - 1</v>
          </cell>
          <cell r="H1997" t="str">
            <v>R1024</v>
          </cell>
        </row>
        <row r="1998">
          <cell r="A1998" t="str">
            <v>ID692</v>
          </cell>
          <cell r="B1998" t="str">
            <v>4-Nov-1967</v>
          </cell>
          <cell r="C1998">
            <v>58</v>
          </cell>
          <cell r="D1998">
            <v>0</v>
          </cell>
          <cell r="E1998">
            <v>14427.63</v>
          </cell>
          <cell r="F1998" t="str">
            <v>tier - 2</v>
          </cell>
          <cell r="G1998" t="str">
            <v>tier - 2</v>
          </cell>
          <cell r="H1998" t="str">
            <v>R1021</v>
          </cell>
        </row>
        <row r="1999">
          <cell r="A1999" t="str">
            <v>ID693</v>
          </cell>
          <cell r="B1999" t="str">
            <v>15-Aug-1967</v>
          </cell>
          <cell r="C1999">
            <v>59</v>
          </cell>
          <cell r="D1999">
            <v>0</v>
          </cell>
          <cell r="E1999">
            <v>14426.66</v>
          </cell>
          <cell r="F1999" t="str">
            <v>tier - 2</v>
          </cell>
          <cell r="G1999" t="str">
            <v>tier - 2</v>
          </cell>
          <cell r="H1999" t="str">
            <v>R1026</v>
          </cell>
        </row>
        <row r="2000">
          <cell r="A2000" t="str">
            <v>ID694</v>
          </cell>
          <cell r="B2000" t="str">
            <v>10-Aug-1999</v>
          </cell>
          <cell r="C2000">
            <v>27</v>
          </cell>
          <cell r="D2000">
            <v>2</v>
          </cell>
          <cell r="E2000">
            <v>14426.07</v>
          </cell>
          <cell r="F2000" t="str">
            <v>tier - 2</v>
          </cell>
          <cell r="G2000" t="str">
            <v>tier - 1</v>
          </cell>
          <cell r="H2000" t="str">
            <v>R1012</v>
          </cell>
        </row>
        <row r="2001">
          <cell r="A2001" t="str">
            <v>ID695</v>
          </cell>
          <cell r="B2001" t="str">
            <v>20-Sep-1958</v>
          </cell>
          <cell r="C2001">
            <v>68</v>
          </cell>
          <cell r="D2001">
            <v>1</v>
          </cell>
          <cell r="E2001">
            <v>14418.28</v>
          </cell>
          <cell r="F2001" t="str">
            <v>tier - 2</v>
          </cell>
          <cell r="G2001" t="str">
            <v>tier - 3</v>
          </cell>
          <cell r="H2001" t="str">
            <v>R1013</v>
          </cell>
        </row>
        <row r="2002">
          <cell r="A2002" t="str">
            <v>ID696</v>
          </cell>
          <cell r="B2002" t="str">
            <v>29-Jul-1958</v>
          </cell>
          <cell r="C2002">
            <v>68</v>
          </cell>
          <cell r="D2002">
            <v>0</v>
          </cell>
          <cell r="E2002">
            <v>14410.93</v>
          </cell>
          <cell r="F2002" t="str">
            <v>tier - 2</v>
          </cell>
          <cell r="G2002" t="str">
            <v>tier - 2</v>
          </cell>
          <cell r="H2002" t="str">
            <v>R1016</v>
          </cell>
        </row>
        <row r="2003">
          <cell r="A2003" t="str">
            <v>ID697</v>
          </cell>
          <cell r="B2003" t="str">
            <v>14-Sep-1958</v>
          </cell>
          <cell r="C2003">
            <v>68</v>
          </cell>
          <cell r="D2003">
            <v>0</v>
          </cell>
          <cell r="E2003">
            <v>14394.56</v>
          </cell>
          <cell r="F2003" t="str">
            <v>tier - 2</v>
          </cell>
          <cell r="G2003" t="str">
            <v>tier - 1</v>
          </cell>
          <cell r="H2003" t="str">
            <v>R1018</v>
          </cell>
        </row>
        <row r="2004">
          <cell r="A2004" t="str">
            <v>ID698</v>
          </cell>
          <cell r="B2004" t="str">
            <v>22-Jun-1965</v>
          </cell>
          <cell r="C2004">
            <v>61</v>
          </cell>
          <cell r="D2004">
            <v>4</v>
          </cell>
          <cell r="E2004">
            <v>14394.4</v>
          </cell>
          <cell r="F2004" t="str">
            <v>tier - 2</v>
          </cell>
          <cell r="G2004" t="str">
            <v>tier - 3</v>
          </cell>
          <cell r="H2004" t="str">
            <v>R1024</v>
          </cell>
        </row>
        <row r="2005">
          <cell r="A2005" t="str">
            <v>ID699</v>
          </cell>
          <cell r="B2005" t="str">
            <v>16-Jul-1963</v>
          </cell>
          <cell r="C2005">
            <v>63</v>
          </cell>
          <cell r="D2005">
            <v>3</v>
          </cell>
          <cell r="E2005">
            <v>14382.71</v>
          </cell>
          <cell r="F2005" t="str">
            <v>tier - 2</v>
          </cell>
          <cell r="G2005" t="str">
            <v>tier - 2</v>
          </cell>
          <cell r="H2005" t="str">
            <v>R1012</v>
          </cell>
        </row>
        <row r="2006">
          <cell r="A2006" t="str">
            <v>ID7</v>
          </cell>
          <cell r="B2006" t="str">
            <v>27-Oct-1994</v>
          </cell>
          <cell r="C2006">
            <v>31</v>
          </cell>
          <cell r="D2006">
            <v>1</v>
          </cell>
          <cell r="E2006">
            <v>51194.559999999998</v>
          </cell>
          <cell r="F2006" t="str">
            <v>tier - 1</v>
          </cell>
          <cell r="G2006" t="str">
            <v>tier - 3</v>
          </cell>
          <cell r="H2006" t="str">
            <v>R1011</v>
          </cell>
        </row>
        <row r="2007">
          <cell r="A2007" t="str">
            <v>ID70</v>
          </cell>
          <cell r="B2007" t="str">
            <v>19-Dec-1968</v>
          </cell>
          <cell r="C2007">
            <v>57</v>
          </cell>
          <cell r="D2007">
            <v>1</v>
          </cell>
          <cell r="E2007">
            <v>41999.519999999997</v>
          </cell>
          <cell r="F2007" t="str">
            <v>tier - 1</v>
          </cell>
          <cell r="G2007" t="str">
            <v>tier - 3</v>
          </cell>
          <cell r="H2007" t="str">
            <v>R1013</v>
          </cell>
        </row>
        <row r="2008">
          <cell r="A2008" t="str">
            <v>ID700</v>
          </cell>
          <cell r="B2008" t="str">
            <v>16-Nov-1988</v>
          </cell>
          <cell r="C2008">
            <v>37</v>
          </cell>
          <cell r="D2008">
            <v>1</v>
          </cell>
          <cell r="E2008">
            <v>14358.36</v>
          </cell>
          <cell r="F2008" t="str">
            <v>tier - 2</v>
          </cell>
          <cell r="G2008" t="str">
            <v>tier - 2</v>
          </cell>
          <cell r="H2008" t="str">
            <v>R1011</v>
          </cell>
        </row>
        <row r="2009">
          <cell r="A2009" t="str">
            <v>ID701</v>
          </cell>
          <cell r="B2009" t="str">
            <v>10-Oct-1967</v>
          </cell>
          <cell r="C2009">
            <v>59</v>
          </cell>
          <cell r="D2009">
            <v>0</v>
          </cell>
          <cell r="E2009">
            <v>14355.43</v>
          </cell>
          <cell r="F2009" t="str">
            <v>tier - 2</v>
          </cell>
          <cell r="G2009" t="str">
            <v>tier - 1</v>
          </cell>
          <cell r="H2009" t="str">
            <v>R1026</v>
          </cell>
        </row>
        <row r="2010">
          <cell r="A2010" t="str">
            <v>ID702</v>
          </cell>
          <cell r="B2010" t="str">
            <v>24-Dec-1959</v>
          </cell>
          <cell r="C2010">
            <v>66</v>
          </cell>
          <cell r="D2010">
            <v>1</v>
          </cell>
          <cell r="E2010">
            <v>14349.85</v>
          </cell>
          <cell r="F2010" t="str">
            <v>tier - 2</v>
          </cell>
          <cell r="G2010" t="str">
            <v>tier - 2</v>
          </cell>
          <cell r="H2010" t="str">
            <v>R1012</v>
          </cell>
        </row>
        <row r="2011">
          <cell r="A2011" t="str">
            <v>ID703</v>
          </cell>
          <cell r="B2011" t="str">
            <v>26-Sep-1969</v>
          </cell>
          <cell r="C2011">
            <v>57</v>
          </cell>
          <cell r="D2011">
            <v>0</v>
          </cell>
          <cell r="E2011">
            <v>14337.91</v>
          </cell>
          <cell r="F2011" t="str">
            <v>tier - 2</v>
          </cell>
          <cell r="G2011" t="str">
            <v>tier - 3</v>
          </cell>
          <cell r="H2011" t="str">
            <v>R1022</v>
          </cell>
        </row>
        <row r="2012">
          <cell r="A2012" t="str">
            <v>ID704</v>
          </cell>
          <cell r="B2012" t="str">
            <v>10-Jul-1958</v>
          </cell>
          <cell r="C2012">
            <v>68</v>
          </cell>
          <cell r="D2012">
            <v>0</v>
          </cell>
          <cell r="E2012">
            <v>14319.03</v>
          </cell>
          <cell r="F2012" t="str">
            <v>tier - 2</v>
          </cell>
          <cell r="G2012" t="str">
            <v>tier - 2</v>
          </cell>
          <cell r="H2012" t="str">
            <v>R1011</v>
          </cell>
        </row>
        <row r="2013">
          <cell r="A2013" t="str">
            <v>ID705</v>
          </cell>
          <cell r="B2013" t="str">
            <v>15-Oct-1958</v>
          </cell>
          <cell r="C2013">
            <v>68</v>
          </cell>
          <cell r="D2013">
            <v>0</v>
          </cell>
          <cell r="E2013">
            <v>14313.85</v>
          </cell>
          <cell r="F2013" t="str">
            <v>tier - 2</v>
          </cell>
          <cell r="G2013" t="str">
            <v>tier - 3</v>
          </cell>
          <cell r="H2013" t="str">
            <v>R1013</v>
          </cell>
        </row>
        <row r="2014">
          <cell r="A2014" t="str">
            <v>ID706</v>
          </cell>
          <cell r="B2014" t="str">
            <v>15-Dec-1968</v>
          </cell>
          <cell r="C2014">
            <v>57</v>
          </cell>
          <cell r="D2014">
            <v>0</v>
          </cell>
          <cell r="E2014">
            <v>14285.9</v>
          </cell>
          <cell r="F2014" t="str">
            <v>tier - 2</v>
          </cell>
          <cell r="G2014" t="str">
            <v>tier - 3</v>
          </cell>
          <cell r="H2014" t="str">
            <v>R1012</v>
          </cell>
        </row>
        <row r="2015">
          <cell r="A2015" t="str">
            <v>ID707</v>
          </cell>
          <cell r="B2015" t="str">
            <v>6-Sep-2004</v>
          </cell>
          <cell r="C2015">
            <v>22</v>
          </cell>
          <cell r="D2015">
            <v>0</v>
          </cell>
          <cell r="E2015">
            <v>14283.46</v>
          </cell>
          <cell r="F2015" t="str">
            <v>tier - 2</v>
          </cell>
          <cell r="G2015" t="str">
            <v>tier - 2</v>
          </cell>
          <cell r="H2015" t="str">
            <v>R1024</v>
          </cell>
        </row>
        <row r="2016">
          <cell r="A2016" t="str">
            <v>ID708</v>
          </cell>
          <cell r="B2016" t="str">
            <v>13-Jul-1972</v>
          </cell>
          <cell r="C2016">
            <v>54</v>
          </cell>
          <cell r="D2016">
            <v>0</v>
          </cell>
          <cell r="E2016">
            <v>14258.33</v>
          </cell>
          <cell r="F2016" t="str">
            <v>tier - 2</v>
          </cell>
          <cell r="G2016" t="str">
            <v>tier - 2</v>
          </cell>
          <cell r="H2016" t="str">
            <v>R1026</v>
          </cell>
        </row>
        <row r="2017">
          <cell r="A2017" t="str">
            <v>ID709</v>
          </cell>
          <cell r="B2017" t="str">
            <v>26-Dec-1974</v>
          </cell>
          <cell r="C2017">
            <v>51</v>
          </cell>
          <cell r="D2017">
            <v>0</v>
          </cell>
          <cell r="E2017">
            <v>14256.79</v>
          </cell>
          <cell r="F2017" t="str">
            <v>tier - 2</v>
          </cell>
          <cell r="G2017" t="str">
            <v>tier - 2</v>
          </cell>
          <cell r="H2017" t="str">
            <v>R1026</v>
          </cell>
        </row>
        <row r="2018">
          <cell r="A2018" t="str">
            <v>ID71</v>
          </cell>
          <cell r="B2018" t="str">
            <v>10-Nov-1984</v>
          </cell>
          <cell r="C2018">
            <v>41</v>
          </cell>
          <cell r="D2018">
            <v>3</v>
          </cell>
          <cell r="E2018">
            <v>41949.24</v>
          </cell>
          <cell r="F2018" t="str">
            <v>tier - 1</v>
          </cell>
          <cell r="G2018" t="str">
            <v>tier - 1</v>
          </cell>
          <cell r="H2018" t="str">
            <v>R1013</v>
          </cell>
        </row>
        <row r="2019">
          <cell r="A2019" t="str">
            <v>ID710</v>
          </cell>
          <cell r="B2019" t="str">
            <v>8-Nov-1959</v>
          </cell>
          <cell r="C2019">
            <v>66</v>
          </cell>
          <cell r="D2019">
            <v>0</v>
          </cell>
          <cell r="E2019">
            <v>14256.19</v>
          </cell>
          <cell r="F2019" t="str">
            <v>tier - 2</v>
          </cell>
          <cell r="G2019" t="str">
            <v>tier - 3</v>
          </cell>
          <cell r="H2019" t="str">
            <v>R1012</v>
          </cell>
        </row>
        <row r="2020">
          <cell r="A2020" t="str">
            <v>ID711</v>
          </cell>
          <cell r="B2020" t="str">
            <v>10-Oct-1959</v>
          </cell>
          <cell r="C2020">
            <v>67</v>
          </cell>
          <cell r="D2020">
            <v>0</v>
          </cell>
          <cell r="E2020">
            <v>14254.61</v>
          </cell>
          <cell r="F2020" t="str">
            <v>tier - 2</v>
          </cell>
          <cell r="G2020" t="str">
            <v>tier - 1</v>
          </cell>
          <cell r="H2020" t="str">
            <v>R1012</v>
          </cell>
        </row>
        <row r="2021">
          <cell r="A2021" t="str">
            <v>ID712</v>
          </cell>
          <cell r="B2021" t="str">
            <v>25-Sep-1961</v>
          </cell>
          <cell r="C2021">
            <v>65</v>
          </cell>
          <cell r="D2021">
            <v>2</v>
          </cell>
          <cell r="E2021">
            <v>14235.07</v>
          </cell>
          <cell r="F2021" t="str">
            <v>tier - 2</v>
          </cell>
          <cell r="G2021" t="str">
            <v>tier - 1</v>
          </cell>
          <cell r="H2021" t="str">
            <v>R1011</v>
          </cell>
        </row>
        <row r="2022">
          <cell r="A2022" t="str">
            <v>ID713</v>
          </cell>
          <cell r="B2022" t="str">
            <v>21-Sep-1958</v>
          </cell>
          <cell r="C2022">
            <v>68</v>
          </cell>
          <cell r="D2022">
            <v>0</v>
          </cell>
          <cell r="E2022">
            <v>14210.54</v>
          </cell>
          <cell r="F2022" t="str">
            <v>tier - 2</v>
          </cell>
          <cell r="G2022" t="str">
            <v>tier - 2</v>
          </cell>
          <cell r="H2022" t="str">
            <v>R1012</v>
          </cell>
        </row>
        <row r="2023">
          <cell r="A2023" t="str">
            <v>ID714</v>
          </cell>
          <cell r="B2023" t="str">
            <v>17-Nov-1983</v>
          </cell>
          <cell r="C2023">
            <v>42</v>
          </cell>
          <cell r="D2023">
            <v>3</v>
          </cell>
          <cell r="E2023">
            <v>14209.4</v>
          </cell>
          <cell r="F2023" t="str">
            <v>tier - 2</v>
          </cell>
          <cell r="G2023" t="str">
            <v>tier - 1</v>
          </cell>
          <cell r="H2023" t="str">
            <v>R1026</v>
          </cell>
        </row>
        <row r="2024">
          <cell r="A2024" t="str">
            <v>ID715</v>
          </cell>
          <cell r="B2024" t="str">
            <v>25-Dec-1968</v>
          </cell>
          <cell r="C2024">
            <v>57</v>
          </cell>
          <cell r="D2024">
            <v>0</v>
          </cell>
          <cell r="E2024">
            <v>14193.55</v>
          </cell>
          <cell r="F2024" t="str">
            <v>tier - 2</v>
          </cell>
          <cell r="G2024" t="str">
            <v>tier - 1</v>
          </cell>
          <cell r="H2024" t="str">
            <v>R1026</v>
          </cell>
        </row>
        <row r="2025">
          <cell r="A2025" t="str">
            <v>ID716</v>
          </cell>
          <cell r="B2025" t="str">
            <v>7-Jul-1984</v>
          </cell>
          <cell r="C2025">
            <v>42</v>
          </cell>
          <cell r="D2025">
            <v>3</v>
          </cell>
          <cell r="E2025">
            <v>14152.46</v>
          </cell>
          <cell r="F2025" t="str">
            <v>tier - 2</v>
          </cell>
          <cell r="G2025" t="str">
            <v>tier - 1</v>
          </cell>
          <cell r="H2025" t="str">
            <v>R1012</v>
          </cell>
        </row>
        <row r="2026">
          <cell r="A2026" t="str">
            <v>ID717</v>
          </cell>
          <cell r="B2026" t="str">
            <v>6-Jul-2004</v>
          </cell>
          <cell r="C2026">
            <v>22</v>
          </cell>
          <cell r="D2026">
            <v>0</v>
          </cell>
          <cell r="E2026">
            <v>14133.04</v>
          </cell>
          <cell r="F2026" t="str">
            <v>tier - 2</v>
          </cell>
          <cell r="G2026" t="str">
            <v>tier - 3</v>
          </cell>
          <cell r="H2026" t="str">
            <v>R1013</v>
          </cell>
        </row>
        <row r="2027">
          <cell r="A2027" t="str">
            <v>ID718</v>
          </cell>
          <cell r="B2027" t="str">
            <v>14-Jun-1961</v>
          </cell>
          <cell r="C2027">
            <v>65</v>
          </cell>
          <cell r="D2027">
            <v>2</v>
          </cell>
          <cell r="E2027">
            <v>14119.62</v>
          </cell>
          <cell r="F2027" t="str">
            <v>tier - 2</v>
          </cell>
          <cell r="G2027" t="str">
            <v>tier - 1</v>
          </cell>
          <cell r="H2027" t="str">
            <v>R1012</v>
          </cell>
        </row>
        <row r="2028">
          <cell r="A2028" t="str">
            <v>ID719</v>
          </cell>
          <cell r="B2028" t="str">
            <v>26-Sep-1976</v>
          </cell>
          <cell r="C2028">
            <v>50</v>
          </cell>
          <cell r="D2028">
            <v>2</v>
          </cell>
          <cell r="E2028">
            <v>14098.07</v>
          </cell>
          <cell r="F2028" t="str">
            <v>tier - 2</v>
          </cell>
          <cell r="G2028" t="str">
            <v>tier - 3</v>
          </cell>
          <cell r="H2028" t="str">
            <v>R1023</v>
          </cell>
        </row>
        <row r="2029">
          <cell r="A2029" t="str">
            <v>ID72</v>
          </cell>
          <cell r="B2029" t="str">
            <v>8-Jun-1972</v>
          </cell>
          <cell r="C2029">
            <v>54</v>
          </cell>
          <cell r="D2029">
            <v>1</v>
          </cell>
          <cell r="E2029">
            <v>41919.1</v>
          </cell>
          <cell r="F2029" t="str">
            <v>tier - 1</v>
          </cell>
          <cell r="G2029" t="str">
            <v>tier - 1</v>
          </cell>
          <cell r="H2029" t="str">
            <v>R1016</v>
          </cell>
        </row>
        <row r="2030">
          <cell r="A2030" t="str">
            <v>ID720</v>
          </cell>
          <cell r="B2030" t="str">
            <v>12-Sep-1991</v>
          </cell>
          <cell r="C2030">
            <v>35</v>
          </cell>
          <cell r="D2030">
            <v>3</v>
          </cell>
          <cell r="E2030">
            <v>14081.93</v>
          </cell>
          <cell r="F2030" t="str">
            <v>tier - 2</v>
          </cell>
          <cell r="G2030" t="str">
            <v>tier - 3</v>
          </cell>
          <cell r="H2030" t="str">
            <v>R1012</v>
          </cell>
        </row>
        <row r="2031">
          <cell r="A2031" t="str">
            <v>ID721</v>
          </cell>
          <cell r="B2031" t="str">
            <v>8-Nov-1960</v>
          </cell>
          <cell r="C2031">
            <v>65</v>
          </cell>
          <cell r="D2031">
            <v>0</v>
          </cell>
          <cell r="E2031">
            <v>14043.48</v>
          </cell>
          <cell r="F2031" t="str">
            <v>tier - 2</v>
          </cell>
          <cell r="G2031" t="str">
            <v>tier - 3</v>
          </cell>
          <cell r="H2031" t="str">
            <v>R1024</v>
          </cell>
        </row>
        <row r="2032">
          <cell r="A2032" t="str">
            <v>ID722</v>
          </cell>
          <cell r="B2032" t="str">
            <v>8-Jul-1963</v>
          </cell>
          <cell r="C2032">
            <v>63</v>
          </cell>
          <cell r="D2032">
            <v>3</v>
          </cell>
          <cell r="E2032">
            <v>14007.22</v>
          </cell>
          <cell r="F2032" t="str">
            <v>tier - 2</v>
          </cell>
          <cell r="G2032" t="str">
            <v>tier - 3</v>
          </cell>
          <cell r="H2032" t="str">
            <v>R1011</v>
          </cell>
        </row>
        <row r="2033">
          <cell r="A2033" t="str">
            <v>ID723</v>
          </cell>
          <cell r="B2033" t="str">
            <v>6-Jul-1963</v>
          </cell>
          <cell r="C2033">
            <v>63</v>
          </cell>
          <cell r="D2033">
            <v>3</v>
          </cell>
          <cell r="E2033">
            <v>14001.29</v>
          </cell>
          <cell r="F2033" t="str">
            <v>tier - 2</v>
          </cell>
          <cell r="G2033" t="str">
            <v>tier - 2</v>
          </cell>
          <cell r="H2033" t="str">
            <v>R1013</v>
          </cell>
        </row>
        <row r="2034">
          <cell r="A2034" t="str">
            <v>ID724</v>
          </cell>
          <cell r="B2034" t="str">
            <v>23-Dec-1963</v>
          </cell>
          <cell r="C2034">
            <v>62</v>
          </cell>
          <cell r="D2034">
            <v>3</v>
          </cell>
          <cell r="E2034">
            <v>14001.13</v>
          </cell>
          <cell r="F2034" t="str">
            <v>tier - 2</v>
          </cell>
          <cell r="G2034" t="str">
            <v>tier - 1</v>
          </cell>
          <cell r="H2034" t="str">
            <v>R1013</v>
          </cell>
        </row>
        <row r="2035">
          <cell r="A2035" t="str">
            <v>ID725</v>
          </cell>
          <cell r="B2035" t="str">
            <v>6-Sep-1959</v>
          </cell>
          <cell r="C2035">
            <v>67</v>
          </cell>
          <cell r="D2035">
            <v>0</v>
          </cell>
          <cell r="E2035">
            <v>13981.85</v>
          </cell>
          <cell r="F2035" t="str">
            <v>tier - 2</v>
          </cell>
          <cell r="G2035" t="str">
            <v>tier - 1</v>
          </cell>
          <cell r="H2035" t="str">
            <v>R1016</v>
          </cell>
        </row>
        <row r="2036">
          <cell r="A2036" t="str">
            <v>ID726</v>
          </cell>
          <cell r="B2036" t="str">
            <v>13-Jul-1990</v>
          </cell>
          <cell r="C2036">
            <v>36</v>
          </cell>
          <cell r="D2036">
            <v>3</v>
          </cell>
          <cell r="E2036">
            <v>13979.45</v>
          </cell>
          <cell r="F2036" t="str">
            <v>tier - 2</v>
          </cell>
          <cell r="G2036" t="str">
            <v>tier - 1</v>
          </cell>
          <cell r="H2036" t="str">
            <v>R1023</v>
          </cell>
        </row>
        <row r="2037">
          <cell r="A2037" t="str">
            <v>ID727</v>
          </cell>
          <cell r="B2037" t="str">
            <v>29-Aug-1959</v>
          </cell>
          <cell r="C2037">
            <v>67</v>
          </cell>
          <cell r="D2037">
            <v>0</v>
          </cell>
          <cell r="E2037">
            <v>13974.46</v>
          </cell>
          <cell r="F2037" t="str">
            <v>tier - 2</v>
          </cell>
          <cell r="G2037" t="str">
            <v>tier - 2</v>
          </cell>
          <cell r="H2037" t="str">
            <v>R1019</v>
          </cell>
        </row>
        <row r="2038">
          <cell r="A2038" t="str">
            <v>ID728</v>
          </cell>
          <cell r="B2038" t="str">
            <v>18-Jun-1960</v>
          </cell>
          <cell r="C2038">
            <v>66</v>
          </cell>
          <cell r="D2038">
            <v>1</v>
          </cell>
          <cell r="E2038">
            <v>13937.67</v>
          </cell>
          <cell r="F2038" t="str">
            <v>tier - 2</v>
          </cell>
          <cell r="G2038" t="str">
            <v>tier - 1</v>
          </cell>
          <cell r="H2038" t="str">
            <v>R1012</v>
          </cell>
        </row>
        <row r="2039">
          <cell r="A2039" t="str">
            <v>ID729</v>
          </cell>
          <cell r="B2039" t="str">
            <v>27-Jul-1962</v>
          </cell>
          <cell r="C2039">
            <v>64</v>
          </cell>
          <cell r="D2039">
            <v>3</v>
          </cell>
          <cell r="E2039">
            <v>13919.82</v>
          </cell>
          <cell r="F2039" t="str">
            <v>tier - 2</v>
          </cell>
          <cell r="G2039" t="str">
            <v>tier - 2</v>
          </cell>
          <cell r="H2039" t="str">
            <v>R1013</v>
          </cell>
        </row>
        <row r="2040">
          <cell r="A2040" t="str">
            <v>ID73</v>
          </cell>
          <cell r="B2040" t="str">
            <v>21-Sep-1966</v>
          </cell>
          <cell r="C2040">
            <v>60</v>
          </cell>
          <cell r="D2040">
            <v>0</v>
          </cell>
          <cell r="E2040">
            <v>41886.54</v>
          </cell>
          <cell r="F2040" t="str">
            <v>tier - 1</v>
          </cell>
          <cell r="G2040" t="str">
            <v>tier - 3</v>
          </cell>
          <cell r="H2040" t="str">
            <v>R1011</v>
          </cell>
        </row>
        <row r="2041">
          <cell r="A2041" t="str">
            <v>ID730</v>
          </cell>
          <cell r="B2041" t="str">
            <v>7-Jul-1959</v>
          </cell>
          <cell r="C2041">
            <v>67</v>
          </cell>
          <cell r="D2041">
            <v>0</v>
          </cell>
          <cell r="E2041">
            <v>13887.97</v>
          </cell>
          <cell r="F2041" t="str">
            <v>tier - 2</v>
          </cell>
          <cell r="G2041" t="str">
            <v>tier - 2</v>
          </cell>
          <cell r="H2041" t="str">
            <v>R1013</v>
          </cell>
        </row>
        <row r="2042">
          <cell r="A2042" t="str">
            <v>ID731</v>
          </cell>
          <cell r="B2042" t="str">
            <v>29-Dec-1959</v>
          </cell>
          <cell r="C2042">
            <v>66</v>
          </cell>
          <cell r="D2042">
            <v>0</v>
          </cell>
          <cell r="E2042">
            <v>13887.2</v>
          </cell>
          <cell r="F2042" t="str">
            <v>tier - 2</v>
          </cell>
          <cell r="G2042" t="str">
            <v>tier - 3</v>
          </cell>
          <cell r="H2042" t="str">
            <v>R1013</v>
          </cell>
        </row>
        <row r="2043">
          <cell r="A2043" t="str">
            <v>ID732</v>
          </cell>
          <cell r="B2043" t="str">
            <v>25-Sep-1985</v>
          </cell>
          <cell r="C2043">
            <v>41</v>
          </cell>
          <cell r="D2043">
            <v>3</v>
          </cell>
          <cell r="E2043">
            <v>13886.4</v>
          </cell>
          <cell r="F2043" t="str">
            <v>tier - 2</v>
          </cell>
          <cell r="G2043" t="str">
            <v>tier - 2</v>
          </cell>
          <cell r="H2043" t="str">
            <v>R1012</v>
          </cell>
        </row>
        <row r="2044">
          <cell r="A2044" t="str">
            <v>ID733</v>
          </cell>
          <cell r="B2044" t="str">
            <v>5-Oct-1959</v>
          </cell>
          <cell r="C2044">
            <v>67</v>
          </cell>
          <cell r="D2044">
            <v>0</v>
          </cell>
          <cell r="E2044">
            <v>13880.95</v>
          </cell>
          <cell r="F2044" t="str">
            <v>tier - 2</v>
          </cell>
          <cell r="G2044" t="str">
            <v>tier - 2</v>
          </cell>
          <cell r="H2044" t="str">
            <v>R1011</v>
          </cell>
        </row>
        <row r="2045">
          <cell r="A2045" t="str">
            <v>ID734</v>
          </cell>
          <cell r="B2045" t="str">
            <v>19-Dec-1978</v>
          </cell>
          <cell r="C2045">
            <v>47</v>
          </cell>
          <cell r="D2045">
            <v>2</v>
          </cell>
          <cell r="E2045">
            <v>13874.89</v>
          </cell>
          <cell r="F2045" t="str">
            <v>tier - 2</v>
          </cell>
          <cell r="G2045" t="str">
            <v>tier - 1</v>
          </cell>
          <cell r="H2045" t="str">
            <v>R1012</v>
          </cell>
        </row>
        <row r="2046">
          <cell r="A2046" t="str">
            <v>ID735</v>
          </cell>
          <cell r="B2046" t="str">
            <v>21-Jul-1960</v>
          </cell>
          <cell r="C2046">
            <v>66</v>
          </cell>
          <cell r="D2046">
            <v>0</v>
          </cell>
          <cell r="E2046">
            <v>13844.8</v>
          </cell>
          <cell r="F2046" t="str">
            <v>tier - 2</v>
          </cell>
          <cell r="G2046" t="str">
            <v>tier - 2</v>
          </cell>
          <cell r="H2046" t="str">
            <v>R1012</v>
          </cell>
        </row>
        <row r="2047">
          <cell r="A2047" t="str">
            <v>ID736</v>
          </cell>
          <cell r="B2047" t="str">
            <v>7-Jun-2003</v>
          </cell>
          <cell r="C2047">
            <v>23</v>
          </cell>
          <cell r="D2047">
            <v>0</v>
          </cell>
          <cell r="E2047">
            <v>13844.51</v>
          </cell>
          <cell r="F2047" t="str">
            <v>tier - 2</v>
          </cell>
          <cell r="G2047" t="str">
            <v>tier - 1</v>
          </cell>
          <cell r="H2047" t="str">
            <v>R1011</v>
          </cell>
        </row>
        <row r="2048">
          <cell r="A2048" t="str">
            <v>ID737</v>
          </cell>
          <cell r="B2048" t="str">
            <v>10-Dec-1958</v>
          </cell>
          <cell r="C2048">
            <v>67</v>
          </cell>
          <cell r="D2048">
            <v>0</v>
          </cell>
          <cell r="E2048">
            <v>13831.12</v>
          </cell>
          <cell r="F2048" t="str">
            <v>tier - 3</v>
          </cell>
          <cell r="G2048" t="str">
            <v>tier - 1</v>
          </cell>
          <cell r="H2048" t="str">
            <v>R1013</v>
          </cell>
        </row>
        <row r="2049">
          <cell r="A2049" t="str">
            <v>ID738</v>
          </cell>
          <cell r="B2049" t="str">
            <v>25-Nov-1958</v>
          </cell>
          <cell r="C2049">
            <v>67</v>
          </cell>
          <cell r="D2049">
            <v>0</v>
          </cell>
          <cell r="E2049">
            <v>13822.8</v>
          </cell>
          <cell r="F2049" t="str">
            <v>tier - 3</v>
          </cell>
          <cell r="G2049" t="str">
            <v>tier - 3</v>
          </cell>
          <cell r="H2049" t="str">
            <v>R1011</v>
          </cell>
        </row>
        <row r="2050">
          <cell r="A2050" t="str">
            <v>ID739</v>
          </cell>
          <cell r="B2050" t="str">
            <v>8-Dec-1986</v>
          </cell>
          <cell r="C2050">
            <v>39</v>
          </cell>
          <cell r="D2050">
            <v>3</v>
          </cell>
          <cell r="E2050">
            <v>13819.49</v>
          </cell>
          <cell r="F2050" t="str">
            <v>tier - 3</v>
          </cell>
          <cell r="G2050" t="str">
            <v>tier - 2</v>
          </cell>
          <cell r="H2050" t="str">
            <v>R1012</v>
          </cell>
        </row>
        <row r="2051">
          <cell r="A2051" t="str">
            <v>ID74</v>
          </cell>
          <cell r="B2051" t="str">
            <v>22-Sep-1962</v>
          </cell>
          <cell r="C2051">
            <v>64</v>
          </cell>
          <cell r="D2051">
            <v>0</v>
          </cell>
          <cell r="E2051">
            <v>41794.629999999997</v>
          </cell>
          <cell r="F2051" t="str">
            <v>tier - 1</v>
          </cell>
          <cell r="G2051" t="str">
            <v>tier - 3</v>
          </cell>
          <cell r="H2051" t="str">
            <v>R1011</v>
          </cell>
        </row>
        <row r="2052">
          <cell r="A2052" t="str">
            <v>ID740</v>
          </cell>
          <cell r="B2052" t="str">
            <v>10-Nov-1966</v>
          </cell>
          <cell r="C2052">
            <v>59</v>
          </cell>
          <cell r="D2052">
            <v>0</v>
          </cell>
          <cell r="E2052">
            <v>13801.61</v>
          </cell>
          <cell r="F2052" t="str">
            <v>tier - 3</v>
          </cell>
          <cell r="G2052" t="str">
            <v>tier - 3</v>
          </cell>
          <cell r="H2052" t="str">
            <v>R1026</v>
          </cell>
        </row>
        <row r="2053">
          <cell r="A2053" t="str">
            <v>ID741</v>
          </cell>
          <cell r="B2053" t="str">
            <v>6-Aug-1959</v>
          </cell>
          <cell r="C2053">
            <v>67</v>
          </cell>
          <cell r="D2053">
            <v>0</v>
          </cell>
          <cell r="E2053">
            <v>13770.1</v>
          </cell>
          <cell r="F2053" t="str">
            <v>tier - 3</v>
          </cell>
          <cell r="G2053" t="str">
            <v>tier - 1</v>
          </cell>
          <cell r="H2053" t="str">
            <v>R1012</v>
          </cell>
        </row>
        <row r="2054">
          <cell r="A2054" t="str">
            <v>ID742</v>
          </cell>
          <cell r="B2054" t="str">
            <v>16-Jul-2004</v>
          </cell>
          <cell r="C2054">
            <v>22</v>
          </cell>
          <cell r="D2054">
            <v>0</v>
          </cell>
          <cell r="E2054">
            <v>13747.87</v>
          </cell>
          <cell r="F2054" t="str">
            <v>tier - 3</v>
          </cell>
          <cell r="G2054" t="str">
            <v>tier - 2</v>
          </cell>
          <cell r="H2054" t="str">
            <v>R1018</v>
          </cell>
        </row>
        <row r="2055">
          <cell r="A2055" t="str">
            <v>ID743</v>
          </cell>
          <cell r="B2055" t="str">
            <v>23-Oct-1969</v>
          </cell>
          <cell r="C2055">
            <v>56</v>
          </cell>
          <cell r="D2055">
            <v>0</v>
          </cell>
          <cell r="E2055">
            <v>13746.74</v>
          </cell>
          <cell r="F2055" t="str">
            <v>tier - 3</v>
          </cell>
          <cell r="G2055" t="str">
            <v>tier - 2</v>
          </cell>
          <cell r="H2055" t="str">
            <v>R1026</v>
          </cell>
        </row>
        <row r="2056">
          <cell r="A2056" t="str">
            <v>ID744</v>
          </cell>
          <cell r="B2056" t="str">
            <v>29-Aug-1985</v>
          </cell>
          <cell r="C2056">
            <v>41</v>
          </cell>
          <cell r="D2056">
            <v>3</v>
          </cell>
          <cell r="E2056">
            <v>13726.21</v>
          </cell>
          <cell r="F2056" t="str">
            <v>tier - 3</v>
          </cell>
          <cell r="G2056" t="str">
            <v>tier - 3</v>
          </cell>
          <cell r="H2056" t="str">
            <v>R1026</v>
          </cell>
        </row>
        <row r="2057">
          <cell r="A2057" t="str">
            <v>ID745</v>
          </cell>
          <cell r="B2057" t="str">
            <v>2-Aug-1981</v>
          </cell>
          <cell r="C2057">
            <v>45</v>
          </cell>
          <cell r="D2057">
            <v>1</v>
          </cell>
          <cell r="E2057">
            <v>13725.47</v>
          </cell>
          <cell r="F2057" t="str">
            <v>tier - 3</v>
          </cell>
          <cell r="G2057" t="str">
            <v>tier - 2</v>
          </cell>
          <cell r="H2057" t="str">
            <v>R1024</v>
          </cell>
        </row>
        <row r="2058">
          <cell r="A2058" t="str">
            <v>ID746</v>
          </cell>
          <cell r="B2058" t="str">
            <v>24-Nov-1986</v>
          </cell>
          <cell r="C2058">
            <v>39</v>
          </cell>
          <cell r="D2058">
            <v>3</v>
          </cell>
          <cell r="E2058">
            <v>13714.55</v>
          </cell>
          <cell r="F2058" t="str">
            <v>tier - 3</v>
          </cell>
          <cell r="G2058" t="str">
            <v>tier - 2</v>
          </cell>
          <cell r="H2058" t="str">
            <v>R1023</v>
          </cell>
        </row>
        <row r="2059">
          <cell r="A2059" t="str">
            <v>ID747</v>
          </cell>
          <cell r="B2059" t="str">
            <v>14-Sep-1985</v>
          </cell>
          <cell r="C2059">
            <v>41</v>
          </cell>
          <cell r="D2059">
            <v>3</v>
          </cell>
          <cell r="E2059">
            <v>13685.51</v>
          </cell>
          <cell r="F2059" t="str">
            <v>tier - 3</v>
          </cell>
          <cell r="G2059" t="str">
            <v>tier - 1</v>
          </cell>
          <cell r="H2059" t="str">
            <v>R1026</v>
          </cell>
        </row>
        <row r="2060">
          <cell r="A2060" t="str">
            <v>ID748</v>
          </cell>
          <cell r="B2060" t="str">
            <v>4-Aug-1963</v>
          </cell>
          <cell r="C2060">
            <v>63</v>
          </cell>
          <cell r="D2060">
            <v>0</v>
          </cell>
          <cell r="E2060">
            <v>13677.68</v>
          </cell>
          <cell r="F2060" t="str">
            <v>tier - 3</v>
          </cell>
          <cell r="G2060" t="str">
            <v>tier - 2</v>
          </cell>
          <cell r="H2060" t="str">
            <v>R1021</v>
          </cell>
        </row>
        <row r="2061">
          <cell r="A2061" t="str">
            <v>ID749</v>
          </cell>
          <cell r="B2061" t="str">
            <v>20-Jul-1984</v>
          </cell>
          <cell r="C2061">
            <v>42</v>
          </cell>
          <cell r="D2061">
            <v>3</v>
          </cell>
          <cell r="E2061">
            <v>13638.06</v>
          </cell>
          <cell r="F2061" t="str">
            <v>tier - 3</v>
          </cell>
          <cell r="G2061" t="str">
            <v>tier - 3</v>
          </cell>
          <cell r="H2061" t="str">
            <v>R1023</v>
          </cell>
        </row>
        <row r="2062">
          <cell r="A2062" t="str">
            <v>ID75</v>
          </cell>
          <cell r="B2062" t="str">
            <v>29-Sep-1975</v>
          </cell>
          <cell r="C2062">
            <v>51</v>
          </cell>
          <cell r="D2062">
            <v>1</v>
          </cell>
          <cell r="E2062">
            <v>41681.86</v>
          </cell>
          <cell r="F2062" t="str">
            <v>tier - 1</v>
          </cell>
          <cell r="G2062" t="str">
            <v>tier - 1</v>
          </cell>
          <cell r="H2062" t="str">
            <v>R1011</v>
          </cell>
        </row>
        <row r="2063">
          <cell r="A2063" t="str">
            <v>ID750</v>
          </cell>
          <cell r="B2063" t="str">
            <v>24-Dec-1961</v>
          </cell>
          <cell r="C2063">
            <v>64</v>
          </cell>
          <cell r="D2063">
            <v>0</v>
          </cell>
          <cell r="E2063">
            <v>13635.64</v>
          </cell>
          <cell r="F2063" t="str">
            <v>tier - 3</v>
          </cell>
          <cell r="G2063" t="str">
            <v>tier - 3</v>
          </cell>
          <cell r="H2063" t="str">
            <v>R1024</v>
          </cell>
        </row>
        <row r="2064">
          <cell r="A2064" t="str">
            <v>ID751</v>
          </cell>
          <cell r="B2064" t="str">
            <v>26-Jul-1969</v>
          </cell>
          <cell r="C2064">
            <v>57</v>
          </cell>
          <cell r="D2064">
            <v>0</v>
          </cell>
          <cell r="E2064">
            <v>13622.01</v>
          </cell>
          <cell r="F2064" t="str">
            <v>tier - 3</v>
          </cell>
          <cell r="G2064" t="str">
            <v>tier - 3</v>
          </cell>
          <cell r="H2064" t="str">
            <v>R1012</v>
          </cell>
        </row>
        <row r="2065">
          <cell r="A2065" t="str">
            <v>ID752</v>
          </cell>
          <cell r="B2065" t="str">
            <v>18-Nov-1961</v>
          </cell>
          <cell r="C2065">
            <v>64</v>
          </cell>
          <cell r="D2065">
            <v>0</v>
          </cell>
          <cell r="E2065">
            <v>13616.36</v>
          </cell>
          <cell r="F2065" t="str">
            <v>tier - 3</v>
          </cell>
          <cell r="G2065" t="str">
            <v>tier - 3</v>
          </cell>
          <cell r="H2065" t="str">
            <v>R1024</v>
          </cell>
        </row>
        <row r="2066">
          <cell r="A2066" t="str">
            <v>ID753</v>
          </cell>
          <cell r="B2066" t="str">
            <v>10-Sep-1964</v>
          </cell>
          <cell r="C2066">
            <v>62</v>
          </cell>
          <cell r="D2066">
            <v>2</v>
          </cell>
          <cell r="E2066">
            <v>13607.37</v>
          </cell>
          <cell r="F2066" t="str">
            <v>tier - 3</v>
          </cell>
          <cell r="G2066" t="str">
            <v>tier - 1</v>
          </cell>
          <cell r="H2066" t="str">
            <v>R1024</v>
          </cell>
        </row>
        <row r="2067">
          <cell r="A2067" t="str">
            <v>ID754</v>
          </cell>
          <cell r="B2067" t="str">
            <v>14-Aug-1992</v>
          </cell>
          <cell r="C2067">
            <v>34</v>
          </cell>
          <cell r="D2067">
            <v>0</v>
          </cell>
          <cell r="E2067">
            <v>13588.17</v>
          </cell>
          <cell r="F2067" t="str">
            <v>tier - 3</v>
          </cell>
          <cell r="G2067" t="str">
            <v>tier - 1</v>
          </cell>
          <cell r="H2067" t="str">
            <v>R1012</v>
          </cell>
        </row>
        <row r="2068">
          <cell r="A2068" t="str">
            <v>ID755</v>
          </cell>
          <cell r="B2068" t="str">
            <v>15-Jul-1968</v>
          </cell>
          <cell r="C2068">
            <v>58</v>
          </cell>
          <cell r="D2068">
            <v>0</v>
          </cell>
          <cell r="E2068">
            <v>13566.04</v>
          </cell>
          <cell r="F2068" t="str">
            <v>tier - 3</v>
          </cell>
          <cell r="G2068" t="str">
            <v>tier - 3</v>
          </cell>
          <cell r="H2068" t="str">
            <v>R1026</v>
          </cell>
        </row>
        <row r="2069">
          <cell r="A2069" t="str">
            <v>ID756</v>
          </cell>
          <cell r="B2069" t="str">
            <v>11-Jul-1960</v>
          </cell>
          <cell r="C2069">
            <v>66</v>
          </cell>
          <cell r="D2069">
            <v>0</v>
          </cell>
          <cell r="E2069">
            <v>13555</v>
          </cell>
          <cell r="F2069" t="str">
            <v>tier - 3</v>
          </cell>
          <cell r="G2069" t="str">
            <v>tier - 3</v>
          </cell>
          <cell r="H2069" t="str">
            <v>R1017</v>
          </cell>
        </row>
        <row r="2070">
          <cell r="A2070" t="str">
            <v>ID757</v>
          </cell>
          <cell r="B2070" t="str">
            <v>14-Oct-1963</v>
          </cell>
          <cell r="C2070">
            <v>63</v>
          </cell>
          <cell r="D2070">
            <v>0</v>
          </cell>
          <cell r="E2070">
            <v>13511.28</v>
          </cell>
          <cell r="F2070" t="str">
            <v>tier - 3</v>
          </cell>
          <cell r="G2070" t="str">
            <v>tier - 1</v>
          </cell>
          <cell r="H2070" t="str">
            <v>R1012</v>
          </cell>
        </row>
        <row r="2071">
          <cell r="A2071" t="str">
            <v>ID758</v>
          </cell>
          <cell r="B2071" t="str">
            <v>30-Aug-1990</v>
          </cell>
          <cell r="C2071">
            <v>36</v>
          </cell>
          <cell r="D2071">
            <v>3</v>
          </cell>
          <cell r="E2071">
            <v>13480.83</v>
          </cell>
          <cell r="F2071" t="str">
            <v>tier - 3</v>
          </cell>
          <cell r="G2071" t="str">
            <v>tier - 2</v>
          </cell>
          <cell r="H2071" t="str">
            <v>R1023</v>
          </cell>
        </row>
        <row r="2072">
          <cell r="A2072" t="str">
            <v>ID759</v>
          </cell>
          <cell r="B2072" t="str">
            <v>7-Aug-1975</v>
          </cell>
          <cell r="C2072">
            <v>51</v>
          </cell>
          <cell r="D2072">
            <v>1</v>
          </cell>
          <cell r="E2072">
            <v>13472.19</v>
          </cell>
          <cell r="F2072" t="str">
            <v>tier - 3</v>
          </cell>
          <cell r="G2072" t="str">
            <v>tier - 2</v>
          </cell>
          <cell r="H2072" t="str">
            <v>R1012</v>
          </cell>
        </row>
        <row r="2073">
          <cell r="A2073" t="str">
            <v>ID76</v>
          </cell>
          <cell r="B2073" t="str">
            <v>14-Nov-1975</v>
          </cell>
          <cell r="C2073">
            <v>50</v>
          </cell>
          <cell r="D2073">
            <v>0</v>
          </cell>
          <cell r="E2073">
            <v>41676.080000000002</v>
          </cell>
          <cell r="F2073" t="str">
            <v>tier - 1</v>
          </cell>
          <cell r="G2073" t="str">
            <v>tier - 2</v>
          </cell>
          <cell r="H2073" t="str">
            <v>R1013</v>
          </cell>
        </row>
        <row r="2074">
          <cell r="A2074" t="str">
            <v>ID760</v>
          </cell>
          <cell r="B2074" t="str">
            <v>24-Jul-1960</v>
          </cell>
          <cell r="C2074">
            <v>66</v>
          </cell>
          <cell r="D2074">
            <v>0</v>
          </cell>
          <cell r="E2074">
            <v>13470.86</v>
          </cell>
          <cell r="F2074" t="str">
            <v>tier - 3</v>
          </cell>
          <cell r="G2074" t="str">
            <v>tier - 3</v>
          </cell>
          <cell r="H2074" t="str">
            <v>R1011</v>
          </cell>
        </row>
        <row r="2075">
          <cell r="A2075" t="str">
            <v>ID761</v>
          </cell>
          <cell r="B2075" t="str">
            <v>28-Jul-1960</v>
          </cell>
          <cell r="C2075">
            <v>66</v>
          </cell>
          <cell r="D2075">
            <v>0</v>
          </cell>
          <cell r="E2075">
            <v>13470.8</v>
          </cell>
          <cell r="F2075" t="str">
            <v>tier - 3</v>
          </cell>
          <cell r="G2075" t="str">
            <v>tier - 2</v>
          </cell>
          <cell r="H2075" t="str">
            <v>R1013</v>
          </cell>
        </row>
        <row r="2076">
          <cell r="A2076" t="str">
            <v>ID762</v>
          </cell>
          <cell r="B2076" t="str">
            <v>19-Aug-1985</v>
          </cell>
          <cell r="C2076">
            <v>41</v>
          </cell>
          <cell r="D2076">
            <v>3</v>
          </cell>
          <cell r="E2076">
            <v>13465.8</v>
          </cell>
          <cell r="F2076" t="str">
            <v>tier - 3</v>
          </cell>
          <cell r="G2076" t="str">
            <v>tier - 1</v>
          </cell>
          <cell r="H2076" t="str">
            <v>R1012</v>
          </cell>
        </row>
        <row r="2077">
          <cell r="A2077" t="str">
            <v>ID763</v>
          </cell>
          <cell r="B2077" t="str">
            <v>16-Dec-1960</v>
          </cell>
          <cell r="C2077">
            <v>65</v>
          </cell>
          <cell r="D2077">
            <v>0</v>
          </cell>
          <cell r="E2077">
            <v>13462.52</v>
          </cell>
          <cell r="F2077" t="str">
            <v>tier - 3</v>
          </cell>
          <cell r="G2077" t="str">
            <v>tier - 2</v>
          </cell>
          <cell r="H2077" t="str">
            <v>R1011</v>
          </cell>
        </row>
        <row r="2078">
          <cell r="A2078" t="str">
            <v>ID764</v>
          </cell>
          <cell r="B2078" t="str">
            <v>11-Jul-1960</v>
          </cell>
          <cell r="C2078">
            <v>66</v>
          </cell>
          <cell r="D2078">
            <v>0</v>
          </cell>
          <cell r="E2078">
            <v>13457.96</v>
          </cell>
          <cell r="F2078" t="str">
            <v>tier - 3</v>
          </cell>
          <cell r="G2078" t="str">
            <v>tier - 1</v>
          </cell>
          <cell r="H2078" t="str">
            <v>R1013</v>
          </cell>
        </row>
        <row r="2079">
          <cell r="A2079" t="str">
            <v>ID765</v>
          </cell>
          <cell r="B2079" t="str">
            <v>13-Aug-1960</v>
          </cell>
          <cell r="C2079">
            <v>66</v>
          </cell>
          <cell r="D2079">
            <v>0</v>
          </cell>
          <cell r="E2079">
            <v>13451.12</v>
          </cell>
          <cell r="F2079" t="str">
            <v>tier - 3</v>
          </cell>
          <cell r="G2079" t="str">
            <v>tier - 1</v>
          </cell>
          <cell r="H2079" t="str">
            <v>R1011</v>
          </cell>
        </row>
        <row r="2080">
          <cell r="A2080" t="str">
            <v>ID766</v>
          </cell>
          <cell r="B2080" t="str">
            <v>29-Jun-1975</v>
          </cell>
          <cell r="C2080">
            <v>51</v>
          </cell>
          <cell r="D2080">
            <v>1</v>
          </cell>
          <cell r="E2080">
            <v>13440.7</v>
          </cell>
          <cell r="F2080" t="str">
            <v>tier - 3</v>
          </cell>
          <cell r="G2080" t="str">
            <v>tier - 2</v>
          </cell>
          <cell r="H2080" t="str">
            <v>R1012</v>
          </cell>
        </row>
        <row r="2081">
          <cell r="A2081" t="str">
            <v>ID767</v>
          </cell>
          <cell r="B2081" t="str">
            <v>14-Nov-1966</v>
          </cell>
          <cell r="C2081">
            <v>59</v>
          </cell>
          <cell r="D2081">
            <v>3</v>
          </cell>
          <cell r="E2081">
            <v>13430.27</v>
          </cell>
          <cell r="F2081" t="str">
            <v>tier - 3</v>
          </cell>
          <cell r="G2081" t="str">
            <v>tier - 3</v>
          </cell>
          <cell r="H2081" t="str">
            <v>R1024</v>
          </cell>
        </row>
        <row r="2082">
          <cell r="A2082" t="str">
            <v>ID768</v>
          </cell>
          <cell r="B2082" t="str">
            <v>3-Nov-1961</v>
          </cell>
          <cell r="C2082">
            <v>64</v>
          </cell>
          <cell r="D2082">
            <v>0</v>
          </cell>
          <cell r="E2082">
            <v>13429.04</v>
          </cell>
          <cell r="F2082" t="str">
            <v>tier - 3</v>
          </cell>
          <cell r="G2082" t="str">
            <v>tier - 3</v>
          </cell>
          <cell r="H2082" t="str">
            <v>R1012</v>
          </cell>
        </row>
        <row r="2083">
          <cell r="A2083" t="str">
            <v>ID769</v>
          </cell>
          <cell r="B2083" t="str">
            <v>17-Jun-1994</v>
          </cell>
          <cell r="C2083">
            <v>32</v>
          </cell>
          <cell r="D2083">
            <v>0</v>
          </cell>
          <cell r="E2083">
            <v>13417.05</v>
          </cell>
          <cell r="F2083" t="str">
            <v>tier - 3</v>
          </cell>
          <cell r="G2083" t="str">
            <v>tier - 3</v>
          </cell>
          <cell r="H2083" t="str">
            <v>R1012</v>
          </cell>
        </row>
        <row r="2084">
          <cell r="A2084" t="str">
            <v>ID77</v>
          </cell>
          <cell r="B2084" t="str">
            <v>29-Oct-1976</v>
          </cell>
          <cell r="C2084">
            <v>49</v>
          </cell>
          <cell r="D2084">
            <v>1</v>
          </cell>
          <cell r="E2084">
            <v>41661.599999999999</v>
          </cell>
          <cell r="F2084" t="str">
            <v>tier - 1</v>
          </cell>
          <cell r="G2084" t="str">
            <v>tier - 3</v>
          </cell>
          <cell r="H2084" t="str">
            <v>R1011</v>
          </cell>
        </row>
        <row r="2085">
          <cell r="A2085" t="str">
            <v>ID770</v>
          </cell>
          <cell r="B2085" t="str">
            <v>22-Jul-1961</v>
          </cell>
          <cell r="C2085">
            <v>65</v>
          </cell>
          <cell r="D2085">
            <v>0</v>
          </cell>
          <cell r="E2085">
            <v>13415.04</v>
          </cell>
          <cell r="F2085" t="str">
            <v>tier - 3</v>
          </cell>
          <cell r="G2085" t="str">
            <v>tier - 2</v>
          </cell>
          <cell r="H2085" t="str">
            <v>R1012</v>
          </cell>
        </row>
        <row r="2086">
          <cell r="A2086" t="str">
            <v>ID771</v>
          </cell>
          <cell r="B2086" t="str">
            <v>19-Dec-1992</v>
          </cell>
          <cell r="C2086">
            <v>33</v>
          </cell>
          <cell r="D2086">
            <v>0</v>
          </cell>
          <cell r="E2086">
            <v>13412.97</v>
          </cell>
          <cell r="F2086" t="str">
            <v>tier - 3</v>
          </cell>
          <cell r="G2086" t="str">
            <v>tier - 3</v>
          </cell>
          <cell r="H2086" t="str">
            <v>R1023</v>
          </cell>
        </row>
        <row r="2087">
          <cell r="A2087" t="str">
            <v>ID772</v>
          </cell>
          <cell r="B2087" t="str">
            <v>20-Dec-1959</v>
          </cell>
          <cell r="C2087">
            <v>66</v>
          </cell>
          <cell r="D2087">
            <v>0</v>
          </cell>
          <cell r="E2087">
            <v>13405.39</v>
          </cell>
          <cell r="F2087" t="str">
            <v>tier - 3</v>
          </cell>
          <cell r="G2087" t="str">
            <v>tier - 3</v>
          </cell>
          <cell r="H2087" t="str">
            <v>R1013</v>
          </cell>
        </row>
        <row r="2088">
          <cell r="A2088" t="str">
            <v>ID773</v>
          </cell>
          <cell r="B2088" t="str">
            <v>25-Nov-1959</v>
          </cell>
          <cell r="C2088">
            <v>66</v>
          </cell>
          <cell r="D2088">
            <v>0</v>
          </cell>
          <cell r="E2088">
            <v>13393.76</v>
          </cell>
          <cell r="F2088" t="str">
            <v>tier - 3</v>
          </cell>
          <cell r="G2088" t="str">
            <v>tier - 1</v>
          </cell>
          <cell r="H2088" t="str">
            <v>R1011</v>
          </cell>
        </row>
        <row r="2089">
          <cell r="A2089" t="str">
            <v>ID774</v>
          </cell>
          <cell r="B2089" t="str">
            <v>9-Dec-1959</v>
          </cell>
          <cell r="C2089">
            <v>66</v>
          </cell>
          <cell r="D2089">
            <v>0</v>
          </cell>
          <cell r="E2089">
            <v>13390.56</v>
          </cell>
          <cell r="F2089" t="str">
            <v>tier - 3</v>
          </cell>
          <cell r="G2089" t="str">
            <v>tier - 3</v>
          </cell>
          <cell r="H2089" t="str">
            <v>R1011</v>
          </cell>
        </row>
        <row r="2090">
          <cell r="A2090" t="str">
            <v>ID775</v>
          </cell>
          <cell r="B2090" t="str">
            <v>6-Jun-1984</v>
          </cell>
          <cell r="C2090">
            <v>42</v>
          </cell>
          <cell r="D2090">
            <v>3</v>
          </cell>
          <cell r="E2090">
            <v>13383.67</v>
          </cell>
          <cell r="F2090" t="str">
            <v>tier - 3</v>
          </cell>
          <cell r="G2090" t="str">
            <v>tier - 2</v>
          </cell>
          <cell r="H2090" t="str">
            <v>R1023</v>
          </cell>
        </row>
        <row r="2091">
          <cell r="A2091" t="str">
            <v>ID776</v>
          </cell>
          <cell r="B2091" t="str">
            <v>30-Sep-1979</v>
          </cell>
          <cell r="C2091">
            <v>47</v>
          </cell>
          <cell r="D2091">
            <v>2</v>
          </cell>
          <cell r="E2091">
            <v>13377.41</v>
          </cell>
          <cell r="F2091" t="str">
            <v>tier - 3</v>
          </cell>
          <cell r="G2091" t="str">
            <v>tier - 3</v>
          </cell>
          <cell r="H2091" t="str">
            <v>R1026</v>
          </cell>
        </row>
        <row r="2092">
          <cell r="A2092" t="str">
            <v>ID777</v>
          </cell>
          <cell r="B2092" t="str">
            <v>24-Sep-1964</v>
          </cell>
          <cell r="C2092">
            <v>62</v>
          </cell>
          <cell r="D2092">
            <v>0</v>
          </cell>
          <cell r="E2092">
            <v>13375.76</v>
          </cell>
          <cell r="F2092" t="str">
            <v>tier - 3</v>
          </cell>
          <cell r="G2092" t="str">
            <v>tier - 2</v>
          </cell>
          <cell r="H2092" t="str">
            <v>R1025</v>
          </cell>
        </row>
        <row r="2093">
          <cell r="A2093" t="str">
            <v>ID778</v>
          </cell>
          <cell r="B2093" t="str">
            <v>2-Oct-1990</v>
          </cell>
          <cell r="C2093">
            <v>36</v>
          </cell>
          <cell r="D2093">
            <v>3</v>
          </cell>
          <cell r="E2093">
            <v>13360.94</v>
          </cell>
          <cell r="F2093" t="str">
            <v>tier - 3</v>
          </cell>
          <cell r="G2093" t="str">
            <v>tier - 1</v>
          </cell>
          <cell r="H2093" t="str">
            <v>R1012</v>
          </cell>
        </row>
        <row r="2094">
          <cell r="A2094" t="str">
            <v>ID779</v>
          </cell>
          <cell r="B2094" t="str">
            <v>11-Nov-1960</v>
          </cell>
          <cell r="C2094">
            <v>65</v>
          </cell>
          <cell r="D2094">
            <v>0</v>
          </cell>
          <cell r="E2094">
            <v>13352.1</v>
          </cell>
          <cell r="F2094" t="str">
            <v>tier - 3</v>
          </cell>
          <cell r="G2094" t="str">
            <v>tier - 1</v>
          </cell>
          <cell r="H2094" t="str">
            <v>R1012</v>
          </cell>
        </row>
        <row r="2095">
          <cell r="A2095" t="str">
            <v>ID78</v>
          </cell>
          <cell r="B2095" t="str">
            <v>24-Nov-1974</v>
          </cell>
          <cell r="C2095">
            <v>51</v>
          </cell>
          <cell r="D2095">
            <v>0</v>
          </cell>
          <cell r="E2095">
            <v>41636.199999999997</v>
          </cell>
          <cell r="F2095" t="str">
            <v>tier - 1</v>
          </cell>
          <cell r="G2095" t="str">
            <v>tier - 1</v>
          </cell>
          <cell r="H2095" t="str">
            <v>R1011</v>
          </cell>
        </row>
        <row r="2096">
          <cell r="A2096" t="str">
            <v>ID780</v>
          </cell>
          <cell r="B2096" t="str">
            <v>23-Aug-1976</v>
          </cell>
          <cell r="C2096">
            <v>50</v>
          </cell>
          <cell r="D2096">
            <v>2</v>
          </cell>
          <cell r="E2096">
            <v>13333.71</v>
          </cell>
          <cell r="F2096" t="str">
            <v>tier - 3</v>
          </cell>
          <cell r="G2096" t="str">
            <v>tier - 2</v>
          </cell>
          <cell r="H2096" t="str">
            <v>R1012</v>
          </cell>
        </row>
        <row r="2097">
          <cell r="A2097" t="str">
            <v>ID781</v>
          </cell>
          <cell r="B2097" t="str">
            <v>1-Jul-1994</v>
          </cell>
          <cell r="C2097">
            <v>32</v>
          </cell>
          <cell r="D2097">
            <v>0</v>
          </cell>
          <cell r="E2097">
            <v>13292.52</v>
          </cell>
          <cell r="F2097" t="str">
            <v>tier - 3</v>
          </cell>
          <cell r="G2097" t="str">
            <v>tier - 3</v>
          </cell>
          <cell r="H2097" t="str">
            <v>R1012</v>
          </cell>
        </row>
        <row r="2098">
          <cell r="A2098" t="str">
            <v>ID782</v>
          </cell>
          <cell r="B2098" t="str">
            <v>11-Oct-1962</v>
          </cell>
          <cell r="C2098">
            <v>64</v>
          </cell>
          <cell r="D2098">
            <v>0</v>
          </cell>
          <cell r="E2098">
            <v>13228.85</v>
          </cell>
          <cell r="F2098" t="str">
            <v>tier - 3</v>
          </cell>
          <cell r="G2098" t="str">
            <v>tier - 3</v>
          </cell>
          <cell r="H2098" t="str">
            <v>R1023</v>
          </cell>
        </row>
        <row r="2099">
          <cell r="A2099" t="str">
            <v>ID783</v>
          </cell>
          <cell r="B2099" t="str">
            <v>24-Nov-1962</v>
          </cell>
          <cell r="C2099">
            <v>63</v>
          </cell>
          <cell r="D2099">
            <v>1</v>
          </cell>
          <cell r="E2099">
            <v>13224.69</v>
          </cell>
          <cell r="F2099" t="str">
            <v>tier - 3</v>
          </cell>
          <cell r="G2099" t="str">
            <v>tier - 2</v>
          </cell>
          <cell r="H2099" t="str">
            <v>R1011</v>
          </cell>
        </row>
        <row r="2100">
          <cell r="A2100" t="str">
            <v>ID784</v>
          </cell>
          <cell r="B2100" t="str">
            <v>13-Nov-1965</v>
          </cell>
          <cell r="C2100">
            <v>60</v>
          </cell>
          <cell r="D2100">
            <v>2</v>
          </cell>
          <cell r="E2100">
            <v>13224.06</v>
          </cell>
          <cell r="F2100" t="str">
            <v>tier - 3</v>
          </cell>
          <cell r="G2100" t="str">
            <v>tier - 3</v>
          </cell>
          <cell r="H2100" t="str">
            <v>R1024</v>
          </cell>
        </row>
        <row r="2101">
          <cell r="A2101" t="str">
            <v>ID785</v>
          </cell>
          <cell r="B2101" t="str">
            <v>7-Dec-1962</v>
          </cell>
          <cell r="C2101">
            <v>63</v>
          </cell>
          <cell r="D2101">
            <v>0</v>
          </cell>
          <cell r="E2101">
            <v>13217.09</v>
          </cell>
          <cell r="F2101" t="str">
            <v>tier - 3</v>
          </cell>
          <cell r="G2101" t="str">
            <v>tier - 1</v>
          </cell>
          <cell r="H2101" t="str">
            <v>R1024</v>
          </cell>
        </row>
        <row r="2102">
          <cell r="A2102" t="str">
            <v>ID786</v>
          </cell>
          <cell r="B2102" t="str">
            <v>15-Oct-1982</v>
          </cell>
          <cell r="C2102">
            <v>44</v>
          </cell>
          <cell r="D2102">
            <v>3</v>
          </cell>
          <cell r="E2102">
            <v>13214.43</v>
          </cell>
          <cell r="F2102" t="str">
            <v>tier - 3</v>
          </cell>
          <cell r="G2102" t="str">
            <v>tier - 2</v>
          </cell>
          <cell r="H2102" t="str">
            <v>R1012</v>
          </cell>
        </row>
        <row r="2103">
          <cell r="A2103" t="str">
            <v>ID787</v>
          </cell>
          <cell r="B2103" t="str">
            <v>5-Aug-1962</v>
          </cell>
          <cell r="C2103">
            <v>64</v>
          </cell>
          <cell r="D2103">
            <v>0</v>
          </cell>
          <cell r="E2103">
            <v>13204.29</v>
          </cell>
          <cell r="F2103" t="str">
            <v>tier - 3</v>
          </cell>
          <cell r="G2103" t="str">
            <v>tier - 1</v>
          </cell>
          <cell r="H2103" t="str">
            <v>R1024</v>
          </cell>
        </row>
        <row r="2104">
          <cell r="A2104" t="str">
            <v>ID788</v>
          </cell>
          <cell r="B2104" t="str">
            <v>6-Dec-1961</v>
          </cell>
          <cell r="C2104">
            <v>64</v>
          </cell>
          <cell r="D2104">
            <v>0</v>
          </cell>
          <cell r="E2104">
            <v>13143.86</v>
          </cell>
          <cell r="F2104" t="str">
            <v>tier - 3</v>
          </cell>
          <cell r="G2104" t="str">
            <v>tier - 2</v>
          </cell>
          <cell r="H2104" t="str">
            <v>R1016</v>
          </cell>
        </row>
        <row r="2105">
          <cell r="A2105" t="str">
            <v>ID789</v>
          </cell>
          <cell r="B2105" t="str">
            <v>6-Dec-1961</v>
          </cell>
          <cell r="C2105">
            <v>64</v>
          </cell>
          <cell r="D2105">
            <v>0</v>
          </cell>
          <cell r="E2105">
            <v>13143.34</v>
          </cell>
          <cell r="F2105" t="str">
            <v>tier - 3</v>
          </cell>
          <cell r="G2105" t="str">
            <v>tier - 2</v>
          </cell>
          <cell r="H2105" t="str">
            <v>R1020</v>
          </cell>
        </row>
        <row r="2106">
          <cell r="A2106" t="str">
            <v>ID79</v>
          </cell>
          <cell r="B2106" t="str">
            <v>22-Dec-1967</v>
          </cell>
          <cell r="C2106">
            <v>58</v>
          </cell>
          <cell r="D2106">
            <v>0</v>
          </cell>
          <cell r="E2106">
            <v>41505.15</v>
          </cell>
          <cell r="F2106" t="str">
            <v>tier - 1</v>
          </cell>
          <cell r="G2106" t="str">
            <v>tier - 2</v>
          </cell>
          <cell r="H2106" t="str">
            <v>R1011</v>
          </cell>
        </row>
        <row r="2107">
          <cell r="A2107" t="str">
            <v>ID790</v>
          </cell>
          <cell r="B2107" t="str">
            <v>7-Sep-1961</v>
          </cell>
          <cell r="C2107">
            <v>65</v>
          </cell>
          <cell r="D2107">
            <v>0</v>
          </cell>
          <cell r="E2107">
            <v>13129.6</v>
          </cell>
          <cell r="F2107" t="str">
            <v>tier - 3</v>
          </cell>
          <cell r="G2107" t="str">
            <v>tier - 2</v>
          </cell>
          <cell r="H2107" t="str">
            <v>R1017</v>
          </cell>
        </row>
        <row r="2108">
          <cell r="A2108" t="str">
            <v>ID791</v>
          </cell>
          <cell r="B2108" t="str">
            <v>16-Aug-1999</v>
          </cell>
          <cell r="C2108">
            <v>27</v>
          </cell>
          <cell r="D2108">
            <v>0</v>
          </cell>
          <cell r="E2108">
            <v>13126.68</v>
          </cell>
          <cell r="F2108" t="str">
            <v>tier - 3</v>
          </cell>
          <cell r="G2108" t="str">
            <v>tier - 3</v>
          </cell>
          <cell r="H2108" t="str">
            <v>R1011</v>
          </cell>
        </row>
        <row r="2109">
          <cell r="A2109" t="str">
            <v>ID792</v>
          </cell>
          <cell r="B2109" t="str">
            <v>14-Sep-1963</v>
          </cell>
          <cell r="C2109">
            <v>63</v>
          </cell>
          <cell r="D2109">
            <v>0</v>
          </cell>
          <cell r="E2109">
            <v>13116.84</v>
          </cell>
          <cell r="F2109" t="str">
            <v>tier - 3</v>
          </cell>
          <cell r="G2109" t="str">
            <v>tier - 1</v>
          </cell>
          <cell r="H2109" t="str">
            <v>R1012</v>
          </cell>
        </row>
        <row r="2110">
          <cell r="A2110" t="str">
            <v>ID793</v>
          </cell>
          <cell r="B2110" t="str">
            <v>12-Aug-1992</v>
          </cell>
          <cell r="C2110">
            <v>34</v>
          </cell>
          <cell r="D2110">
            <v>0</v>
          </cell>
          <cell r="E2110">
            <v>13113.51</v>
          </cell>
          <cell r="F2110" t="str">
            <v>tier - 3</v>
          </cell>
          <cell r="G2110" t="str">
            <v>tier - 2</v>
          </cell>
          <cell r="H2110" t="str">
            <v>R1026</v>
          </cell>
        </row>
        <row r="2111">
          <cell r="A2111" t="str">
            <v>ID794</v>
          </cell>
          <cell r="B2111" t="str">
            <v>2-Aug-1962</v>
          </cell>
          <cell r="C2111">
            <v>64</v>
          </cell>
          <cell r="D2111">
            <v>1</v>
          </cell>
          <cell r="E2111">
            <v>13112.6</v>
          </cell>
          <cell r="F2111" t="str">
            <v>tier - 3</v>
          </cell>
          <cell r="G2111" t="str">
            <v>tier - 3</v>
          </cell>
          <cell r="H2111" t="str">
            <v>R1012</v>
          </cell>
        </row>
        <row r="2112">
          <cell r="A2112" t="str">
            <v>ID795</v>
          </cell>
          <cell r="B2112" t="str">
            <v>30-Oct-1971</v>
          </cell>
          <cell r="C2112">
            <v>54</v>
          </cell>
          <cell r="D2112">
            <v>0</v>
          </cell>
          <cell r="E2112">
            <v>13110.79</v>
          </cell>
          <cell r="F2112" t="str">
            <v>tier - 3</v>
          </cell>
          <cell r="G2112" t="str">
            <v>tier - 2</v>
          </cell>
          <cell r="H2112" t="str">
            <v>R1011</v>
          </cell>
        </row>
        <row r="2113">
          <cell r="A2113" t="str">
            <v>ID796</v>
          </cell>
          <cell r="B2113" t="str">
            <v>17-Jul-1978</v>
          </cell>
          <cell r="C2113">
            <v>48</v>
          </cell>
          <cell r="D2113">
            <v>2</v>
          </cell>
          <cell r="E2113">
            <v>13101.74</v>
          </cell>
          <cell r="F2113" t="str">
            <v>tier - 3</v>
          </cell>
          <cell r="G2113" t="str">
            <v>tier - 2</v>
          </cell>
          <cell r="H2113" t="str">
            <v>R1026</v>
          </cell>
        </row>
        <row r="2114">
          <cell r="A2114" t="str">
            <v>ID797</v>
          </cell>
          <cell r="B2114" t="str">
            <v>6-Nov-1961</v>
          </cell>
          <cell r="C2114">
            <v>64</v>
          </cell>
          <cell r="D2114">
            <v>0</v>
          </cell>
          <cell r="E2114">
            <v>13063.88</v>
          </cell>
          <cell r="F2114" t="str">
            <v>tier - 3</v>
          </cell>
          <cell r="G2114" t="str">
            <v>tier - 2</v>
          </cell>
          <cell r="H2114" t="str">
            <v>R1011</v>
          </cell>
        </row>
        <row r="2115">
          <cell r="A2115" t="str">
            <v>ID798</v>
          </cell>
          <cell r="B2115" t="str">
            <v>26-Oct-1985</v>
          </cell>
          <cell r="C2115">
            <v>40</v>
          </cell>
          <cell r="D2115">
            <v>3</v>
          </cell>
          <cell r="E2115">
            <v>13051.22</v>
          </cell>
          <cell r="F2115" t="str">
            <v>tier - 3</v>
          </cell>
          <cell r="G2115" t="str">
            <v>tier - 1</v>
          </cell>
          <cell r="H2115" t="str">
            <v>R1026</v>
          </cell>
        </row>
        <row r="2116">
          <cell r="A2116" t="str">
            <v>ID799</v>
          </cell>
          <cell r="B2116" t="str">
            <v>6-Aug-1967</v>
          </cell>
          <cell r="C2116">
            <v>59</v>
          </cell>
          <cell r="D2116">
            <v>3</v>
          </cell>
          <cell r="E2116">
            <v>13047.33</v>
          </cell>
          <cell r="F2116" t="str">
            <v>tier - 3</v>
          </cell>
          <cell r="G2116" t="str">
            <v>tier - 3</v>
          </cell>
          <cell r="H2116" t="str">
            <v>R1024</v>
          </cell>
        </row>
        <row r="2117">
          <cell r="A2117" t="str">
            <v>ID8</v>
          </cell>
          <cell r="B2117" t="str">
            <v>27-Jun-1958</v>
          </cell>
          <cell r="C2117">
            <v>68</v>
          </cell>
          <cell r="D2117">
            <v>2</v>
          </cell>
          <cell r="E2117">
            <v>49577.66</v>
          </cell>
          <cell r="F2117" t="str">
            <v>tier - 2</v>
          </cell>
          <cell r="G2117" t="str">
            <v>tier - 2</v>
          </cell>
          <cell r="H2117" t="str">
            <v>R1013</v>
          </cell>
        </row>
        <row r="2118">
          <cell r="A2118" t="str">
            <v>ID80</v>
          </cell>
          <cell r="B2118" t="str">
            <v>16-Oct-1971</v>
          </cell>
          <cell r="C2118">
            <v>55</v>
          </cell>
          <cell r="D2118">
            <v>0</v>
          </cell>
          <cell r="E2118">
            <v>41351.879999999997</v>
          </cell>
          <cell r="F2118" t="str">
            <v>tier - 1</v>
          </cell>
          <cell r="G2118" t="str">
            <v>tier - 2</v>
          </cell>
          <cell r="H2118" t="str">
            <v>R1011</v>
          </cell>
        </row>
        <row r="2119">
          <cell r="A2119" t="str">
            <v>ID800</v>
          </cell>
          <cell r="B2119" t="str">
            <v>23-Sep-1969</v>
          </cell>
          <cell r="C2119">
            <v>57</v>
          </cell>
          <cell r="D2119">
            <v>0</v>
          </cell>
          <cell r="E2119">
            <v>13044.41</v>
          </cell>
          <cell r="F2119" t="str">
            <v>tier - 3</v>
          </cell>
          <cell r="G2119" t="str">
            <v>tier - 1</v>
          </cell>
          <cell r="H2119" t="str">
            <v>R1012</v>
          </cell>
        </row>
        <row r="2120">
          <cell r="A2120" t="str">
            <v>ID801</v>
          </cell>
          <cell r="B2120" t="str">
            <v>9-Nov-1961</v>
          </cell>
          <cell r="C2120">
            <v>64</v>
          </cell>
          <cell r="D2120">
            <v>0</v>
          </cell>
          <cell r="E2120">
            <v>13041.92</v>
          </cell>
          <cell r="F2120" t="str">
            <v>tier - 3</v>
          </cell>
          <cell r="G2120" t="str">
            <v>tier - 1</v>
          </cell>
          <cell r="H2120" t="str">
            <v>R1011</v>
          </cell>
        </row>
        <row r="2121">
          <cell r="A2121" t="str">
            <v>ID802</v>
          </cell>
          <cell r="B2121" t="str">
            <v>4-Nov-1965</v>
          </cell>
          <cell r="C2121">
            <v>60</v>
          </cell>
          <cell r="D2121">
            <v>0</v>
          </cell>
          <cell r="E2121">
            <v>13023.93</v>
          </cell>
          <cell r="F2121" t="str">
            <v>tier - 3</v>
          </cell>
          <cell r="G2121" t="str">
            <v>tier - 2</v>
          </cell>
          <cell r="H2121" t="str">
            <v>R1025</v>
          </cell>
        </row>
        <row r="2122">
          <cell r="A2122" t="str">
            <v>ID803</v>
          </cell>
          <cell r="B2122" t="str">
            <v>23-Sep-1964</v>
          </cell>
          <cell r="C2122">
            <v>62</v>
          </cell>
          <cell r="D2122">
            <v>1</v>
          </cell>
          <cell r="E2122">
            <v>13019.16</v>
          </cell>
          <cell r="F2122" t="str">
            <v>tier - 3</v>
          </cell>
          <cell r="G2122" t="str">
            <v>tier - 1</v>
          </cell>
          <cell r="H2122" t="str">
            <v>R1024</v>
          </cell>
        </row>
        <row r="2123">
          <cell r="A2123" t="str">
            <v>ID804</v>
          </cell>
          <cell r="B2123" t="str">
            <v>20-Jul-1962</v>
          </cell>
          <cell r="C2123">
            <v>64</v>
          </cell>
          <cell r="D2123">
            <v>0</v>
          </cell>
          <cell r="E2123">
            <v>13012.21</v>
          </cell>
          <cell r="F2123" t="str">
            <v>tier - 3</v>
          </cell>
          <cell r="G2123" t="str">
            <v>tier - 1</v>
          </cell>
          <cell r="H2123" t="str">
            <v>R1012</v>
          </cell>
        </row>
        <row r="2124">
          <cell r="A2124" t="str">
            <v>ID805</v>
          </cell>
          <cell r="B2124" t="str">
            <v>27-Sep-1972</v>
          </cell>
          <cell r="C2124">
            <v>54</v>
          </cell>
          <cell r="D2124">
            <v>0</v>
          </cell>
          <cell r="E2124">
            <v>13010.86</v>
          </cell>
          <cell r="F2124" t="str">
            <v>tier - 3</v>
          </cell>
          <cell r="G2124" t="str">
            <v>tier - 2</v>
          </cell>
          <cell r="H2124" t="str">
            <v>R1012</v>
          </cell>
        </row>
        <row r="2125">
          <cell r="A2125" t="str">
            <v>ID806</v>
          </cell>
          <cell r="B2125" t="str">
            <v>13-Dec-1969</v>
          </cell>
          <cell r="C2125">
            <v>56</v>
          </cell>
          <cell r="D2125">
            <v>0</v>
          </cell>
          <cell r="E2125">
            <v>13008.07</v>
          </cell>
          <cell r="F2125" t="str">
            <v>tier - 3</v>
          </cell>
          <cell r="G2125" t="str">
            <v>tier - 3</v>
          </cell>
          <cell r="H2125" t="str">
            <v>R1012</v>
          </cell>
        </row>
        <row r="2126">
          <cell r="A2126" t="str">
            <v>ID807</v>
          </cell>
          <cell r="B2126" t="str">
            <v>24-Jun-1962</v>
          </cell>
          <cell r="C2126">
            <v>64</v>
          </cell>
          <cell r="D2126">
            <v>0</v>
          </cell>
          <cell r="E2126">
            <v>13004.95</v>
          </cell>
          <cell r="F2126" t="str">
            <v>tier - 3</v>
          </cell>
          <cell r="G2126" t="str">
            <v>tier - 1</v>
          </cell>
          <cell r="H2126" t="str">
            <v>R1012</v>
          </cell>
        </row>
        <row r="2127">
          <cell r="A2127" t="str">
            <v>ID808</v>
          </cell>
          <cell r="B2127" t="str">
            <v>30-Oct-1981</v>
          </cell>
          <cell r="C2127">
            <v>44</v>
          </cell>
          <cell r="D2127">
            <v>1</v>
          </cell>
          <cell r="E2127">
            <v>13002.91</v>
          </cell>
          <cell r="F2127" t="str">
            <v>tier - 3</v>
          </cell>
          <cell r="G2127" t="str">
            <v>tier - 1</v>
          </cell>
          <cell r="H2127" t="str">
            <v>R1012</v>
          </cell>
        </row>
        <row r="2128">
          <cell r="A2128" t="str">
            <v>ID809</v>
          </cell>
          <cell r="B2128" t="str">
            <v>27-Nov-1979</v>
          </cell>
          <cell r="C2128">
            <v>46</v>
          </cell>
          <cell r="D2128">
            <v>2</v>
          </cell>
          <cell r="E2128">
            <v>12994.12</v>
          </cell>
          <cell r="F2128" t="str">
            <v>tier - 3</v>
          </cell>
          <cell r="G2128" t="str">
            <v>tier - 2</v>
          </cell>
          <cell r="H2128" t="str">
            <v>R1026</v>
          </cell>
        </row>
        <row r="2129">
          <cell r="A2129" t="str">
            <v>ID81</v>
          </cell>
          <cell r="B2129" t="str">
            <v>7-Oct-1964</v>
          </cell>
          <cell r="C2129">
            <v>62</v>
          </cell>
          <cell r="D2129">
            <v>0</v>
          </cell>
          <cell r="E2129">
            <v>41331.79</v>
          </cell>
          <cell r="F2129" t="str">
            <v>tier - 1</v>
          </cell>
          <cell r="G2129" t="str">
            <v>tier - 2</v>
          </cell>
          <cell r="H2129" t="str">
            <v>R1011</v>
          </cell>
        </row>
        <row r="2130">
          <cell r="A2130" t="str">
            <v>ID810</v>
          </cell>
          <cell r="B2130" t="str">
            <v>28-Nov-1960</v>
          </cell>
          <cell r="C2130">
            <v>65</v>
          </cell>
          <cell r="D2130">
            <v>0</v>
          </cell>
          <cell r="E2130">
            <v>12982.87</v>
          </cell>
          <cell r="F2130" t="str">
            <v>tier - 3</v>
          </cell>
          <cell r="G2130" t="str">
            <v>tier - 1</v>
          </cell>
          <cell r="H2130" t="str">
            <v>R1013</v>
          </cell>
        </row>
        <row r="2131">
          <cell r="A2131" t="str">
            <v>ID811</v>
          </cell>
          <cell r="B2131" t="str">
            <v>23-Sep-1960</v>
          </cell>
          <cell r="C2131">
            <v>66</v>
          </cell>
          <cell r="D2131">
            <v>0</v>
          </cell>
          <cell r="E2131">
            <v>12981.35</v>
          </cell>
          <cell r="F2131" t="str">
            <v>tier - 3</v>
          </cell>
          <cell r="G2131" t="str">
            <v>tier - 3</v>
          </cell>
          <cell r="H2131" t="str">
            <v>R1013</v>
          </cell>
        </row>
        <row r="2132">
          <cell r="A2132" t="str">
            <v>ID812</v>
          </cell>
          <cell r="B2132" t="str">
            <v>22-Jun-1960</v>
          </cell>
          <cell r="C2132">
            <v>66</v>
          </cell>
          <cell r="D2132">
            <v>0</v>
          </cell>
          <cell r="E2132">
            <v>12979.36</v>
          </cell>
          <cell r="F2132" t="str">
            <v>tier - 3</v>
          </cell>
          <cell r="G2132" t="str">
            <v>tier - 1</v>
          </cell>
          <cell r="H2132" t="str">
            <v>R1011</v>
          </cell>
        </row>
        <row r="2133">
          <cell r="A2133" t="str">
            <v>ID813</v>
          </cell>
          <cell r="B2133" t="str">
            <v>4-Nov-1960</v>
          </cell>
          <cell r="C2133">
            <v>65</v>
          </cell>
          <cell r="D2133">
            <v>0</v>
          </cell>
          <cell r="E2133">
            <v>12957.12</v>
          </cell>
          <cell r="F2133" t="str">
            <v>tier - 3</v>
          </cell>
          <cell r="G2133" t="str">
            <v>tier - 1</v>
          </cell>
          <cell r="H2133" t="str">
            <v>R1011</v>
          </cell>
        </row>
        <row r="2134">
          <cell r="A2134" t="str">
            <v>ID814</v>
          </cell>
          <cell r="B2134" t="str">
            <v>20-Aug-1961</v>
          </cell>
          <cell r="C2134">
            <v>65</v>
          </cell>
          <cell r="D2134">
            <v>0</v>
          </cell>
          <cell r="E2134">
            <v>12950.07</v>
          </cell>
          <cell r="F2134" t="str">
            <v>tier - 3</v>
          </cell>
          <cell r="G2134" t="str">
            <v>tier - 1</v>
          </cell>
          <cell r="H2134" t="str">
            <v>R1012</v>
          </cell>
        </row>
        <row r="2135">
          <cell r="A2135" t="str">
            <v>ID815</v>
          </cell>
          <cell r="B2135" t="str">
            <v>22-Dec-1966</v>
          </cell>
          <cell r="C2135">
            <v>59</v>
          </cell>
          <cell r="D2135">
            <v>4</v>
          </cell>
          <cell r="E2135">
            <v>12949.16</v>
          </cell>
          <cell r="F2135" t="str">
            <v>tier - 3</v>
          </cell>
          <cell r="G2135" t="str">
            <v>tier - 3</v>
          </cell>
          <cell r="H2135" t="str">
            <v>R1013</v>
          </cell>
        </row>
        <row r="2136">
          <cell r="A2136" t="str">
            <v>ID816</v>
          </cell>
          <cell r="B2136" t="str">
            <v>14-Aug-1963</v>
          </cell>
          <cell r="C2136">
            <v>63</v>
          </cell>
          <cell r="D2136">
            <v>2</v>
          </cell>
          <cell r="E2136">
            <v>12928.79</v>
          </cell>
          <cell r="F2136" t="str">
            <v>tier - 3</v>
          </cell>
          <cell r="G2136" t="str">
            <v>tier - 2</v>
          </cell>
          <cell r="H2136" t="str">
            <v>R1013</v>
          </cell>
        </row>
        <row r="2137">
          <cell r="A2137" t="str">
            <v>ID817</v>
          </cell>
          <cell r="B2137" t="str">
            <v>1-Sep-1963</v>
          </cell>
          <cell r="C2137">
            <v>63</v>
          </cell>
          <cell r="D2137">
            <v>2</v>
          </cell>
          <cell r="E2137">
            <v>12925.89</v>
          </cell>
          <cell r="F2137" t="str">
            <v>tier - 3</v>
          </cell>
          <cell r="G2137" t="str">
            <v>tier - 2</v>
          </cell>
          <cell r="H2137" t="str">
            <v>R1013</v>
          </cell>
        </row>
        <row r="2138">
          <cell r="A2138" t="str">
            <v>ID818</v>
          </cell>
          <cell r="B2138" t="str">
            <v>16-Aug-1963</v>
          </cell>
          <cell r="C2138">
            <v>63</v>
          </cell>
          <cell r="D2138">
            <v>1</v>
          </cell>
          <cell r="E2138">
            <v>12913.99</v>
          </cell>
          <cell r="F2138" t="str">
            <v>tier - 3</v>
          </cell>
          <cell r="G2138" t="str">
            <v>tier - 2</v>
          </cell>
          <cell r="H2138" t="str">
            <v>R1016</v>
          </cell>
        </row>
        <row r="2139">
          <cell r="A2139" t="str">
            <v>ID819</v>
          </cell>
          <cell r="B2139" t="str">
            <v>9-Jul-2004</v>
          </cell>
          <cell r="C2139">
            <v>22</v>
          </cell>
          <cell r="D2139">
            <v>0</v>
          </cell>
          <cell r="E2139">
            <v>12890.06</v>
          </cell>
          <cell r="F2139" t="str">
            <v>tier - 3</v>
          </cell>
          <cell r="G2139" t="str">
            <v>tier - 1</v>
          </cell>
          <cell r="H2139" t="str">
            <v>R1019</v>
          </cell>
        </row>
        <row r="2140">
          <cell r="A2140" t="str">
            <v>ID82</v>
          </cell>
          <cell r="B2140" t="str">
            <v>27-Aug-1977</v>
          </cell>
          <cell r="C2140">
            <v>49</v>
          </cell>
          <cell r="D2140">
            <v>2</v>
          </cell>
          <cell r="E2140">
            <v>41271.5</v>
          </cell>
          <cell r="F2140" t="str">
            <v>tier - 1</v>
          </cell>
          <cell r="G2140" t="str">
            <v>tier - 2</v>
          </cell>
          <cell r="H2140" t="str">
            <v>R1011</v>
          </cell>
        </row>
        <row r="2141">
          <cell r="A2141" t="str">
            <v>ID820</v>
          </cell>
          <cell r="B2141" t="str">
            <v>6-Aug-1984</v>
          </cell>
          <cell r="C2141">
            <v>42</v>
          </cell>
          <cell r="D2141">
            <v>3</v>
          </cell>
          <cell r="E2141">
            <v>12870.31</v>
          </cell>
          <cell r="F2141" t="str">
            <v>tier - 3</v>
          </cell>
          <cell r="G2141" t="str">
            <v>tier - 3</v>
          </cell>
          <cell r="H2141" t="str">
            <v>R1012</v>
          </cell>
        </row>
        <row r="2142">
          <cell r="A2142" t="str">
            <v>ID821</v>
          </cell>
          <cell r="B2142" t="str">
            <v>27-Sep-1963</v>
          </cell>
          <cell r="C2142">
            <v>63</v>
          </cell>
          <cell r="D2142">
            <v>0</v>
          </cell>
          <cell r="E2142">
            <v>12856.84</v>
          </cell>
          <cell r="F2142" t="str">
            <v>tier - 3</v>
          </cell>
          <cell r="G2142" t="str">
            <v>tier - 3</v>
          </cell>
          <cell r="H2142" t="str">
            <v>R1021</v>
          </cell>
        </row>
        <row r="2143">
          <cell r="A2143" t="str">
            <v>ID822</v>
          </cell>
          <cell r="B2143" t="str">
            <v>22-Sep-1973</v>
          </cell>
          <cell r="C2143">
            <v>53</v>
          </cell>
          <cell r="D2143">
            <v>0</v>
          </cell>
          <cell r="E2143">
            <v>12852.37</v>
          </cell>
          <cell r="F2143" t="str">
            <v>tier - 3</v>
          </cell>
          <cell r="G2143" t="str">
            <v>tier - 1</v>
          </cell>
          <cell r="H2143" t="str">
            <v>R1012</v>
          </cell>
        </row>
        <row r="2144">
          <cell r="A2144" t="str">
            <v>ID823</v>
          </cell>
          <cell r="B2144" t="str">
            <v>27-Sep-1993</v>
          </cell>
          <cell r="C2144">
            <v>33</v>
          </cell>
          <cell r="D2144">
            <v>0</v>
          </cell>
          <cell r="E2144">
            <v>12847.24</v>
          </cell>
          <cell r="F2144" t="str">
            <v>tier - 3</v>
          </cell>
          <cell r="G2144" t="str">
            <v>tier - 2</v>
          </cell>
          <cell r="H2144" t="str">
            <v>R1012</v>
          </cell>
        </row>
        <row r="2145">
          <cell r="A2145" t="str">
            <v>ID824</v>
          </cell>
          <cell r="B2145" t="str">
            <v>9-Nov-2004</v>
          </cell>
          <cell r="C2145">
            <v>21</v>
          </cell>
          <cell r="D2145">
            <v>2</v>
          </cell>
          <cell r="E2145">
            <v>12829.46</v>
          </cell>
          <cell r="F2145" t="str">
            <v>tier - 3</v>
          </cell>
          <cell r="G2145" t="str">
            <v>tier - 3</v>
          </cell>
          <cell r="H2145" t="str">
            <v>R1016</v>
          </cell>
        </row>
        <row r="2146">
          <cell r="A2146" t="str">
            <v>ID825</v>
          </cell>
          <cell r="B2146" t="str">
            <v>25-Sep-1967</v>
          </cell>
          <cell r="C2146">
            <v>59</v>
          </cell>
          <cell r="D2146">
            <v>0</v>
          </cell>
          <cell r="E2146">
            <v>12823.25</v>
          </cell>
          <cell r="F2146" t="str">
            <v>tier - 3</v>
          </cell>
          <cell r="G2146" t="str">
            <v>tier - 3</v>
          </cell>
          <cell r="H2146" t="str">
            <v>R1021</v>
          </cell>
        </row>
        <row r="2147">
          <cell r="A2147" t="str">
            <v>ID826</v>
          </cell>
          <cell r="B2147" t="str">
            <v>20-Jul-1963</v>
          </cell>
          <cell r="C2147">
            <v>63</v>
          </cell>
          <cell r="D2147">
            <v>0</v>
          </cell>
          <cell r="E2147">
            <v>12815.44</v>
          </cell>
          <cell r="F2147" t="str">
            <v>tier - 3</v>
          </cell>
          <cell r="G2147" t="str">
            <v>tier - 3</v>
          </cell>
          <cell r="H2147" t="str">
            <v>R1024</v>
          </cell>
        </row>
        <row r="2148">
          <cell r="A2148" t="str">
            <v>ID827</v>
          </cell>
          <cell r="B2148" t="str">
            <v>24-Jul-1978</v>
          </cell>
          <cell r="C2148">
            <v>48</v>
          </cell>
          <cell r="D2148">
            <v>0</v>
          </cell>
          <cell r="E2148">
            <v>12797.21</v>
          </cell>
          <cell r="F2148" t="str">
            <v>tier - 3</v>
          </cell>
          <cell r="G2148" t="str">
            <v>tier - 1</v>
          </cell>
          <cell r="H2148" t="str">
            <v>R1024</v>
          </cell>
        </row>
        <row r="2149">
          <cell r="A2149" t="str">
            <v>ID828</v>
          </cell>
          <cell r="B2149" t="str">
            <v>29-Oct-1983</v>
          </cell>
          <cell r="C2149">
            <v>42</v>
          </cell>
          <cell r="D2149">
            <v>3</v>
          </cell>
          <cell r="E2149">
            <v>12788.18</v>
          </cell>
          <cell r="F2149" t="str">
            <v>tier - 3</v>
          </cell>
          <cell r="G2149" t="str">
            <v>tier - 1</v>
          </cell>
          <cell r="H2149" t="str">
            <v>R1026</v>
          </cell>
        </row>
        <row r="2150">
          <cell r="A2150" t="str">
            <v>ID829</v>
          </cell>
          <cell r="B2150" t="str">
            <v>5-Dec-1963</v>
          </cell>
          <cell r="C2150">
            <v>62</v>
          </cell>
          <cell r="D2150">
            <v>0</v>
          </cell>
          <cell r="E2150">
            <v>12788.03</v>
          </cell>
          <cell r="F2150" t="str">
            <v>tier - 3</v>
          </cell>
          <cell r="G2150" t="str">
            <v>tier - 3</v>
          </cell>
          <cell r="H2150" t="str">
            <v>R1025</v>
          </cell>
        </row>
        <row r="2151">
          <cell r="A2151" t="str">
            <v>ID83</v>
          </cell>
          <cell r="B2151" t="str">
            <v>6-Jun-1964</v>
          </cell>
          <cell r="C2151">
            <v>62</v>
          </cell>
          <cell r="D2151">
            <v>0</v>
          </cell>
          <cell r="E2151">
            <v>41250.39</v>
          </cell>
          <cell r="F2151" t="str">
            <v>tier - 1</v>
          </cell>
          <cell r="G2151" t="str">
            <v>tier - 3</v>
          </cell>
          <cell r="H2151" t="str">
            <v>R1011</v>
          </cell>
        </row>
        <row r="2152">
          <cell r="A2152" t="str">
            <v>ID830</v>
          </cell>
          <cell r="B2152" t="str">
            <v>7-Oct-1972</v>
          </cell>
          <cell r="C2152">
            <v>54</v>
          </cell>
          <cell r="D2152">
            <v>0</v>
          </cell>
          <cell r="E2152">
            <v>12776.05</v>
          </cell>
          <cell r="F2152" t="str">
            <v>tier - 3</v>
          </cell>
          <cell r="G2152" t="str">
            <v>tier - 3</v>
          </cell>
          <cell r="H2152" t="str">
            <v>R1026</v>
          </cell>
        </row>
        <row r="2153">
          <cell r="A2153" t="str">
            <v>ID831</v>
          </cell>
          <cell r="B2153" t="str">
            <v>25-Sep-1975</v>
          </cell>
          <cell r="C2153">
            <v>51</v>
          </cell>
          <cell r="D2153">
            <v>1</v>
          </cell>
          <cell r="E2153">
            <v>12770.27</v>
          </cell>
          <cell r="F2153" t="str">
            <v>tier - 3</v>
          </cell>
          <cell r="G2153" t="str">
            <v>tier - 3</v>
          </cell>
          <cell r="H2153" t="str">
            <v>R1021</v>
          </cell>
        </row>
        <row r="2154">
          <cell r="A2154" t="str">
            <v>ID832</v>
          </cell>
          <cell r="B2154" t="str">
            <v>1-Oct-1962</v>
          </cell>
          <cell r="C2154">
            <v>64</v>
          </cell>
          <cell r="D2154">
            <v>0</v>
          </cell>
          <cell r="E2154">
            <v>12741.17</v>
          </cell>
          <cell r="F2154" t="str">
            <v>tier - 3</v>
          </cell>
          <cell r="G2154" t="str">
            <v>tier - 1</v>
          </cell>
          <cell r="H2154" t="str">
            <v>R1017</v>
          </cell>
        </row>
        <row r="2155">
          <cell r="A2155" t="str">
            <v>ID833</v>
          </cell>
          <cell r="B2155" t="str">
            <v>2-Sep-1962</v>
          </cell>
          <cell r="C2155">
            <v>64</v>
          </cell>
          <cell r="D2155">
            <v>0</v>
          </cell>
          <cell r="E2155">
            <v>12731</v>
          </cell>
          <cell r="F2155" t="str">
            <v>tier - 3</v>
          </cell>
          <cell r="G2155" t="str">
            <v>tier - 3</v>
          </cell>
          <cell r="H2155" t="str">
            <v>R1016</v>
          </cell>
        </row>
        <row r="2156">
          <cell r="A2156" t="str">
            <v>ID834</v>
          </cell>
          <cell r="B2156" t="str">
            <v>17-Jul-1988</v>
          </cell>
          <cell r="C2156">
            <v>38</v>
          </cell>
          <cell r="D2156">
            <v>3</v>
          </cell>
          <cell r="E2156">
            <v>12718.21</v>
          </cell>
          <cell r="F2156" t="str">
            <v>tier - 3</v>
          </cell>
          <cell r="G2156" t="str">
            <v>tier - 1</v>
          </cell>
          <cell r="H2156" t="str">
            <v>R1026</v>
          </cell>
        </row>
        <row r="2157">
          <cell r="A2157" t="str">
            <v>ID835</v>
          </cell>
          <cell r="B2157" t="str">
            <v>8-Jul-1970</v>
          </cell>
          <cell r="C2157">
            <v>56</v>
          </cell>
          <cell r="D2157">
            <v>0</v>
          </cell>
          <cell r="E2157">
            <v>12713</v>
          </cell>
          <cell r="F2157" t="str">
            <v>tier - 3</v>
          </cell>
          <cell r="G2157" t="str">
            <v>tier - 1</v>
          </cell>
          <cell r="H2157" t="str">
            <v>R1011</v>
          </cell>
        </row>
        <row r="2158">
          <cell r="A2158" t="str">
            <v>ID836</v>
          </cell>
          <cell r="B2158" t="str">
            <v>28-Nov-1964</v>
          </cell>
          <cell r="C2158">
            <v>61</v>
          </cell>
          <cell r="D2158">
            <v>0</v>
          </cell>
          <cell r="E2158">
            <v>12700.63</v>
          </cell>
          <cell r="F2158" t="str">
            <v>tier - 3</v>
          </cell>
          <cell r="G2158" t="str">
            <v>tier - 3</v>
          </cell>
          <cell r="H2158" t="str">
            <v>R1011</v>
          </cell>
        </row>
        <row r="2159">
          <cell r="A2159" t="str">
            <v>ID837</v>
          </cell>
          <cell r="B2159" t="str">
            <v>7-Jul-1992</v>
          </cell>
          <cell r="C2159">
            <v>34</v>
          </cell>
          <cell r="D2159">
            <v>0</v>
          </cell>
          <cell r="E2159">
            <v>12699.56</v>
          </cell>
          <cell r="F2159" t="str">
            <v>tier - 3</v>
          </cell>
          <cell r="G2159" t="str">
            <v>tier - 2</v>
          </cell>
          <cell r="H2159" t="str">
            <v>R1011</v>
          </cell>
        </row>
        <row r="2160">
          <cell r="A2160" t="str">
            <v>ID838</v>
          </cell>
          <cell r="B2160" t="str">
            <v>24-Sep-1974</v>
          </cell>
          <cell r="C2160">
            <v>52</v>
          </cell>
          <cell r="D2160">
            <v>0</v>
          </cell>
          <cell r="E2160">
            <v>12697.48</v>
          </cell>
          <cell r="F2160" t="str">
            <v>tier - 3</v>
          </cell>
          <cell r="G2160" t="str">
            <v>tier - 3</v>
          </cell>
          <cell r="H2160" t="str">
            <v>R1021</v>
          </cell>
        </row>
        <row r="2161">
          <cell r="A2161" t="str">
            <v>ID839</v>
          </cell>
          <cell r="B2161" t="str">
            <v>27-Aug-1962</v>
          </cell>
          <cell r="C2161">
            <v>64</v>
          </cell>
          <cell r="D2161">
            <v>0</v>
          </cell>
          <cell r="E2161">
            <v>12648.7</v>
          </cell>
          <cell r="F2161" t="str">
            <v>tier - 3</v>
          </cell>
          <cell r="G2161" t="str">
            <v>tier - 2</v>
          </cell>
          <cell r="H2161" t="str">
            <v>R1013</v>
          </cell>
        </row>
        <row r="2162">
          <cell r="A2162" t="str">
            <v>ID84</v>
          </cell>
          <cell r="B2162" t="str">
            <v>8-Aug-1969</v>
          </cell>
          <cell r="C2162">
            <v>57</v>
          </cell>
          <cell r="D2162">
            <v>0</v>
          </cell>
          <cell r="E2162">
            <v>41191.57</v>
          </cell>
          <cell r="F2162" t="str">
            <v>tier - 1</v>
          </cell>
          <cell r="G2162" t="str">
            <v>tier - 2</v>
          </cell>
          <cell r="H2162" t="str">
            <v>R1011</v>
          </cell>
        </row>
        <row r="2163">
          <cell r="A2163" t="str">
            <v>ID840</v>
          </cell>
          <cell r="B2163" t="str">
            <v>14-Sep-1965</v>
          </cell>
          <cell r="C2163">
            <v>61</v>
          </cell>
          <cell r="D2163">
            <v>2</v>
          </cell>
          <cell r="E2163">
            <v>12646.21</v>
          </cell>
          <cell r="F2163" t="str">
            <v>tier - 3</v>
          </cell>
          <cell r="G2163" t="str">
            <v>tier - 2</v>
          </cell>
          <cell r="H2163" t="str">
            <v>R1011</v>
          </cell>
        </row>
        <row r="2164">
          <cell r="A2164" t="str">
            <v>ID841</v>
          </cell>
          <cell r="B2164" t="str">
            <v>11-Jul-1962</v>
          </cell>
          <cell r="C2164">
            <v>64</v>
          </cell>
          <cell r="D2164">
            <v>0</v>
          </cell>
          <cell r="E2164">
            <v>12644.59</v>
          </cell>
          <cell r="F2164" t="str">
            <v>tier - 3</v>
          </cell>
          <cell r="G2164" t="str">
            <v>tier - 2</v>
          </cell>
          <cell r="H2164" t="str">
            <v>R1011</v>
          </cell>
        </row>
        <row r="2165">
          <cell r="A2165" t="str">
            <v>ID842</v>
          </cell>
          <cell r="B2165" t="str">
            <v>17-Dec-1966</v>
          </cell>
          <cell r="C2165">
            <v>59</v>
          </cell>
          <cell r="D2165">
            <v>2</v>
          </cell>
          <cell r="E2165">
            <v>12643.38</v>
          </cell>
          <cell r="F2165" t="str">
            <v>tier - 3</v>
          </cell>
          <cell r="G2165" t="str">
            <v>tier - 1</v>
          </cell>
          <cell r="H2165" t="str">
            <v>R1012</v>
          </cell>
        </row>
        <row r="2166">
          <cell r="A2166" t="str">
            <v>ID843</v>
          </cell>
          <cell r="B2166" t="str">
            <v>5-Sep-1972</v>
          </cell>
          <cell r="C2166">
            <v>54</v>
          </cell>
          <cell r="D2166">
            <v>0</v>
          </cell>
          <cell r="E2166">
            <v>12640.24</v>
          </cell>
          <cell r="F2166" t="str">
            <v>tier - 3</v>
          </cell>
          <cell r="G2166" t="str">
            <v>tier - 1</v>
          </cell>
          <cell r="H2166" t="str">
            <v>R1011</v>
          </cell>
        </row>
        <row r="2167">
          <cell r="A2167" t="str">
            <v>ID844</v>
          </cell>
          <cell r="B2167" t="str">
            <v>22-Jul-1962</v>
          </cell>
          <cell r="C2167">
            <v>64</v>
          </cell>
          <cell r="D2167">
            <v>0</v>
          </cell>
          <cell r="E2167">
            <v>12638.2</v>
          </cell>
          <cell r="F2167" t="str">
            <v>tier - 3</v>
          </cell>
          <cell r="G2167" t="str">
            <v>tier - 1</v>
          </cell>
          <cell r="H2167" t="str">
            <v>R1011</v>
          </cell>
        </row>
        <row r="2168">
          <cell r="A2168" t="str">
            <v>ID845</v>
          </cell>
          <cell r="B2168" t="str">
            <v>22-Nov-1962</v>
          </cell>
          <cell r="C2168">
            <v>63</v>
          </cell>
          <cell r="D2168">
            <v>0</v>
          </cell>
          <cell r="E2168">
            <v>12629.9</v>
          </cell>
          <cell r="F2168" t="str">
            <v>tier - 3</v>
          </cell>
          <cell r="G2168" t="str">
            <v>tier - 3</v>
          </cell>
          <cell r="H2168" t="str">
            <v>R1013</v>
          </cell>
        </row>
        <row r="2169">
          <cell r="A2169" t="str">
            <v>ID846</v>
          </cell>
          <cell r="B2169" t="str">
            <v>4-Oct-1965</v>
          </cell>
          <cell r="C2169">
            <v>61</v>
          </cell>
          <cell r="D2169">
            <v>2</v>
          </cell>
          <cell r="E2169">
            <v>12629.17</v>
          </cell>
          <cell r="F2169" t="str">
            <v>tier - 3</v>
          </cell>
          <cell r="G2169" t="str">
            <v>tier - 1</v>
          </cell>
          <cell r="H2169" t="str">
            <v>R1013</v>
          </cell>
        </row>
        <row r="2170">
          <cell r="A2170" t="str">
            <v>ID847</v>
          </cell>
          <cell r="B2170" t="str">
            <v>28-Dec-1970</v>
          </cell>
          <cell r="C2170">
            <v>55</v>
          </cell>
          <cell r="D2170">
            <v>0</v>
          </cell>
          <cell r="E2170">
            <v>12624.74</v>
          </cell>
          <cell r="F2170" t="str">
            <v>tier - 3</v>
          </cell>
          <cell r="G2170" t="str">
            <v>tier - 1</v>
          </cell>
          <cell r="H2170" t="str">
            <v>R1012</v>
          </cell>
        </row>
        <row r="2171">
          <cell r="A2171" t="str">
            <v>ID848</v>
          </cell>
          <cell r="B2171" t="str">
            <v>19-Aug-1963</v>
          </cell>
          <cell r="C2171">
            <v>63</v>
          </cell>
          <cell r="D2171">
            <v>0</v>
          </cell>
          <cell r="E2171">
            <v>12622.18</v>
          </cell>
          <cell r="F2171" t="str">
            <v>tier - 3</v>
          </cell>
          <cell r="G2171" t="str">
            <v>tier - 1</v>
          </cell>
          <cell r="H2171" t="str">
            <v>R1012</v>
          </cell>
        </row>
        <row r="2172">
          <cell r="A2172" t="str">
            <v>ID849</v>
          </cell>
          <cell r="B2172" t="str">
            <v>18-Nov-1998</v>
          </cell>
          <cell r="C2172">
            <v>27</v>
          </cell>
          <cell r="D2172">
            <v>1</v>
          </cell>
          <cell r="E2172">
            <v>12609.89</v>
          </cell>
          <cell r="F2172" t="str">
            <v>tier - 3</v>
          </cell>
          <cell r="G2172" t="str">
            <v>tier - 3</v>
          </cell>
          <cell r="H2172" t="str">
            <v>R1012</v>
          </cell>
        </row>
        <row r="2173">
          <cell r="A2173" t="str">
            <v>ID85</v>
          </cell>
          <cell r="B2173" t="str">
            <v>6-Sep-1972</v>
          </cell>
          <cell r="C2173">
            <v>54</v>
          </cell>
          <cell r="D2173">
            <v>0</v>
          </cell>
          <cell r="E2173">
            <v>41097.160000000003</v>
          </cell>
          <cell r="F2173" t="str">
            <v>tier - 1</v>
          </cell>
          <cell r="G2173" t="str">
            <v>tier - 3</v>
          </cell>
          <cell r="H2173" t="str">
            <v>R1016</v>
          </cell>
        </row>
        <row r="2174">
          <cell r="A2174" t="str">
            <v>ID850</v>
          </cell>
          <cell r="B2174" t="str">
            <v>11-Aug-1988</v>
          </cell>
          <cell r="C2174">
            <v>38</v>
          </cell>
          <cell r="D2174">
            <v>3</v>
          </cell>
          <cell r="E2174">
            <v>12600.46</v>
          </cell>
          <cell r="F2174" t="str">
            <v>tier - 3</v>
          </cell>
          <cell r="G2174" t="str">
            <v>tier - 1</v>
          </cell>
          <cell r="H2174" t="str">
            <v>R1023</v>
          </cell>
        </row>
        <row r="2175">
          <cell r="A2175" t="str">
            <v>ID851</v>
          </cell>
          <cell r="B2175" t="str">
            <v>18-Jun-1970</v>
          </cell>
          <cell r="C2175">
            <v>56</v>
          </cell>
          <cell r="D2175">
            <v>5</v>
          </cell>
          <cell r="E2175">
            <v>12592.53</v>
          </cell>
          <cell r="F2175" t="str">
            <v>tier - 3</v>
          </cell>
          <cell r="G2175" t="str">
            <v>tier - 2</v>
          </cell>
          <cell r="H2175" t="str">
            <v>R1013</v>
          </cell>
        </row>
        <row r="2176">
          <cell r="A2176" t="str">
            <v>ID852</v>
          </cell>
          <cell r="B2176" t="str">
            <v>26-Nov-1969</v>
          </cell>
          <cell r="C2176">
            <v>56</v>
          </cell>
          <cell r="D2176">
            <v>0</v>
          </cell>
          <cell r="E2176">
            <v>12579.92</v>
          </cell>
          <cell r="F2176" t="str">
            <v>tier - 3</v>
          </cell>
          <cell r="G2176" t="str">
            <v>tier - 1</v>
          </cell>
          <cell r="H2176" t="str">
            <v>R1025</v>
          </cell>
        </row>
        <row r="2177">
          <cell r="A2177" t="str">
            <v>ID853</v>
          </cell>
          <cell r="B2177" t="str">
            <v>28-Nov-1961</v>
          </cell>
          <cell r="C2177">
            <v>64</v>
          </cell>
          <cell r="D2177">
            <v>0</v>
          </cell>
          <cell r="E2177">
            <v>12574.05</v>
          </cell>
          <cell r="F2177" t="str">
            <v>tier - 3</v>
          </cell>
          <cell r="G2177" t="str">
            <v>tier - 1</v>
          </cell>
          <cell r="H2177" t="str">
            <v>R1011</v>
          </cell>
        </row>
        <row r="2178">
          <cell r="A2178" t="str">
            <v>ID854</v>
          </cell>
          <cell r="B2178" t="str">
            <v>28-Nov-1961</v>
          </cell>
          <cell r="C2178">
            <v>64</v>
          </cell>
          <cell r="D2178">
            <v>0</v>
          </cell>
          <cell r="E2178">
            <v>12557.61</v>
          </cell>
          <cell r="F2178" t="str">
            <v>tier - 3</v>
          </cell>
          <cell r="G2178" t="str">
            <v>tier - 3</v>
          </cell>
          <cell r="H2178" t="str">
            <v>R1013</v>
          </cell>
        </row>
        <row r="2179">
          <cell r="A2179" t="str">
            <v>ID855</v>
          </cell>
          <cell r="B2179" t="str">
            <v>16-Oct-1962</v>
          </cell>
          <cell r="C2179">
            <v>64</v>
          </cell>
          <cell r="D2179">
            <v>0</v>
          </cell>
          <cell r="E2179">
            <v>12523.6</v>
          </cell>
          <cell r="F2179" t="str">
            <v>tier - 3</v>
          </cell>
          <cell r="G2179" t="str">
            <v>tier - 3</v>
          </cell>
          <cell r="H2179" t="str">
            <v>R1012</v>
          </cell>
        </row>
        <row r="2180">
          <cell r="A2180" t="str">
            <v>ID856</v>
          </cell>
          <cell r="B2180" t="str">
            <v>12-Jul-1966</v>
          </cell>
          <cell r="C2180">
            <v>60</v>
          </cell>
          <cell r="D2180">
            <v>0</v>
          </cell>
          <cell r="E2180">
            <v>12499.88</v>
          </cell>
          <cell r="F2180" t="str">
            <v>tier - 3</v>
          </cell>
          <cell r="G2180" t="str">
            <v>tier - 2</v>
          </cell>
          <cell r="H2180" t="str">
            <v>R1012</v>
          </cell>
        </row>
        <row r="2181">
          <cell r="A2181" t="str">
            <v>ID857</v>
          </cell>
          <cell r="B2181" t="str">
            <v>3-Dec-1968</v>
          </cell>
          <cell r="C2181">
            <v>57</v>
          </cell>
          <cell r="D2181">
            <v>3</v>
          </cell>
          <cell r="E2181">
            <v>12495.29</v>
          </cell>
          <cell r="F2181" t="str">
            <v>tier - 3</v>
          </cell>
          <cell r="G2181" t="str">
            <v>tier - 3</v>
          </cell>
          <cell r="H2181" t="str">
            <v>R1012</v>
          </cell>
        </row>
        <row r="2182">
          <cell r="A2182" t="str">
            <v>ID858</v>
          </cell>
          <cell r="B2182" t="str">
            <v>1-Sep-1967</v>
          </cell>
          <cell r="C2182">
            <v>59</v>
          </cell>
          <cell r="D2182">
            <v>3</v>
          </cell>
          <cell r="E2182">
            <v>12485.8</v>
          </cell>
          <cell r="F2182" t="str">
            <v>tier - 3</v>
          </cell>
          <cell r="G2182" t="str">
            <v>tier - 3</v>
          </cell>
          <cell r="H2182" t="str">
            <v>R1013</v>
          </cell>
        </row>
        <row r="2183">
          <cell r="A2183" t="str">
            <v>ID859</v>
          </cell>
          <cell r="B2183" t="str">
            <v>12-Nov-1968</v>
          </cell>
          <cell r="C2183">
            <v>57</v>
          </cell>
          <cell r="D2183">
            <v>3</v>
          </cell>
          <cell r="E2183">
            <v>12479.71</v>
          </cell>
          <cell r="F2183" t="str">
            <v>tier - 3</v>
          </cell>
          <cell r="G2183" t="str">
            <v>tier - 3</v>
          </cell>
          <cell r="H2183" t="str">
            <v>R1012</v>
          </cell>
        </row>
        <row r="2184">
          <cell r="A2184" t="str">
            <v>ID86</v>
          </cell>
          <cell r="B2184" t="str">
            <v>12-Aug-1972</v>
          </cell>
          <cell r="C2184">
            <v>54</v>
          </cell>
          <cell r="D2184">
            <v>0</v>
          </cell>
          <cell r="E2184">
            <v>41055.29</v>
          </cell>
          <cell r="F2184" t="str">
            <v>tier - 1</v>
          </cell>
          <cell r="G2184" t="str">
            <v>tier - 2</v>
          </cell>
          <cell r="H2184" t="str">
            <v>R1011</v>
          </cell>
        </row>
        <row r="2185">
          <cell r="A2185" t="str">
            <v>ID860</v>
          </cell>
          <cell r="B2185" t="str">
            <v>26-Nov-1968</v>
          </cell>
          <cell r="C2185">
            <v>57</v>
          </cell>
          <cell r="D2185">
            <v>3</v>
          </cell>
          <cell r="E2185">
            <v>12475.35</v>
          </cell>
          <cell r="F2185" t="str">
            <v>tier - 3</v>
          </cell>
          <cell r="G2185" t="str">
            <v>tier - 1</v>
          </cell>
          <cell r="H2185" t="str">
            <v>R1012</v>
          </cell>
        </row>
        <row r="2186">
          <cell r="A2186" t="str">
            <v>ID861</v>
          </cell>
          <cell r="B2186" t="str">
            <v>9-Aug-1995</v>
          </cell>
          <cell r="C2186">
            <v>31</v>
          </cell>
          <cell r="D2186">
            <v>0</v>
          </cell>
          <cell r="E2186">
            <v>12452.25</v>
          </cell>
          <cell r="F2186" t="str">
            <v>tier - 3</v>
          </cell>
          <cell r="G2186" t="str">
            <v>tier - 3</v>
          </cell>
          <cell r="H2186" t="str">
            <v>R1012</v>
          </cell>
        </row>
        <row r="2187">
          <cell r="A2187" t="str">
            <v>ID862</v>
          </cell>
          <cell r="B2187" t="str">
            <v>4-Aug-1964</v>
          </cell>
          <cell r="C2187">
            <v>62</v>
          </cell>
          <cell r="D2187">
            <v>0</v>
          </cell>
          <cell r="E2187">
            <v>12430.95</v>
          </cell>
          <cell r="F2187" t="str">
            <v>tier - 3</v>
          </cell>
          <cell r="G2187" t="str">
            <v>tier - 3</v>
          </cell>
          <cell r="H2187" t="str">
            <v>R1024</v>
          </cell>
        </row>
        <row r="2188">
          <cell r="A2188" t="str">
            <v>ID863</v>
          </cell>
          <cell r="B2188" t="str">
            <v>14-Jul-1979</v>
          </cell>
          <cell r="C2188">
            <v>47</v>
          </cell>
          <cell r="D2188">
            <v>2</v>
          </cell>
          <cell r="E2188">
            <v>12408.29</v>
          </cell>
          <cell r="F2188" t="str">
            <v>tier - 3</v>
          </cell>
          <cell r="G2188" t="str">
            <v>tier - 1</v>
          </cell>
          <cell r="H2188" t="str">
            <v>R1022</v>
          </cell>
        </row>
        <row r="2189">
          <cell r="A2189" t="str">
            <v>ID864</v>
          </cell>
          <cell r="B2189" t="str">
            <v>21-Aug-1972</v>
          </cell>
          <cell r="C2189">
            <v>54</v>
          </cell>
          <cell r="D2189">
            <v>0</v>
          </cell>
          <cell r="E2189">
            <v>12407.3</v>
          </cell>
          <cell r="F2189" t="str">
            <v>tier - 3</v>
          </cell>
          <cell r="G2189" t="str">
            <v>tier - 2</v>
          </cell>
          <cell r="H2189" t="str">
            <v>R1021</v>
          </cell>
        </row>
        <row r="2190">
          <cell r="A2190" t="str">
            <v>ID865</v>
          </cell>
          <cell r="B2190" t="str">
            <v>29-Dec-1989</v>
          </cell>
          <cell r="C2190">
            <v>36</v>
          </cell>
          <cell r="D2190">
            <v>0</v>
          </cell>
          <cell r="E2190">
            <v>12404.88</v>
          </cell>
          <cell r="F2190" t="str">
            <v>tier - 3</v>
          </cell>
          <cell r="G2190" t="str">
            <v>tier - 3</v>
          </cell>
          <cell r="H2190" t="str">
            <v>R1016</v>
          </cell>
        </row>
        <row r="2191">
          <cell r="A2191" t="str">
            <v>ID866</v>
          </cell>
          <cell r="B2191" t="str">
            <v>26-Sep-1962</v>
          </cell>
          <cell r="C2191">
            <v>64</v>
          </cell>
          <cell r="D2191">
            <v>0</v>
          </cell>
          <cell r="E2191">
            <v>12369.89</v>
          </cell>
          <cell r="F2191" t="str">
            <v>tier - 3</v>
          </cell>
          <cell r="G2191" t="str">
            <v>tier - 2</v>
          </cell>
          <cell r="H2191" t="str">
            <v>R1024</v>
          </cell>
        </row>
        <row r="2192">
          <cell r="A2192" t="str">
            <v>ID867</v>
          </cell>
          <cell r="B2192" t="str">
            <v>29-Dec-1966</v>
          </cell>
          <cell r="C2192">
            <v>59</v>
          </cell>
          <cell r="D2192">
            <v>3</v>
          </cell>
          <cell r="E2192">
            <v>12363.55</v>
          </cell>
          <cell r="F2192" t="str">
            <v>tier - 3</v>
          </cell>
          <cell r="G2192" t="str">
            <v>tier - 3</v>
          </cell>
          <cell r="H2192" t="str">
            <v>R1011</v>
          </cell>
        </row>
        <row r="2193">
          <cell r="A2193" t="str">
            <v>ID868</v>
          </cell>
          <cell r="B2193" t="str">
            <v>22-Sep-1963</v>
          </cell>
          <cell r="C2193">
            <v>63</v>
          </cell>
          <cell r="D2193">
            <v>1</v>
          </cell>
          <cell r="E2193">
            <v>12347.17</v>
          </cell>
          <cell r="F2193" t="str">
            <v>tier - 3</v>
          </cell>
          <cell r="G2193" t="str">
            <v>tier - 3</v>
          </cell>
          <cell r="H2193" t="str">
            <v>R1011</v>
          </cell>
        </row>
        <row r="2194">
          <cell r="A2194" t="str">
            <v>ID869</v>
          </cell>
          <cell r="B2194" t="str">
            <v>2-Aug-1963</v>
          </cell>
          <cell r="C2194">
            <v>63</v>
          </cell>
          <cell r="D2194">
            <v>1</v>
          </cell>
          <cell r="E2194">
            <v>12333.83</v>
          </cell>
          <cell r="F2194" t="str">
            <v>tier - 3</v>
          </cell>
          <cell r="G2194" t="str">
            <v>tier - 2</v>
          </cell>
          <cell r="H2194" t="str">
            <v>R1011</v>
          </cell>
        </row>
        <row r="2195">
          <cell r="A2195" t="str">
            <v>ID87</v>
          </cell>
          <cell r="B2195" t="str">
            <v>11-Oct-1979</v>
          </cell>
          <cell r="C2195">
            <v>47</v>
          </cell>
          <cell r="D2195">
            <v>1</v>
          </cell>
          <cell r="E2195">
            <v>41034.22</v>
          </cell>
          <cell r="F2195" t="str">
            <v>tier - 1</v>
          </cell>
          <cell r="G2195" t="str">
            <v>tier - 3</v>
          </cell>
          <cell r="H2195" t="str">
            <v>R1017</v>
          </cell>
        </row>
        <row r="2196">
          <cell r="A2196" t="str">
            <v>ID870</v>
          </cell>
          <cell r="B2196" t="str">
            <v>29-Aug-1963</v>
          </cell>
          <cell r="C2196">
            <v>63</v>
          </cell>
          <cell r="D2196">
            <v>0</v>
          </cell>
          <cell r="E2196">
            <v>12323.94</v>
          </cell>
          <cell r="F2196" t="str">
            <v>tier - 3</v>
          </cell>
          <cell r="G2196" t="str">
            <v>tier - 3</v>
          </cell>
          <cell r="H2196" t="str">
            <v>R1017</v>
          </cell>
        </row>
        <row r="2197">
          <cell r="A2197" t="str">
            <v>ID871</v>
          </cell>
          <cell r="B2197" t="str">
            <v>28-Oct-1963</v>
          </cell>
          <cell r="C2197">
            <v>62</v>
          </cell>
          <cell r="D2197">
            <v>0</v>
          </cell>
          <cell r="E2197">
            <v>12299.59</v>
          </cell>
          <cell r="F2197" t="str">
            <v>tier - 3</v>
          </cell>
          <cell r="G2197" t="str">
            <v>tier - 1</v>
          </cell>
          <cell r="H2197" t="str">
            <v>R1025</v>
          </cell>
        </row>
        <row r="2198">
          <cell r="A2198" t="str">
            <v>ID872</v>
          </cell>
          <cell r="B2198" t="str">
            <v>29-Oct-1990</v>
          </cell>
          <cell r="C2198">
            <v>35</v>
          </cell>
          <cell r="D2198">
            <v>3</v>
          </cell>
          <cell r="E2198">
            <v>12282.38</v>
          </cell>
          <cell r="F2198" t="str">
            <v>tier - 3</v>
          </cell>
          <cell r="G2198" t="str">
            <v>tier - 1</v>
          </cell>
          <cell r="H2198" t="str">
            <v>R1011</v>
          </cell>
        </row>
        <row r="2199">
          <cell r="A2199" t="str">
            <v>ID873</v>
          </cell>
          <cell r="B2199" t="str">
            <v>16-Nov-1966</v>
          </cell>
          <cell r="C2199">
            <v>59</v>
          </cell>
          <cell r="D2199">
            <v>0</v>
          </cell>
          <cell r="E2199">
            <v>12282.03</v>
          </cell>
          <cell r="F2199" t="str">
            <v>tier - 3</v>
          </cell>
          <cell r="G2199" t="str">
            <v>tier - 1</v>
          </cell>
          <cell r="H2199" t="str">
            <v>R1025</v>
          </cell>
        </row>
        <row r="2200">
          <cell r="A2200" t="str">
            <v>ID874</v>
          </cell>
          <cell r="B2200" t="str">
            <v>28-Aug-1967</v>
          </cell>
          <cell r="C2200">
            <v>59</v>
          </cell>
          <cell r="D2200">
            <v>2</v>
          </cell>
          <cell r="E2200">
            <v>12269.69</v>
          </cell>
          <cell r="F2200" t="str">
            <v>tier - 3</v>
          </cell>
          <cell r="G2200" t="str">
            <v>tier - 2</v>
          </cell>
          <cell r="H2200" t="str">
            <v>R1012</v>
          </cell>
        </row>
        <row r="2201">
          <cell r="A2201" t="str">
            <v>ID875</v>
          </cell>
          <cell r="B2201" t="str">
            <v>30-Dec-1967</v>
          </cell>
          <cell r="C2201">
            <v>58</v>
          </cell>
          <cell r="D2201">
            <v>2</v>
          </cell>
          <cell r="E2201">
            <v>12268.63</v>
          </cell>
          <cell r="F2201" t="str">
            <v>tier - 3</v>
          </cell>
          <cell r="G2201" t="str">
            <v>tier - 1</v>
          </cell>
          <cell r="H2201" t="str">
            <v>R1012</v>
          </cell>
        </row>
        <row r="2202">
          <cell r="A2202" t="str">
            <v>ID876</v>
          </cell>
          <cell r="B2202" t="str">
            <v>6-Dec-1966</v>
          </cell>
          <cell r="C2202">
            <v>59</v>
          </cell>
          <cell r="D2202">
            <v>2</v>
          </cell>
          <cell r="E2202">
            <v>12265.51</v>
          </cell>
          <cell r="F2202" t="str">
            <v>tier - 3</v>
          </cell>
          <cell r="G2202" t="str">
            <v>tier - 3</v>
          </cell>
          <cell r="H2202" t="str">
            <v>R1013</v>
          </cell>
        </row>
        <row r="2203">
          <cell r="A2203" t="str">
            <v>ID877</v>
          </cell>
          <cell r="B2203" t="str">
            <v>13-Aug-1986</v>
          </cell>
          <cell r="C2203">
            <v>40</v>
          </cell>
          <cell r="D2203">
            <v>3</v>
          </cell>
          <cell r="E2203">
            <v>12255.04</v>
          </cell>
          <cell r="F2203" t="str">
            <v>tier - 3</v>
          </cell>
          <cell r="G2203" t="str">
            <v>tier - 2</v>
          </cell>
          <cell r="H2203" t="str">
            <v>R1026</v>
          </cell>
        </row>
        <row r="2204">
          <cell r="A2204" t="str">
            <v>ID878</v>
          </cell>
          <cell r="B2204" t="str">
            <v>23-Nov-1989</v>
          </cell>
          <cell r="C2204">
            <v>36</v>
          </cell>
          <cell r="D2204">
            <v>3</v>
          </cell>
          <cell r="E2204">
            <v>12254.44</v>
          </cell>
          <cell r="F2204" t="str">
            <v>tier - 3</v>
          </cell>
          <cell r="G2204" t="str">
            <v>tier - 3</v>
          </cell>
          <cell r="H2204" t="str">
            <v>R1026</v>
          </cell>
        </row>
        <row r="2205">
          <cell r="A2205" t="str">
            <v>ID879</v>
          </cell>
          <cell r="B2205" t="str">
            <v>23-Jun-1974</v>
          </cell>
          <cell r="C2205">
            <v>52</v>
          </cell>
          <cell r="D2205">
            <v>0</v>
          </cell>
          <cell r="E2205">
            <v>12245.17</v>
          </cell>
          <cell r="F2205" t="str">
            <v>tier - 3</v>
          </cell>
          <cell r="G2205" t="str">
            <v>tier - 1</v>
          </cell>
          <cell r="H2205" t="str">
            <v>R1012</v>
          </cell>
        </row>
        <row r="2206">
          <cell r="A2206" t="str">
            <v>ID88</v>
          </cell>
          <cell r="B2206" t="str">
            <v>5-Jun-1974</v>
          </cell>
          <cell r="C2206">
            <v>52</v>
          </cell>
          <cell r="D2206">
            <v>0</v>
          </cell>
          <cell r="E2206">
            <v>40974.160000000003</v>
          </cell>
          <cell r="F2206" t="str">
            <v>tier - 1</v>
          </cell>
          <cell r="G2206" t="str">
            <v>tier - 2</v>
          </cell>
          <cell r="H2206" t="str">
            <v>R1013</v>
          </cell>
        </row>
        <row r="2207">
          <cell r="A2207" t="str">
            <v>ID880</v>
          </cell>
          <cell r="B2207" t="str">
            <v>17-Jul-1963</v>
          </cell>
          <cell r="C2207">
            <v>63</v>
          </cell>
          <cell r="D2207">
            <v>0</v>
          </cell>
          <cell r="E2207">
            <v>12244.53</v>
          </cell>
          <cell r="F2207" t="str">
            <v>tier - 3</v>
          </cell>
          <cell r="G2207" t="str">
            <v>tier - 1</v>
          </cell>
          <cell r="H2207" t="str">
            <v>R1013</v>
          </cell>
        </row>
        <row r="2208">
          <cell r="A2208" t="str">
            <v>ID881</v>
          </cell>
          <cell r="B2208" t="str">
            <v>29-Jul-1966</v>
          </cell>
          <cell r="C2208">
            <v>60</v>
          </cell>
          <cell r="D2208">
            <v>0</v>
          </cell>
          <cell r="E2208">
            <v>12237.73</v>
          </cell>
          <cell r="F2208" t="str">
            <v>tier - 3</v>
          </cell>
          <cell r="G2208" t="str">
            <v>tier - 3</v>
          </cell>
          <cell r="H2208" t="str">
            <v>R1012</v>
          </cell>
        </row>
        <row r="2209">
          <cell r="A2209" t="str">
            <v>ID882</v>
          </cell>
          <cell r="B2209" t="str">
            <v>15-Oct-1964</v>
          </cell>
          <cell r="C2209">
            <v>62</v>
          </cell>
          <cell r="D2209">
            <v>0</v>
          </cell>
          <cell r="E2209">
            <v>12235.84</v>
          </cell>
          <cell r="F2209" t="str">
            <v>tier - 3</v>
          </cell>
          <cell r="G2209" t="str">
            <v>tier - 3</v>
          </cell>
          <cell r="H2209" t="str">
            <v>R1012</v>
          </cell>
        </row>
        <row r="2210">
          <cell r="A2210" t="str">
            <v>ID883</v>
          </cell>
          <cell r="B2210" t="str">
            <v>19-Jul-1963</v>
          </cell>
          <cell r="C2210">
            <v>63</v>
          </cell>
          <cell r="D2210">
            <v>0</v>
          </cell>
          <cell r="E2210">
            <v>12233.83</v>
          </cell>
          <cell r="F2210" t="str">
            <v>tier - 3</v>
          </cell>
          <cell r="G2210" t="str">
            <v>tier - 1</v>
          </cell>
          <cell r="H2210" t="str">
            <v>R1011</v>
          </cell>
        </row>
        <row r="2211">
          <cell r="A2211" t="str">
            <v>ID884</v>
          </cell>
          <cell r="B2211" t="str">
            <v>24-Jun-1964</v>
          </cell>
          <cell r="C2211">
            <v>62</v>
          </cell>
          <cell r="D2211">
            <v>0</v>
          </cell>
          <cell r="E2211">
            <v>12231.61</v>
          </cell>
          <cell r="F2211" t="str">
            <v>tier - 3</v>
          </cell>
          <cell r="G2211" t="str">
            <v>tier - 3</v>
          </cell>
          <cell r="H2211" t="str">
            <v>R1012</v>
          </cell>
        </row>
        <row r="2212">
          <cell r="A2212" t="str">
            <v>ID885</v>
          </cell>
          <cell r="B2212" t="str">
            <v>2-Jul-1964</v>
          </cell>
          <cell r="C2212">
            <v>62</v>
          </cell>
          <cell r="D2212">
            <v>0</v>
          </cell>
          <cell r="E2212">
            <v>12224.35</v>
          </cell>
          <cell r="F2212" t="str">
            <v>tier - 3</v>
          </cell>
          <cell r="G2212" t="str">
            <v>tier - 1</v>
          </cell>
          <cell r="H2212" t="str">
            <v>R1012</v>
          </cell>
        </row>
        <row r="2213">
          <cell r="A2213" t="str">
            <v>ID886</v>
          </cell>
          <cell r="B2213" t="str">
            <v>20-Jul-1964</v>
          </cell>
          <cell r="C2213">
            <v>62</v>
          </cell>
          <cell r="D2213">
            <v>0</v>
          </cell>
          <cell r="E2213">
            <v>12222.9</v>
          </cell>
          <cell r="F2213" t="str">
            <v>tier - 3</v>
          </cell>
          <cell r="G2213" t="str">
            <v>tier - 2</v>
          </cell>
          <cell r="H2213" t="str">
            <v>R1012</v>
          </cell>
        </row>
        <row r="2214">
          <cell r="A2214" t="str">
            <v>ID887</v>
          </cell>
          <cell r="B2214" t="str">
            <v>14-Aug-1977</v>
          </cell>
          <cell r="C2214">
            <v>49</v>
          </cell>
          <cell r="D2214">
            <v>2</v>
          </cell>
          <cell r="E2214">
            <v>12218.7</v>
          </cell>
          <cell r="F2214" t="str">
            <v>tier - 3</v>
          </cell>
          <cell r="G2214" t="str">
            <v>tier - 1</v>
          </cell>
          <cell r="H2214" t="str">
            <v>R1012</v>
          </cell>
        </row>
        <row r="2215">
          <cell r="A2215" t="str">
            <v>ID888</v>
          </cell>
          <cell r="B2215" t="str">
            <v>29-Aug-1991</v>
          </cell>
          <cell r="C2215">
            <v>35</v>
          </cell>
          <cell r="D2215">
            <v>3</v>
          </cell>
          <cell r="E2215">
            <v>12198.64</v>
          </cell>
          <cell r="F2215" t="str">
            <v>tier - 3</v>
          </cell>
          <cell r="G2215" t="str">
            <v>tier - 3</v>
          </cell>
          <cell r="H2215" t="str">
            <v>R1026</v>
          </cell>
        </row>
        <row r="2216">
          <cell r="A2216" t="str">
            <v>ID889</v>
          </cell>
          <cell r="B2216" t="str">
            <v>5-Oct-1987</v>
          </cell>
          <cell r="C2216">
            <v>39</v>
          </cell>
          <cell r="D2216">
            <v>3</v>
          </cell>
          <cell r="E2216">
            <v>12148.2</v>
          </cell>
          <cell r="F2216" t="str">
            <v>tier - 3</v>
          </cell>
          <cell r="G2216" t="str">
            <v>tier - 3</v>
          </cell>
          <cell r="H2216" t="str">
            <v>R1012</v>
          </cell>
        </row>
        <row r="2217">
          <cell r="A2217" t="str">
            <v>ID89</v>
          </cell>
          <cell r="B2217" t="str">
            <v>8-Sep-1983</v>
          </cell>
          <cell r="C2217">
            <v>43</v>
          </cell>
          <cell r="D2217">
            <v>3</v>
          </cell>
          <cell r="E2217">
            <v>40961.29</v>
          </cell>
          <cell r="F2217" t="str">
            <v>tier - 1</v>
          </cell>
          <cell r="G2217" t="str">
            <v>tier - 2</v>
          </cell>
          <cell r="H2217" t="str">
            <v>R1011</v>
          </cell>
        </row>
        <row r="2218">
          <cell r="A2218" t="str">
            <v>ID890</v>
          </cell>
          <cell r="B2218" t="str">
            <v>15-Sep-1962</v>
          </cell>
          <cell r="C2218">
            <v>64</v>
          </cell>
          <cell r="D2218">
            <v>0</v>
          </cell>
          <cell r="E2218">
            <v>12146.97</v>
          </cell>
          <cell r="F2218" t="str">
            <v>tier - 3</v>
          </cell>
          <cell r="G2218" t="str">
            <v>tier - 3</v>
          </cell>
          <cell r="H2218" t="str">
            <v>R1011</v>
          </cell>
        </row>
        <row r="2219">
          <cell r="A2219" t="str">
            <v>ID891</v>
          </cell>
          <cell r="B2219" t="str">
            <v>4-Nov-1962</v>
          </cell>
          <cell r="C2219">
            <v>63</v>
          </cell>
          <cell r="D2219">
            <v>0</v>
          </cell>
          <cell r="E2219">
            <v>12142.58</v>
          </cell>
          <cell r="F2219" t="str">
            <v>tier - 3</v>
          </cell>
          <cell r="G2219" t="str">
            <v>tier - 2</v>
          </cell>
          <cell r="H2219" t="str">
            <v>R1013</v>
          </cell>
        </row>
        <row r="2220">
          <cell r="A2220" t="str">
            <v>ID892</v>
          </cell>
          <cell r="B2220" t="str">
            <v>16-Sep-1974</v>
          </cell>
          <cell r="C2220">
            <v>52</v>
          </cell>
          <cell r="D2220">
            <v>0</v>
          </cell>
          <cell r="E2220">
            <v>12137.6</v>
          </cell>
          <cell r="F2220" t="str">
            <v>tier - 3</v>
          </cell>
          <cell r="G2220" t="str">
            <v>tier - 3</v>
          </cell>
          <cell r="H2220" t="str">
            <v>R1012</v>
          </cell>
        </row>
        <row r="2221">
          <cell r="A2221" t="str">
            <v>ID893</v>
          </cell>
          <cell r="B2221" t="str">
            <v>6-Nov-1991</v>
          </cell>
          <cell r="C2221">
            <v>34</v>
          </cell>
          <cell r="D2221">
            <v>3</v>
          </cell>
          <cell r="E2221">
            <v>12130.8</v>
          </cell>
          <cell r="F2221" t="str">
            <v>tier - 3</v>
          </cell>
          <cell r="G2221" t="str">
            <v>tier - 3</v>
          </cell>
          <cell r="H2221" t="str">
            <v>R1026</v>
          </cell>
        </row>
        <row r="2222">
          <cell r="A2222" t="str">
            <v>ID894</v>
          </cell>
          <cell r="B2222" t="str">
            <v>4-Jun-1963</v>
          </cell>
          <cell r="C2222">
            <v>63</v>
          </cell>
          <cell r="D2222">
            <v>0</v>
          </cell>
          <cell r="E2222">
            <v>12129.61</v>
          </cell>
          <cell r="F2222" t="str">
            <v>tier - 3</v>
          </cell>
          <cell r="G2222" t="str">
            <v>tier - 1</v>
          </cell>
          <cell r="H2222" t="str">
            <v>R1012</v>
          </cell>
        </row>
        <row r="2223">
          <cell r="A2223" t="str">
            <v>ID895</v>
          </cell>
          <cell r="B2223" t="str">
            <v>20-Jul-1963</v>
          </cell>
          <cell r="C2223">
            <v>63</v>
          </cell>
          <cell r="D2223">
            <v>0</v>
          </cell>
          <cell r="E2223">
            <v>12124.99</v>
          </cell>
          <cell r="F2223" t="str">
            <v>tier - 3</v>
          </cell>
          <cell r="G2223" t="str">
            <v>tier - 1</v>
          </cell>
          <cell r="H2223" t="str">
            <v>R1012</v>
          </cell>
        </row>
        <row r="2224">
          <cell r="A2224" t="str">
            <v>ID896</v>
          </cell>
          <cell r="B2224" t="str">
            <v>25-Oct-1968</v>
          </cell>
          <cell r="C2224">
            <v>57</v>
          </cell>
          <cell r="D2224">
            <v>3</v>
          </cell>
          <cell r="E2224">
            <v>12105.32</v>
          </cell>
          <cell r="F2224" t="str">
            <v>tier - 3</v>
          </cell>
          <cell r="G2224" t="str">
            <v>tier - 3</v>
          </cell>
          <cell r="H2224" t="str">
            <v>R1011</v>
          </cell>
        </row>
        <row r="2225">
          <cell r="A2225" t="str">
            <v>ID897</v>
          </cell>
          <cell r="B2225" t="str">
            <v>9-Dec-1968</v>
          </cell>
          <cell r="C2225">
            <v>57</v>
          </cell>
          <cell r="D2225">
            <v>2</v>
          </cell>
          <cell r="E2225">
            <v>12096.65</v>
          </cell>
          <cell r="F2225" t="str">
            <v>tier - 3</v>
          </cell>
          <cell r="G2225" t="str">
            <v>tier - 1</v>
          </cell>
          <cell r="H2225" t="str">
            <v>R1024</v>
          </cell>
        </row>
        <row r="2226">
          <cell r="A2226" t="str">
            <v>ID898</v>
          </cell>
          <cell r="B2226" t="str">
            <v>21-Jun-1968</v>
          </cell>
          <cell r="C2226">
            <v>58</v>
          </cell>
          <cell r="D2226">
            <v>3</v>
          </cell>
          <cell r="E2226">
            <v>12094.48</v>
          </cell>
          <cell r="F2226" t="str">
            <v>tier - 3</v>
          </cell>
          <cell r="G2226" t="str">
            <v>tier - 3</v>
          </cell>
          <cell r="H2226" t="str">
            <v>R1011</v>
          </cell>
        </row>
        <row r="2227">
          <cell r="A2227" t="str">
            <v>ID899</v>
          </cell>
          <cell r="B2227" t="str">
            <v>2-Sep-1984</v>
          </cell>
          <cell r="C2227">
            <v>42</v>
          </cell>
          <cell r="D2227">
            <v>3</v>
          </cell>
          <cell r="E2227">
            <v>12091.34</v>
          </cell>
          <cell r="F2227" t="str">
            <v>tier - 3</v>
          </cell>
          <cell r="G2227" t="str">
            <v>tier - 2</v>
          </cell>
          <cell r="H2227" t="str">
            <v>R1022</v>
          </cell>
        </row>
        <row r="2228">
          <cell r="A2228" t="str">
            <v>ID9</v>
          </cell>
          <cell r="B2228" t="str">
            <v>4-Sep-1963</v>
          </cell>
          <cell r="C2228">
            <v>63</v>
          </cell>
          <cell r="D2228">
            <v>1</v>
          </cell>
          <cell r="E2228">
            <v>48970.25</v>
          </cell>
          <cell r="F2228" t="str">
            <v>tier - 1</v>
          </cell>
          <cell r="G2228" t="str">
            <v>tier - 2</v>
          </cell>
          <cell r="H2228" t="str">
            <v>R1013</v>
          </cell>
        </row>
        <row r="2229">
          <cell r="A2229" t="str">
            <v>ID90</v>
          </cell>
          <cell r="B2229" t="str">
            <v>16-Sep-1979</v>
          </cell>
          <cell r="C2229">
            <v>47</v>
          </cell>
          <cell r="D2229">
            <v>3</v>
          </cell>
          <cell r="E2229">
            <v>40941.29</v>
          </cell>
          <cell r="F2229" t="str">
            <v>tier - 1</v>
          </cell>
          <cell r="G2229" t="str">
            <v>tier - 2</v>
          </cell>
          <cell r="H2229" t="str">
            <v>R1013</v>
          </cell>
        </row>
        <row r="2230">
          <cell r="A2230" t="str">
            <v>ID900</v>
          </cell>
          <cell r="B2230" t="str">
            <v>7-Sep-1986</v>
          </cell>
          <cell r="C2230">
            <v>40</v>
          </cell>
          <cell r="D2230">
            <v>3</v>
          </cell>
          <cell r="E2230">
            <v>12048.13</v>
          </cell>
          <cell r="F2230" t="str">
            <v>tier - 3</v>
          </cell>
          <cell r="G2230" t="str">
            <v>tier - 2</v>
          </cell>
          <cell r="H2230" t="str">
            <v>R1026</v>
          </cell>
        </row>
        <row r="2231">
          <cell r="A2231" t="str">
            <v>ID901</v>
          </cell>
          <cell r="B2231" t="str">
            <v>24-Nov-1966</v>
          </cell>
          <cell r="C2231">
            <v>59</v>
          </cell>
          <cell r="D2231">
            <v>1</v>
          </cell>
          <cell r="E2231">
            <v>12044.34</v>
          </cell>
          <cell r="F2231" t="str">
            <v>tier - 3</v>
          </cell>
          <cell r="G2231" t="str">
            <v>tier - 1</v>
          </cell>
          <cell r="H2231" t="str">
            <v>R1012</v>
          </cell>
        </row>
        <row r="2232">
          <cell r="A2232" t="str">
            <v>ID902</v>
          </cell>
          <cell r="B2232" t="str">
            <v>16-Oct-1979</v>
          </cell>
          <cell r="C2232">
            <v>47</v>
          </cell>
          <cell r="D2232">
            <v>2</v>
          </cell>
          <cell r="E2232">
            <v>12035.18</v>
          </cell>
          <cell r="F2232" t="str">
            <v>tier - 3</v>
          </cell>
          <cell r="G2232" t="str">
            <v>tier - 3</v>
          </cell>
          <cell r="H2232" t="str">
            <v>R1021</v>
          </cell>
        </row>
        <row r="2233">
          <cell r="A2233" t="str">
            <v>ID903</v>
          </cell>
          <cell r="B2233" t="str">
            <v>29-Oct-1965</v>
          </cell>
          <cell r="C2233">
            <v>60</v>
          </cell>
          <cell r="D2233">
            <v>1</v>
          </cell>
          <cell r="E2233">
            <v>12032.33</v>
          </cell>
          <cell r="F2233" t="str">
            <v>tier - 3</v>
          </cell>
          <cell r="G2233" t="str">
            <v>tier - 1</v>
          </cell>
          <cell r="H2233" t="str">
            <v>R1011</v>
          </cell>
        </row>
        <row r="2234">
          <cell r="A2234" t="str">
            <v>ID904</v>
          </cell>
          <cell r="B2234" t="str">
            <v>9-Jun-1965</v>
          </cell>
          <cell r="C2234">
            <v>61</v>
          </cell>
          <cell r="D2234">
            <v>0</v>
          </cell>
          <cell r="E2234">
            <v>12029.29</v>
          </cell>
          <cell r="F2234" t="str">
            <v>tier - 3</v>
          </cell>
          <cell r="G2234" t="str">
            <v>tier - 2</v>
          </cell>
          <cell r="H2234" t="str">
            <v>R1024</v>
          </cell>
        </row>
        <row r="2235">
          <cell r="A2235" t="str">
            <v>ID905</v>
          </cell>
          <cell r="B2235" t="str">
            <v>17-Oct-1982</v>
          </cell>
          <cell r="C2235">
            <v>44</v>
          </cell>
          <cell r="D2235">
            <v>3</v>
          </cell>
          <cell r="E2235">
            <v>12001.29</v>
          </cell>
          <cell r="F2235" t="str">
            <v>tier - 3</v>
          </cell>
          <cell r="G2235" t="str">
            <v>tier - 3</v>
          </cell>
          <cell r="H2235" t="str">
            <v>R1021</v>
          </cell>
        </row>
        <row r="2236">
          <cell r="A2236" t="str">
            <v>ID906</v>
          </cell>
          <cell r="B2236" t="str">
            <v>12-Dec-1993</v>
          </cell>
          <cell r="C2236">
            <v>32</v>
          </cell>
          <cell r="D2236">
            <v>0</v>
          </cell>
          <cell r="E2236">
            <v>11994.89</v>
          </cell>
          <cell r="F2236" t="str">
            <v>tier - 3</v>
          </cell>
          <cell r="G2236" t="str">
            <v>tier - 2</v>
          </cell>
          <cell r="H2236" t="str">
            <v>R1012</v>
          </cell>
        </row>
        <row r="2237">
          <cell r="A2237" t="str">
            <v>ID907</v>
          </cell>
          <cell r="B2237" t="str">
            <v>4-Jul-1983</v>
          </cell>
          <cell r="C2237">
            <v>43</v>
          </cell>
          <cell r="D2237">
            <v>3</v>
          </cell>
          <cell r="E2237">
            <v>11987.68</v>
          </cell>
          <cell r="F2237" t="str">
            <v>tier - 3</v>
          </cell>
          <cell r="G2237" t="str">
            <v>tier - 2</v>
          </cell>
          <cell r="H2237" t="str">
            <v>R1026</v>
          </cell>
        </row>
        <row r="2238">
          <cell r="A2238" t="str">
            <v>ID908</v>
          </cell>
          <cell r="B2238" t="str">
            <v>22-Dec-1967</v>
          </cell>
          <cell r="C2238">
            <v>58</v>
          </cell>
          <cell r="D2238">
            <v>3</v>
          </cell>
          <cell r="E2238">
            <v>11987.17</v>
          </cell>
          <cell r="F2238" t="str">
            <v>tier - 3</v>
          </cell>
          <cell r="G2238" t="str">
            <v>tier - 3</v>
          </cell>
          <cell r="H2238" t="str">
            <v>R1013</v>
          </cell>
        </row>
        <row r="2239">
          <cell r="A2239" t="str">
            <v>ID909</v>
          </cell>
          <cell r="B2239" t="str">
            <v>29-Sep-1964</v>
          </cell>
          <cell r="C2239">
            <v>62</v>
          </cell>
          <cell r="D2239">
            <v>1</v>
          </cell>
          <cell r="E2239">
            <v>11946.63</v>
          </cell>
          <cell r="F2239" t="str">
            <v>tier - 3</v>
          </cell>
          <cell r="G2239" t="str">
            <v>tier - 2</v>
          </cell>
          <cell r="H2239" t="str">
            <v>R1013</v>
          </cell>
        </row>
        <row r="2240">
          <cell r="A2240" t="str">
            <v>ID91</v>
          </cell>
          <cell r="B2240" t="str">
            <v>4-Aug-1992</v>
          </cell>
          <cell r="C2240">
            <v>34</v>
          </cell>
          <cell r="D2240">
            <v>3</v>
          </cell>
          <cell r="E2240">
            <v>40932.43</v>
          </cell>
          <cell r="F2240" t="str">
            <v>tier - 1</v>
          </cell>
          <cell r="G2240" t="str">
            <v>tier - 2</v>
          </cell>
          <cell r="H2240" t="str">
            <v>R1013</v>
          </cell>
        </row>
        <row r="2241">
          <cell r="A2241" t="str">
            <v>ID910</v>
          </cell>
          <cell r="B2241" t="str">
            <v>1-Nov-1965</v>
          </cell>
          <cell r="C2241">
            <v>60</v>
          </cell>
          <cell r="D2241">
            <v>1</v>
          </cell>
          <cell r="E2241">
            <v>11945.13</v>
          </cell>
          <cell r="F2241" t="str">
            <v>tier - 3</v>
          </cell>
          <cell r="G2241" t="str">
            <v>tier - 2</v>
          </cell>
          <cell r="H2241" t="str">
            <v>R1012</v>
          </cell>
        </row>
        <row r="2242">
          <cell r="A2242" t="str">
            <v>ID911</v>
          </cell>
          <cell r="B2242" t="str">
            <v>25-Dec-1964</v>
          </cell>
          <cell r="C2242">
            <v>61</v>
          </cell>
          <cell r="D2242">
            <v>0</v>
          </cell>
          <cell r="E2242">
            <v>11944.59</v>
          </cell>
          <cell r="F2242" t="str">
            <v>tier - 3</v>
          </cell>
          <cell r="G2242" t="str">
            <v>tier - 2</v>
          </cell>
          <cell r="H2242" t="str">
            <v>R1016</v>
          </cell>
        </row>
        <row r="2243">
          <cell r="A2243" t="str">
            <v>ID912</v>
          </cell>
          <cell r="B2243" t="str">
            <v>19-Oct-1991</v>
          </cell>
          <cell r="C2243">
            <v>34</v>
          </cell>
          <cell r="D2243">
            <v>3</v>
          </cell>
          <cell r="E2243">
            <v>11941.83</v>
          </cell>
          <cell r="F2243" t="str">
            <v>tier - 3</v>
          </cell>
          <cell r="G2243" t="str">
            <v>tier - 1</v>
          </cell>
          <cell r="H2243" t="str">
            <v>R1023</v>
          </cell>
        </row>
        <row r="2244">
          <cell r="A2244" t="str">
            <v>ID913</v>
          </cell>
          <cell r="B2244" t="str">
            <v>2-Aug-1964</v>
          </cell>
          <cell r="C2244">
            <v>62</v>
          </cell>
          <cell r="D2244">
            <v>0</v>
          </cell>
          <cell r="E2244">
            <v>11938.26</v>
          </cell>
          <cell r="F2244" t="str">
            <v>tier - 3</v>
          </cell>
          <cell r="G2244" t="str">
            <v>tier - 3</v>
          </cell>
          <cell r="H2244" t="str">
            <v>R1019</v>
          </cell>
        </row>
        <row r="2245">
          <cell r="A2245" t="str">
            <v>ID914</v>
          </cell>
          <cell r="B2245" t="str">
            <v>20-Dec-1964</v>
          </cell>
          <cell r="C2245">
            <v>61</v>
          </cell>
          <cell r="D2245">
            <v>0</v>
          </cell>
          <cell r="E2245">
            <v>11931.13</v>
          </cell>
          <cell r="F2245" t="str">
            <v>tier - 3</v>
          </cell>
          <cell r="G2245" t="str">
            <v>tier - 1</v>
          </cell>
          <cell r="H2245" t="str">
            <v>R1019</v>
          </cell>
        </row>
        <row r="2246">
          <cell r="A2246" t="str">
            <v>ID915</v>
          </cell>
          <cell r="B2246" t="str">
            <v>19-Nov-1964</v>
          </cell>
          <cell r="C2246">
            <v>61</v>
          </cell>
          <cell r="D2246">
            <v>0</v>
          </cell>
          <cell r="E2246">
            <v>11918.2</v>
          </cell>
          <cell r="F2246" t="str">
            <v>tier - 3</v>
          </cell>
          <cell r="G2246" t="str">
            <v>tier - 1</v>
          </cell>
          <cell r="H2246" t="str">
            <v>R1021</v>
          </cell>
        </row>
        <row r="2247">
          <cell r="A2247" t="str">
            <v>ID916</v>
          </cell>
          <cell r="B2247" t="str">
            <v>2-Jun-2004</v>
          </cell>
          <cell r="C2247">
            <v>22</v>
          </cell>
          <cell r="D2247">
            <v>2</v>
          </cell>
          <cell r="E2247">
            <v>11884.05</v>
          </cell>
          <cell r="F2247" t="str">
            <v>tier - 3</v>
          </cell>
          <cell r="G2247" t="str">
            <v>tier - 3</v>
          </cell>
          <cell r="H2247" t="str">
            <v>R1013</v>
          </cell>
        </row>
        <row r="2248">
          <cell r="A2248" t="str">
            <v>ID917</v>
          </cell>
          <cell r="B2248" t="str">
            <v>29-Oct-1967</v>
          </cell>
          <cell r="C2248">
            <v>58</v>
          </cell>
          <cell r="D2248">
            <v>2</v>
          </cell>
          <cell r="E2248">
            <v>11881.97</v>
          </cell>
          <cell r="F2248" t="str">
            <v>tier - 3</v>
          </cell>
          <cell r="G2248" t="str">
            <v>tier - 1</v>
          </cell>
          <cell r="H2248" t="str">
            <v>R1013</v>
          </cell>
        </row>
        <row r="2249">
          <cell r="A2249" t="str">
            <v>ID918</v>
          </cell>
          <cell r="B2249" t="str">
            <v>14-Jul-1967</v>
          </cell>
          <cell r="C2249">
            <v>59</v>
          </cell>
          <cell r="D2249">
            <v>2</v>
          </cell>
          <cell r="E2249">
            <v>11881.36</v>
          </cell>
          <cell r="F2249" t="str">
            <v>tier - 3</v>
          </cell>
          <cell r="G2249" t="str">
            <v>tier - 2</v>
          </cell>
          <cell r="H2249" t="str">
            <v>R1011</v>
          </cell>
        </row>
        <row r="2250">
          <cell r="A2250" t="str">
            <v>ID919</v>
          </cell>
          <cell r="B2250" t="str">
            <v>24-Aug-1967</v>
          </cell>
          <cell r="C2250">
            <v>59</v>
          </cell>
          <cell r="D2250">
            <v>1</v>
          </cell>
          <cell r="E2250">
            <v>11879.1</v>
          </cell>
          <cell r="F2250" t="str">
            <v>tier - 3</v>
          </cell>
          <cell r="G2250" t="str">
            <v>tier - 3</v>
          </cell>
          <cell r="H2250" t="str">
            <v>R1024</v>
          </cell>
        </row>
        <row r="2251">
          <cell r="A2251" t="str">
            <v>ID92</v>
          </cell>
          <cell r="B2251" t="str">
            <v>2-Jul-1999</v>
          </cell>
          <cell r="C2251">
            <v>27</v>
          </cell>
          <cell r="D2251">
            <v>1</v>
          </cell>
          <cell r="E2251">
            <v>40904.199999999997</v>
          </cell>
          <cell r="F2251" t="str">
            <v>tier - 1</v>
          </cell>
          <cell r="G2251" t="str">
            <v>tier - 1</v>
          </cell>
          <cell r="H2251" t="str">
            <v>R1024</v>
          </cell>
        </row>
        <row r="2252">
          <cell r="A2252" t="str">
            <v>ID920</v>
          </cell>
          <cell r="B2252" t="str">
            <v>7-Jul-1974</v>
          </cell>
          <cell r="C2252">
            <v>52</v>
          </cell>
          <cell r="D2252">
            <v>0</v>
          </cell>
          <cell r="E2252">
            <v>11858.56</v>
          </cell>
          <cell r="F2252" t="str">
            <v>tier - 3</v>
          </cell>
          <cell r="G2252" t="str">
            <v>tier - 3</v>
          </cell>
          <cell r="H2252" t="str">
            <v>R1011</v>
          </cell>
        </row>
        <row r="2253">
          <cell r="A2253" t="str">
            <v>ID921</v>
          </cell>
          <cell r="B2253" t="str">
            <v>29-Sep-1964</v>
          </cell>
          <cell r="C2253">
            <v>62</v>
          </cell>
          <cell r="D2253">
            <v>0</v>
          </cell>
          <cell r="E2253">
            <v>11856.41</v>
          </cell>
          <cell r="F2253" t="str">
            <v>tier - 3</v>
          </cell>
          <cell r="G2253" t="str">
            <v>tier - 2</v>
          </cell>
          <cell r="H2253" t="str">
            <v>R1013</v>
          </cell>
        </row>
        <row r="2254">
          <cell r="A2254" t="str">
            <v>ID922</v>
          </cell>
          <cell r="B2254" t="str">
            <v>27-Jun-1964</v>
          </cell>
          <cell r="C2254">
            <v>62</v>
          </cell>
          <cell r="D2254">
            <v>0</v>
          </cell>
          <cell r="E2254">
            <v>11848.14</v>
          </cell>
          <cell r="F2254" t="str">
            <v>tier - 3</v>
          </cell>
          <cell r="G2254" t="str">
            <v>tier - 2</v>
          </cell>
          <cell r="H2254" t="str">
            <v>R1011</v>
          </cell>
        </row>
        <row r="2255">
          <cell r="A2255" t="str">
            <v>ID923</v>
          </cell>
          <cell r="B2255" t="str">
            <v>10-Nov-1965</v>
          </cell>
          <cell r="C2255">
            <v>60</v>
          </cell>
          <cell r="D2255">
            <v>0</v>
          </cell>
          <cell r="E2255">
            <v>11842.62</v>
          </cell>
          <cell r="F2255" t="str">
            <v>tier - 3</v>
          </cell>
          <cell r="G2255" t="str">
            <v>tier - 3</v>
          </cell>
          <cell r="H2255" t="str">
            <v>R1012</v>
          </cell>
        </row>
        <row r="2256">
          <cell r="A2256" t="str">
            <v>ID924</v>
          </cell>
          <cell r="B2256" t="str">
            <v>11-Jul-1964</v>
          </cell>
          <cell r="C2256">
            <v>62</v>
          </cell>
          <cell r="D2256">
            <v>0</v>
          </cell>
          <cell r="E2256">
            <v>11842.44</v>
          </cell>
          <cell r="F2256" t="str">
            <v>tier - 3</v>
          </cell>
          <cell r="G2256" t="str">
            <v>tier - 2</v>
          </cell>
          <cell r="H2256" t="str">
            <v>R1011</v>
          </cell>
        </row>
        <row r="2257">
          <cell r="A2257" t="str">
            <v>ID925</v>
          </cell>
          <cell r="B2257" t="str">
            <v>25-Sep-1965</v>
          </cell>
          <cell r="C2257">
            <v>61</v>
          </cell>
          <cell r="D2257">
            <v>0</v>
          </cell>
          <cell r="E2257">
            <v>11840.78</v>
          </cell>
          <cell r="F2257" t="str">
            <v>tier - 3</v>
          </cell>
          <cell r="G2257" t="str">
            <v>tier - 2</v>
          </cell>
          <cell r="H2257" t="str">
            <v>R1012</v>
          </cell>
        </row>
        <row r="2258">
          <cell r="A2258" t="str">
            <v>ID926</v>
          </cell>
          <cell r="B2258" t="str">
            <v>11-Sep-1964</v>
          </cell>
          <cell r="C2258">
            <v>62</v>
          </cell>
          <cell r="D2258">
            <v>0</v>
          </cell>
          <cell r="E2258">
            <v>11837.16</v>
          </cell>
          <cell r="F2258" t="str">
            <v>tier - 3</v>
          </cell>
          <cell r="G2258" t="str">
            <v>tier - 3</v>
          </cell>
          <cell r="H2258" t="str">
            <v>R1011</v>
          </cell>
        </row>
        <row r="2259">
          <cell r="A2259" t="str">
            <v>ID927</v>
          </cell>
          <cell r="B2259" t="str">
            <v>27-Jun-1964</v>
          </cell>
          <cell r="C2259">
            <v>62</v>
          </cell>
          <cell r="D2259">
            <v>0</v>
          </cell>
          <cell r="E2259">
            <v>11833.78</v>
          </cell>
          <cell r="F2259" t="str">
            <v>tier - 3</v>
          </cell>
          <cell r="G2259" t="str">
            <v>tier - 3</v>
          </cell>
          <cell r="H2259" t="str">
            <v>R1013</v>
          </cell>
        </row>
        <row r="2260">
          <cell r="A2260" t="str">
            <v>ID928</v>
          </cell>
          <cell r="B2260" t="str">
            <v>3-Oct-1965</v>
          </cell>
          <cell r="C2260">
            <v>61</v>
          </cell>
          <cell r="D2260">
            <v>0</v>
          </cell>
          <cell r="E2260">
            <v>11830.61</v>
          </cell>
          <cell r="F2260" t="str">
            <v>tier - 3</v>
          </cell>
          <cell r="G2260" t="str">
            <v>tier - 1</v>
          </cell>
          <cell r="H2260" t="str">
            <v>R1012</v>
          </cell>
        </row>
        <row r="2261">
          <cell r="A2261" t="str">
            <v>ID929</v>
          </cell>
          <cell r="B2261" t="str">
            <v>20-Nov-1982</v>
          </cell>
          <cell r="C2261">
            <v>43</v>
          </cell>
          <cell r="D2261">
            <v>3</v>
          </cell>
          <cell r="E2261">
            <v>11773.06</v>
          </cell>
          <cell r="F2261" t="str">
            <v>tier - 3</v>
          </cell>
          <cell r="G2261" t="str">
            <v>tier - 3</v>
          </cell>
          <cell r="H2261" t="str">
            <v>R1026</v>
          </cell>
        </row>
        <row r="2262">
          <cell r="A2262" t="str">
            <v>ID93</v>
          </cell>
          <cell r="B2262" t="str">
            <v>10-Jun-1972</v>
          </cell>
          <cell r="C2262">
            <v>54</v>
          </cell>
          <cell r="D2262">
            <v>0</v>
          </cell>
          <cell r="E2262">
            <v>40817.85</v>
          </cell>
          <cell r="F2262" t="str">
            <v>tier - 1</v>
          </cell>
          <cell r="G2262" t="str">
            <v>tier - 3</v>
          </cell>
          <cell r="H2262" t="str">
            <v>R1011</v>
          </cell>
        </row>
        <row r="2263">
          <cell r="A2263" t="str">
            <v>ID930</v>
          </cell>
          <cell r="B2263" t="str">
            <v>25-Jul-1966</v>
          </cell>
          <cell r="C2263">
            <v>60</v>
          </cell>
          <cell r="D2263">
            <v>1</v>
          </cell>
          <cell r="E2263">
            <v>11763</v>
          </cell>
          <cell r="F2263" t="str">
            <v>tier - 3</v>
          </cell>
          <cell r="G2263" t="str">
            <v>tier - 3</v>
          </cell>
          <cell r="H2263" t="str">
            <v>R1016</v>
          </cell>
        </row>
        <row r="2264">
          <cell r="A2264" t="str">
            <v>ID931</v>
          </cell>
          <cell r="B2264" t="str">
            <v>6-Nov-1979</v>
          </cell>
          <cell r="C2264">
            <v>46</v>
          </cell>
          <cell r="D2264">
            <v>2</v>
          </cell>
          <cell r="E2264">
            <v>11752.68</v>
          </cell>
          <cell r="F2264" t="str">
            <v>tier - 3</v>
          </cell>
          <cell r="G2264" t="str">
            <v>tier - 1</v>
          </cell>
          <cell r="H2264" t="str">
            <v>R1026</v>
          </cell>
        </row>
        <row r="2265">
          <cell r="A2265" t="str">
            <v>ID932</v>
          </cell>
          <cell r="B2265" t="str">
            <v>2-Dec-1964</v>
          </cell>
          <cell r="C2265">
            <v>61</v>
          </cell>
          <cell r="D2265">
            <v>0</v>
          </cell>
          <cell r="E2265">
            <v>11743.93</v>
          </cell>
          <cell r="F2265" t="str">
            <v>tier - 3</v>
          </cell>
          <cell r="G2265" t="str">
            <v>tier - 1</v>
          </cell>
          <cell r="H2265" t="str">
            <v>R1012</v>
          </cell>
        </row>
        <row r="2266">
          <cell r="A2266" t="str">
            <v>ID933</v>
          </cell>
          <cell r="B2266" t="str">
            <v>9-Jun-1963</v>
          </cell>
          <cell r="C2266">
            <v>63</v>
          </cell>
          <cell r="D2266">
            <v>0</v>
          </cell>
          <cell r="E2266">
            <v>11743.3</v>
          </cell>
          <cell r="F2266" t="str">
            <v>tier - 3</v>
          </cell>
          <cell r="G2266" t="str">
            <v>tier - 3</v>
          </cell>
          <cell r="H2266" t="str">
            <v>R1013</v>
          </cell>
        </row>
        <row r="2267">
          <cell r="A2267" t="str">
            <v>ID934</v>
          </cell>
          <cell r="B2267" t="str">
            <v>12-Nov-1969</v>
          </cell>
          <cell r="C2267">
            <v>56</v>
          </cell>
          <cell r="D2267">
            <v>3</v>
          </cell>
          <cell r="E2267">
            <v>11741.73</v>
          </cell>
          <cell r="F2267" t="str">
            <v>tier - 3</v>
          </cell>
          <cell r="G2267" t="str">
            <v>tier - 1</v>
          </cell>
          <cell r="H2267" t="str">
            <v>R1011</v>
          </cell>
        </row>
        <row r="2268">
          <cell r="A2268" t="str">
            <v>ID935</v>
          </cell>
          <cell r="B2268" t="str">
            <v>5-Sep-1988</v>
          </cell>
          <cell r="C2268">
            <v>38</v>
          </cell>
          <cell r="D2268">
            <v>2</v>
          </cell>
          <cell r="E2268">
            <v>11737.85</v>
          </cell>
          <cell r="F2268" t="str">
            <v>tier - 3</v>
          </cell>
          <cell r="G2268" t="str">
            <v>tier - 1</v>
          </cell>
          <cell r="H2268" t="str">
            <v>R1011</v>
          </cell>
        </row>
        <row r="2269">
          <cell r="A2269" t="str">
            <v>ID936</v>
          </cell>
          <cell r="B2269" t="str">
            <v>9-Nov-1964</v>
          </cell>
          <cell r="C2269">
            <v>61</v>
          </cell>
          <cell r="D2269">
            <v>0</v>
          </cell>
          <cell r="E2269">
            <v>11735.88</v>
          </cell>
          <cell r="F2269" t="str">
            <v>tier - 3</v>
          </cell>
          <cell r="G2269" t="str">
            <v>tier - 1</v>
          </cell>
          <cell r="H2269" t="str">
            <v>R1012</v>
          </cell>
        </row>
        <row r="2270">
          <cell r="A2270" t="str">
            <v>ID937</v>
          </cell>
          <cell r="B2270" t="str">
            <v>26-Nov-1984</v>
          </cell>
          <cell r="C2270">
            <v>41</v>
          </cell>
          <cell r="D2270">
            <v>3</v>
          </cell>
          <cell r="E2270">
            <v>11730.82</v>
          </cell>
          <cell r="F2270" t="str">
            <v>tier - 3</v>
          </cell>
          <cell r="G2270" t="str">
            <v>tier - 3</v>
          </cell>
          <cell r="H2270" t="str">
            <v>R1026</v>
          </cell>
        </row>
        <row r="2271">
          <cell r="A2271" t="str">
            <v>ID938</v>
          </cell>
          <cell r="B2271" t="str">
            <v>12-Oct-1969</v>
          </cell>
          <cell r="C2271">
            <v>57</v>
          </cell>
          <cell r="D2271">
            <v>2</v>
          </cell>
          <cell r="E2271">
            <v>11729.68</v>
          </cell>
          <cell r="F2271" t="str">
            <v>tier - 3</v>
          </cell>
          <cell r="G2271" t="str">
            <v>tier - 1</v>
          </cell>
          <cell r="H2271" t="str">
            <v>R1024</v>
          </cell>
        </row>
        <row r="2272">
          <cell r="A2272" t="str">
            <v>ID939</v>
          </cell>
          <cell r="B2272" t="str">
            <v>21-Oct-1982</v>
          </cell>
          <cell r="C2272">
            <v>43</v>
          </cell>
          <cell r="D2272">
            <v>3</v>
          </cell>
          <cell r="E2272">
            <v>11712.97</v>
          </cell>
          <cell r="F2272" t="str">
            <v>tier - 3</v>
          </cell>
          <cell r="G2272" t="str">
            <v>tier - 2</v>
          </cell>
          <cell r="H2272" t="str">
            <v>R1021</v>
          </cell>
        </row>
        <row r="2273">
          <cell r="A2273" t="str">
            <v>ID94</v>
          </cell>
          <cell r="B2273" t="str">
            <v>26-Dec-1976</v>
          </cell>
          <cell r="C2273">
            <v>49</v>
          </cell>
          <cell r="D2273">
            <v>3</v>
          </cell>
          <cell r="E2273">
            <v>40720.550000000003</v>
          </cell>
          <cell r="F2273" t="str">
            <v>tier - 1</v>
          </cell>
          <cell r="G2273" t="str">
            <v>tier - 3</v>
          </cell>
          <cell r="H2273" t="str">
            <v>R1012</v>
          </cell>
        </row>
        <row r="2274">
          <cell r="A2274" t="str">
            <v>ID940</v>
          </cell>
          <cell r="B2274" t="str">
            <v>1-Dec-1970</v>
          </cell>
          <cell r="C2274">
            <v>55</v>
          </cell>
          <cell r="D2274">
            <v>0</v>
          </cell>
          <cell r="E2274">
            <v>11696.52</v>
          </cell>
          <cell r="F2274" t="str">
            <v>tier - 3</v>
          </cell>
          <cell r="G2274" t="str">
            <v>tier - 1</v>
          </cell>
          <cell r="H2274" t="str">
            <v>R1021</v>
          </cell>
        </row>
        <row r="2275">
          <cell r="A2275" t="str">
            <v>ID941</v>
          </cell>
          <cell r="B2275" t="str">
            <v>9-Nov-1966</v>
          </cell>
          <cell r="C2275">
            <v>59</v>
          </cell>
          <cell r="D2275">
            <v>1</v>
          </cell>
          <cell r="E2275">
            <v>11674.13</v>
          </cell>
          <cell r="F2275" t="str">
            <v>tier - 3</v>
          </cell>
          <cell r="G2275" t="str">
            <v>tier - 1</v>
          </cell>
          <cell r="H2275" t="str">
            <v>R1011</v>
          </cell>
        </row>
        <row r="2276">
          <cell r="A2276" t="str">
            <v>ID942</v>
          </cell>
          <cell r="B2276" t="str">
            <v>23-Aug-1966</v>
          </cell>
          <cell r="C2276">
            <v>60</v>
          </cell>
          <cell r="D2276">
            <v>0</v>
          </cell>
          <cell r="E2276">
            <v>11658.38</v>
          </cell>
          <cell r="F2276" t="str">
            <v>tier - 3</v>
          </cell>
          <cell r="G2276" t="str">
            <v>tier - 3</v>
          </cell>
          <cell r="H2276" t="str">
            <v>R1024</v>
          </cell>
        </row>
        <row r="2277">
          <cell r="A2277" t="str">
            <v>ID943</v>
          </cell>
          <cell r="B2277" t="str">
            <v>6-Jul-1966</v>
          </cell>
          <cell r="C2277">
            <v>60</v>
          </cell>
          <cell r="D2277">
            <v>0</v>
          </cell>
          <cell r="E2277">
            <v>11658.12</v>
          </cell>
          <cell r="F2277" t="str">
            <v>tier - 3</v>
          </cell>
          <cell r="G2277" t="str">
            <v>tier - 1</v>
          </cell>
          <cell r="H2277" t="str">
            <v>R1024</v>
          </cell>
        </row>
        <row r="2278">
          <cell r="A2278" t="str">
            <v>ID944</v>
          </cell>
          <cell r="B2278" t="str">
            <v>20-Jul-1994</v>
          </cell>
          <cell r="C2278">
            <v>32</v>
          </cell>
          <cell r="D2278">
            <v>0</v>
          </cell>
          <cell r="E2278">
            <v>11657.81</v>
          </cell>
          <cell r="F2278" t="str">
            <v>tier - 3</v>
          </cell>
          <cell r="G2278" t="str">
            <v>tier - 2</v>
          </cell>
          <cell r="H2278" t="str">
            <v>R1023</v>
          </cell>
        </row>
        <row r="2279">
          <cell r="A2279" t="str">
            <v>ID945</v>
          </cell>
          <cell r="B2279" t="str">
            <v>4-Oct-1966</v>
          </cell>
          <cell r="C2279">
            <v>60</v>
          </cell>
          <cell r="D2279">
            <v>0</v>
          </cell>
          <cell r="E2279">
            <v>11657.72</v>
          </cell>
          <cell r="F2279" t="str">
            <v>tier - 3</v>
          </cell>
          <cell r="G2279" t="str">
            <v>tier - 2</v>
          </cell>
          <cell r="H2279" t="str">
            <v>R1024</v>
          </cell>
        </row>
        <row r="2280">
          <cell r="A2280" t="str">
            <v>ID946</v>
          </cell>
          <cell r="B2280" t="str">
            <v>17-Jul-1986</v>
          </cell>
          <cell r="C2280">
            <v>40</v>
          </cell>
          <cell r="D2280">
            <v>3</v>
          </cell>
          <cell r="E2280">
            <v>11625.11</v>
          </cell>
          <cell r="F2280" t="str">
            <v>tier - 3</v>
          </cell>
          <cell r="G2280" t="str">
            <v>tier - 3</v>
          </cell>
          <cell r="H2280" t="str">
            <v>R1022</v>
          </cell>
        </row>
        <row r="2281">
          <cell r="A2281" t="str">
            <v>ID947</v>
          </cell>
          <cell r="B2281" t="str">
            <v>20-Jun-1964</v>
          </cell>
          <cell r="C2281">
            <v>62</v>
          </cell>
          <cell r="D2281">
            <v>0</v>
          </cell>
          <cell r="E2281">
            <v>11602.75</v>
          </cell>
          <cell r="F2281" t="str">
            <v>tier - 3</v>
          </cell>
          <cell r="G2281" t="str">
            <v>tier - 1</v>
          </cell>
          <cell r="H2281" t="str">
            <v>R1020</v>
          </cell>
        </row>
        <row r="2282">
          <cell r="A2282" t="str">
            <v>ID948</v>
          </cell>
          <cell r="B2282" t="str">
            <v>6-Nov-1965</v>
          </cell>
          <cell r="C2282">
            <v>60</v>
          </cell>
          <cell r="D2282">
            <v>1</v>
          </cell>
          <cell r="E2282">
            <v>11576.13</v>
          </cell>
          <cell r="F2282" t="str">
            <v>tier - 3</v>
          </cell>
          <cell r="G2282" t="str">
            <v>tier - 3</v>
          </cell>
          <cell r="H2282" t="str">
            <v>R1011</v>
          </cell>
        </row>
        <row r="2283">
          <cell r="A2283" t="str">
            <v>ID949</v>
          </cell>
          <cell r="B2283" t="str">
            <v>25-Dec-1965</v>
          </cell>
          <cell r="C2283">
            <v>60</v>
          </cell>
          <cell r="D2283">
            <v>0</v>
          </cell>
          <cell r="E2283">
            <v>11566.3</v>
          </cell>
          <cell r="F2283" t="str">
            <v>tier - 3</v>
          </cell>
          <cell r="G2283" t="str">
            <v>tier - 3</v>
          </cell>
          <cell r="H2283" t="str">
            <v>R1016</v>
          </cell>
        </row>
        <row r="2284">
          <cell r="A2284" t="str">
            <v>ID95</v>
          </cell>
          <cell r="B2284" t="str">
            <v>25-Sep-1970</v>
          </cell>
          <cell r="C2284">
            <v>56</v>
          </cell>
          <cell r="D2284">
            <v>0</v>
          </cell>
          <cell r="E2284">
            <v>40692.910000000003</v>
          </cell>
          <cell r="F2284" t="str">
            <v>tier - 1</v>
          </cell>
          <cell r="G2284" t="str">
            <v>tier - 1</v>
          </cell>
          <cell r="H2284" t="str">
            <v>R1011</v>
          </cell>
        </row>
        <row r="2285">
          <cell r="A2285" t="str">
            <v>ID950</v>
          </cell>
          <cell r="B2285" t="str">
            <v>27-Oct-1965</v>
          </cell>
          <cell r="C2285">
            <v>60</v>
          </cell>
          <cell r="D2285">
            <v>1</v>
          </cell>
          <cell r="E2285">
            <v>11554.22</v>
          </cell>
          <cell r="F2285" t="str">
            <v>tier - 3</v>
          </cell>
          <cell r="G2285" t="str">
            <v>tier - 1</v>
          </cell>
          <cell r="H2285" t="str">
            <v>R1013</v>
          </cell>
        </row>
        <row r="2286">
          <cell r="A2286" t="str">
            <v>ID951</v>
          </cell>
          <cell r="B2286" t="str">
            <v>23-Jul-1973</v>
          </cell>
          <cell r="C2286">
            <v>53</v>
          </cell>
          <cell r="D2286">
            <v>5</v>
          </cell>
          <cell r="E2286">
            <v>11552.9</v>
          </cell>
          <cell r="F2286" t="str">
            <v>tier - 3</v>
          </cell>
          <cell r="G2286" t="str">
            <v>tier - 2</v>
          </cell>
          <cell r="H2286" t="str">
            <v>R1011</v>
          </cell>
        </row>
        <row r="2287">
          <cell r="A2287" t="str">
            <v>ID952</v>
          </cell>
          <cell r="B2287" t="str">
            <v>1-Dec-1971</v>
          </cell>
          <cell r="C2287">
            <v>54</v>
          </cell>
          <cell r="D2287">
            <v>0</v>
          </cell>
          <cell r="E2287">
            <v>11540.25</v>
          </cell>
          <cell r="F2287" t="str">
            <v>tier - 3</v>
          </cell>
          <cell r="G2287" t="str">
            <v>tier - 1</v>
          </cell>
          <cell r="H2287" t="str">
            <v>R1012</v>
          </cell>
        </row>
        <row r="2288">
          <cell r="A2288" t="str">
            <v>ID953</v>
          </cell>
          <cell r="B2288" t="str">
            <v>14-Nov-1968</v>
          </cell>
          <cell r="C2288">
            <v>57</v>
          </cell>
          <cell r="D2288">
            <v>2</v>
          </cell>
          <cell r="E2288">
            <v>11538.42</v>
          </cell>
          <cell r="F2288" t="str">
            <v>tier - 3</v>
          </cell>
          <cell r="G2288" t="str">
            <v>tier - 1</v>
          </cell>
          <cell r="H2288" t="str">
            <v>R1011</v>
          </cell>
        </row>
        <row r="2289">
          <cell r="A2289" t="str">
            <v>ID954</v>
          </cell>
          <cell r="B2289" t="str">
            <v>3-Oct-1965</v>
          </cell>
          <cell r="C2289">
            <v>61</v>
          </cell>
          <cell r="D2289">
            <v>0</v>
          </cell>
          <cell r="E2289">
            <v>11534.87</v>
          </cell>
          <cell r="F2289" t="str">
            <v>tier - 3</v>
          </cell>
          <cell r="G2289" t="str">
            <v>tier - 1</v>
          </cell>
          <cell r="H2289" t="str">
            <v>R1017</v>
          </cell>
        </row>
        <row r="2290">
          <cell r="A2290" t="str">
            <v>ID955</v>
          </cell>
          <cell r="B2290" t="str">
            <v>23-Jul-1970</v>
          </cell>
          <cell r="C2290">
            <v>56</v>
          </cell>
          <cell r="D2290">
            <v>0</v>
          </cell>
          <cell r="E2290">
            <v>11530.12</v>
          </cell>
          <cell r="F2290" t="str">
            <v>tier - 3</v>
          </cell>
          <cell r="G2290" t="str">
            <v>tier - 1</v>
          </cell>
          <cell r="H2290" t="str">
            <v>R1012</v>
          </cell>
        </row>
        <row r="2291">
          <cell r="A2291" t="str">
            <v>ID956</v>
          </cell>
          <cell r="B2291" t="str">
            <v>12-Jun-1988</v>
          </cell>
          <cell r="C2291">
            <v>38</v>
          </cell>
          <cell r="D2291">
            <v>3</v>
          </cell>
          <cell r="E2291">
            <v>11524.25</v>
          </cell>
          <cell r="F2291" t="str">
            <v>tier - 3</v>
          </cell>
          <cell r="G2291" t="str">
            <v>tier - 1</v>
          </cell>
          <cell r="H2291" t="str">
            <v>R1026</v>
          </cell>
        </row>
        <row r="2292">
          <cell r="A2292" t="str">
            <v>ID957</v>
          </cell>
          <cell r="B2292" t="str">
            <v>19-Dec-1971</v>
          </cell>
          <cell r="C2292">
            <v>54</v>
          </cell>
          <cell r="D2292">
            <v>4</v>
          </cell>
          <cell r="E2292">
            <v>11520.1</v>
          </cell>
          <cell r="F2292" t="str">
            <v>tier - 3</v>
          </cell>
          <cell r="G2292" t="str">
            <v>tier - 1</v>
          </cell>
          <cell r="H2292" t="str">
            <v>R1012</v>
          </cell>
        </row>
        <row r="2293">
          <cell r="A2293" t="str">
            <v>ID958</v>
          </cell>
          <cell r="B2293" t="str">
            <v>24-Jun-1968</v>
          </cell>
          <cell r="C2293">
            <v>58</v>
          </cell>
          <cell r="D2293">
            <v>1</v>
          </cell>
          <cell r="E2293">
            <v>11512.41</v>
          </cell>
          <cell r="F2293" t="str">
            <v>tier - 3</v>
          </cell>
          <cell r="G2293" t="str">
            <v>tier - 1</v>
          </cell>
          <cell r="H2293" t="str">
            <v>R1024</v>
          </cell>
        </row>
        <row r="2294">
          <cell r="A2294" t="str">
            <v>ID959</v>
          </cell>
          <cell r="B2294" t="str">
            <v>6-Oct-1989</v>
          </cell>
          <cell r="C2294">
            <v>37</v>
          </cell>
          <cell r="D2294">
            <v>3</v>
          </cell>
          <cell r="E2294">
            <v>11511.61</v>
          </cell>
          <cell r="F2294" t="str">
            <v>tier - 3</v>
          </cell>
          <cell r="G2294" t="str">
            <v>tier - 3</v>
          </cell>
          <cell r="H2294" t="str">
            <v>R1026</v>
          </cell>
        </row>
        <row r="2295">
          <cell r="A2295" t="str">
            <v>ID96</v>
          </cell>
          <cell r="B2295" t="str">
            <v>10-Jul-1975</v>
          </cell>
          <cell r="C2295">
            <v>51</v>
          </cell>
          <cell r="D2295">
            <v>1</v>
          </cell>
          <cell r="E2295">
            <v>40590.550000000003</v>
          </cell>
          <cell r="F2295" t="str">
            <v>tier - 1</v>
          </cell>
          <cell r="G2295" t="str">
            <v>tier - 3</v>
          </cell>
          <cell r="H2295" t="str">
            <v>R1012</v>
          </cell>
        </row>
        <row r="2296">
          <cell r="A2296" t="str">
            <v>ID960</v>
          </cell>
          <cell r="B2296" t="str">
            <v>11-Aug-1969</v>
          </cell>
          <cell r="C2296">
            <v>57</v>
          </cell>
          <cell r="D2296">
            <v>0</v>
          </cell>
          <cell r="E2296">
            <v>11497.69</v>
          </cell>
          <cell r="F2296" t="str">
            <v>tier - 3</v>
          </cell>
          <cell r="G2296" t="str">
            <v>tier - 1</v>
          </cell>
          <cell r="H2296" t="str">
            <v>R1012</v>
          </cell>
        </row>
        <row r="2297">
          <cell r="A2297" t="str">
            <v>ID961</v>
          </cell>
          <cell r="B2297" t="str">
            <v>7-Jun-1983</v>
          </cell>
          <cell r="C2297">
            <v>43</v>
          </cell>
          <cell r="D2297">
            <v>3</v>
          </cell>
          <cell r="E2297">
            <v>11492.46</v>
          </cell>
          <cell r="F2297" t="str">
            <v>tier - 3</v>
          </cell>
          <cell r="G2297" t="str">
            <v>tier - 3</v>
          </cell>
          <cell r="H2297" t="str">
            <v>R1026</v>
          </cell>
        </row>
        <row r="2298">
          <cell r="A2298" t="str">
            <v>ID962</v>
          </cell>
          <cell r="B2298" t="str">
            <v>13-Oct-1970</v>
          </cell>
          <cell r="C2298">
            <v>56</v>
          </cell>
          <cell r="D2298">
            <v>3</v>
          </cell>
          <cell r="E2298">
            <v>11488.32</v>
          </cell>
          <cell r="F2298" t="str">
            <v>tier - 3</v>
          </cell>
          <cell r="G2298" t="str">
            <v>tier - 1</v>
          </cell>
          <cell r="H2298" t="str">
            <v>R1014</v>
          </cell>
        </row>
        <row r="2299">
          <cell r="A2299" t="str">
            <v>ID963</v>
          </cell>
          <cell r="B2299" t="str">
            <v>10-Sep-2004</v>
          </cell>
          <cell r="C2299">
            <v>22</v>
          </cell>
          <cell r="D2299">
            <v>0</v>
          </cell>
          <cell r="E2299">
            <v>11482.63</v>
          </cell>
          <cell r="F2299" t="str">
            <v>tier - 3</v>
          </cell>
          <cell r="G2299" t="str">
            <v>tier - 2</v>
          </cell>
          <cell r="H2299" t="str">
            <v>R1013</v>
          </cell>
        </row>
        <row r="2300">
          <cell r="A2300" t="str">
            <v>ID964</v>
          </cell>
          <cell r="B2300" t="str">
            <v>7-Sep-1966</v>
          </cell>
          <cell r="C2300">
            <v>60</v>
          </cell>
          <cell r="D2300">
            <v>0</v>
          </cell>
          <cell r="E2300">
            <v>11478.14</v>
          </cell>
          <cell r="F2300" t="str">
            <v>tier - 3</v>
          </cell>
          <cell r="G2300" t="str">
            <v>tier - 2</v>
          </cell>
          <cell r="H2300" t="str">
            <v>R1025</v>
          </cell>
        </row>
        <row r="2301">
          <cell r="A2301" t="str">
            <v>ID965</v>
          </cell>
          <cell r="B2301" t="str">
            <v>23-Jun-1965</v>
          </cell>
          <cell r="C2301">
            <v>61</v>
          </cell>
          <cell r="D2301">
            <v>0</v>
          </cell>
          <cell r="E2301">
            <v>11455.28</v>
          </cell>
          <cell r="F2301" t="str">
            <v>tier - 3</v>
          </cell>
          <cell r="G2301" t="str">
            <v>tier - 2</v>
          </cell>
          <cell r="H2301" t="str">
            <v>R1011</v>
          </cell>
        </row>
        <row r="2302">
          <cell r="A2302" t="str">
            <v>ID966</v>
          </cell>
          <cell r="B2302" t="str">
            <v>14-Jun-1966</v>
          </cell>
          <cell r="C2302">
            <v>60</v>
          </cell>
          <cell r="D2302">
            <v>0</v>
          </cell>
          <cell r="E2302">
            <v>11454.02</v>
          </cell>
          <cell r="F2302" t="str">
            <v>tier - 3</v>
          </cell>
          <cell r="G2302" t="str">
            <v>tier - 1</v>
          </cell>
          <cell r="H2302" t="str">
            <v>R1012</v>
          </cell>
        </row>
        <row r="2303">
          <cell r="A2303" t="str">
            <v>ID967</v>
          </cell>
          <cell r="B2303" t="str">
            <v>12-Sep-1971</v>
          </cell>
          <cell r="C2303">
            <v>55</v>
          </cell>
          <cell r="D2303">
            <v>3</v>
          </cell>
          <cell r="E2303">
            <v>11436.74</v>
          </cell>
          <cell r="F2303" t="str">
            <v>tier - 3</v>
          </cell>
          <cell r="G2303" t="str">
            <v>tier - 3</v>
          </cell>
          <cell r="H2303" t="str">
            <v>R1012</v>
          </cell>
        </row>
        <row r="2304">
          <cell r="A2304" t="str">
            <v>ID968</v>
          </cell>
          <cell r="B2304" t="str">
            <v>17-Jul-1980</v>
          </cell>
          <cell r="C2304">
            <v>46</v>
          </cell>
          <cell r="D2304">
            <v>2</v>
          </cell>
          <cell r="E2304">
            <v>11435.74</v>
          </cell>
          <cell r="F2304" t="str">
            <v>tier - 3</v>
          </cell>
          <cell r="G2304" t="str">
            <v>tier - 3</v>
          </cell>
          <cell r="H2304" t="str">
            <v>R1021</v>
          </cell>
        </row>
        <row r="2305">
          <cell r="A2305" t="str">
            <v>ID969</v>
          </cell>
          <cell r="B2305" t="str">
            <v>9-Jun-1985</v>
          </cell>
          <cell r="C2305">
            <v>41</v>
          </cell>
          <cell r="D2305">
            <v>3</v>
          </cell>
          <cell r="E2305">
            <v>11419.49</v>
          </cell>
          <cell r="F2305" t="str">
            <v>tier - 3</v>
          </cell>
          <cell r="G2305" t="str">
            <v>tier - 1</v>
          </cell>
          <cell r="H2305" t="str">
            <v>R1012</v>
          </cell>
        </row>
        <row r="2306">
          <cell r="A2306" t="str">
            <v>ID97</v>
          </cell>
          <cell r="B2306" t="str">
            <v>3-Nov-1985</v>
          </cell>
          <cell r="C2306">
            <v>40</v>
          </cell>
          <cell r="D2306">
            <v>0</v>
          </cell>
          <cell r="E2306">
            <v>40419.019999999997</v>
          </cell>
          <cell r="F2306" t="str">
            <v>tier - 1</v>
          </cell>
          <cell r="G2306" t="str">
            <v>tier - 2</v>
          </cell>
          <cell r="H2306" t="str">
            <v>R1013</v>
          </cell>
        </row>
        <row r="2307">
          <cell r="A2307" t="str">
            <v>ID970</v>
          </cell>
          <cell r="B2307" t="str">
            <v>23-Oct-1983</v>
          </cell>
          <cell r="C2307">
            <v>42</v>
          </cell>
          <cell r="D2307">
            <v>3</v>
          </cell>
          <cell r="E2307">
            <v>11412.02</v>
          </cell>
          <cell r="F2307" t="str">
            <v>tier - 3</v>
          </cell>
          <cell r="G2307" t="str">
            <v>tier - 1</v>
          </cell>
          <cell r="H2307" t="str">
            <v>R1021</v>
          </cell>
        </row>
        <row r="2308">
          <cell r="A2308" t="str">
            <v>ID971</v>
          </cell>
          <cell r="B2308" t="str">
            <v>7-Oct-1970</v>
          </cell>
          <cell r="C2308">
            <v>56</v>
          </cell>
          <cell r="D2308">
            <v>3</v>
          </cell>
          <cell r="E2308">
            <v>11411.69</v>
          </cell>
          <cell r="F2308" t="str">
            <v>tier - 3</v>
          </cell>
          <cell r="G2308" t="str">
            <v>tier - 2</v>
          </cell>
          <cell r="H2308" t="str">
            <v>R1011</v>
          </cell>
        </row>
        <row r="2309">
          <cell r="A2309" t="str">
            <v>ID972</v>
          </cell>
          <cell r="B2309" t="str">
            <v>2-Oct-1970</v>
          </cell>
          <cell r="C2309">
            <v>56</v>
          </cell>
          <cell r="D2309">
            <v>2</v>
          </cell>
          <cell r="E2309">
            <v>11396.9</v>
          </cell>
          <cell r="F2309" t="str">
            <v>tier - 3</v>
          </cell>
          <cell r="G2309" t="str">
            <v>tier - 3</v>
          </cell>
          <cell r="H2309" t="str">
            <v>R1024</v>
          </cell>
        </row>
        <row r="2310">
          <cell r="A2310" t="str">
            <v>ID973</v>
          </cell>
          <cell r="B2310" t="str">
            <v>19-Dec-1967</v>
          </cell>
          <cell r="C2310">
            <v>58</v>
          </cell>
          <cell r="D2310">
            <v>1</v>
          </cell>
          <cell r="E2310">
            <v>11394.07</v>
          </cell>
          <cell r="F2310" t="str">
            <v>tier - 3</v>
          </cell>
          <cell r="G2310" t="str">
            <v>tier - 1</v>
          </cell>
          <cell r="H2310" t="str">
            <v>R1018</v>
          </cell>
        </row>
        <row r="2311">
          <cell r="A2311" t="str">
            <v>ID974</v>
          </cell>
          <cell r="B2311" t="str">
            <v>28-Jul-1997</v>
          </cell>
          <cell r="C2311">
            <v>29</v>
          </cell>
          <cell r="D2311">
            <v>0</v>
          </cell>
          <cell r="E2311">
            <v>11388.27</v>
          </cell>
          <cell r="F2311" t="str">
            <v>tier - 3</v>
          </cell>
          <cell r="G2311" t="str">
            <v>tier - 2</v>
          </cell>
          <cell r="H2311" t="str">
            <v>R1026</v>
          </cell>
        </row>
        <row r="2312">
          <cell r="A2312" t="str">
            <v>ID975</v>
          </cell>
          <cell r="B2312" t="str">
            <v>13-Jun-1964</v>
          </cell>
          <cell r="C2312">
            <v>62</v>
          </cell>
          <cell r="D2312">
            <v>0</v>
          </cell>
          <cell r="E2312">
            <v>11381.33</v>
          </cell>
          <cell r="F2312" t="str">
            <v>tier - 3</v>
          </cell>
          <cell r="G2312" t="str">
            <v>tier - 2</v>
          </cell>
          <cell r="H2312" t="str">
            <v>R1013</v>
          </cell>
        </row>
        <row r="2313">
          <cell r="A2313" t="str">
            <v>ID976</v>
          </cell>
          <cell r="B2313" t="str">
            <v>6-Dec-1972</v>
          </cell>
          <cell r="C2313">
            <v>53</v>
          </cell>
          <cell r="D2313">
            <v>0</v>
          </cell>
          <cell r="E2313">
            <v>11378.57</v>
          </cell>
          <cell r="F2313" t="str">
            <v>tier - 3</v>
          </cell>
          <cell r="G2313" t="str">
            <v>tier - 2</v>
          </cell>
          <cell r="H2313" t="str">
            <v>R1025</v>
          </cell>
        </row>
        <row r="2314">
          <cell r="A2314" t="str">
            <v>ID977</v>
          </cell>
          <cell r="B2314" t="str">
            <v>7-Jun-1979</v>
          </cell>
          <cell r="C2314">
            <v>47</v>
          </cell>
          <cell r="D2314">
            <v>2</v>
          </cell>
          <cell r="E2314">
            <v>11369.39</v>
          </cell>
          <cell r="F2314" t="str">
            <v>tier - 3</v>
          </cell>
          <cell r="G2314" t="str">
            <v>tier - 1</v>
          </cell>
          <cell r="H2314" t="str">
            <v>R1026</v>
          </cell>
        </row>
        <row r="2315">
          <cell r="A2315" t="str">
            <v>ID978</v>
          </cell>
          <cell r="B2315" t="str">
            <v>13-Dec-1964</v>
          </cell>
          <cell r="C2315">
            <v>61</v>
          </cell>
          <cell r="D2315">
            <v>0</v>
          </cell>
          <cell r="E2315">
            <v>11365.95</v>
          </cell>
          <cell r="F2315" t="str">
            <v>tier - 3</v>
          </cell>
          <cell r="G2315" t="str">
            <v>tier - 2</v>
          </cell>
          <cell r="H2315" t="str">
            <v>R1011</v>
          </cell>
        </row>
        <row r="2316">
          <cell r="A2316" t="str">
            <v>ID979</v>
          </cell>
          <cell r="B2316" t="str">
            <v>3-Jul-1964</v>
          </cell>
          <cell r="C2316">
            <v>62</v>
          </cell>
          <cell r="D2316">
            <v>0</v>
          </cell>
          <cell r="E2316">
            <v>11363.28</v>
          </cell>
          <cell r="F2316" t="str">
            <v>tier - 3</v>
          </cell>
          <cell r="G2316" t="str">
            <v>tier - 1</v>
          </cell>
          <cell r="H2316" t="str">
            <v>R1013</v>
          </cell>
        </row>
        <row r="2317">
          <cell r="A2317" t="str">
            <v>ID98</v>
          </cell>
          <cell r="B2317" t="str">
            <v>12-Aug-1966</v>
          </cell>
          <cell r="C2317">
            <v>60</v>
          </cell>
          <cell r="D2317">
            <v>0</v>
          </cell>
          <cell r="E2317">
            <v>40373.74</v>
          </cell>
          <cell r="F2317" t="str">
            <v>tier - 1</v>
          </cell>
          <cell r="G2317" t="str">
            <v>tier - 3</v>
          </cell>
          <cell r="H2317" t="str">
            <v>R1011</v>
          </cell>
        </row>
        <row r="2318">
          <cell r="A2318" t="str">
            <v>ID980</v>
          </cell>
          <cell r="B2318" t="str">
            <v>4-Jul-1964</v>
          </cell>
          <cell r="C2318">
            <v>62</v>
          </cell>
          <cell r="D2318">
            <v>0</v>
          </cell>
          <cell r="E2318">
            <v>11362.76</v>
          </cell>
          <cell r="F2318" t="str">
            <v>tier - 3</v>
          </cell>
          <cell r="G2318" t="str">
            <v>tier - 1</v>
          </cell>
          <cell r="H2318" t="str">
            <v>R1011</v>
          </cell>
        </row>
        <row r="2319">
          <cell r="A2319" t="str">
            <v>ID981</v>
          </cell>
          <cell r="B2319" t="str">
            <v>26-Sep-1965</v>
          </cell>
          <cell r="C2319">
            <v>61</v>
          </cell>
          <cell r="D2319">
            <v>0</v>
          </cell>
          <cell r="E2319">
            <v>11356.66</v>
          </cell>
          <cell r="F2319" t="str">
            <v>tier - 3</v>
          </cell>
          <cell r="G2319" t="str">
            <v>tier - 3</v>
          </cell>
          <cell r="H2319" t="str">
            <v>R1012</v>
          </cell>
        </row>
        <row r="2320">
          <cell r="A2320" t="str">
            <v>ID982</v>
          </cell>
          <cell r="B2320" t="str">
            <v>29-Nov-1965</v>
          </cell>
          <cell r="C2320">
            <v>60</v>
          </cell>
          <cell r="D2320">
            <v>0</v>
          </cell>
          <cell r="E2320">
            <v>11353.23</v>
          </cell>
          <cell r="F2320" t="str">
            <v>tier - 3</v>
          </cell>
          <cell r="G2320" t="str">
            <v>tier - 1</v>
          </cell>
          <cell r="H2320" t="str">
            <v>R1012</v>
          </cell>
        </row>
        <row r="2321">
          <cell r="A2321" t="str">
            <v>ID983</v>
          </cell>
          <cell r="B2321" t="str">
            <v>12-Jul-1964</v>
          </cell>
          <cell r="C2321">
            <v>62</v>
          </cell>
          <cell r="D2321">
            <v>0</v>
          </cell>
          <cell r="E2321">
            <v>11345.52</v>
          </cell>
          <cell r="F2321" t="str">
            <v>tier - 3</v>
          </cell>
          <cell r="G2321" t="str">
            <v>tier - 3</v>
          </cell>
          <cell r="H2321" t="str">
            <v>R1011</v>
          </cell>
        </row>
        <row r="2322">
          <cell r="A2322" t="str">
            <v>ID984</v>
          </cell>
          <cell r="B2322" t="str">
            <v>2-Nov-1968</v>
          </cell>
          <cell r="C2322">
            <v>57</v>
          </cell>
          <cell r="D2322">
            <v>0</v>
          </cell>
          <cell r="E2322">
            <v>11344.32</v>
          </cell>
          <cell r="F2322" t="str">
            <v>tier - 3</v>
          </cell>
          <cell r="G2322" t="str">
            <v>tier - 2</v>
          </cell>
          <cell r="H2322" t="str">
            <v>R1025</v>
          </cell>
        </row>
        <row r="2323">
          <cell r="A2323" t="str">
            <v>ID985</v>
          </cell>
          <cell r="B2323" t="str">
            <v>19-Aug-1989</v>
          </cell>
          <cell r="C2323">
            <v>37</v>
          </cell>
          <cell r="D2323">
            <v>1</v>
          </cell>
          <cell r="E2323">
            <v>11326.71</v>
          </cell>
          <cell r="F2323" t="str">
            <v>tier - 3</v>
          </cell>
          <cell r="G2323" t="str">
            <v>tier - 3</v>
          </cell>
          <cell r="H2323" t="str">
            <v>R1013</v>
          </cell>
        </row>
        <row r="2324">
          <cell r="A2324" t="str">
            <v>ID986</v>
          </cell>
          <cell r="B2324" t="str">
            <v>20-Sep-2002</v>
          </cell>
          <cell r="C2324">
            <v>24</v>
          </cell>
          <cell r="D2324">
            <v>0</v>
          </cell>
          <cell r="E2324">
            <v>11321.49</v>
          </cell>
          <cell r="F2324" t="str">
            <v>tier - 3</v>
          </cell>
          <cell r="G2324" t="str">
            <v>tier - 3</v>
          </cell>
          <cell r="H2324" t="str">
            <v>R1012</v>
          </cell>
        </row>
        <row r="2325">
          <cell r="A2325" t="str">
            <v>ID987</v>
          </cell>
          <cell r="B2325" t="str">
            <v>11-Jul-1963</v>
          </cell>
          <cell r="C2325">
            <v>63</v>
          </cell>
          <cell r="D2325">
            <v>0</v>
          </cell>
          <cell r="E2325">
            <v>11319.12</v>
          </cell>
          <cell r="F2325" t="str">
            <v>tier - 3</v>
          </cell>
          <cell r="G2325" t="str">
            <v>tier - 1</v>
          </cell>
          <cell r="H2325" t="str">
            <v>R1012</v>
          </cell>
        </row>
        <row r="2326">
          <cell r="A2326" t="str">
            <v>ID988</v>
          </cell>
          <cell r="B2326" t="str">
            <v>10-Dec-1995</v>
          </cell>
          <cell r="C2326">
            <v>30</v>
          </cell>
          <cell r="D2326">
            <v>0</v>
          </cell>
          <cell r="E2326">
            <v>11318.57</v>
          </cell>
          <cell r="F2326" t="str">
            <v>tier - 3</v>
          </cell>
          <cell r="G2326" t="str">
            <v>tier - 2</v>
          </cell>
          <cell r="H2326" t="str">
            <v>R1026</v>
          </cell>
        </row>
        <row r="2327">
          <cell r="A2327" t="str">
            <v>ID989</v>
          </cell>
          <cell r="B2327" t="str">
            <v>22-Nov-1963</v>
          </cell>
          <cell r="C2327">
            <v>62</v>
          </cell>
          <cell r="D2327">
            <v>0</v>
          </cell>
          <cell r="E2327">
            <v>11312.33</v>
          </cell>
          <cell r="F2327" t="str">
            <v>tier - 3</v>
          </cell>
          <cell r="G2327" t="str">
            <v>tier - 3</v>
          </cell>
          <cell r="H2327" t="str">
            <v>R1012</v>
          </cell>
        </row>
        <row r="2328">
          <cell r="A2328" t="str">
            <v>ID99</v>
          </cell>
          <cell r="B2328" t="str">
            <v>4-Sep-1962</v>
          </cell>
          <cell r="C2328">
            <v>64</v>
          </cell>
          <cell r="D2328">
            <v>0</v>
          </cell>
          <cell r="E2328">
            <v>40309.93</v>
          </cell>
          <cell r="F2328" t="str">
            <v>tier - 1</v>
          </cell>
          <cell r="G2328" t="str">
            <v>tier - 3</v>
          </cell>
          <cell r="H2328" t="str">
            <v>R1011</v>
          </cell>
        </row>
        <row r="2329">
          <cell r="A2329" t="str">
            <v>ID990</v>
          </cell>
          <cell r="B2329" t="str">
            <v>6-Oct-1968</v>
          </cell>
          <cell r="C2329">
            <v>58</v>
          </cell>
          <cell r="D2329">
            <v>1</v>
          </cell>
          <cell r="E2329">
            <v>11305.93</v>
          </cell>
          <cell r="F2329" t="str">
            <v>tier - 3</v>
          </cell>
          <cell r="G2329" t="str">
            <v>tier - 1</v>
          </cell>
          <cell r="H2329" t="str">
            <v>R1012</v>
          </cell>
        </row>
        <row r="2330">
          <cell r="A2330" t="str">
            <v>ID991</v>
          </cell>
          <cell r="B2330" t="str">
            <v>25-Sep-1972</v>
          </cell>
          <cell r="C2330">
            <v>54</v>
          </cell>
          <cell r="D2330">
            <v>4</v>
          </cell>
          <cell r="E2330">
            <v>11299.34</v>
          </cell>
          <cell r="F2330" t="str">
            <v>tier - 3</v>
          </cell>
          <cell r="G2330" t="str">
            <v>tier - 2</v>
          </cell>
          <cell r="H2330" t="str">
            <v>R1011</v>
          </cell>
        </row>
        <row r="2331">
          <cell r="A2331" t="str">
            <v>ID992</v>
          </cell>
          <cell r="B2331" t="str">
            <v>14-Nov-1988</v>
          </cell>
          <cell r="C2331">
            <v>37</v>
          </cell>
          <cell r="D2331">
            <v>3</v>
          </cell>
          <cell r="E2331">
            <v>11294.57</v>
          </cell>
          <cell r="F2331" t="str">
            <v>tier - 3</v>
          </cell>
          <cell r="G2331" t="str">
            <v>tier - 1</v>
          </cell>
          <cell r="H2331" t="str">
            <v>R1022</v>
          </cell>
        </row>
        <row r="2332">
          <cell r="A2332" t="str">
            <v>ID993</v>
          </cell>
          <cell r="B2332" t="str">
            <v>22-Jun-1970</v>
          </cell>
          <cell r="C2332">
            <v>56</v>
          </cell>
          <cell r="D2332">
            <v>3</v>
          </cell>
          <cell r="E2332">
            <v>11289.11</v>
          </cell>
          <cell r="F2332" t="str">
            <v>tier - 3</v>
          </cell>
          <cell r="G2332" t="str">
            <v>tier - 1</v>
          </cell>
          <cell r="H2332" t="str">
            <v>R1012</v>
          </cell>
        </row>
        <row r="2333">
          <cell r="A2333" t="str">
            <v>ID994</v>
          </cell>
          <cell r="B2333" t="str">
            <v>14-Jun-1967</v>
          </cell>
          <cell r="C2333">
            <v>59</v>
          </cell>
          <cell r="D2333">
            <v>0</v>
          </cell>
          <cell r="E2333">
            <v>11286.54</v>
          </cell>
          <cell r="F2333" t="str">
            <v>tier - 3</v>
          </cell>
          <cell r="G2333" t="str">
            <v>tier - 3</v>
          </cell>
          <cell r="H2333" t="str">
            <v>R1024</v>
          </cell>
        </row>
        <row r="2334">
          <cell r="A2334" t="str">
            <v>ID995</v>
          </cell>
          <cell r="B2334" t="str">
            <v>4-Oct-2004</v>
          </cell>
          <cell r="C2334">
            <v>22</v>
          </cell>
          <cell r="D2334">
            <v>1</v>
          </cell>
          <cell r="E2334">
            <v>11272.33</v>
          </cell>
          <cell r="F2334" t="str">
            <v>tier - 3</v>
          </cell>
          <cell r="G2334" t="str">
            <v>tier - 2</v>
          </cell>
          <cell r="H2334" t="str">
            <v>R1019</v>
          </cell>
        </row>
        <row r="2335">
          <cell r="A2335" t="str">
            <v>ID996</v>
          </cell>
          <cell r="B2335" t="str">
            <v>26-Dec-1971</v>
          </cell>
          <cell r="C2335">
            <v>54</v>
          </cell>
          <cell r="D2335">
            <v>0</v>
          </cell>
          <cell r="E2335">
            <v>11265.71</v>
          </cell>
          <cell r="F2335" t="str">
            <v>tier - 3</v>
          </cell>
          <cell r="G2335" t="str">
            <v>tier - 1</v>
          </cell>
          <cell r="H2335" t="str">
            <v>R1025</v>
          </cell>
        </row>
        <row r="2336">
          <cell r="A2336" t="str">
            <v>ID997</v>
          </cell>
          <cell r="B2336" t="str">
            <v>11-Oct-1969</v>
          </cell>
          <cell r="C2336">
            <v>57</v>
          </cell>
          <cell r="D2336">
            <v>3</v>
          </cell>
          <cell r="E2336">
            <v>11264.54</v>
          </cell>
          <cell r="F2336" t="str">
            <v>tier - 3</v>
          </cell>
          <cell r="G2336" t="str">
            <v>tier - 2</v>
          </cell>
          <cell r="H2336" t="str">
            <v>R1011</v>
          </cell>
        </row>
        <row r="2337">
          <cell r="A2337" t="str">
            <v>ID998</v>
          </cell>
          <cell r="B2337" t="str">
            <v>2-Oct-1981</v>
          </cell>
          <cell r="C2337">
            <v>45</v>
          </cell>
          <cell r="D2337">
            <v>1</v>
          </cell>
          <cell r="E2337">
            <v>11255.29</v>
          </cell>
          <cell r="F2337" t="str">
            <v>tier - 3</v>
          </cell>
          <cell r="G2337" t="str">
            <v>tier - 1</v>
          </cell>
          <cell r="H2337" t="str">
            <v>R1026</v>
          </cell>
        </row>
        <row r="2338">
          <cell r="A2338" t="str">
            <v>ID999</v>
          </cell>
          <cell r="B2338" t="str">
            <v>20-Aug-1969</v>
          </cell>
          <cell r="C2338">
            <v>57</v>
          </cell>
          <cell r="D2338">
            <v>3</v>
          </cell>
          <cell r="E2338">
            <v>11253.42</v>
          </cell>
          <cell r="F2338" t="str">
            <v>tier - 3</v>
          </cell>
          <cell r="G2338" t="str">
            <v>tier - 1</v>
          </cell>
          <cell r="H2338" t="str">
            <v>R1011</v>
          </cell>
        </row>
        <row r="2339">
          <cell r="A2339" t="str">
            <v>unknown</v>
          </cell>
          <cell r="B2339" t="str">
            <v>6-Nov-2004</v>
          </cell>
          <cell r="C2339">
            <v>21</v>
          </cell>
          <cell r="D2339">
            <v>0</v>
          </cell>
          <cell r="E2339">
            <v>1137.01</v>
          </cell>
          <cell r="F2339" t="str">
            <v>tier - 3</v>
          </cell>
          <cell r="G2339" t="str">
            <v>tier - 1</v>
          </cell>
          <cell r="H2339" t="str">
            <v>R1013</v>
          </cell>
        </row>
        <row r="2340">
          <cell r="A2340" t="str">
            <v>unknown</v>
          </cell>
          <cell r="B2340" t="str">
            <v>20-Dec-1985</v>
          </cell>
          <cell r="C2340">
            <v>40</v>
          </cell>
          <cell r="D2340">
            <v>2</v>
          </cell>
          <cell r="E2340">
            <v>6203.9</v>
          </cell>
          <cell r="F2340" t="str">
            <v>tier - 1</v>
          </cell>
          <cell r="G2340" t="str">
            <v>tier - 2</v>
          </cell>
          <cell r="H2340" t="str">
            <v>R1012</v>
          </cell>
        </row>
        <row r="2341">
          <cell r="A2341" t="str">
            <v>unknown</v>
          </cell>
          <cell r="B2341" t="str">
            <v>13-Oct-2000</v>
          </cell>
          <cell r="C2341">
            <v>26</v>
          </cell>
          <cell r="D2341">
            <v>0</v>
          </cell>
          <cell r="E2341">
            <v>35585.58</v>
          </cell>
          <cell r="F2341" t="str">
            <v>tier - 1</v>
          </cell>
          <cell r="G2341" t="str">
            <v>tier - 2</v>
          </cell>
          <cell r="H2341" t="str">
            <v>R1011</v>
          </cell>
        </row>
        <row r="2342">
          <cell r="A2342" t="str">
            <v>unknown</v>
          </cell>
          <cell r="B2342" t="str">
            <v>9-Jun-1999</v>
          </cell>
          <cell r="C2342">
            <v>27</v>
          </cell>
          <cell r="D2342">
            <v>1</v>
          </cell>
          <cell r="E2342">
            <v>2775.19</v>
          </cell>
          <cell r="F2342" t="str">
            <v>tier - 2</v>
          </cell>
          <cell r="G2342" t="str">
            <v>tier - 1</v>
          </cell>
          <cell r="H2342" t="str">
            <v>R1012</v>
          </cell>
        </row>
        <row r="2343">
          <cell r="A2343" t="str">
            <v>unknown</v>
          </cell>
          <cell r="B2343" t="str">
            <v>6-Oct-1992</v>
          </cell>
          <cell r="C2343">
            <v>34</v>
          </cell>
          <cell r="D2343">
            <v>0</v>
          </cell>
          <cell r="E2343">
            <v>36837.47</v>
          </cell>
          <cell r="F2343" t="str">
            <v>tier - 1</v>
          </cell>
          <cell r="G2343" t="str">
            <v>tier - 2</v>
          </cell>
          <cell r="H2343" t="str">
            <v>R1011</v>
          </cell>
        </row>
        <row r="2344">
          <cell r="A2344" t="str">
            <v>unknown</v>
          </cell>
          <cell r="B2344" t="str">
            <v>22-Nov-1991</v>
          </cell>
          <cell r="C2344">
            <v>34</v>
          </cell>
          <cell r="D2344">
            <v>2</v>
          </cell>
          <cell r="E2344">
            <v>38711</v>
          </cell>
          <cell r="F2344" t="str">
            <v>tier - 1</v>
          </cell>
          <cell r="G2344" t="str">
            <v>tier - 3</v>
          </cell>
          <cell r="H2344" t="str">
            <v>R1011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210E4-542B-477C-85A1-364EB5387055}" name="Table2" displayName="Table2" ref="A1:R2336" totalsRowShown="0" headerRowDxfId="20" dataDxfId="19" tableBorderDxfId="18">
  <autoFilter ref="A1:R2336" xr:uid="{EAC20995-125D-455F-84FF-DDD6CF524826}"/>
  <tableColumns count="18">
    <tableColumn id="1" xr3:uid="{4BDE92D8-A2B0-4A67-B63E-3958FE571790}" name="Customer ID" dataDxfId="17"/>
    <tableColumn id="2" xr3:uid="{D3489444-34A1-4564-AD0E-389C030A77F4}" name="First Name" dataDxfId="16">
      <calculatedColumnFormula>VLOOKUP($A2,[1]!Customer_Names[#Data],3,0)</calculatedColumnFormula>
    </tableColumn>
    <tableColumn id="3" xr3:uid="{EA4085E0-9C87-487D-90CC-E2FD269D7320}" name="BMI" dataDxfId="15"/>
    <tableColumn id="4" xr3:uid="{91A4FF82-CAD9-43E6-BD3C-F9BC1D173689}" name="Weight status" dataDxfId="14">
      <calculatedColumnFormula array="1">_xlfn.IFS(Healthcare!$C2&lt;18.5,"under weight",Healthcare!$C2&lt;=24.9,"Normal Weight",Healthcare!$C2&gt;=25,"overweight",Healthcare!$C2&gt;=30,"obese")</calculatedColumnFormula>
    </tableColumn>
    <tableColumn id="5" xr3:uid="{808AD85D-FEDF-4360-93C5-99B77FB9B44B}" name="HBA1C" dataDxfId="13"/>
    <tableColumn id="6" xr3:uid="{7E161602-6E97-4458-9DD1-3DF3C84F8C9F}" name="Diabetes status" dataDxfId="12">
      <calculatedColumnFormula array="1">_xlfn.IFS(Healthcare!$E2&lt;5.7,"normal",Healthcare!$E2&lt;=6.4,"prediabetes",Healthcare!$E2&gt;=6.5,"diabetes")</calculatedColumnFormula>
    </tableColumn>
    <tableColumn id="7" xr3:uid="{2FED3A83-3F2F-4BC6-ADA6-D53A0B3B03DE}" name="Heart Issues" dataDxfId="11"/>
    <tableColumn id="8" xr3:uid="{3428286A-0000-4095-9BF3-B8CD2674F656}" name="Any Transplants" dataDxfId="10"/>
    <tableColumn id="9" xr3:uid="{2CAF8B60-A02D-4D59-94AE-ACFA4975860D}" name="Cancer history" dataDxfId="9"/>
    <tableColumn id="10" xr3:uid="{740A32EB-B112-47AD-9918-E3AF88D5C95B}" name="NumberOfMajorSurgeries" dataDxfId="8"/>
    <tableColumn id="11" xr3:uid="{3A0F8E07-8DDE-41AF-86A3-B9BA62BEE050}" name="smoker" dataDxfId="7"/>
    <tableColumn id="12" xr3:uid="{9029AF9F-47FC-478F-A2EC-B7299A3DAA18}" name="Date OF Birth" dataDxfId="6">
      <calculatedColumnFormula>VLOOKUP(Healthcare!$A2,hospital_details,2,0)</calculatedColumnFormula>
    </tableColumn>
    <tableColumn id="13" xr3:uid="{442EBF98-D074-42B4-AF87-D8BDE80AFCA8}" name="Age" dataDxfId="5">
      <calculatedColumnFormula>VLOOKUP(A2,hospital_details,3,0)</calculatedColumnFormula>
    </tableColumn>
    <tableColumn id="14" xr3:uid="{7FA39D3B-7040-4270-B56E-5294B38C8B3E}" name="children" dataDxfId="4">
      <calculatedColumnFormula>VLOOKUP($A2,hospital_details,4,0)</calculatedColumnFormula>
    </tableColumn>
    <tableColumn id="15" xr3:uid="{DA3C2901-F0D3-471E-8430-DE3FF223681F}" name="$Currency" dataDxfId="3" dataCellStyle="Currency">
      <calculatedColumnFormula>VLOOKUP($A2,hospital_details,5,0)</calculatedColumnFormula>
    </tableColumn>
    <tableColumn id="16" xr3:uid="{E4AE716B-C042-48D5-A079-E015FD6120F0}" name="Hospital tier" dataDxfId="2">
      <calculatedColumnFormula>VLOOKUP($A2,hospital_details,6,0)</calculatedColumnFormula>
    </tableColumn>
    <tableColumn id="17" xr3:uid="{5DEA2B6C-F0B1-4C0A-B393-ABB57DD5B57A}" name="City tier" dataDxfId="1">
      <calculatedColumnFormula>VLOOKUP($A2,hospital_details,7,0)</calculatedColumnFormula>
    </tableColumn>
    <tableColumn id="18" xr3:uid="{3E3B74BA-47F9-4ECF-8F78-4B720CF48FE0}" name="State ID" dataDxfId="0">
      <calculatedColumnFormula>VLOOKUP($A2,hospital_details,8,0)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FD67-C5C6-4802-B228-BF6895333CA3}">
  <dimension ref="A1:Z2336"/>
  <sheetViews>
    <sheetView tabSelected="1" workbookViewId="0">
      <selection activeCell="G15" sqref="G15"/>
    </sheetView>
  </sheetViews>
  <sheetFormatPr defaultRowHeight="14.4" x14ac:dyDescent="0.3"/>
  <cols>
    <col min="1" max="1" width="13.5546875" bestFit="1" customWidth="1"/>
    <col min="2" max="2" width="19.21875" bestFit="1" customWidth="1"/>
    <col min="3" max="3" width="7" bestFit="1" customWidth="1"/>
    <col min="4" max="4" width="16.6640625" bestFit="1" customWidth="1"/>
    <col min="5" max="5" width="14.6640625" bestFit="1" customWidth="1"/>
    <col min="6" max="6" width="15.5546875" customWidth="1"/>
    <col min="7" max="7" width="13.21875" bestFit="1" customWidth="1"/>
    <col min="8" max="8" width="16.77734375" bestFit="1" customWidth="1"/>
    <col min="9" max="9" width="15.33203125" bestFit="1" customWidth="1"/>
    <col min="10" max="10" width="24.5546875" customWidth="1"/>
    <col min="11" max="11" width="9.44140625" bestFit="1" customWidth="1"/>
    <col min="12" max="12" width="14.21875" bestFit="1" customWidth="1"/>
    <col min="13" max="13" width="8.109375" bestFit="1" customWidth="1"/>
    <col min="14" max="14" width="14.21875" bestFit="1" customWidth="1"/>
    <col min="15" max="15" width="12.77734375" style="12" customWidth="1"/>
    <col min="16" max="16" width="13.21875" bestFit="1" customWidth="1"/>
    <col min="17" max="17" width="9.6640625" bestFit="1" customWidth="1"/>
    <col min="18" max="18" width="9.77734375" bestFit="1" customWidth="1"/>
    <col min="19" max="19" width="9.6640625" bestFit="1" customWidth="1"/>
    <col min="20" max="20" width="12.5546875" bestFit="1" customWidth="1"/>
    <col min="21" max="21" width="16.109375" bestFit="1" customWidth="1"/>
    <col min="22" max="43" width="8.88671875" bestFit="1" customWidth="1"/>
    <col min="44" max="1226" width="10.44140625" bestFit="1" customWidth="1"/>
    <col min="1227" max="2351" width="11.44140625" bestFit="1" customWidth="1"/>
    <col min="2352" max="2352" width="12.109375" bestFit="1" customWidth="1"/>
    <col min="2353" max="2353" width="9" bestFit="1" customWidth="1"/>
    <col min="2354" max="2355" width="5" bestFit="1" customWidth="1"/>
    <col min="2356" max="2356" width="6" bestFit="1" customWidth="1"/>
    <col min="2357" max="2357" width="11.21875" bestFit="1" customWidth="1"/>
    <col min="2358" max="2358" width="8" bestFit="1" customWidth="1"/>
    <col min="2359" max="2359" width="10.21875" bestFit="1" customWidth="1"/>
    <col min="2360" max="2360" width="8" bestFit="1" customWidth="1"/>
    <col min="2361" max="2361" width="10.21875" bestFit="1" customWidth="1"/>
    <col min="2362" max="2362" width="8" bestFit="1" customWidth="1"/>
    <col min="2363" max="2363" width="5" bestFit="1" customWidth="1"/>
    <col min="2364" max="2364" width="10.21875" bestFit="1" customWidth="1"/>
    <col min="2365" max="2365" width="8" bestFit="1" customWidth="1"/>
    <col min="2366" max="2366" width="10.21875" bestFit="1" customWidth="1"/>
    <col min="2367" max="2367" width="8" bestFit="1" customWidth="1"/>
    <col min="2368" max="2368" width="10.21875" bestFit="1" customWidth="1"/>
    <col min="2369" max="2369" width="8" bestFit="1" customWidth="1"/>
    <col min="2370" max="2370" width="10.21875" bestFit="1" customWidth="1"/>
    <col min="2371" max="2371" width="8" bestFit="1" customWidth="1"/>
    <col min="2372" max="2372" width="10.21875" bestFit="1" customWidth="1"/>
    <col min="2373" max="2373" width="7" bestFit="1" customWidth="1"/>
    <col min="2374" max="2380" width="5" bestFit="1" customWidth="1"/>
    <col min="2381" max="2381" width="9.21875" bestFit="1" customWidth="1"/>
    <col min="2382" max="2382" width="9" bestFit="1" customWidth="1"/>
    <col min="2383" max="2385" width="5" bestFit="1" customWidth="1"/>
    <col min="2386" max="2386" width="11.21875" bestFit="1" customWidth="1"/>
    <col min="2387" max="2387" width="8" bestFit="1" customWidth="1"/>
    <col min="2388" max="2388" width="10.21875" bestFit="1" customWidth="1"/>
    <col min="2389" max="2389" width="8" bestFit="1" customWidth="1"/>
    <col min="2390" max="2391" width="5" bestFit="1" customWidth="1"/>
    <col min="2392" max="2392" width="10.21875" bestFit="1" customWidth="1"/>
    <col min="2393" max="2393" width="8" bestFit="1" customWidth="1"/>
    <col min="2394" max="2394" width="10.21875" bestFit="1" customWidth="1"/>
    <col min="2395" max="2395" width="7" bestFit="1" customWidth="1"/>
    <col min="2396" max="2399" width="5" bestFit="1" customWidth="1"/>
    <col min="2400" max="2400" width="9.21875" bestFit="1" customWidth="1"/>
    <col min="2401" max="2401" width="8" bestFit="1" customWidth="1"/>
    <col min="2402" max="2405" width="5" bestFit="1" customWidth="1"/>
    <col min="2406" max="2406" width="10.21875" bestFit="1" customWidth="1"/>
    <col min="2407" max="2407" width="9" bestFit="1" customWidth="1"/>
    <col min="2408" max="2408" width="11.21875" bestFit="1" customWidth="1"/>
    <col min="2409" max="2409" width="7" bestFit="1" customWidth="1"/>
    <col min="2410" max="2411" width="6" bestFit="1" customWidth="1"/>
    <col min="2412" max="2412" width="9.21875" bestFit="1" customWidth="1"/>
    <col min="2413" max="2413" width="8" bestFit="1" customWidth="1"/>
    <col min="2414" max="2414" width="4" bestFit="1" customWidth="1"/>
    <col min="2415" max="2415" width="5" bestFit="1" customWidth="1"/>
    <col min="2416" max="2416" width="10.21875" bestFit="1" customWidth="1"/>
    <col min="2417" max="2417" width="8" bestFit="1" customWidth="1"/>
    <col min="2418" max="2419" width="5" bestFit="1" customWidth="1"/>
    <col min="2420" max="2420" width="10.21875" bestFit="1" customWidth="1"/>
    <col min="2421" max="2421" width="7" bestFit="1" customWidth="1"/>
    <col min="2422" max="2422" width="4" bestFit="1" customWidth="1"/>
    <col min="2423" max="2423" width="5" bestFit="1" customWidth="1"/>
    <col min="2424" max="2424" width="4" bestFit="1" customWidth="1"/>
    <col min="2425" max="2425" width="9.21875" bestFit="1" customWidth="1"/>
    <col min="2426" max="2426" width="8" bestFit="1" customWidth="1"/>
    <col min="2427" max="2427" width="10.21875" bestFit="1" customWidth="1"/>
    <col min="2428" max="2428" width="8" bestFit="1" customWidth="1"/>
    <col min="2429" max="2430" width="5" bestFit="1" customWidth="1"/>
    <col min="2431" max="2431" width="6" bestFit="1" customWidth="1"/>
    <col min="2432" max="2432" width="10.21875" bestFit="1" customWidth="1"/>
    <col min="2433" max="2433" width="8" bestFit="1" customWidth="1"/>
    <col min="2434" max="2434" width="10.21875" bestFit="1" customWidth="1"/>
    <col min="2435" max="2435" width="8" bestFit="1" customWidth="1"/>
    <col min="2436" max="2436" width="10.21875" bestFit="1" customWidth="1"/>
    <col min="2437" max="2437" width="8" bestFit="1" customWidth="1"/>
    <col min="2438" max="2438" width="10.21875" bestFit="1" customWidth="1"/>
    <col min="2439" max="2439" width="9" bestFit="1" customWidth="1"/>
    <col min="2440" max="2440" width="6" bestFit="1" customWidth="1"/>
    <col min="2441" max="2441" width="11.21875" bestFit="1" customWidth="1"/>
    <col min="2442" max="2442" width="7" bestFit="1" customWidth="1"/>
    <col min="2443" max="2443" width="5" bestFit="1" customWidth="1"/>
    <col min="2444" max="2444" width="9.21875" bestFit="1" customWidth="1"/>
    <col min="2445" max="2445" width="8" bestFit="1" customWidth="1"/>
    <col min="2446" max="2446" width="10.21875" bestFit="1" customWidth="1"/>
    <col min="2447" max="2447" width="8" bestFit="1" customWidth="1"/>
    <col min="2448" max="2448" width="10.21875" bestFit="1" customWidth="1"/>
    <col min="2449" max="2449" width="8" bestFit="1" customWidth="1"/>
    <col min="2450" max="2450" width="4" bestFit="1" customWidth="1"/>
    <col min="2451" max="2451" width="10.21875" bestFit="1" customWidth="1"/>
    <col min="2452" max="2452" width="7" bestFit="1" customWidth="1"/>
    <col min="2453" max="2453" width="5" bestFit="1" customWidth="1"/>
    <col min="2454" max="2454" width="9.21875" bestFit="1" customWidth="1"/>
    <col min="2455" max="2455" width="8" bestFit="1" customWidth="1"/>
    <col min="2456" max="2456" width="10.21875" bestFit="1" customWidth="1"/>
    <col min="2457" max="2457" width="8" bestFit="1" customWidth="1"/>
    <col min="2458" max="2458" width="10.21875" bestFit="1" customWidth="1"/>
    <col min="2459" max="2459" width="9" bestFit="1" customWidth="1"/>
    <col min="2460" max="2460" width="11.21875" bestFit="1" customWidth="1"/>
    <col min="2461" max="2461" width="8" bestFit="1" customWidth="1"/>
    <col min="2462" max="2462" width="10.21875" bestFit="1" customWidth="1"/>
    <col min="2463" max="2463" width="7" bestFit="1" customWidth="1"/>
    <col min="2464" max="2464" width="5" bestFit="1" customWidth="1"/>
    <col min="2465" max="2465" width="9.21875" bestFit="1" customWidth="1"/>
    <col min="2466" max="2466" width="8" bestFit="1" customWidth="1"/>
    <col min="2467" max="2467" width="10.21875" bestFit="1" customWidth="1"/>
    <col min="2468" max="2468" width="8" bestFit="1" customWidth="1"/>
    <col min="2469" max="2469" width="5" bestFit="1" customWidth="1"/>
    <col min="2470" max="2470" width="6" bestFit="1" customWidth="1"/>
    <col min="2471" max="2471" width="10.21875" bestFit="1" customWidth="1"/>
    <col min="2472" max="2472" width="7" bestFit="1" customWidth="1"/>
    <col min="2473" max="2478" width="5" bestFit="1" customWidth="1"/>
    <col min="2479" max="2479" width="9.21875" bestFit="1" customWidth="1"/>
    <col min="2480" max="2480" width="8" bestFit="1" customWidth="1"/>
    <col min="2481" max="2481" width="10.21875" bestFit="1" customWidth="1"/>
    <col min="2482" max="2482" width="8" bestFit="1" customWidth="1"/>
    <col min="2483" max="2483" width="10.21875" bestFit="1" customWidth="1"/>
    <col min="2484" max="2484" width="8" bestFit="1" customWidth="1"/>
    <col min="2485" max="2485" width="10.21875" bestFit="1" customWidth="1"/>
    <col min="2486" max="2486" width="8" bestFit="1" customWidth="1"/>
    <col min="2487" max="2487" width="10.21875" bestFit="1" customWidth="1"/>
    <col min="2488" max="2488" width="9" bestFit="1" customWidth="1"/>
    <col min="2489" max="2489" width="5" bestFit="1" customWidth="1"/>
    <col min="2490" max="2490" width="11.21875" bestFit="1" customWidth="1"/>
    <col min="2491" max="2491" width="8" bestFit="1" customWidth="1"/>
    <col min="2492" max="2492" width="10.21875" bestFit="1" customWidth="1"/>
    <col min="2493" max="2493" width="7" bestFit="1" customWidth="1"/>
    <col min="2494" max="2494" width="9.21875" bestFit="1" customWidth="1"/>
    <col min="2495" max="2495" width="8" bestFit="1" customWidth="1"/>
    <col min="2496" max="2497" width="5" bestFit="1" customWidth="1"/>
    <col min="2498" max="2498" width="10.21875" bestFit="1" customWidth="1"/>
    <col min="2499" max="2499" width="8" bestFit="1" customWidth="1"/>
    <col min="2500" max="2500" width="10.21875" bestFit="1" customWidth="1"/>
    <col min="2501" max="2501" width="5" bestFit="1" customWidth="1"/>
    <col min="2502" max="2502" width="7.6640625" bestFit="1" customWidth="1"/>
    <col min="2503" max="2503" width="8" bestFit="1" customWidth="1"/>
    <col min="2504" max="2504" width="10.21875" bestFit="1" customWidth="1"/>
    <col min="2505" max="2505" width="8" bestFit="1" customWidth="1"/>
    <col min="2506" max="2506" width="5" bestFit="1" customWidth="1"/>
    <col min="2507" max="2507" width="10.21875" bestFit="1" customWidth="1"/>
    <col min="2508" max="2508" width="7" bestFit="1" customWidth="1"/>
    <col min="2509" max="2509" width="9.21875" bestFit="1" customWidth="1"/>
    <col min="2510" max="2510" width="8" bestFit="1" customWidth="1"/>
    <col min="2511" max="2511" width="10.21875" bestFit="1" customWidth="1"/>
    <col min="2512" max="2512" width="7" bestFit="1" customWidth="1"/>
    <col min="2513" max="2517" width="5" bestFit="1" customWidth="1"/>
    <col min="2518" max="2518" width="6" bestFit="1" customWidth="1"/>
    <col min="2519" max="2519" width="9.21875" bestFit="1" customWidth="1"/>
    <col min="2520" max="2520" width="9" bestFit="1" customWidth="1"/>
    <col min="2521" max="2521" width="6" bestFit="1" customWidth="1"/>
    <col min="2522" max="2522" width="11.21875" bestFit="1" customWidth="1"/>
    <col min="2523" max="2523" width="8" bestFit="1" customWidth="1"/>
    <col min="2524" max="2524" width="10.21875" bestFit="1" customWidth="1"/>
    <col min="2525" max="2525" width="8" bestFit="1" customWidth="1"/>
    <col min="2526" max="2526" width="10.21875" bestFit="1" customWidth="1"/>
    <col min="2527" max="2527" width="7" bestFit="1" customWidth="1"/>
    <col min="2528" max="2530" width="5" bestFit="1" customWidth="1"/>
    <col min="2531" max="2531" width="9.21875" bestFit="1" customWidth="1"/>
    <col min="2532" max="2532" width="8" bestFit="1" customWidth="1"/>
    <col min="2533" max="2533" width="5" bestFit="1" customWidth="1"/>
    <col min="2534" max="2534" width="10.21875" bestFit="1" customWidth="1"/>
    <col min="2535" max="2535" width="8" bestFit="1" customWidth="1"/>
    <col min="2536" max="2536" width="5" bestFit="1" customWidth="1"/>
    <col min="2537" max="2537" width="10.21875" bestFit="1" customWidth="1"/>
    <col min="2538" max="2538" width="8" bestFit="1" customWidth="1"/>
    <col min="2539" max="2539" width="10.21875" bestFit="1" customWidth="1"/>
    <col min="2540" max="2540" width="7" bestFit="1" customWidth="1"/>
    <col min="2541" max="2541" width="9.21875" bestFit="1" customWidth="1"/>
    <col min="2542" max="2542" width="8" bestFit="1" customWidth="1"/>
    <col min="2543" max="2543" width="10.21875" bestFit="1" customWidth="1"/>
    <col min="2544" max="2544" width="8" bestFit="1" customWidth="1"/>
    <col min="2545" max="2545" width="4" bestFit="1" customWidth="1"/>
    <col min="2546" max="2546" width="10.21875" bestFit="1" customWidth="1"/>
    <col min="2547" max="2547" width="8" bestFit="1" customWidth="1"/>
    <col min="2548" max="2548" width="10.21875" bestFit="1" customWidth="1"/>
    <col min="2549" max="2549" width="9" bestFit="1" customWidth="1"/>
    <col min="2550" max="2550" width="11.21875" bestFit="1" customWidth="1"/>
    <col min="2551" max="2551" width="8" bestFit="1" customWidth="1"/>
    <col min="2552" max="2552" width="5" bestFit="1" customWidth="1"/>
    <col min="2553" max="2553" width="10.21875" bestFit="1" customWidth="1"/>
    <col min="2554" max="2554" width="7" bestFit="1" customWidth="1"/>
    <col min="2555" max="2556" width="6" bestFit="1" customWidth="1"/>
    <col min="2557" max="2557" width="9.21875" bestFit="1" customWidth="1"/>
    <col min="2558" max="2558" width="8" bestFit="1" customWidth="1"/>
    <col min="2559" max="2559" width="10.21875" bestFit="1" customWidth="1"/>
    <col min="2560" max="2560" width="8" bestFit="1" customWidth="1"/>
    <col min="2561" max="2564" width="5" bestFit="1" customWidth="1"/>
    <col min="2565" max="2565" width="10.21875" bestFit="1" customWidth="1"/>
    <col min="2566" max="2566" width="8" bestFit="1" customWidth="1"/>
    <col min="2567" max="2567" width="10.21875" bestFit="1" customWidth="1"/>
    <col min="2568" max="2568" width="8" bestFit="1" customWidth="1"/>
    <col min="2569" max="2569" width="10.21875" bestFit="1" customWidth="1"/>
    <col min="2570" max="2570" width="7" bestFit="1" customWidth="1"/>
    <col min="2571" max="2571" width="9.21875" bestFit="1" customWidth="1"/>
    <col min="2572" max="2572" width="8" bestFit="1" customWidth="1"/>
    <col min="2573" max="2573" width="10.21875" bestFit="1" customWidth="1"/>
    <col min="2574" max="2574" width="8" bestFit="1" customWidth="1"/>
    <col min="2575" max="2575" width="10.21875" bestFit="1" customWidth="1"/>
    <col min="2576" max="2576" width="9" bestFit="1" customWidth="1"/>
    <col min="2577" max="2577" width="5" bestFit="1" customWidth="1"/>
    <col min="2578" max="2578" width="4" bestFit="1" customWidth="1"/>
    <col min="2579" max="2579" width="6" bestFit="1" customWidth="1"/>
    <col min="2580" max="2580" width="11.21875" bestFit="1" customWidth="1"/>
    <col min="2581" max="2581" width="8" bestFit="1" customWidth="1"/>
    <col min="2582" max="2582" width="10.21875" bestFit="1" customWidth="1"/>
    <col min="2583" max="2583" width="8" bestFit="1" customWidth="1"/>
    <col min="2584" max="2584" width="10.21875" bestFit="1" customWidth="1"/>
    <col min="2585" max="2585" width="7" bestFit="1" customWidth="1"/>
    <col min="2586" max="2586" width="5" bestFit="1" customWidth="1"/>
    <col min="2587" max="2587" width="9.21875" bestFit="1" customWidth="1"/>
    <col min="2588" max="2588" width="8" bestFit="1" customWidth="1"/>
    <col min="2589" max="2589" width="10.21875" bestFit="1" customWidth="1"/>
    <col min="2590" max="2590" width="8" bestFit="1" customWidth="1"/>
    <col min="2591" max="2591" width="4" bestFit="1" customWidth="1"/>
    <col min="2592" max="2592" width="10.21875" bestFit="1" customWidth="1"/>
    <col min="2593" max="2593" width="8" bestFit="1" customWidth="1"/>
    <col min="2594" max="2594" width="5" bestFit="1" customWidth="1"/>
    <col min="2595" max="2595" width="2" bestFit="1" customWidth="1"/>
    <col min="2596" max="2596" width="10.21875" bestFit="1" customWidth="1"/>
    <col min="2597" max="2597" width="8" bestFit="1" customWidth="1"/>
    <col min="2598" max="2598" width="10.21875" bestFit="1" customWidth="1"/>
    <col min="2599" max="2599" width="7" bestFit="1" customWidth="1"/>
    <col min="2600" max="2601" width="5" bestFit="1" customWidth="1"/>
    <col min="2602" max="2602" width="9.21875" bestFit="1" customWidth="1"/>
    <col min="2603" max="2603" width="9" bestFit="1" customWidth="1"/>
    <col min="2604" max="2606" width="5" bestFit="1" customWidth="1"/>
    <col min="2607" max="2607" width="11.21875" bestFit="1" customWidth="1"/>
    <col min="2608" max="2608" width="8" bestFit="1" customWidth="1"/>
    <col min="2609" max="2611" width="5" bestFit="1" customWidth="1"/>
    <col min="2612" max="2612" width="10.21875" bestFit="1" customWidth="1"/>
    <col min="2613" max="2613" width="8" bestFit="1" customWidth="1"/>
    <col min="2614" max="2614" width="10.21875" bestFit="1" customWidth="1"/>
    <col min="2615" max="2615" width="7" bestFit="1" customWidth="1"/>
    <col min="2616" max="2616" width="9.21875" bestFit="1" customWidth="1"/>
    <col min="2617" max="2617" width="8" bestFit="1" customWidth="1"/>
    <col min="2618" max="2618" width="5" bestFit="1" customWidth="1"/>
    <col min="2619" max="2619" width="10.21875" bestFit="1" customWidth="1"/>
    <col min="2620" max="2620" width="8" bestFit="1" customWidth="1"/>
    <col min="2621" max="2622" width="4" bestFit="1" customWidth="1"/>
    <col min="2623" max="2623" width="10.21875" bestFit="1" customWidth="1"/>
    <col min="2624" max="2624" width="8" bestFit="1" customWidth="1"/>
    <col min="2625" max="2626" width="5" bestFit="1" customWidth="1"/>
    <col min="2627" max="2627" width="6" bestFit="1" customWidth="1"/>
    <col min="2628" max="2628" width="10.21875" bestFit="1" customWidth="1"/>
    <col min="2629" max="2629" width="8" bestFit="1" customWidth="1"/>
    <col min="2630" max="2630" width="6" bestFit="1" customWidth="1"/>
    <col min="2631" max="2631" width="10.21875" bestFit="1" customWidth="1"/>
    <col min="2632" max="2632" width="5" bestFit="1" customWidth="1"/>
    <col min="2633" max="2633" width="6" bestFit="1" customWidth="1"/>
    <col min="2634" max="2634" width="7.6640625" bestFit="1" customWidth="1"/>
    <col min="2635" max="2635" width="9" bestFit="1" customWidth="1"/>
    <col min="2636" max="2636" width="11.21875" bestFit="1" customWidth="1"/>
    <col min="2637" max="2637" width="8" bestFit="1" customWidth="1"/>
    <col min="2638" max="2638" width="10.21875" bestFit="1" customWidth="1"/>
    <col min="2639" max="2639" width="8" bestFit="1" customWidth="1"/>
    <col min="2640" max="2640" width="5" bestFit="1" customWidth="1"/>
    <col min="2641" max="2641" width="4" bestFit="1" customWidth="1"/>
    <col min="2642" max="2642" width="5" bestFit="1" customWidth="1"/>
    <col min="2643" max="2643" width="4" bestFit="1" customWidth="1"/>
    <col min="2644" max="2645" width="6" bestFit="1" customWidth="1"/>
    <col min="2646" max="2646" width="10.21875" bestFit="1" customWidth="1"/>
    <col min="2647" max="2647" width="7" bestFit="1" customWidth="1"/>
    <col min="2648" max="2648" width="5" bestFit="1" customWidth="1"/>
    <col min="2649" max="2649" width="6" bestFit="1" customWidth="1"/>
    <col min="2650" max="2650" width="9.21875" bestFit="1" customWidth="1"/>
    <col min="2651" max="2651" width="8" bestFit="1" customWidth="1"/>
    <col min="2652" max="2652" width="10.21875" bestFit="1" customWidth="1"/>
    <col min="2653" max="2653" width="8" bestFit="1" customWidth="1"/>
    <col min="2654" max="2654" width="10.21875" bestFit="1" customWidth="1"/>
    <col min="2655" max="2655" width="8" bestFit="1" customWidth="1"/>
    <col min="2656" max="2656" width="10.21875" bestFit="1" customWidth="1"/>
    <col min="2657" max="2657" width="8" bestFit="1" customWidth="1"/>
    <col min="2658" max="2658" width="10.21875" bestFit="1" customWidth="1"/>
    <col min="2659" max="2659" width="8" bestFit="1" customWidth="1"/>
    <col min="2660" max="2660" width="5" bestFit="1" customWidth="1"/>
    <col min="2661" max="2661" width="6" bestFit="1" customWidth="1"/>
    <col min="2662" max="2662" width="10.21875" bestFit="1" customWidth="1"/>
    <col min="2663" max="2663" width="9" bestFit="1" customWidth="1"/>
    <col min="2664" max="2664" width="11.21875" bestFit="1" customWidth="1"/>
    <col min="2665" max="2665" width="7" bestFit="1" customWidth="1"/>
    <col min="2666" max="2666" width="5" bestFit="1" customWidth="1"/>
    <col min="2667" max="2667" width="9.21875" bestFit="1" customWidth="1"/>
    <col min="2668" max="2668" width="8" bestFit="1" customWidth="1"/>
    <col min="2669" max="2669" width="10.21875" bestFit="1" customWidth="1"/>
    <col min="2670" max="2670" width="8" bestFit="1" customWidth="1"/>
    <col min="2671" max="2671" width="10.21875" bestFit="1" customWidth="1"/>
    <col min="2672" max="2672" width="7" bestFit="1" customWidth="1"/>
    <col min="2673" max="2675" width="5" bestFit="1" customWidth="1"/>
    <col min="2676" max="2676" width="9.21875" bestFit="1" customWidth="1"/>
    <col min="2677" max="2677" width="8" bestFit="1" customWidth="1"/>
    <col min="2678" max="2678" width="10.21875" bestFit="1" customWidth="1"/>
    <col min="2679" max="2679" width="9" bestFit="1" customWidth="1"/>
    <col min="2680" max="2680" width="6" bestFit="1" customWidth="1"/>
    <col min="2681" max="2681" width="11.21875" bestFit="1" customWidth="1"/>
    <col min="2682" max="2682" width="7" bestFit="1" customWidth="1"/>
    <col min="2683" max="2683" width="9.21875" bestFit="1" customWidth="1"/>
    <col min="2684" max="2684" width="8" bestFit="1" customWidth="1"/>
    <col min="2685" max="2685" width="10.21875" bestFit="1" customWidth="1"/>
    <col min="2686" max="2686" width="8" bestFit="1" customWidth="1"/>
    <col min="2687" max="2687" width="5" bestFit="1" customWidth="1"/>
    <col min="2688" max="2688" width="10.21875" bestFit="1" customWidth="1"/>
    <col min="2689" max="2689" width="8" bestFit="1" customWidth="1"/>
    <col min="2690" max="2690" width="4" bestFit="1" customWidth="1"/>
    <col min="2691" max="2691" width="6" bestFit="1" customWidth="1"/>
    <col min="2692" max="2692" width="10.21875" bestFit="1" customWidth="1"/>
    <col min="2693" max="2693" width="8" bestFit="1" customWidth="1"/>
    <col min="2694" max="2694" width="10.21875" bestFit="1" customWidth="1"/>
    <col min="2695" max="2695" width="8" bestFit="1" customWidth="1"/>
    <col min="2696" max="2696" width="10.21875" bestFit="1" customWidth="1"/>
    <col min="2697" max="2697" width="9" bestFit="1" customWidth="1"/>
    <col min="2698" max="2698" width="6" bestFit="1" customWidth="1"/>
    <col min="2699" max="2699" width="11.21875" bestFit="1" customWidth="1"/>
    <col min="2700" max="2700" width="7" bestFit="1" customWidth="1"/>
    <col min="2701" max="2701" width="9.21875" bestFit="1" customWidth="1"/>
    <col min="2702" max="2702" width="8" bestFit="1" customWidth="1"/>
    <col min="2703" max="2703" width="5" bestFit="1" customWidth="1"/>
    <col min="2704" max="2704" width="6" bestFit="1" customWidth="1"/>
    <col min="2705" max="2705" width="10.21875" bestFit="1" customWidth="1"/>
    <col min="2706" max="2706" width="8" bestFit="1" customWidth="1"/>
    <col min="2707" max="2707" width="6" bestFit="1" customWidth="1"/>
    <col min="2708" max="2708" width="10.21875" bestFit="1" customWidth="1"/>
    <col min="2709" max="2709" width="8" bestFit="1" customWidth="1"/>
    <col min="2710" max="2710" width="10.21875" bestFit="1" customWidth="1"/>
    <col min="2711" max="2711" width="8" bestFit="1" customWidth="1"/>
    <col min="2712" max="2712" width="5" bestFit="1" customWidth="1"/>
    <col min="2713" max="2715" width="6" bestFit="1" customWidth="1"/>
    <col min="2716" max="2716" width="10.21875" bestFit="1" customWidth="1"/>
    <col min="2717" max="2717" width="8" bestFit="1" customWidth="1"/>
    <col min="2718" max="2718" width="10.21875" bestFit="1" customWidth="1"/>
    <col min="2719" max="2719" width="7" bestFit="1" customWidth="1"/>
    <col min="2720" max="2720" width="9.21875" bestFit="1" customWidth="1"/>
    <col min="2721" max="2721" width="8" bestFit="1" customWidth="1"/>
    <col min="2722" max="2722" width="10.21875" bestFit="1" customWidth="1"/>
    <col min="2723" max="2723" width="9" bestFit="1" customWidth="1"/>
    <col min="2724" max="2724" width="5" bestFit="1" customWidth="1"/>
    <col min="2725" max="2725" width="6" bestFit="1" customWidth="1"/>
    <col min="2726" max="2726" width="11.21875" bestFit="1" customWidth="1"/>
    <col min="2727" max="2727" width="7" bestFit="1" customWidth="1"/>
    <col min="2728" max="2729" width="5" bestFit="1" customWidth="1"/>
    <col min="2730" max="2730" width="9.21875" bestFit="1" customWidth="1"/>
    <col min="2731" max="2731" width="8" bestFit="1" customWidth="1"/>
    <col min="2732" max="2734" width="5" bestFit="1" customWidth="1"/>
    <col min="2735" max="2736" width="4" bestFit="1" customWidth="1"/>
    <col min="2737" max="2737" width="6" bestFit="1" customWidth="1"/>
    <col min="2738" max="2738" width="10.21875" bestFit="1" customWidth="1"/>
    <col min="2739" max="2739" width="8" bestFit="1" customWidth="1"/>
    <col min="2740" max="2740" width="5" bestFit="1" customWidth="1"/>
    <col min="2741" max="2741" width="6" bestFit="1" customWidth="1"/>
    <col min="2742" max="2742" width="10.21875" bestFit="1" customWidth="1"/>
    <col min="2743" max="2743" width="8" bestFit="1" customWidth="1"/>
    <col min="2744" max="2744" width="10.21875" bestFit="1" customWidth="1"/>
    <col min="2745" max="2745" width="9" bestFit="1" customWidth="1"/>
    <col min="2746" max="2748" width="5" bestFit="1" customWidth="1"/>
    <col min="2749" max="2749" width="11.21875" bestFit="1" customWidth="1"/>
    <col min="2750" max="2750" width="8" bestFit="1" customWidth="1"/>
    <col min="2751" max="2751" width="10.21875" bestFit="1" customWidth="1"/>
    <col min="2752" max="2752" width="8" bestFit="1" customWidth="1"/>
    <col min="2753" max="2753" width="10.21875" bestFit="1" customWidth="1"/>
    <col min="2754" max="2754" width="8" bestFit="1" customWidth="1"/>
    <col min="2755" max="2755" width="10.21875" bestFit="1" customWidth="1"/>
    <col min="2756" max="2756" width="5" bestFit="1" customWidth="1"/>
    <col min="2757" max="2757" width="6" bestFit="1" customWidth="1"/>
    <col min="2758" max="2758" width="7.6640625" bestFit="1" customWidth="1"/>
    <col min="2759" max="2759" width="8" bestFit="1" customWidth="1"/>
    <col min="2760" max="2762" width="5" bestFit="1" customWidth="1"/>
    <col min="2763" max="2763" width="10.21875" bestFit="1" customWidth="1"/>
    <col min="2764" max="2764" width="8" bestFit="1" customWidth="1"/>
    <col min="2765" max="2766" width="5" bestFit="1" customWidth="1"/>
    <col min="2767" max="2767" width="10.21875" bestFit="1" customWidth="1"/>
    <col min="2768" max="2768" width="7" bestFit="1" customWidth="1"/>
    <col min="2769" max="2771" width="5" bestFit="1" customWidth="1"/>
    <col min="2772" max="2773" width="6" bestFit="1" customWidth="1"/>
    <col min="2774" max="2774" width="9.21875" bestFit="1" customWidth="1"/>
    <col min="2775" max="2775" width="8" bestFit="1" customWidth="1"/>
    <col min="2776" max="2776" width="10.21875" bestFit="1" customWidth="1"/>
    <col min="2777" max="2777" width="9" bestFit="1" customWidth="1"/>
    <col min="2778" max="2778" width="11.21875" bestFit="1" customWidth="1"/>
    <col min="2779" max="2779" width="8" bestFit="1" customWidth="1"/>
    <col min="2780" max="2780" width="4" bestFit="1" customWidth="1"/>
    <col min="2781" max="2781" width="5" bestFit="1" customWidth="1"/>
    <col min="2782" max="2782" width="10.21875" bestFit="1" customWidth="1"/>
    <col min="2783" max="2783" width="7" bestFit="1" customWidth="1"/>
    <col min="2784" max="2784" width="9.21875" bestFit="1" customWidth="1"/>
    <col min="2785" max="2785" width="8" bestFit="1" customWidth="1"/>
    <col min="2786" max="2786" width="10.21875" bestFit="1" customWidth="1"/>
    <col min="2787" max="2787" width="8" bestFit="1" customWidth="1"/>
    <col min="2788" max="2788" width="10.21875" bestFit="1" customWidth="1"/>
    <col min="2789" max="2789" width="8" bestFit="1" customWidth="1"/>
    <col min="2790" max="2790" width="10.21875" bestFit="1" customWidth="1"/>
    <col min="2791" max="2791" width="8" bestFit="1" customWidth="1"/>
    <col min="2792" max="2793" width="5" bestFit="1" customWidth="1"/>
    <col min="2794" max="2794" width="6" bestFit="1" customWidth="1"/>
    <col min="2795" max="2795" width="10.21875" bestFit="1" customWidth="1"/>
    <col min="2796" max="2796" width="7" bestFit="1" customWidth="1"/>
    <col min="2797" max="2797" width="9.21875" bestFit="1" customWidth="1"/>
    <col min="2798" max="2798" width="9" bestFit="1" customWidth="1"/>
    <col min="2799" max="2799" width="5" bestFit="1" customWidth="1"/>
    <col min="2800" max="2800" width="11.21875" bestFit="1" customWidth="1"/>
    <col min="2801" max="2801" width="8" bestFit="1" customWidth="1"/>
    <col min="2802" max="2802" width="10.21875" bestFit="1" customWidth="1"/>
    <col min="2803" max="2803" width="7" bestFit="1" customWidth="1"/>
    <col min="2804" max="2804" width="5" bestFit="1" customWidth="1"/>
    <col min="2805" max="2805" width="6" bestFit="1" customWidth="1"/>
    <col min="2806" max="2806" width="9.21875" bestFit="1" customWidth="1"/>
    <col min="2807" max="2807" width="8" bestFit="1" customWidth="1"/>
    <col min="2808" max="2808" width="10.21875" bestFit="1" customWidth="1"/>
    <col min="2809" max="2809" width="8" bestFit="1" customWidth="1"/>
    <col min="2810" max="2812" width="5" bestFit="1" customWidth="1"/>
    <col min="2813" max="2813" width="10.21875" bestFit="1" customWidth="1"/>
    <col min="2814" max="2814" width="8" bestFit="1" customWidth="1"/>
    <col min="2815" max="2815" width="6" bestFit="1" customWidth="1"/>
    <col min="2816" max="2816" width="10.21875" bestFit="1" customWidth="1"/>
    <col min="2817" max="2817" width="9" bestFit="1" customWidth="1"/>
    <col min="2818" max="2818" width="11.21875" bestFit="1" customWidth="1"/>
    <col min="2819" max="2819" width="8" bestFit="1" customWidth="1"/>
    <col min="2820" max="2820" width="10.21875" bestFit="1" customWidth="1"/>
    <col min="2821" max="2821" width="8" bestFit="1" customWidth="1"/>
    <col min="2822" max="2822" width="5" bestFit="1" customWidth="1"/>
    <col min="2823" max="2823" width="10.21875" bestFit="1" customWidth="1"/>
    <col min="2824" max="2824" width="8" bestFit="1" customWidth="1"/>
    <col min="2825" max="2825" width="10.21875" bestFit="1" customWidth="1"/>
    <col min="2826" max="2826" width="8" bestFit="1" customWidth="1"/>
    <col min="2827" max="2827" width="10.21875" bestFit="1" customWidth="1"/>
    <col min="2828" max="2828" width="7" bestFit="1" customWidth="1"/>
    <col min="2829" max="2829" width="4" bestFit="1" customWidth="1"/>
    <col min="2830" max="2830" width="9.21875" bestFit="1" customWidth="1"/>
    <col min="2831" max="2831" width="9" bestFit="1" customWidth="1"/>
    <col min="2832" max="2832" width="11.21875" bestFit="1" customWidth="1"/>
    <col min="2833" max="2833" width="8" bestFit="1" customWidth="1"/>
    <col min="2834" max="2834" width="10.21875" bestFit="1" customWidth="1"/>
    <col min="2835" max="2835" width="8" bestFit="1" customWidth="1"/>
    <col min="2836" max="2836" width="4" bestFit="1" customWidth="1"/>
    <col min="2837" max="2837" width="10.21875" bestFit="1" customWidth="1"/>
    <col min="2838" max="2838" width="8" bestFit="1" customWidth="1"/>
    <col min="2839" max="2839" width="10.21875" bestFit="1" customWidth="1"/>
    <col min="2840" max="2840" width="7" bestFit="1" customWidth="1"/>
    <col min="2841" max="2841" width="9.21875" bestFit="1" customWidth="1"/>
    <col min="2842" max="2842" width="8" bestFit="1" customWidth="1"/>
    <col min="2843" max="2843" width="5" bestFit="1" customWidth="1"/>
    <col min="2844" max="2844" width="10.21875" bestFit="1" customWidth="1"/>
    <col min="2845" max="2845" width="8" bestFit="1" customWidth="1"/>
    <col min="2846" max="2846" width="10.21875" bestFit="1" customWidth="1"/>
    <col min="2847" max="2847" width="8" bestFit="1" customWidth="1"/>
    <col min="2848" max="2848" width="10.21875" bestFit="1" customWidth="1"/>
    <col min="2849" max="2849" width="7" bestFit="1" customWidth="1"/>
    <col min="2850" max="2850" width="5" bestFit="1" customWidth="1"/>
    <col min="2851" max="2851" width="9.21875" bestFit="1" customWidth="1"/>
    <col min="2852" max="2852" width="9" bestFit="1" customWidth="1"/>
    <col min="2853" max="2853" width="11.21875" bestFit="1" customWidth="1"/>
    <col min="2854" max="2854" width="8" bestFit="1" customWidth="1"/>
    <col min="2855" max="2855" width="10.21875" bestFit="1" customWidth="1"/>
    <col min="2856" max="2856" width="8" bestFit="1" customWidth="1"/>
    <col min="2857" max="2857" width="10.21875" bestFit="1" customWidth="1"/>
    <col min="2858" max="2860" width="5" bestFit="1" customWidth="1"/>
    <col min="2861" max="2861" width="7.6640625" bestFit="1" customWidth="1"/>
    <col min="2862" max="2862" width="8" bestFit="1" customWidth="1"/>
    <col min="2863" max="2863" width="10.21875" bestFit="1" customWidth="1"/>
    <col min="2864" max="2864" width="8" bestFit="1" customWidth="1"/>
    <col min="2865" max="2865" width="10.21875" bestFit="1" customWidth="1"/>
    <col min="2866" max="2866" width="8" bestFit="1" customWidth="1"/>
    <col min="2867" max="2871" width="5" bestFit="1" customWidth="1"/>
    <col min="2872" max="2873" width="6" bestFit="1" customWidth="1"/>
    <col min="2874" max="2874" width="10.21875" bestFit="1" customWidth="1"/>
    <col min="2875" max="2875" width="9" bestFit="1" customWidth="1"/>
    <col min="2876" max="2877" width="5" bestFit="1" customWidth="1"/>
    <col min="2878" max="2878" width="11.21875" bestFit="1" customWidth="1"/>
    <col min="2879" max="2879" width="8" bestFit="1" customWidth="1"/>
    <col min="2880" max="2880" width="5" bestFit="1" customWidth="1"/>
    <col min="2881" max="2881" width="10.21875" bestFit="1" customWidth="1"/>
    <col min="2882" max="2882" width="8" bestFit="1" customWidth="1"/>
    <col min="2883" max="2884" width="5" bestFit="1" customWidth="1"/>
    <col min="2885" max="2885" width="10.21875" bestFit="1" customWidth="1"/>
    <col min="2886" max="2886" width="8" bestFit="1" customWidth="1"/>
    <col min="2887" max="2887" width="10.21875" bestFit="1" customWidth="1"/>
    <col min="2888" max="2888" width="8" bestFit="1" customWidth="1"/>
    <col min="2889" max="2889" width="10.21875" bestFit="1" customWidth="1"/>
    <col min="2890" max="2890" width="8" bestFit="1" customWidth="1"/>
    <col min="2891" max="2891" width="5" bestFit="1" customWidth="1"/>
    <col min="2892" max="2893" width="6" bestFit="1" customWidth="1"/>
    <col min="2894" max="2894" width="10.21875" bestFit="1" customWidth="1"/>
    <col min="2895" max="2895" width="9" bestFit="1" customWidth="1"/>
    <col min="2896" max="2896" width="11.21875" bestFit="1" customWidth="1"/>
    <col min="2897" max="2897" width="7" bestFit="1" customWidth="1"/>
    <col min="2898" max="2898" width="9.21875" bestFit="1" customWidth="1"/>
    <col min="2899" max="2899" width="8" bestFit="1" customWidth="1"/>
    <col min="2900" max="2900" width="4" bestFit="1" customWidth="1"/>
    <col min="2901" max="2901" width="10.21875" bestFit="1" customWidth="1"/>
    <col min="2902" max="2902" width="8" bestFit="1" customWidth="1"/>
    <col min="2903" max="2906" width="5" bestFit="1" customWidth="1"/>
    <col min="2907" max="2907" width="10.21875" bestFit="1" customWidth="1"/>
    <col min="2908" max="2908" width="8" bestFit="1" customWidth="1"/>
    <col min="2909" max="2909" width="10.21875" bestFit="1" customWidth="1"/>
    <col min="2910" max="2910" width="8" bestFit="1" customWidth="1"/>
    <col min="2911" max="2911" width="10.21875" bestFit="1" customWidth="1"/>
    <col min="2912" max="2912" width="8" bestFit="1" customWidth="1"/>
    <col min="2913" max="2913" width="10.21875" bestFit="1" customWidth="1"/>
    <col min="2914" max="2914" width="7" bestFit="1" customWidth="1"/>
    <col min="2915" max="2915" width="5" bestFit="1" customWidth="1"/>
    <col min="2916" max="2916" width="9.21875" bestFit="1" customWidth="1"/>
    <col min="2917" max="2917" width="9" bestFit="1" customWidth="1"/>
    <col min="2918" max="2918" width="11.21875" bestFit="1" customWidth="1"/>
    <col min="2919" max="2919" width="8" bestFit="1" customWidth="1"/>
    <col min="2920" max="2920" width="10.21875" bestFit="1" customWidth="1"/>
    <col min="2921" max="2921" width="8" bestFit="1" customWidth="1"/>
    <col min="2922" max="2922" width="10.21875" bestFit="1" customWidth="1"/>
    <col min="2923" max="2923" width="8" bestFit="1" customWidth="1"/>
    <col min="2924" max="2924" width="10.21875" bestFit="1" customWidth="1"/>
    <col min="2925" max="2925" width="8" bestFit="1" customWidth="1"/>
    <col min="2926" max="2926" width="5" bestFit="1" customWidth="1"/>
    <col min="2927" max="2927" width="6" bestFit="1" customWidth="1"/>
    <col min="2928" max="2928" width="10.21875" bestFit="1" customWidth="1"/>
    <col min="2929" max="2929" width="8" bestFit="1" customWidth="1"/>
    <col min="2930" max="2930" width="10.21875" bestFit="1" customWidth="1"/>
    <col min="2931" max="2931" width="8" bestFit="1" customWidth="1"/>
    <col min="2932" max="2932" width="10.21875" bestFit="1" customWidth="1"/>
    <col min="2933" max="2933" width="7" bestFit="1" customWidth="1"/>
    <col min="2934" max="2934" width="9.21875" bestFit="1" customWidth="1"/>
    <col min="2935" max="2935" width="8" bestFit="1" customWidth="1"/>
    <col min="2936" max="2936" width="10.21875" bestFit="1" customWidth="1"/>
    <col min="2937" max="2937" width="8" bestFit="1" customWidth="1"/>
    <col min="2938" max="2938" width="5" bestFit="1" customWidth="1"/>
    <col min="2939" max="2939" width="10.21875" bestFit="1" customWidth="1"/>
    <col min="2940" max="2940" width="8" bestFit="1" customWidth="1"/>
    <col min="2941" max="2941" width="10.21875" bestFit="1" customWidth="1"/>
    <col min="2942" max="2942" width="8" bestFit="1" customWidth="1"/>
    <col min="2943" max="2943" width="10.21875" bestFit="1" customWidth="1"/>
    <col min="2944" max="2944" width="8" bestFit="1" customWidth="1"/>
    <col min="2945" max="2945" width="10.21875" bestFit="1" customWidth="1"/>
    <col min="2946" max="2946" width="5" bestFit="1" customWidth="1"/>
    <col min="2947" max="2947" width="7.6640625" bestFit="1" customWidth="1"/>
    <col min="2948" max="2948" width="8" bestFit="1" customWidth="1"/>
    <col min="2949" max="2949" width="10.21875" bestFit="1" customWidth="1"/>
    <col min="2950" max="2950" width="8" bestFit="1" customWidth="1"/>
    <col min="2951" max="2952" width="5" bestFit="1" customWidth="1"/>
    <col min="2953" max="2953" width="10.21875" bestFit="1" customWidth="1"/>
    <col min="2954" max="2954" width="8" bestFit="1" customWidth="1"/>
    <col min="2955" max="2955" width="10.21875" bestFit="1" customWidth="1"/>
    <col min="2956" max="2956" width="7" bestFit="1" customWidth="1"/>
    <col min="2957" max="2957" width="9.21875" bestFit="1" customWidth="1"/>
    <col min="2958" max="2958" width="8" bestFit="1" customWidth="1"/>
    <col min="2959" max="2959" width="10.21875" bestFit="1" customWidth="1"/>
    <col min="2960" max="2960" width="8" bestFit="1" customWidth="1"/>
    <col min="2961" max="2962" width="5" bestFit="1" customWidth="1"/>
    <col min="2963" max="2963" width="10.21875" bestFit="1" customWidth="1"/>
    <col min="2964" max="2964" width="8" bestFit="1" customWidth="1"/>
    <col min="2965" max="2966" width="5" bestFit="1" customWidth="1"/>
    <col min="2967" max="2967" width="6" bestFit="1" customWidth="1"/>
    <col min="2968" max="2968" width="10.21875" bestFit="1" customWidth="1"/>
    <col min="2969" max="2969" width="8" bestFit="1" customWidth="1"/>
    <col min="2970" max="2970" width="10.21875" bestFit="1" customWidth="1"/>
    <col min="2971" max="2971" width="7" bestFit="1" customWidth="1"/>
    <col min="2972" max="2972" width="9.21875" bestFit="1" customWidth="1"/>
    <col min="2973" max="2973" width="8" bestFit="1" customWidth="1"/>
    <col min="2974" max="2974" width="10.21875" bestFit="1" customWidth="1"/>
    <col min="2975" max="2975" width="8" bestFit="1" customWidth="1"/>
    <col min="2976" max="2976" width="10.21875" bestFit="1" customWidth="1"/>
    <col min="2977" max="2977" width="8" bestFit="1" customWidth="1"/>
    <col min="2978" max="2978" width="5" bestFit="1" customWidth="1"/>
    <col min="2979" max="2979" width="10.21875" bestFit="1" customWidth="1"/>
    <col min="2980" max="2980" width="8" bestFit="1" customWidth="1"/>
    <col min="2981" max="2981" width="10.21875" bestFit="1" customWidth="1"/>
    <col min="2982" max="2982" width="8" bestFit="1" customWidth="1"/>
    <col min="2983" max="2983" width="5" bestFit="1" customWidth="1"/>
    <col min="2984" max="2984" width="10.21875" bestFit="1" customWidth="1"/>
    <col min="2985" max="2985" width="8" bestFit="1" customWidth="1"/>
    <col min="2986" max="2986" width="10.21875" bestFit="1" customWidth="1"/>
    <col min="2987" max="2987" width="8" bestFit="1" customWidth="1"/>
    <col min="2988" max="2988" width="10.21875" bestFit="1" customWidth="1"/>
    <col min="2989" max="2989" width="8" bestFit="1" customWidth="1"/>
    <col min="2990" max="2990" width="10.21875" bestFit="1" customWidth="1"/>
    <col min="2991" max="2991" width="8" bestFit="1" customWidth="1"/>
    <col min="2992" max="2992" width="10.21875" bestFit="1" customWidth="1"/>
    <col min="2993" max="2993" width="7" bestFit="1" customWidth="1"/>
    <col min="2994" max="2994" width="9.21875" bestFit="1" customWidth="1"/>
    <col min="2995" max="2995" width="8" bestFit="1" customWidth="1"/>
    <col min="2996" max="2996" width="10.21875" bestFit="1" customWidth="1"/>
    <col min="2997" max="2997" width="9" bestFit="1" customWidth="1"/>
    <col min="2998" max="2998" width="11.21875" bestFit="1" customWidth="1"/>
    <col min="2999" max="2999" width="8" bestFit="1" customWidth="1"/>
    <col min="3000" max="3000" width="10.21875" bestFit="1" customWidth="1"/>
    <col min="3001" max="3001" width="8" bestFit="1" customWidth="1"/>
    <col min="3002" max="3003" width="5" bestFit="1" customWidth="1"/>
    <col min="3004" max="3004" width="10.21875" bestFit="1" customWidth="1"/>
    <col min="3005" max="3005" width="7" bestFit="1" customWidth="1"/>
    <col min="3006" max="3006" width="5" bestFit="1" customWidth="1"/>
    <col min="3007" max="3007" width="9.21875" bestFit="1" customWidth="1"/>
    <col min="3008" max="3008" width="8" bestFit="1" customWidth="1"/>
    <col min="3009" max="3009" width="10.21875" bestFit="1" customWidth="1"/>
    <col min="3010" max="3010" width="8" bestFit="1" customWidth="1"/>
    <col min="3011" max="3011" width="10.21875" bestFit="1" customWidth="1"/>
    <col min="3012" max="3012" width="7" bestFit="1" customWidth="1"/>
    <col min="3013" max="3014" width="5" bestFit="1" customWidth="1"/>
    <col min="3015" max="3015" width="6" bestFit="1" customWidth="1"/>
    <col min="3016" max="3016" width="9.21875" bestFit="1" customWidth="1"/>
    <col min="3017" max="3017" width="9" bestFit="1" customWidth="1"/>
    <col min="3018" max="3018" width="11.21875" bestFit="1" customWidth="1"/>
    <col min="3019" max="3019" width="8" bestFit="1" customWidth="1"/>
    <col min="3020" max="3020" width="10.21875" bestFit="1" customWidth="1"/>
    <col min="3021" max="3021" width="8" bestFit="1" customWidth="1"/>
    <col min="3022" max="3022" width="10.21875" bestFit="1" customWidth="1"/>
    <col min="3023" max="3023" width="7" bestFit="1" customWidth="1"/>
    <col min="3024" max="3024" width="5" bestFit="1" customWidth="1"/>
    <col min="3025" max="3025" width="9.21875" bestFit="1" customWidth="1"/>
    <col min="3026" max="3026" width="8" bestFit="1" customWidth="1"/>
    <col min="3027" max="3027" width="10.21875" bestFit="1" customWidth="1"/>
    <col min="3028" max="3028" width="8" bestFit="1" customWidth="1"/>
    <col min="3029" max="3029" width="10.21875" bestFit="1" customWidth="1"/>
    <col min="3030" max="3030" width="8" bestFit="1" customWidth="1"/>
    <col min="3031" max="3031" width="10.21875" bestFit="1" customWidth="1"/>
    <col min="3032" max="3032" width="8" bestFit="1" customWidth="1"/>
    <col min="3033" max="3033" width="10.21875" bestFit="1" customWidth="1"/>
    <col min="3034" max="3034" width="7" bestFit="1" customWidth="1"/>
    <col min="3035" max="3036" width="5" bestFit="1" customWidth="1"/>
    <col min="3037" max="3037" width="6" bestFit="1" customWidth="1"/>
    <col min="3038" max="3038" width="9.21875" bestFit="1" customWidth="1"/>
    <col min="3039" max="3039" width="9" bestFit="1" customWidth="1"/>
    <col min="3040" max="3040" width="5" bestFit="1" customWidth="1"/>
    <col min="3041" max="3041" width="11.21875" bestFit="1" customWidth="1"/>
    <col min="3042" max="3042" width="8" bestFit="1" customWidth="1"/>
    <col min="3043" max="3043" width="10.21875" bestFit="1" customWidth="1"/>
    <col min="3044" max="3044" width="8" bestFit="1" customWidth="1"/>
    <col min="3045" max="3046" width="5" bestFit="1" customWidth="1"/>
    <col min="3047" max="3047" width="10.21875" bestFit="1" customWidth="1"/>
    <col min="3048" max="3048" width="8" bestFit="1" customWidth="1"/>
    <col min="3049" max="3049" width="10.21875" bestFit="1" customWidth="1"/>
    <col min="3050" max="3050" width="7" bestFit="1" customWidth="1"/>
    <col min="3051" max="3051" width="9.21875" bestFit="1" customWidth="1"/>
    <col min="3052" max="3052" width="8" bestFit="1" customWidth="1"/>
    <col min="3053" max="3053" width="10.21875" bestFit="1" customWidth="1"/>
    <col min="3054" max="3054" width="8" bestFit="1" customWidth="1"/>
    <col min="3055" max="3055" width="10.21875" bestFit="1" customWidth="1"/>
    <col min="3056" max="3056" width="8" bestFit="1" customWidth="1"/>
    <col min="3057" max="3057" width="5" bestFit="1" customWidth="1"/>
    <col min="3058" max="3058" width="10.21875" bestFit="1" customWidth="1"/>
    <col min="3059" max="3059" width="8" bestFit="1" customWidth="1"/>
    <col min="3060" max="3060" width="10.21875" bestFit="1" customWidth="1"/>
    <col min="3061" max="3061" width="9" bestFit="1" customWidth="1"/>
    <col min="3062" max="3062" width="11.21875" bestFit="1" customWidth="1"/>
    <col min="3063" max="3063" width="8" bestFit="1" customWidth="1"/>
    <col min="3064" max="3064" width="10.21875" bestFit="1" customWidth="1"/>
    <col min="3065" max="3065" width="8" bestFit="1" customWidth="1"/>
    <col min="3066" max="3066" width="10.21875" bestFit="1" customWidth="1"/>
    <col min="3067" max="3067" width="8" bestFit="1" customWidth="1"/>
    <col min="3068" max="3068" width="5" bestFit="1" customWidth="1"/>
    <col min="3069" max="3069" width="6" bestFit="1" customWidth="1"/>
    <col min="3070" max="3070" width="10.21875" bestFit="1" customWidth="1"/>
    <col min="3071" max="3071" width="9" bestFit="1" customWidth="1"/>
    <col min="3072" max="3072" width="5" bestFit="1" customWidth="1"/>
    <col min="3073" max="3073" width="11.21875" bestFit="1" customWidth="1"/>
    <col min="3074" max="3074" width="8" bestFit="1" customWidth="1"/>
    <col min="3075" max="3075" width="10.21875" bestFit="1" customWidth="1"/>
    <col min="3076" max="3076" width="8" bestFit="1" customWidth="1"/>
    <col min="3077" max="3077" width="5" bestFit="1" customWidth="1"/>
    <col min="3078" max="3078" width="10.21875" bestFit="1" customWidth="1"/>
    <col min="3079" max="3079" width="8" bestFit="1" customWidth="1"/>
    <col min="3080" max="3080" width="4" bestFit="1" customWidth="1"/>
    <col min="3081" max="3081" width="10.21875" bestFit="1" customWidth="1"/>
    <col min="3082" max="3082" width="7" bestFit="1" customWidth="1"/>
    <col min="3083" max="3083" width="9.21875" bestFit="1" customWidth="1"/>
    <col min="3084" max="3084" width="8" bestFit="1" customWidth="1"/>
    <col min="3085" max="3085" width="10.21875" bestFit="1" customWidth="1"/>
    <col min="3086" max="3086" width="8" bestFit="1" customWidth="1"/>
    <col min="3087" max="3087" width="5" bestFit="1" customWidth="1"/>
    <col min="3088" max="3088" width="10.21875" bestFit="1" customWidth="1"/>
    <col min="3089" max="3089" width="9" bestFit="1" customWidth="1"/>
    <col min="3090" max="3090" width="11.21875" bestFit="1" customWidth="1"/>
    <col min="3091" max="3091" width="8" bestFit="1" customWidth="1"/>
    <col min="3092" max="3092" width="10.21875" bestFit="1" customWidth="1"/>
    <col min="3093" max="3093" width="8" bestFit="1" customWidth="1"/>
    <col min="3094" max="3094" width="10.21875" bestFit="1" customWidth="1"/>
    <col min="3095" max="3095" width="8" bestFit="1" customWidth="1"/>
    <col min="3096" max="3096" width="10.21875" bestFit="1" customWidth="1"/>
    <col min="3097" max="3097" width="8" bestFit="1" customWidth="1"/>
    <col min="3098" max="3098" width="10.21875" bestFit="1" customWidth="1"/>
    <col min="3099" max="3099" width="7" bestFit="1" customWidth="1"/>
    <col min="3100" max="3100" width="9.21875" bestFit="1" customWidth="1"/>
    <col min="3101" max="3101" width="9" bestFit="1" customWidth="1"/>
    <col min="3102" max="3103" width="5" bestFit="1" customWidth="1"/>
    <col min="3104" max="3104" width="11.21875" bestFit="1" customWidth="1"/>
    <col min="3105" max="3105" width="8" bestFit="1" customWidth="1"/>
    <col min="3106" max="3106" width="10.21875" bestFit="1" customWidth="1"/>
    <col min="3107" max="3107" width="8" bestFit="1" customWidth="1"/>
    <col min="3108" max="3108" width="10.21875" bestFit="1" customWidth="1"/>
    <col min="3109" max="3109" width="8" bestFit="1" customWidth="1"/>
    <col min="3110" max="3110" width="10.21875" bestFit="1" customWidth="1"/>
    <col min="3111" max="3111" width="7" bestFit="1" customWidth="1"/>
    <col min="3112" max="3112" width="5" bestFit="1" customWidth="1"/>
    <col min="3113" max="3113" width="9.21875" bestFit="1" customWidth="1"/>
    <col min="3114" max="3114" width="8" bestFit="1" customWidth="1"/>
    <col min="3115" max="3115" width="10.21875" bestFit="1" customWidth="1"/>
    <col min="3116" max="3116" width="8" bestFit="1" customWidth="1"/>
    <col min="3117" max="3117" width="10.21875" bestFit="1" customWidth="1"/>
    <col min="3118" max="3118" width="8" bestFit="1" customWidth="1"/>
    <col min="3119" max="3119" width="10.21875" bestFit="1" customWidth="1"/>
    <col min="3120" max="3120" width="8" bestFit="1" customWidth="1"/>
    <col min="3121" max="3121" width="10.21875" bestFit="1" customWidth="1"/>
    <col min="3122" max="3122" width="8" bestFit="1" customWidth="1"/>
    <col min="3123" max="3123" width="10.21875" bestFit="1" customWidth="1"/>
    <col min="3124" max="3124" width="9" bestFit="1" customWidth="1"/>
    <col min="3125" max="3125" width="11.21875" bestFit="1" customWidth="1"/>
    <col min="3126" max="3126" width="8" bestFit="1" customWidth="1"/>
    <col min="3127" max="3127" width="10.21875" bestFit="1" customWidth="1"/>
    <col min="3128" max="3128" width="8" bestFit="1" customWidth="1"/>
    <col min="3129" max="3129" width="10.21875" bestFit="1" customWidth="1"/>
    <col min="3130" max="3130" width="7" bestFit="1" customWidth="1"/>
    <col min="3131" max="3131" width="9.21875" bestFit="1" customWidth="1"/>
    <col min="3132" max="3132" width="8" bestFit="1" customWidth="1"/>
    <col min="3133" max="3133" width="10.21875" bestFit="1" customWidth="1"/>
    <col min="3134" max="3134" width="8" bestFit="1" customWidth="1"/>
    <col min="3135" max="3135" width="5" bestFit="1" customWidth="1"/>
    <col min="3136" max="3136" width="10.21875" bestFit="1" customWidth="1"/>
    <col min="3137" max="3137" width="8" bestFit="1" customWidth="1"/>
    <col min="3138" max="3138" width="10.21875" bestFit="1" customWidth="1"/>
    <col min="3139" max="3139" width="7" bestFit="1" customWidth="1"/>
    <col min="3140" max="3140" width="5" bestFit="1" customWidth="1"/>
    <col min="3141" max="3141" width="9.21875" bestFit="1" customWidth="1"/>
    <col min="3142" max="3142" width="8" bestFit="1" customWidth="1"/>
    <col min="3143" max="3143" width="5" bestFit="1" customWidth="1"/>
    <col min="3144" max="3144" width="10.21875" bestFit="1" customWidth="1"/>
    <col min="3145" max="3145" width="8" bestFit="1" customWidth="1"/>
    <col min="3146" max="3146" width="10.21875" bestFit="1" customWidth="1"/>
    <col min="3147" max="3147" width="8" bestFit="1" customWidth="1"/>
    <col min="3148" max="3148" width="10.21875" bestFit="1" customWidth="1"/>
    <col min="3149" max="3149" width="7" bestFit="1" customWidth="1"/>
    <col min="3150" max="3150" width="9.21875" bestFit="1" customWidth="1"/>
    <col min="3151" max="3151" width="9" bestFit="1" customWidth="1"/>
    <col min="3152" max="3153" width="5" bestFit="1" customWidth="1"/>
    <col min="3154" max="3154" width="11.21875" bestFit="1" customWidth="1"/>
    <col min="3155" max="3155" width="8" bestFit="1" customWidth="1"/>
    <col min="3156" max="3156" width="10.21875" bestFit="1" customWidth="1"/>
    <col min="3157" max="3157" width="8" bestFit="1" customWidth="1"/>
    <col min="3158" max="3158" width="5" bestFit="1" customWidth="1"/>
    <col min="3159" max="3159" width="10.21875" bestFit="1" customWidth="1"/>
    <col min="3160" max="3160" width="8" bestFit="1" customWidth="1"/>
    <col min="3161" max="3161" width="10.21875" bestFit="1" customWidth="1"/>
    <col min="3162" max="3162" width="8" bestFit="1" customWidth="1"/>
    <col min="3163" max="3163" width="10.21875" bestFit="1" customWidth="1"/>
    <col min="3164" max="3164" width="8" bestFit="1" customWidth="1"/>
    <col min="3165" max="3165" width="5" bestFit="1" customWidth="1"/>
    <col min="3166" max="3166" width="6" bestFit="1" customWidth="1"/>
    <col min="3167" max="3167" width="10.21875" bestFit="1" customWidth="1"/>
    <col min="3168" max="3168" width="8" bestFit="1" customWidth="1"/>
    <col min="3169" max="3169" width="10.21875" bestFit="1" customWidth="1"/>
    <col min="3170" max="3170" width="8" bestFit="1" customWidth="1"/>
    <col min="3171" max="3171" width="10.21875" bestFit="1" customWidth="1"/>
    <col min="3172" max="3172" width="8" bestFit="1" customWidth="1"/>
    <col min="3173" max="3173" width="10.21875" bestFit="1" customWidth="1"/>
    <col min="3174" max="3174" width="8" bestFit="1" customWidth="1"/>
    <col min="3175" max="3175" width="10.21875" bestFit="1" customWidth="1"/>
    <col min="3176" max="3176" width="8" bestFit="1" customWidth="1"/>
    <col min="3177" max="3177" width="10.21875" bestFit="1" customWidth="1"/>
    <col min="3178" max="3178" width="8" bestFit="1" customWidth="1"/>
    <col min="3179" max="3179" width="10.21875" bestFit="1" customWidth="1"/>
    <col min="3180" max="3180" width="8" bestFit="1" customWidth="1"/>
    <col min="3181" max="3181" width="10.21875" bestFit="1" customWidth="1"/>
    <col min="3182" max="3182" width="7" bestFit="1" customWidth="1"/>
    <col min="3183" max="3183" width="5" bestFit="1" customWidth="1"/>
    <col min="3184" max="3184" width="9.21875" bestFit="1" customWidth="1"/>
    <col min="3185" max="3185" width="9" bestFit="1" customWidth="1"/>
    <col min="3186" max="3186" width="11.21875" bestFit="1" customWidth="1"/>
    <col min="3187" max="3187" width="7" bestFit="1" customWidth="1"/>
    <col min="3188" max="3188" width="9.21875" bestFit="1" customWidth="1"/>
    <col min="3189" max="3189" width="8" bestFit="1" customWidth="1"/>
    <col min="3190" max="3191" width="5" bestFit="1" customWidth="1"/>
    <col min="3192" max="3192" width="10.21875" bestFit="1" customWidth="1"/>
    <col min="3193" max="3193" width="8" bestFit="1" customWidth="1"/>
    <col min="3194" max="3194" width="10.21875" bestFit="1" customWidth="1"/>
    <col min="3195" max="3195" width="8" bestFit="1" customWidth="1"/>
    <col min="3196" max="3196" width="10.21875" bestFit="1" customWidth="1"/>
    <col min="3197" max="3197" width="8" bestFit="1" customWidth="1"/>
    <col min="3198" max="3198" width="5" bestFit="1" customWidth="1"/>
    <col min="3199" max="3199" width="4" bestFit="1" customWidth="1"/>
    <col min="3200" max="3201" width="5" bestFit="1" customWidth="1"/>
    <col min="3202" max="3202" width="10.21875" bestFit="1" customWidth="1"/>
    <col min="3203" max="3203" width="8" bestFit="1" customWidth="1"/>
    <col min="3204" max="3204" width="10.21875" bestFit="1" customWidth="1"/>
    <col min="3205" max="3205" width="8" bestFit="1" customWidth="1"/>
    <col min="3206" max="3206" width="10.21875" bestFit="1" customWidth="1"/>
    <col min="3207" max="3207" width="8" bestFit="1" customWidth="1"/>
    <col min="3208" max="3208" width="10.21875" bestFit="1" customWidth="1"/>
    <col min="3209" max="3209" width="7" bestFit="1" customWidth="1"/>
    <col min="3210" max="3210" width="9.21875" bestFit="1" customWidth="1"/>
    <col min="3211" max="3211" width="8" bestFit="1" customWidth="1"/>
    <col min="3212" max="3212" width="10.21875" bestFit="1" customWidth="1"/>
    <col min="3213" max="3213" width="7" bestFit="1" customWidth="1"/>
    <col min="3214" max="3214" width="5" bestFit="1" customWidth="1"/>
    <col min="3215" max="3215" width="9.21875" bestFit="1" customWidth="1"/>
    <col min="3216" max="3216" width="8" bestFit="1" customWidth="1"/>
    <col min="3217" max="3217" width="10.21875" bestFit="1" customWidth="1"/>
    <col min="3218" max="3218" width="8" bestFit="1" customWidth="1"/>
    <col min="3219" max="3219" width="10.21875" bestFit="1" customWidth="1"/>
    <col min="3220" max="3220" width="9" bestFit="1" customWidth="1"/>
    <col min="3221" max="3221" width="11.21875" bestFit="1" customWidth="1"/>
    <col min="3222" max="3222" width="8" bestFit="1" customWidth="1"/>
    <col min="3223" max="3223" width="10.21875" bestFit="1" customWidth="1"/>
    <col min="3224" max="3224" width="8" bestFit="1" customWidth="1"/>
    <col min="3225" max="3225" width="10.21875" bestFit="1" customWidth="1"/>
    <col min="3226" max="3226" width="8" bestFit="1" customWidth="1"/>
    <col min="3227" max="3227" width="10.21875" bestFit="1" customWidth="1"/>
    <col min="3228" max="3228" width="8" bestFit="1" customWidth="1"/>
    <col min="3229" max="3229" width="10.21875" bestFit="1" customWidth="1"/>
    <col min="3230" max="3230" width="8" bestFit="1" customWidth="1"/>
    <col min="3231" max="3231" width="10.21875" bestFit="1" customWidth="1"/>
    <col min="3232" max="3232" width="8" bestFit="1" customWidth="1"/>
    <col min="3233" max="3233" width="10.21875" bestFit="1" customWidth="1"/>
    <col min="3234" max="3234" width="8" bestFit="1" customWidth="1"/>
    <col min="3235" max="3235" width="10.21875" bestFit="1" customWidth="1"/>
    <col min="3236" max="3236" width="8" bestFit="1" customWidth="1"/>
    <col min="3237" max="3237" width="10.21875" bestFit="1" customWidth="1"/>
    <col min="3238" max="3238" width="8" bestFit="1" customWidth="1"/>
    <col min="3239" max="3239" width="10.21875" bestFit="1" customWidth="1"/>
    <col min="3240" max="3240" width="8" bestFit="1" customWidth="1"/>
    <col min="3241" max="3241" width="10.21875" bestFit="1" customWidth="1"/>
    <col min="3242" max="3242" width="8" bestFit="1" customWidth="1"/>
    <col min="3243" max="3243" width="10.21875" bestFit="1" customWidth="1"/>
    <col min="3244" max="3244" width="8" bestFit="1" customWidth="1"/>
    <col min="3245" max="3245" width="10.21875" bestFit="1" customWidth="1"/>
    <col min="3246" max="3246" width="8" bestFit="1" customWidth="1"/>
    <col min="3247" max="3247" width="10.21875" bestFit="1" customWidth="1"/>
    <col min="3248" max="3248" width="7" bestFit="1" customWidth="1"/>
    <col min="3249" max="3249" width="6" bestFit="1" customWidth="1"/>
    <col min="3250" max="3250" width="9.21875" bestFit="1" customWidth="1"/>
    <col min="3251" max="3251" width="8" bestFit="1" customWidth="1"/>
    <col min="3252" max="3252" width="10.21875" bestFit="1" customWidth="1"/>
    <col min="3253" max="3253" width="8" bestFit="1" customWidth="1"/>
    <col min="3254" max="3254" width="10.21875" bestFit="1" customWidth="1"/>
    <col min="3255" max="3255" width="8" bestFit="1" customWidth="1"/>
    <col min="3256" max="3256" width="6" bestFit="1" customWidth="1"/>
    <col min="3257" max="3257" width="10.21875" bestFit="1" customWidth="1"/>
    <col min="3258" max="3258" width="8" bestFit="1" customWidth="1"/>
    <col min="3259" max="3259" width="10.21875" bestFit="1" customWidth="1"/>
    <col min="3260" max="3260" width="8" bestFit="1" customWidth="1"/>
    <col min="3261" max="3261" width="10.21875" bestFit="1" customWidth="1"/>
    <col min="3262" max="3262" width="8" bestFit="1" customWidth="1"/>
    <col min="3263" max="3263" width="10.21875" bestFit="1" customWidth="1"/>
    <col min="3264" max="3264" width="8" bestFit="1" customWidth="1"/>
    <col min="3265" max="3265" width="4" bestFit="1" customWidth="1"/>
    <col min="3266" max="3266" width="10.21875" bestFit="1" customWidth="1"/>
    <col min="3267" max="3267" width="8" bestFit="1" customWidth="1"/>
    <col min="3268" max="3268" width="10.21875" bestFit="1" customWidth="1"/>
    <col min="3269" max="3269" width="8" bestFit="1" customWidth="1"/>
    <col min="3270" max="3270" width="10.21875" bestFit="1" customWidth="1"/>
    <col min="3271" max="3271" width="8" bestFit="1" customWidth="1"/>
    <col min="3272" max="3272" width="10.21875" bestFit="1" customWidth="1"/>
    <col min="3273" max="3273" width="8" bestFit="1" customWidth="1"/>
    <col min="3274" max="3274" width="10.21875" bestFit="1" customWidth="1"/>
    <col min="3275" max="3275" width="8" bestFit="1" customWidth="1"/>
    <col min="3276" max="3276" width="10.21875" bestFit="1" customWidth="1"/>
    <col min="3277" max="3277" width="8" bestFit="1" customWidth="1"/>
    <col min="3278" max="3278" width="5" bestFit="1" customWidth="1"/>
    <col min="3279" max="3279" width="10.21875" bestFit="1" customWidth="1"/>
    <col min="3280" max="3280" width="8" bestFit="1" customWidth="1"/>
    <col min="3281" max="3281" width="10.21875" bestFit="1" customWidth="1"/>
    <col min="3282" max="3282" width="8" bestFit="1" customWidth="1"/>
    <col min="3283" max="3283" width="10.21875" bestFit="1" customWidth="1"/>
    <col min="3284" max="3284" width="8" bestFit="1" customWidth="1"/>
    <col min="3285" max="3285" width="10.21875" bestFit="1" customWidth="1"/>
    <col min="3286" max="3286" width="7" bestFit="1" customWidth="1"/>
    <col min="3287" max="3287" width="9.21875" bestFit="1" customWidth="1"/>
    <col min="3288" max="3288" width="8" bestFit="1" customWidth="1"/>
    <col min="3289" max="3289" width="10.21875" bestFit="1" customWidth="1"/>
    <col min="3290" max="3290" width="8" bestFit="1" customWidth="1"/>
    <col min="3291" max="3291" width="10.21875" bestFit="1" customWidth="1"/>
    <col min="3292" max="3292" width="7" bestFit="1" customWidth="1"/>
    <col min="3293" max="3293" width="9.21875" bestFit="1" customWidth="1"/>
    <col min="3294" max="3294" width="8" bestFit="1" customWidth="1"/>
    <col min="3295" max="3295" width="10.21875" bestFit="1" customWidth="1"/>
    <col min="3296" max="3296" width="8" bestFit="1" customWidth="1"/>
    <col min="3297" max="3297" width="10.21875" bestFit="1" customWidth="1"/>
    <col min="3298" max="3298" width="7" bestFit="1" customWidth="1"/>
    <col min="3299" max="3299" width="9.21875" bestFit="1" customWidth="1"/>
    <col min="3300" max="3300" width="8" bestFit="1" customWidth="1"/>
    <col min="3301" max="3301" width="10.21875" bestFit="1" customWidth="1"/>
    <col min="3302" max="3302" width="8" bestFit="1" customWidth="1"/>
    <col min="3303" max="3303" width="10.21875" bestFit="1" customWidth="1"/>
    <col min="3304" max="3304" width="8" bestFit="1" customWidth="1"/>
    <col min="3305" max="3305" width="10.21875" bestFit="1" customWidth="1"/>
    <col min="3306" max="3306" width="8" bestFit="1" customWidth="1"/>
    <col min="3307" max="3307" width="5" bestFit="1" customWidth="1"/>
    <col min="3308" max="3308" width="10.21875" bestFit="1" customWidth="1"/>
    <col min="3309" max="3309" width="8" bestFit="1" customWidth="1"/>
    <col min="3310" max="3310" width="10.21875" bestFit="1" customWidth="1"/>
    <col min="3311" max="3311" width="5" bestFit="1" customWidth="1"/>
    <col min="3312" max="3312" width="7.6640625" bestFit="1" customWidth="1"/>
    <col min="3313" max="3313" width="8" bestFit="1" customWidth="1"/>
    <col min="3314" max="3314" width="10.21875" bestFit="1" customWidth="1"/>
    <col min="3315" max="3315" width="7" bestFit="1" customWidth="1"/>
    <col min="3316" max="3316" width="9.21875" bestFit="1" customWidth="1"/>
    <col min="3317" max="3317" width="8" bestFit="1" customWidth="1"/>
    <col min="3318" max="3318" width="10.21875" bestFit="1" customWidth="1"/>
    <col min="3319" max="3319" width="7" bestFit="1" customWidth="1"/>
    <col min="3320" max="3320" width="9.21875" bestFit="1" customWidth="1"/>
    <col min="3321" max="3321" width="8" bestFit="1" customWidth="1"/>
    <col min="3322" max="3322" width="5" bestFit="1" customWidth="1"/>
    <col min="3323" max="3323" width="10.21875" bestFit="1" customWidth="1"/>
    <col min="3324" max="3324" width="8" bestFit="1" customWidth="1"/>
    <col min="3325" max="3325" width="10.21875" bestFit="1" customWidth="1"/>
    <col min="3326" max="3326" width="8" bestFit="1" customWidth="1"/>
    <col min="3327" max="3327" width="10.21875" bestFit="1" customWidth="1"/>
    <col min="3328" max="3328" width="8" bestFit="1" customWidth="1"/>
    <col min="3329" max="3329" width="10.21875" bestFit="1" customWidth="1"/>
    <col min="3330" max="3330" width="8" bestFit="1" customWidth="1"/>
    <col min="3331" max="3331" width="10.21875" bestFit="1" customWidth="1"/>
    <col min="3332" max="3332" width="8" bestFit="1" customWidth="1"/>
    <col min="3333" max="3333" width="10.21875" bestFit="1" customWidth="1"/>
    <col min="3334" max="3334" width="8" bestFit="1" customWidth="1"/>
    <col min="3335" max="3335" width="10.21875" bestFit="1" customWidth="1"/>
    <col min="3336" max="3336" width="8" bestFit="1" customWidth="1"/>
    <col min="3337" max="3337" width="10.21875" bestFit="1" customWidth="1"/>
    <col min="3338" max="3338" width="8" bestFit="1" customWidth="1"/>
    <col min="3339" max="3339" width="10.21875" bestFit="1" customWidth="1"/>
    <col min="3340" max="3340" width="7" bestFit="1" customWidth="1"/>
    <col min="3341" max="3341" width="9.21875" bestFit="1" customWidth="1"/>
    <col min="3342" max="3342" width="9" bestFit="1" customWidth="1"/>
    <col min="3343" max="3343" width="11.21875" bestFit="1" customWidth="1"/>
    <col min="3344" max="3344" width="8" bestFit="1" customWidth="1"/>
    <col min="3345" max="3345" width="10.21875" bestFit="1" customWidth="1"/>
    <col min="3346" max="3346" width="8" bestFit="1" customWidth="1"/>
    <col min="3347" max="3347" width="10.21875" bestFit="1" customWidth="1"/>
    <col min="3348" max="3348" width="8" bestFit="1" customWidth="1"/>
    <col min="3349" max="3349" width="10.21875" bestFit="1" customWidth="1"/>
    <col min="3350" max="3350" width="8" bestFit="1" customWidth="1"/>
    <col min="3351" max="3351" width="10.21875" bestFit="1" customWidth="1"/>
    <col min="3352" max="3352" width="8" bestFit="1" customWidth="1"/>
    <col min="3353" max="3353" width="10.21875" bestFit="1" customWidth="1"/>
    <col min="3354" max="3354" width="8" bestFit="1" customWidth="1"/>
    <col min="3355" max="3355" width="10.21875" bestFit="1" customWidth="1"/>
    <col min="3356" max="3356" width="5" bestFit="1" customWidth="1"/>
    <col min="3357" max="3357" width="7.6640625" bestFit="1" customWidth="1"/>
    <col min="3358" max="3358" width="8" bestFit="1" customWidth="1"/>
    <col min="3359" max="3359" width="10.21875" bestFit="1" customWidth="1"/>
    <col min="3360" max="3360" width="8" bestFit="1" customWidth="1"/>
    <col min="3361" max="3361" width="10.21875" bestFit="1" customWidth="1"/>
    <col min="3362" max="3362" width="8" bestFit="1" customWidth="1"/>
    <col min="3363" max="3363" width="10.21875" bestFit="1" customWidth="1"/>
    <col min="3364" max="3364" width="8" bestFit="1" customWidth="1"/>
    <col min="3365" max="3365" width="10.21875" bestFit="1" customWidth="1"/>
    <col min="3366" max="3366" width="8" bestFit="1" customWidth="1"/>
    <col min="3367" max="3367" width="5" bestFit="1" customWidth="1"/>
    <col min="3368" max="3368" width="10.21875" bestFit="1" customWidth="1"/>
    <col min="3369" max="3369" width="8" bestFit="1" customWidth="1"/>
    <col min="3370" max="3370" width="10.21875" bestFit="1" customWidth="1"/>
    <col min="3371" max="3371" width="7" bestFit="1" customWidth="1"/>
    <col min="3372" max="3372" width="9.21875" bestFit="1" customWidth="1"/>
    <col min="3373" max="3373" width="8" bestFit="1" customWidth="1"/>
    <col min="3374" max="3374" width="10.21875" bestFit="1" customWidth="1"/>
    <col min="3375" max="3375" width="8" bestFit="1" customWidth="1"/>
    <col min="3376" max="3376" width="10.21875" bestFit="1" customWidth="1"/>
    <col min="3377" max="3377" width="8" bestFit="1" customWidth="1"/>
    <col min="3378" max="3378" width="5" bestFit="1" customWidth="1"/>
    <col min="3379" max="3379" width="10.21875" bestFit="1" customWidth="1"/>
    <col min="3380" max="3380" width="8" bestFit="1" customWidth="1"/>
    <col min="3381" max="3381" width="10.21875" bestFit="1" customWidth="1"/>
    <col min="3382" max="3382" width="8" bestFit="1" customWidth="1"/>
    <col min="3383" max="3383" width="10.21875" bestFit="1" customWidth="1"/>
    <col min="3384" max="3384" width="8" bestFit="1" customWidth="1"/>
    <col min="3385" max="3385" width="10.21875" bestFit="1" customWidth="1"/>
    <col min="3386" max="3386" width="8" bestFit="1" customWidth="1"/>
    <col min="3387" max="3387" width="10.21875" bestFit="1" customWidth="1"/>
    <col min="3388" max="3388" width="8" bestFit="1" customWidth="1"/>
    <col min="3389" max="3389" width="10.21875" bestFit="1" customWidth="1"/>
    <col min="3390" max="3390" width="7" bestFit="1" customWidth="1"/>
    <col min="3391" max="3391" width="9.21875" bestFit="1" customWidth="1"/>
    <col min="3392" max="3392" width="8" bestFit="1" customWidth="1"/>
    <col min="3393" max="3393" width="10.21875" bestFit="1" customWidth="1"/>
    <col min="3394" max="3394" width="7" bestFit="1" customWidth="1"/>
    <col min="3395" max="3395" width="6" bestFit="1" customWidth="1"/>
    <col min="3396" max="3396" width="9.21875" bestFit="1" customWidth="1"/>
    <col min="3397" max="3397" width="8" bestFit="1" customWidth="1"/>
    <col min="3398" max="3398" width="10.21875" bestFit="1" customWidth="1"/>
    <col min="3399" max="3399" width="8" bestFit="1" customWidth="1"/>
    <col min="3400" max="3400" width="10.21875" bestFit="1" customWidth="1"/>
    <col min="3401" max="3401" width="8" bestFit="1" customWidth="1"/>
    <col min="3402" max="3402" width="10.21875" bestFit="1" customWidth="1"/>
    <col min="3403" max="3403" width="8" bestFit="1" customWidth="1"/>
    <col min="3404" max="3404" width="10.21875" bestFit="1" customWidth="1"/>
    <col min="3405" max="3405" width="8" bestFit="1" customWidth="1"/>
    <col min="3406" max="3406" width="10.21875" bestFit="1" customWidth="1"/>
    <col min="3407" max="3407" width="7" bestFit="1" customWidth="1"/>
    <col min="3408" max="3408" width="9.21875" bestFit="1" customWidth="1"/>
    <col min="3409" max="3409" width="8" bestFit="1" customWidth="1"/>
    <col min="3410" max="3410" width="10.21875" bestFit="1" customWidth="1"/>
    <col min="3411" max="3411" width="7" bestFit="1" customWidth="1"/>
    <col min="3412" max="3412" width="5" bestFit="1" customWidth="1"/>
    <col min="3413" max="3413" width="9.21875" bestFit="1" customWidth="1"/>
    <col min="3414" max="3414" width="8" bestFit="1" customWidth="1"/>
    <col min="3415" max="3415" width="10.21875" bestFit="1" customWidth="1"/>
    <col min="3416" max="3416" width="8" bestFit="1" customWidth="1"/>
    <col min="3417" max="3417" width="10.21875" bestFit="1" customWidth="1"/>
    <col min="3418" max="3418" width="8" bestFit="1" customWidth="1"/>
    <col min="3419" max="3419" width="10.21875" bestFit="1" customWidth="1"/>
    <col min="3420" max="3420" width="8" bestFit="1" customWidth="1"/>
    <col min="3421" max="3421" width="5" bestFit="1" customWidth="1"/>
    <col min="3422" max="3422" width="10.21875" bestFit="1" customWidth="1"/>
    <col min="3423" max="3423" width="8" bestFit="1" customWidth="1"/>
    <col min="3424" max="3425" width="5" bestFit="1" customWidth="1"/>
    <col min="3426" max="3426" width="10.21875" bestFit="1" customWidth="1"/>
    <col min="3427" max="3427" width="8" bestFit="1" customWidth="1"/>
    <col min="3428" max="3428" width="10.21875" bestFit="1" customWidth="1"/>
    <col min="3429" max="3429" width="8" bestFit="1" customWidth="1"/>
    <col min="3430" max="3430" width="10.21875" bestFit="1" customWidth="1"/>
    <col min="3431" max="3431" width="8" bestFit="1" customWidth="1"/>
    <col min="3432" max="3432" width="10.21875" bestFit="1" customWidth="1"/>
    <col min="3433" max="3433" width="8" bestFit="1" customWidth="1"/>
    <col min="3434" max="3434" width="10.21875" bestFit="1" customWidth="1"/>
    <col min="3435" max="3435" width="7" bestFit="1" customWidth="1"/>
    <col min="3436" max="3436" width="6" bestFit="1" customWidth="1"/>
    <col min="3437" max="3437" width="9.21875" bestFit="1" customWidth="1"/>
    <col min="3438" max="3438" width="8" bestFit="1" customWidth="1"/>
    <col min="3439" max="3439" width="10.21875" bestFit="1" customWidth="1"/>
    <col min="3440" max="3440" width="8" bestFit="1" customWidth="1"/>
    <col min="3441" max="3441" width="10.21875" bestFit="1" customWidth="1"/>
    <col min="3442" max="3442" width="8" bestFit="1" customWidth="1"/>
    <col min="3443" max="3443" width="10.21875" bestFit="1" customWidth="1"/>
    <col min="3444" max="3444" width="8" bestFit="1" customWidth="1"/>
    <col min="3445" max="3445" width="10.21875" bestFit="1" customWidth="1"/>
    <col min="3446" max="3446" width="8" bestFit="1" customWidth="1"/>
    <col min="3447" max="3447" width="10.21875" bestFit="1" customWidth="1"/>
    <col min="3448" max="3448" width="6" bestFit="1" customWidth="1"/>
    <col min="3449" max="3449" width="7.6640625" bestFit="1" customWidth="1"/>
    <col min="3450" max="3450" width="8" bestFit="1" customWidth="1"/>
    <col min="3451" max="3451" width="4" bestFit="1" customWidth="1"/>
    <col min="3452" max="3452" width="10.21875" bestFit="1" customWidth="1"/>
    <col min="3453" max="3453" width="8" bestFit="1" customWidth="1"/>
    <col min="3454" max="3454" width="10.21875" bestFit="1" customWidth="1"/>
    <col min="3455" max="3455" width="8" bestFit="1" customWidth="1"/>
    <col min="3456" max="3456" width="10.21875" bestFit="1" customWidth="1"/>
    <col min="3457" max="3457" width="7" bestFit="1" customWidth="1"/>
    <col min="3458" max="3458" width="9.21875" bestFit="1" customWidth="1"/>
    <col min="3459" max="3459" width="8" bestFit="1" customWidth="1"/>
    <col min="3460" max="3460" width="10.21875" bestFit="1" customWidth="1"/>
    <col min="3461" max="3461" width="8" bestFit="1" customWidth="1"/>
    <col min="3462" max="3462" width="10.21875" bestFit="1" customWidth="1"/>
    <col min="3463" max="3463" width="8" bestFit="1" customWidth="1"/>
    <col min="3464" max="3464" width="10.21875" bestFit="1" customWidth="1"/>
    <col min="3465" max="3465" width="8" bestFit="1" customWidth="1"/>
    <col min="3466" max="3466" width="10.21875" bestFit="1" customWidth="1"/>
    <col min="3467" max="3467" width="8" bestFit="1" customWidth="1"/>
    <col min="3468" max="3468" width="10.21875" bestFit="1" customWidth="1"/>
    <col min="3469" max="3469" width="7" bestFit="1" customWidth="1"/>
    <col min="3470" max="3470" width="9.21875" bestFit="1" customWidth="1"/>
    <col min="3471" max="3471" width="8" bestFit="1" customWidth="1"/>
    <col min="3472" max="3472" width="10.21875" bestFit="1" customWidth="1"/>
    <col min="3473" max="3473" width="6" bestFit="1" customWidth="1"/>
    <col min="3474" max="3474" width="7.6640625" bestFit="1" customWidth="1"/>
    <col min="3475" max="3475" width="8" bestFit="1" customWidth="1"/>
    <col min="3476" max="3476" width="10.21875" bestFit="1" customWidth="1"/>
    <col min="3477" max="3477" width="8" bestFit="1" customWidth="1"/>
    <col min="3478" max="3478" width="10.21875" bestFit="1" customWidth="1"/>
    <col min="3479" max="3479" width="8" bestFit="1" customWidth="1"/>
    <col min="3480" max="3480" width="10.21875" bestFit="1" customWidth="1"/>
    <col min="3481" max="3481" width="7" bestFit="1" customWidth="1"/>
    <col min="3482" max="3482" width="9.21875" bestFit="1" customWidth="1"/>
    <col min="3483" max="3483" width="8" bestFit="1" customWidth="1"/>
    <col min="3484" max="3484" width="10.21875" bestFit="1" customWidth="1"/>
    <col min="3485" max="3485" width="8" bestFit="1" customWidth="1"/>
    <col min="3486" max="3486" width="5" bestFit="1" customWidth="1"/>
    <col min="3487" max="3487" width="10.21875" bestFit="1" customWidth="1"/>
    <col min="3488" max="3488" width="8" bestFit="1" customWidth="1"/>
    <col min="3489" max="3489" width="10.21875" bestFit="1" customWidth="1"/>
    <col min="3490" max="3490" width="8" bestFit="1" customWidth="1"/>
    <col min="3491" max="3491" width="10.21875" bestFit="1" customWidth="1"/>
    <col min="3492" max="3492" width="8" bestFit="1" customWidth="1"/>
    <col min="3493" max="3493" width="10.21875" bestFit="1" customWidth="1"/>
    <col min="3494" max="3494" width="7" bestFit="1" customWidth="1"/>
    <col min="3495" max="3495" width="9.21875" bestFit="1" customWidth="1"/>
    <col min="3496" max="3496" width="8" bestFit="1" customWidth="1"/>
    <col min="3497" max="3497" width="5" bestFit="1" customWidth="1"/>
    <col min="3498" max="3498" width="10.21875" bestFit="1" customWidth="1"/>
    <col min="3499" max="3499" width="7" bestFit="1" customWidth="1"/>
    <col min="3500" max="3500" width="9.21875" bestFit="1" customWidth="1"/>
    <col min="3501" max="3501" width="8" bestFit="1" customWidth="1"/>
    <col min="3502" max="3502" width="10.21875" bestFit="1" customWidth="1"/>
    <col min="3503" max="3503" width="8" bestFit="1" customWidth="1"/>
    <col min="3504" max="3504" width="10.21875" bestFit="1" customWidth="1"/>
    <col min="3505" max="3505" width="8" bestFit="1" customWidth="1"/>
    <col min="3506" max="3506" width="10.21875" bestFit="1" customWidth="1"/>
    <col min="3507" max="3507" width="8" bestFit="1" customWidth="1"/>
    <col min="3508" max="3508" width="10.21875" bestFit="1" customWidth="1"/>
    <col min="3509" max="3509" width="8" bestFit="1" customWidth="1"/>
    <col min="3510" max="3510" width="10.21875" bestFit="1" customWidth="1"/>
    <col min="3511" max="3511" width="8" bestFit="1" customWidth="1"/>
    <col min="3512" max="3512" width="10.21875" bestFit="1" customWidth="1"/>
    <col min="3513" max="3513" width="8" bestFit="1" customWidth="1"/>
    <col min="3514" max="3514" width="10.21875" bestFit="1" customWidth="1"/>
    <col min="3515" max="3515" width="8" bestFit="1" customWidth="1"/>
    <col min="3516" max="3516" width="10.21875" bestFit="1" customWidth="1"/>
    <col min="3517" max="3517" width="8" bestFit="1" customWidth="1"/>
    <col min="3518" max="3518" width="5" bestFit="1" customWidth="1"/>
    <col min="3519" max="3519" width="10.21875" bestFit="1" customWidth="1"/>
    <col min="3520" max="3520" width="8" bestFit="1" customWidth="1"/>
    <col min="3521" max="3521" width="10.21875" bestFit="1" customWidth="1"/>
    <col min="3522" max="3522" width="8" bestFit="1" customWidth="1"/>
    <col min="3523" max="3523" width="10.21875" bestFit="1" customWidth="1"/>
    <col min="3524" max="3524" width="7" bestFit="1" customWidth="1"/>
    <col min="3525" max="3525" width="9.21875" bestFit="1" customWidth="1"/>
    <col min="3526" max="3526" width="8" bestFit="1" customWidth="1"/>
    <col min="3527" max="3527" width="10.21875" bestFit="1" customWidth="1"/>
    <col min="3528" max="3528" width="8" bestFit="1" customWidth="1"/>
    <col min="3529" max="3529" width="10.21875" bestFit="1" customWidth="1"/>
    <col min="3530" max="3530" width="8" bestFit="1" customWidth="1"/>
    <col min="3531" max="3531" width="10.21875" bestFit="1" customWidth="1"/>
    <col min="3532" max="3532" width="8" bestFit="1" customWidth="1"/>
    <col min="3533" max="3533" width="10.21875" bestFit="1" customWidth="1"/>
    <col min="3534" max="3534" width="8" bestFit="1" customWidth="1"/>
    <col min="3535" max="3535" width="10.21875" bestFit="1" customWidth="1"/>
    <col min="3536" max="3536" width="8" bestFit="1" customWidth="1"/>
    <col min="3537" max="3537" width="10.21875" bestFit="1" customWidth="1"/>
    <col min="3538" max="3538" width="8" bestFit="1" customWidth="1"/>
    <col min="3539" max="3539" width="10.21875" bestFit="1" customWidth="1"/>
    <col min="3540" max="3540" width="8" bestFit="1" customWidth="1"/>
    <col min="3541" max="3541" width="10.21875" bestFit="1" customWidth="1"/>
    <col min="3542" max="3542" width="8" bestFit="1" customWidth="1"/>
    <col min="3543" max="3543" width="10.21875" bestFit="1" customWidth="1"/>
    <col min="3544" max="3544" width="7" bestFit="1" customWidth="1"/>
    <col min="3545" max="3545" width="9.21875" bestFit="1" customWidth="1"/>
    <col min="3546" max="3546" width="8" bestFit="1" customWidth="1"/>
    <col min="3547" max="3547" width="10.21875" bestFit="1" customWidth="1"/>
    <col min="3548" max="3548" width="8" bestFit="1" customWidth="1"/>
    <col min="3549" max="3549" width="10.21875" bestFit="1" customWidth="1"/>
    <col min="3550" max="3550" width="7" bestFit="1" customWidth="1"/>
    <col min="3551" max="3551" width="9.21875" bestFit="1" customWidth="1"/>
    <col min="3552" max="3552" width="8" bestFit="1" customWidth="1"/>
    <col min="3553" max="3553" width="10.21875" bestFit="1" customWidth="1"/>
    <col min="3554" max="3554" width="8" bestFit="1" customWidth="1"/>
    <col min="3555" max="3555" width="10.21875" bestFit="1" customWidth="1"/>
    <col min="3556" max="3556" width="8" bestFit="1" customWidth="1"/>
    <col min="3557" max="3557" width="10.21875" bestFit="1" customWidth="1"/>
    <col min="3558" max="3558" width="8" bestFit="1" customWidth="1"/>
    <col min="3559" max="3559" width="10.21875" bestFit="1" customWidth="1"/>
    <col min="3560" max="3560" width="8" bestFit="1" customWidth="1"/>
    <col min="3561" max="3561" width="10.21875" bestFit="1" customWidth="1"/>
    <col min="3562" max="3562" width="8" bestFit="1" customWidth="1"/>
    <col min="3563" max="3563" width="10.21875" bestFit="1" customWidth="1"/>
    <col min="3564" max="3564" width="8" bestFit="1" customWidth="1"/>
    <col min="3565" max="3565" width="10.21875" bestFit="1" customWidth="1"/>
    <col min="3566" max="3566" width="8" bestFit="1" customWidth="1"/>
    <col min="3567" max="3567" width="10.21875" bestFit="1" customWidth="1"/>
    <col min="3568" max="3568" width="8" bestFit="1" customWidth="1"/>
    <col min="3569" max="3569" width="5" bestFit="1" customWidth="1"/>
    <col min="3570" max="3570" width="10.21875" bestFit="1" customWidth="1"/>
    <col min="3571" max="3571" width="8" bestFit="1" customWidth="1"/>
    <col min="3572" max="3572" width="10.21875" bestFit="1" customWidth="1"/>
    <col min="3573" max="3573" width="8" bestFit="1" customWidth="1"/>
    <col min="3574" max="3574" width="10.21875" bestFit="1" customWidth="1"/>
    <col min="3575" max="3575" width="8" bestFit="1" customWidth="1"/>
    <col min="3576" max="3576" width="10.21875" bestFit="1" customWidth="1"/>
    <col min="3577" max="3577" width="8" bestFit="1" customWidth="1"/>
    <col min="3578" max="3578" width="10.21875" bestFit="1" customWidth="1"/>
    <col min="3579" max="3579" width="8" bestFit="1" customWidth="1"/>
    <col min="3580" max="3580" width="10.21875" bestFit="1" customWidth="1"/>
    <col min="3581" max="3581" width="8" bestFit="1" customWidth="1"/>
    <col min="3582" max="3582" width="10.21875" bestFit="1" customWidth="1"/>
    <col min="3583" max="3583" width="8" bestFit="1" customWidth="1"/>
    <col min="3584" max="3584" width="10.21875" bestFit="1" customWidth="1"/>
    <col min="3585" max="3585" width="8" bestFit="1" customWidth="1"/>
    <col min="3586" max="3586" width="10.21875" bestFit="1" customWidth="1"/>
    <col min="3587" max="3587" width="8" bestFit="1" customWidth="1"/>
    <col min="3588" max="3588" width="5" bestFit="1" customWidth="1"/>
    <col min="3589" max="3589" width="10.21875" bestFit="1" customWidth="1"/>
    <col min="3590" max="3590" width="8" bestFit="1" customWidth="1"/>
    <col min="3591" max="3591" width="10.21875" bestFit="1" customWidth="1"/>
    <col min="3592" max="3592" width="8" bestFit="1" customWidth="1"/>
    <col min="3593" max="3593" width="10.21875" bestFit="1" customWidth="1"/>
    <col min="3594" max="3594" width="8" bestFit="1" customWidth="1"/>
    <col min="3595" max="3595" width="5" bestFit="1" customWidth="1"/>
    <col min="3596" max="3596" width="10.21875" bestFit="1" customWidth="1"/>
    <col min="3597" max="3597" width="8" bestFit="1" customWidth="1"/>
    <col min="3598" max="3598" width="10.21875" bestFit="1" customWidth="1"/>
    <col min="3599" max="3599" width="8" bestFit="1" customWidth="1"/>
    <col min="3600" max="3600" width="10.21875" bestFit="1" customWidth="1"/>
    <col min="3601" max="3601" width="8" bestFit="1" customWidth="1"/>
    <col min="3602" max="3602" width="10.21875" bestFit="1" customWidth="1"/>
    <col min="3603" max="3603" width="8" bestFit="1" customWidth="1"/>
    <col min="3604" max="3604" width="6" bestFit="1" customWidth="1"/>
    <col min="3605" max="3605" width="10.21875" bestFit="1" customWidth="1"/>
    <col min="3606" max="3606" width="8" bestFit="1" customWidth="1"/>
    <col min="3607" max="3607" width="10.21875" bestFit="1" customWidth="1"/>
    <col min="3608" max="3608" width="7" bestFit="1" customWidth="1"/>
    <col min="3609" max="3609" width="9.21875" bestFit="1" customWidth="1"/>
    <col min="3610" max="3610" width="8" bestFit="1" customWidth="1"/>
    <col min="3611" max="3611" width="10.21875" bestFit="1" customWidth="1"/>
    <col min="3612" max="3612" width="8" bestFit="1" customWidth="1"/>
    <col min="3613" max="3613" width="10.21875" bestFit="1" customWidth="1"/>
    <col min="3614" max="3614" width="8" bestFit="1" customWidth="1"/>
    <col min="3615" max="3615" width="10.21875" bestFit="1" customWidth="1"/>
    <col min="3616" max="3616" width="8" bestFit="1" customWidth="1"/>
    <col min="3617" max="3617" width="10.21875" bestFit="1" customWidth="1"/>
    <col min="3618" max="3618" width="8" bestFit="1" customWidth="1"/>
    <col min="3619" max="3619" width="10.21875" bestFit="1" customWidth="1"/>
    <col min="3620" max="3620" width="8" bestFit="1" customWidth="1"/>
    <col min="3621" max="3621" width="10.21875" bestFit="1" customWidth="1"/>
    <col min="3622" max="3622" width="8" bestFit="1" customWidth="1"/>
    <col min="3623" max="3623" width="10.21875" bestFit="1" customWidth="1"/>
    <col min="3624" max="3624" width="8" bestFit="1" customWidth="1"/>
    <col min="3625" max="3625" width="10.21875" bestFit="1" customWidth="1"/>
    <col min="3626" max="3626" width="7" bestFit="1" customWidth="1"/>
    <col min="3627" max="3627" width="9.21875" bestFit="1" customWidth="1"/>
    <col min="3628" max="3628" width="8" bestFit="1" customWidth="1"/>
    <col min="3629" max="3629" width="10.21875" bestFit="1" customWidth="1"/>
    <col min="3630" max="3630" width="8" bestFit="1" customWidth="1"/>
    <col min="3631" max="3631" width="10.21875" bestFit="1" customWidth="1"/>
    <col min="3632" max="3632" width="8" bestFit="1" customWidth="1"/>
    <col min="3633" max="3633" width="10.21875" bestFit="1" customWidth="1"/>
    <col min="3634" max="3634" width="8" bestFit="1" customWidth="1"/>
    <col min="3635" max="3635" width="10.21875" bestFit="1" customWidth="1"/>
    <col min="3636" max="3636" width="8" bestFit="1" customWidth="1"/>
    <col min="3637" max="3637" width="10.21875" bestFit="1" customWidth="1"/>
    <col min="3638" max="3638" width="8" bestFit="1" customWidth="1"/>
    <col min="3639" max="3639" width="10.21875" bestFit="1" customWidth="1"/>
    <col min="3640" max="3640" width="8" bestFit="1" customWidth="1"/>
    <col min="3641" max="3641" width="10.21875" bestFit="1" customWidth="1"/>
    <col min="3642" max="3642" width="8" bestFit="1" customWidth="1"/>
    <col min="3643" max="3643" width="10.21875" bestFit="1" customWidth="1"/>
    <col min="3644" max="3644" width="8" bestFit="1" customWidth="1"/>
    <col min="3645" max="3645" width="10.21875" bestFit="1" customWidth="1"/>
    <col min="3646" max="3646" width="8" bestFit="1" customWidth="1"/>
    <col min="3647" max="3647" width="10.21875" bestFit="1" customWidth="1"/>
    <col min="3648" max="3648" width="8" bestFit="1" customWidth="1"/>
    <col min="3649" max="3649" width="10.21875" bestFit="1" customWidth="1"/>
    <col min="3650" max="3650" width="8" bestFit="1" customWidth="1"/>
    <col min="3651" max="3651" width="10.21875" bestFit="1" customWidth="1"/>
    <col min="3652" max="3652" width="8" bestFit="1" customWidth="1"/>
    <col min="3653" max="3653" width="10.21875" bestFit="1" customWidth="1"/>
    <col min="3654" max="3654" width="8" bestFit="1" customWidth="1"/>
    <col min="3655" max="3655" width="10.21875" bestFit="1" customWidth="1"/>
    <col min="3656" max="3656" width="8" bestFit="1" customWidth="1"/>
    <col min="3657" max="3657" width="10.21875" bestFit="1" customWidth="1"/>
    <col min="3658" max="3658" width="5" bestFit="1" customWidth="1"/>
    <col min="3659" max="3659" width="7.6640625" bestFit="1" customWidth="1"/>
    <col min="3660" max="3660" width="8" bestFit="1" customWidth="1"/>
    <col min="3661" max="3661" width="10.21875" bestFit="1" customWidth="1"/>
    <col min="3662" max="3662" width="7" bestFit="1" customWidth="1"/>
    <col min="3663" max="3663" width="9.21875" bestFit="1" customWidth="1"/>
    <col min="3664" max="3664" width="7" bestFit="1" customWidth="1"/>
    <col min="3665" max="3665" width="9.21875" bestFit="1" customWidth="1"/>
    <col min="3666" max="3666" width="8" bestFit="1" customWidth="1"/>
    <col min="3667" max="3667" width="10.21875" bestFit="1" customWidth="1"/>
    <col min="3668" max="3668" width="8" bestFit="1" customWidth="1"/>
    <col min="3669" max="3669" width="10.21875" bestFit="1" customWidth="1"/>
    <col min="3670" max="3670" width="8" bestFit="1" customWidth="1"/>
    <col min="3671" max="3671" width="5" bestFit="1" customWidth="1"/>
    <col min="3672" max="3672" width="10.21875" bestFit="1" customWidth="1"/>
    <col min="3673" max="3673" width="8" bestFit="1" customWidth="1"/>
    <col min="3674" max="3674" width="5" bestFit="1" customWidth="1"/>
    <col min="3675" max="3675" width="10.21875" bestFit="1" customWidth="1"/>
    <col min="3676" max="3676" width="8" bestFit="1" customWidth="1"/>
    <col min="3677" max="3677" width="10.21875" bestFit="1" customWidth="1"/>
    <col min="3678" max="3678" width="8" bestFit="1" customWidth="1"/>
    <col min="3679" max="3679" width="10.21875" bestFit="1" customWidth="1"/>
    <col min="3680" max="3680" width="8" bestFit="1" customWidth="1"/>
    <col min="3681" max="3681" width="10.21875" bestFit="1" customWidth="1"/>
    <col min="3682" max="3682" width="8" bestFit="1" customWidth="1"/>
    <col min="3683" max="3683" width="10.21875" bestFit="1" customWidth="1"/>
    <col min="3684" max="3684" width="8" bestFit="1" customWidth="1"/>
    <col min="3685" max="3685" width="10.21875" bestFit="1" customWidth="1"/>
    <col min="3686" max="3686" width="8" bestFit="1" customWidth="1"/>
    <col min="3687" max="3687" width="10.21875" bestFit="1" customWidth="1"/>
    <col min="3688" max="3688" width="10.77734375" bestFit="1" customWidth="1"/>
  </cols>
  <sheetData>
    <row r="1" spans="1:21" ht="14.4" customHeight="1" x14ac:dyDescent="0.4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1" t="s">
        <v>15</v>
      </c>
      <c r="Q1" s="1" t="s">
        <v>16</v>
      </c>
      <c r="R1" s="1" t="s">
        <v>17</v>
      </c>
    </row>
    <row r="2" spans="1:21" ht="14.4" customHeight="1" x14ac:dyDescent="0.3">
      <c r="A2" s="5" t="s">
        <v>18</v>
      </c>
      <c r="B2" s="5" t="str">
        <f>VLOOKUP($A2,[1]!Customer_Names[#Data],3,0)</f>
        <v xml:space="preserve">  Kelly</v>
      </c>
      <c r="C2" s="5">
        <v>47.41</v>
      </c>
      <c r="D2" s="5" t="str" cm="1">
        <f t="array" ref="D2">_xlfn.IFS(Healthcare!$C2&lt;18.5,"under weight",Healthcare!$C2&lt;=24.9,"Normal Weight",Healthcare!$C2&gt;=25,"overweight",Healthcare!$C2&gt;=30,"obese")</f>
        <v>overweight</v>
      </c>
      <c r="E2" s="5">
        <v>7.47</v>
      </c>
      <c r="F2" s="5" t="str" cm="1">
        <f t="array" ref="F2">_xlfn.IFS(Healthcare!$E2&lt;5.7,"normal",Healthcare!$E2&lt;=6.4,"prediabetes",Healthcare!$E2&gt;=6.5,"diabetes")</f>
        <v>diabetes</v>
      </c>
      <c r="G2" s="5" t="s">
        <v>19</v>
      </c>
      <c r="H2" s="5" t="s">
        <v>19</v>
      </c>
      <c r="I2" s="5" t="s">
        <v>19</v>
      </c>
      <c r="J2" s="5">
        <v>0</v>
      </c>
      <c r="K2" s="5" t="s">
        <v>20</v>
      </c>
      <c r="L2" s="5" t="str">
        <f>VLOOKUP(Healthcare!$A2,hospital_details,2,0)</f>
        <v>12-Oct-1968</v>
      </c>
      <c r="M2" s="5">
        <f ca="1">VLOOKUP(A2,hospital_details,3,0)</f>
        <v>58</v>
      </c>
      <c r="N2" s="5">
        <f t="shared" ref="N2:N65" si="0">VLOOKUP($A2,hospital_details,4,0)</f>
        <v>0</v>
      </c>
      <c r="O2" s="6">
        <f t="shared" ref="O2:O65" si="1">VLOOKUP($A2,hospital_details,5,0)</f>
        <v>63770.43</v>
      </c>
      <c r="P2" s="5" t="str">
        <f t="shared" ref="P2:P65" si="2">VLOOKUP($A2,hospital_details,6,0)</f>
        <v>tier - 1</v>
      </c>
      <c r="Q2" s="5" t="str">
        <f t="shared" ref="Q2:Q65" si="3">VLOOKUP($A2,hospital_details,7,0)</f>
        <v>tier - 3</v>
      </c>
      <c r="R2" s="5" t="str">
        <f t="shared" ref="R2:R65" si="4">VLOOKUP($A2,hospital_details,8,0)</f>
        <v>R1013</v>
      </c>
    </row>
    <row r="3" spans="1:21" ht="16.95" customHeight="1" x14ac:dyDescent="0.4">
      <c r="A3" s="7" t="s">
        <v>21</v>
      </c>
      <c r="B3" s="7" t="str">
        <f>VLOOKUP($A3,[1]!Customer_Names[#Data],3,0)</f>
        <v xml:space="preserve">  Matthew D</v>
      </c>
      <c r="C3" s="7">
        <v>30.36</v>
      </c>
      <c r="D3" s="7" t="str" cm="1">
        <f t="array" ref="D3">_xlfn.IFS(Healthcare!$C3&lt;18.5,"under weight",Healthcare!$C3&lt;=24.9,"Normal Weight",Healthcare!$C3&gt;=25,"overweight",Healthcare!$C3&gt;=30,"obese")</f>
        <v>overweight</v>
      </c>
      <c r="E3" s="7">
        <v>5.77</v>
      </c>
      <c r="F3" s="7" t="str" cm="1">
        <f t="array" ref="F3">_xlfn.IFS(Healthcare!$E3&lt;5.7,"normal",Healthcare!$E3&lt;=6.4,"prediabetes",Healthcare!$E3&gt;=6.5,"diabetes")</f>
        <v>prediabetes</v>
      </c>
      <c r="G3" s="7" t="s">
        <v>19</v>
      </c>
      <c r="H3" s="7" t="s">
        <v>19</v>
      </c>
      <c r="I3" s="7" t="s">
        <v>19</v>
      </c>
      <c r="J3" s="7">
        <v>0</v>
      </c>
      <c r="K3" s="7" t="s">
        <v>20</v>
      </c>
      <c r="L3" s="7" t="str">
        <f>VLOOKUP(Healthcare!$A3,hospital_details,2,0)</f>
        <v>8-Jun-1977</v>
      </c>
      <c r="M3" s="7">
        <f t="shared" ref="M3:M65" ca="1" si="5">VLOOKUP(A3,hospital_details,3,0)</f>
        <v>49</v>
      </c>
      <c r="N3" s="7">
        <f t="shared" ref="N3:N66" si="6">VLOOKUP($A3,hospital_details,4,0)</f>
        <v>0</v>
      </c>
      <c r="O3" s="8">
        <f t="shared" ref="O3:O66" si="7">VLOOKUP($A3,hospital_details,5,0)</f>
        <v>62592.87</v>
      </c>
      <c r="P3" s="7" t="str">
        <f t="shared" ref="P3:P66" si="8">VLOOKUP($A3,hospital_details,6,0)</f>
        <v>tier - 2</v>
      </c>
      <c r="Q3" s="7" t="str">
        <f t="shared" ref="Q3:Q66" si="9">VLOOKUP($A3,hospital_details,7,0)</f>
        <v>tier - 3</v>
      </c>
      <c r="R3" s="7" t="str">
        <f t="shared" ref="R3:R66" si="10">VLOOKUP($A3,hospital_details,8,0)</f>
        <v>R1013</v>
      </c>
      <c r="T3" s="9"/>
      <c r="U3" s="9"/>
    </row>
    <row r="4" spans="1:21" ht="14.4" customHeight="1" x14ac:dyDescent="0.3">
      <c r="A4" s="5" t="s">
        <v>22</v>
      </c>
      <c r="B4" s="5" t="str">
        <f>VLOOKUP($A4,[1]!Customer_Names[#Data],3,0)</f>
        <v xml:space="preserve">  Phil</v>
      </c>
      <c r="C4" s="5">
        <v>34.484999999999999</v>
      </c>
      <c r="D4" s="5" t="str" cm="1">
        <f t="array" ref="D4">_xlfn.IFS(Healthcare!$C4&lt;18.5,"under weight",Healthcare!$C4&lt;=24.9,"Normal Weight",Healthcare!$C4&gt;=25,"overweight",Healthcare!$C4&gt;=30,"obese")</f>
        <v>overweight</v>
      </c>
      <c r="E4" s="5">
        <v>11.87</v>
      </c>
      <c r="F4" s="5" t="str" cm="1">
        <f t="array" ref="F4">_xlfn.IFS(Healthcare!$E4&lt;5.7,"normal",Healthcare!$E4&lt;=6.4,"prediabetes",Healthcare!$E4&gt;=6.5,"diabetes")</f>
        <v>diabetes</v>
      </c>
      <c r="G4" s="5" t="s">
        <v>20</v>
      </c>
      <c r="H4" s="5" t="s">
        <v>19</v>
      </c>
      <c r="I4" s="5" t="s">
        <v>19</v>
      </c>
      <c r="J4" s="5">
        <v>2</v>
      </c>
      <c r="K4" s="5" t="s">
        <v>20</v>
      </c>
      <c r="L4" s="5" t="str">
        <f>VLOOKUP(Healthcare!$A4,hospital_details,2,0)</f>
        <v>11-sep-1970</v>
      </c>
      <c r="M4" s="5">
        <f t="shared" ref="M4:M66" ca="1" si="11">VLOOKUP(A4,hospital_details,3,0)</f>
        <v>56</v>
      </c>
      <c r="N4" s="5">
        <f t="shared" ref="N4:N67" si="12">VLOOKUP($A4,hospital_details,4,0)</f>
        <v>3</v>
      </c>
      <c r="O4" s="6">
        <f t="shared" ref="O4:O67" si="13">VLOOKUP($A4,hospital_details,5,0)</f>
        <v>60021.4</v>
      </c>
      <c r="P4" s="5" t="str">
        <f t="shared" ref="P4:P67" si="14">VLOOKUP($A4,hospital_details,6,0)</f>
        <v>tier - 1</v>
      </c>
      <c r="Q4" s="5" t="str">
        <f t="shared" ref="Q4:Q67" si="15">VLOOKUP($A4,hospital_details,7,0)</f>
        <v>tier - 1</v>
      </c>
      <c r="R4" s="5" t="str">
        <f t="shared" ref="R4:R67" si="16">VLOOKUP($A4,hospital_details,8,0)</f>
        <v>R1012</v>
      </c>
    </row>
    <row r="5" spans="1:21" ht="14.4" customHeight="1" x14ac:dyDescent="0.3">
      <c r="A5" s="7" t="s">
        <v>23</v>
      </c>
      <c r="B5" s="7" t="str">
        <f>VLOOKUP($A5,[1]!Customer_Names[#Data],3,0)</f>
        <v xml:space="preserve">  Kelsey</v>
      </c>
      <c r="C5" s="7">
        <v>38.094999999999999</v>
      </c>
      <c r="D5" s="7" t="str" cm="1">
        <f t="array" ref="D5">_xlfn.IFS(Healthcare!$C5&lt;18.5,"under weight",Healthcare!$C5&lt;=24.9,"Normal Weight",Healthcare!$C5&gt;=25,"overweight",Healthcare!$C5&gt;=30,"obese")</f>
        <v>overweight</v>
      </c>
      <c r="E5" s="7">
        <v>6.05</v>
      </c>
      <c r="F5" s="7" t="str" cm="1">
        <f t="array" ref="F5">_xlfn.IFS(Healthcare!$E5&lt;5.7,"normal",Healthcare!$E5&lt;=6.4,"prediabetes",Healthcare!$E5&gt;=6.5,"diabetes")</f>
        <v>prediabetes</v>
      </c>
      <c r="G5" s="7" t="s">
        <v>19</v>
      </c>
      <c r="H5" s="7" t="s">
        <v>19</v>
      </c>
      <c r="I5" s="7" t="s">
        <v>19</v>
      </c>
      <c r="J5" s="7">
        <v>0</v>
      </c>
      <c r="K5" s="7" t="s">
        <v>20</v>
      </c>
      <c r="L5" s="7" t="str">
        <f>VLOOKUP(Healthcare!$A5,hospital_details,2,0)</f>
        <v>6-Jun-1991</v>
      </c>
      <c r="M5" s="7">
        <f t="shared" ref="M5:M67" ca="1" si="17">VLOOKUP(A5,hospital_details,3,0)</f>
        <v>35</v>
      </c>
      <c r="N5" s="7">
        <f t="shared" ref="N5:N68" si="18">VLOOKUP($A5,hospital_details,4,0)</f>
        <v>1</v>
      </c>
      <c r="O5" s="8">
        <f t="shared" ref="O5:O68" si="19">VLOOKUP($A5,hospital_details,5,0)</f>
        <v>58571.07</v>
      </c>
      <c r="P5" s="7" t="str">
        <f t="shared" ref="P5:P68" si="20">VLOOKUP($A5,hospital_details,6,0)</f>
        <v>tier - 1</v>
      </c>
      <c r="Q5" s="7" t="str">
        <f t="shared" ref="Q5:Q68" si="21">VLOOKUP($A5,hospital_details,7,0)</f>
        <v>tier - 3</v>
      </c>
      <c r="R5" s="7" t="str">
        <f t="shared" ref="R5:R68" si="22">VLOOKUP($A5,hospital_details,8,0)</f>
        <v>R1024</v>
      </c>
      <c r="S5" s="10"/>
    </row>
    <row r="6" spans="1:21" ht="14.4" customHeight="1" x14ac:dyDescent="0.3">
      <c r="A6" s="5" t="s">
        <v>24</v>
      </c>
      <c r="B6" s="5" t="str">
        <f>VLOOKUP($A6,[1]!Customer_Names[#Data],3,0)</f>
        <v xml:space="preserve">  Kristyn</v>
      </c>
      <c r="C6" s="5">
        <v>35.53</v>
      </c>
      <c r="D6" s="5" t="str" cm="1">
        <f t="array" ref="D6">_xlfn.IFS(Healthcare!$C6&lt;18.5,"under weight",Healthcare!$C6&lt;=24.9,"Normal Weight",Healthcare!$C6&gt;=25,"overweight",Healthcare!$C6&gt;=30,"obese")</f>
        <v>overweight</v>
      </c>
      <c r="E6" s="5">
        <v>5.45</v>
      </c>
      <c r="F6" s="5" t="str" cm="1">
        <f t="array" ref="F6">_xlfn.IFS(Healthcare!$E6&lt;5.7,"normal",Healthcare!$E6&lt;=6.4,"prediabetes",Healthcare!$E6&gt;=6.5,"diabetes")</f>
        <v>normal</v>
      </c>
      <c r="G6" s="5" t="s">
        <v>19</v>
      </c>
      <c r="H6" s="5" t="s">
        <v>19</v>
      </c>
      <c r="I6" s="5" t="s">
        <v>19</v>
      </c>
      <c r="J6" s="5">
        <v>0</v>
      </c>
      <c r="K6" s="5" t="s">
        <v>20</v>
      </c>
      <c r="L6" s="5" t="str">
        <f>VLOOKUP(Healthcare!$A6,hospital_details,2,0)</f>
        <v>19-Jun-1989</v>
      </c>
      <c r="M6" s="5">
        <f t="shared" ref="M6:M68" ca="1" si="23">VLOOKUP(A6,hospital_details,3,0)</f>
        <v>37</v>
      </c>
      <c r="N6" s="5">
        <f t="shared" ref="N6:N69" si="24">VLOOKUP($A6,hospital_details,4,0)</f>
        <v>0</v>
      </c>
      <c r="O6" s="6">
        <f t="shared" ref="O6:O69" si="25">VLOOKUP($A6,hospital_details,5,0)</f>
        <v>55135.4</v>
      </c>
      <c r="P6" s="5" t="str">
        <f t="shared" ref="P6:P69" si="26">VLOOKUP($A6,hospital_details,6,0)</f>
        <v>tier - 1</v>
      </c>
      <c r="Q6" s="5" t="str">
        <f t="shared" ref="Q6:Q69" si="27">VLOOKUP($A6,hospital_details,7,0)</f>
        <v>tier - 2</v>
      </c>
      <c r="R6" s="5" t="str">
        <f t="shared" ref="R6:R69" si="28">VLOOKUP($A6,hospital_details,8,0)</f>
        <v>R1012</v>
      </c>
    </row>
    <row r="7" spans="1:21" ht="14.4" customHeight="1" x14ac:dyDescent="0.3">
      <c r="A7" s="7" t="s">
        <v>25</v>
      </c>
      <c r="B7" s="7" t="str">
        <f>VLOOKUP($A7,[1]!Customer_Names[#Data],3,0)</f>
        <v xml:space="preserve">  Russell B</v>
      </c>
      <c r="C7" s="7">
        <v>32.799999999999997</v>
      </c>
      <c r="D7" s="7" t="str" cm="1">
        <f t="array" ref="D7">_xlfn.IFS(Healthcare!$C7&lt;18.5,"under weight",Healthcare!$C7&lt;=24.9,"Normal Weight",Healthcare!$C7&gt;=25,"overweight",Healthcare!$C7&gt;=30,"obese")</f>
        <v>overweight</v>
      </c>
      <c r="E7" s="7">
        <v>6.59</v>
      </c>
      <c r="F7" s="7" t="str" cm="1">
        <f t="array" ref="F7">_xlfn.IFS(Healthcare!$E7&lt;5.7,"normal",Healthcare!$E7&lt;=6.4,"prediabetes",Healthcare!$E7&gt;=6.5,"diabetes")</f>
        <v>diabetes</v>
      </c>
      <c r="G7" s="7" t="s">
        <v>19</v>
      </c>
      <c r="H7" s="7" t="s">
        <v>19</v>
      </c>
      <c r="I7" s="7" t="s">
        <v>19</v>
      </c>
      <c r="J7" s="7">
        <v>0</v>
      </c>
      <c r="K7" s="7" t="s">
        <v>20</v>
      </c>
      <c r="L7" s="7" t="str">
        <f>VLOOKUP(Healthcare!$A7,hospital_details,2,0)</f>
        <v>4-Aug-1962</v>
      </c>
      <c r="M7" s="7">
        <f t="shared" ref="M7:M69" ca="1" si="29">VLOOKUP(A7,hospital_details,3,0)</f>
        <v>64</v>
      </c>
      <c r="N7" s="7">
        <f t="shared" ref="N7:N70" si="30">VLOOKUP($A7,hospital_details,4,0)</f>
        <v>0</v>
      </c>
      <c r="O7" s="8">
        <f t="shared" ref="O7:O70" si="31">VLOOKUP($A7,hospital_details,5,0)</f>
        <v>52590.83</v>
      </c>
      <c r="P7" s="7" t="str">
        <f t="shared" ref="P7:P70" si="32">VLOOKUP($A7,hospital_details,6,0)</f>
        <v>tier - 1</v>
      </c>
      <c r="Q7" s="7" t="str">
        <f t="shared" ref="Q7:Q70" si="33">VLOOKUP($A7,hospital_details,7,0)</f>
        <v>tier - 3</v>
      </c>
      <c r="R7" s="7" t="str">
        <f t="shared" ref="R7:R70" si="34">VLOOKUP($A7,hospital_details,8,0)</f>
        <v>R1011</v>
      </c>
    </row>
    <row r="8" spans="1:21" ht="14.4" customHeight="1" x14ac:dyDescent="0.3">
      <c r="A8" s="5" t="s">
        <v>26</v>
      </c>
      <c r="B8" s="5" t="str">
        <f>VLOOKUP($A8,[1]!Customer_Names[#Data],3,0)</f>
        <v xml:space="preserve">  Scott</v>
      </c>
      <c r="C8" s="5">
        <v>36.4</v>
      </c>
      <c r="D8" s="5" t="str" cm="1">
        <f t="array" ref="D8">_xlfn.IFS(Healthcare!$C8&lt;18.5,"under weight",Healthcare!$C8&lt;=24.9,"Normal Weight",Healthcare!$C8&gt;=25,"overweight",Healthcare!$C8&gt;=30,"obese")</f>
        <v>overweight</v>
      </c>
      <c r="E8" s="5">
        <v>6.07</v>
      </c>
      <c r="F8" s="5" t="str" cm="1">
        <f t="array" ref="F8">_xlfn.IFS(Healthcare!$E8&lt;5.7,"normal",Healthcare!$E8&lt;=6.4,"prediabetes",Healthcare!$E8&gt;=6.5,"diabetes")</f>
        <v>prediabetes</v>
      </c>
      <c r="G8" s="5" t="s">
        <v>19</v>
      </c>
      <c r="H8" s="5" t="s">
        <v>19</v>
      </c>
      <c r="I8" s="5" t="s">
        <v>19</v>
      </c>
      <c r="J8" s="5">
        <v>0</v>
      </c>
      <c r="K8" s="5" t="s">
        <v>20</v>
      </c>
      <c r="L8" s="5" t="str">
        <f>VLOOKUP(Healthcare!$A8,hospital_details,2,0)</f>
        <v>27-Oct-1994</v>
      </c>
      <c r="M8" s="5">
        <f t="shared" ref="M8:M70" ca="1" si="35">VLOOKUP(A8,hospital_details,3,0)</f>
        <v>31</v>
      </c>
      <c r="N8" s="5">
        <f t="shared" ref="N8:N71" si="36">VLOOKUP($A8,hospital_details,4,0)</f>
        <v>1</v>
      </c>
      <c r="O8" s="6">
        <f t="shared" ref="O8:O71" si="37">VLOOKUP($A8,hospital_details,5,0)</f>
        <v>51194.559999999998</v>
      </c>
      <c r="P8" s="5" t="str">
        <f t="shared" ref="P8:P71" si="38">VLOOKUP($A8,hospital_details,6,0)</f>
        <v>tier - 1</v>
      </c>
      <c r="Q8" s="5" t="str">
        <f t="shared" ref="Q8:Q71" si="39">VLOOKUP($A8,hospital_details,7,0)</f>
        <v>tier - 3</v>
      </c>
      <c r="R8" s="5" t="str">
        <f t="shared" ref="R8:R71" si="40">VLOOKUP($A8,hospital_details,8,0)</f>
        <v>R1011</v>
      </c>
    </row>
    <row r="9" spans="1:21" ht="14.4" customHeight="1" x14ac:dyDescent="0.3">
      <c r="A9" s="7" t="s">
        <v>27</v>
      </c>
      <c r="B9" s="7" t="str">
        <f>VLOOKUP($A9,[1]!Customer_Names[#Data],3,0)</f>
        <v xml:space="preserve">  Stephen</v>
      </c>
      <c r="C9" s="7">
        <v>36.96</v>
      </c>
      <c r="D9" s="7" t="str" cm="1">
        <f t="array" ref="D9">_xlfn.IFS(Healthcare!$C9&lt;18.5,"under weight",Healthcare!$C9&lt;=24.9,"Normal Weight",Healthcare!$C9&gt;=25,"overweight",Healthcare!$C9&gt;=30,"obese")</f>
        <v>overweight</v>
      </c>
      <c r="E9" s="7">
        <v>7.93</v>
      </c>
      <c r="F9" s="7" t="str" cm="1">
        <f t="array" ref="F9">_xlfn.IFS(Healthcare!$E9&lt;5.7,"normal",Healthcare!$E9&lt;=6.4,"prediabetes",Healthcare!$E9&gt;=6.5,"diabetes")</f>
        <v>diabetes</v>
      </c>
      <c r="G9" s="7" t="s">
        <v>19</v>
      </c>
      <c r="H9" s="7" t="s">
        <v>19</v>
      </c>
      <c r="I9" s="7" t="s">
        <v>19</v>
      </c>
      <c r="J9" s="7">
        <v>3</v>
      </c>
      <c r="K9" s="7" t="s">
        <v>20</v>
      </c>
      <c r="L9" s="7" t="str">
        <f>VLOOKUP(Healthcare!$A9,hospital_details,2,0)</f>
        <v>27-Jun-1958</v>
      </c>
      <c r="M9" s="7">
        <f t="shared" ref="M9:M71" ca="1" si="41">VLOOKUP(A9,hospital_details,3,0)</f>
        <v>68</v>
      </c>
      <c r="N9" s="7">
        <f t="shared" ref="N9:N72" si="42">VLOOKUP($A9,hospital_details,4,0)</f>
        <v>2</v>
      </c>
      <c r="O9" s="8">
        <f t="shared" ref="O9:O72" si="43">VLOOKUP($A9,hospital_details,5,0)</f>
        <v>49577.66</v>
      </c>
      <c r="P9" s="7" t="str">
        <f t="shared" ref="P9:P72" si="44">VLOOKUP($A9,hospital_details,6,0)</f>
        <v>tier - 2</v>
      </c>
      <c r="Q9" s="7" t="str">
        <f t="shared" ref="Q9:Q72" si="45">VLOOKUP($A9,hospital_details,7,0)</f>
        <v>tier - 2</v>
      </c>
      <c r="R9" s="7" t="str">
        <f t="shared" ref="R9:R72" si="46">VLOOKUP($A9,hospital_details,8,0)</f>
        <v>R1013</v>
      </c>
    </row>
    <row r="10" spans="1:21" ht="14.4" customHeight="1" x14ac:dyDescent="0.3">
      <c r="A10" s="5" t="s">
        <v>28</v>
      </c>
      <c r="B10" s="5" t="str">
        <f>VLOOKUP($A10,[1]!Customer_Names[#Data],3,0)</f>
        <v xml:space="preserve">  Patrick R</v>
      </c>
      <c r="C10" s="5">
        <v>41.14</v>
      </c>
      <c r="D10" s="5" t="str" cm="1">
        <f t="array" ref="D10">_xlfn.IFS(Healthcare!$C10&lt;18.5,"under weight",Healthcare!$C10&lt;=24.9,"Normal Weight",Healthcare!$C10&gt;=25,"overweight",Healthcare!$C10&gt;=30,"obese")</f>
        <v>overweight</v>
      </c>
      <c r="E10" s="5">
        <v>9.58</v>
      </c>
      <c r="F10" s="5" t="str" cm="1">
        <f t="array" ref="F10">_xlfn.IFS(Healthcare!$E10&lt;5.7,"normal",Healthcare!$E10&lt;=6.4,"prediabetes",Healthcare!$E10&gt;=6.5,"diabetes")</f>
        <v>diabetes</v>
      </c>
      <c r="G10" s="5" t="s">
        <v>20</v>
      </c>
      <c r="H10" s="5" t="s">
        <v>19</v>
      </c>
      <c r="I10" s="5" t="s">
        <v>29</v>
      </c>
      <c r="J10" s="5">
        <v>1</v>
      </c>
      <c r="K10" s="5" t="s">
        <v>20</v>
      </c>
      <c r="L10" s="5" t="str">
        <f>VLOOKUP(Healthcare!$A10,hospital_details,2,0)</f>
        <v>4-Sep-1963</v>
      </c>
      <c r="M10" s="5">
        <f t="shared" ref="M10:M72" ca="1" si="47">VLOOKUP(A10,hospital_details,3,0)</f>
        <v>63</v>
      </c>
      <c r="N10" s="5">
        <f t="shared" ref="N10:N73" si="48">VLOOKUP($A10,hospital_details,4,0)</f>
        <v>1</v>
      </c>
      <c r="O10" s="6">
        <f t="shared" ref="O10:O73" si="49">VLOOKUP($A10,hospital_details,5,0)</f>
        <v>48970.25</v>
      </c>
      <c r="P10" s="5" t="str">
        <f t="shared" ref="P10:P73" si="50">VLOOKUP($A10,hospital_details,6,0)</f>
        <v>tier - 1</v>
      </c>
      <c r="Q10" s="5" t="str">
        <f t="shared" ref="Q10:Q73" si="51">VLOOKUP($A10,hospital_details,7,0)</f>
        <v>tier - 2</v>
      </c>
      <c r="R10" s="5" t="str">
        <f t="shared" ref="R10:R73" si="52">VLOOKUP($A10,hospital_details,8,0)</f>
        <v>R1013</v>
      </c>
    </row>
    <row r="11" spans="1:21" ht="14.4" customHeight="1" x14ac:dyDescent="0.3">
      <c r="A11" s="7" t="s">
        <v>30</v>
      </c>
      <c r="B11" s="7" t="str">
        <f>VLOOKUP($A11,[1]!Customer_Names[#Data],3,0)</f>
        <v xml:space="preserve">  Brooke N</v>
      </c>
      <c r="C11" s="7">
        <v>38.06</v>
      </c>
      <c r="D11" s="7" t="str" cm="1">
        <f t="array" ref="D11">_xlfn.IFS(Healthcare!$C11&lt;18.5,"under weight",Healthcare!$C11&lt;=24.9,"Normal Weight",Healthcare!$C11&gt;=25,"overweight",Healthcare!$C11&gt;=30,"obese")</f>
        <v>overweight</v>
      </c>
      <c r="E11" s="7">
        <v>10.79</v>
      </c>
      <c r="F11" s="7" t="str" cm="1">
        <f t="array" ref="F11">_xlfn.IFS(Healthcare!$E11&lt;5.7,"normal",Healthcare!$E11&lt;=6.4,"prediabetes",Healthcare!$E11&gt;=6.5,"diabetes")</f>
        <v>diabetes</v>
      </c>
      <c r="G11" s="7" t="s">
        <v>19</v>
      </c>
      <c r="H11" s="7" t="s">
        <v>19</v>
      </c>
      <c r="I11" s="7" t="s">
        <v>19</v>
      </c>
      <c r="J11" s="7">
        <v>0</v>
      </c>
      <c r="K11" s="7" t="s">
        <v>20</v>
      </c>
      <c r="L11" s="7" t="str">
        <f>VLOOKUP(Healthcare!$A11,hospital_details,2,0)</f>
        <v>29-Dec-1978</v>
      </c>
      <c r="M11" s="7">
        <f t="shared" ref="M11:M73" ca="1" si="53">VLOOKUP(A11,hospital_details,3,0)</f>
        <v>47</v>
      </c>
      <c r="N11" s="7">
        <f t="shared" ref="N11:N74" si="54">VLOOKUP($A11,hospital_details,4,0)</f>
        <v>0</v>
      </c>
      <c r="O11" s="8">
        <f t="shared" ref="O11:O74" si="55">VLOOKUP($A11,hospital_details,5,0)</f>
        <v>48885.14</v>
      </c>
      <c r="P11" s="7" t="str">
        <f t="shared" ref="P11:P74" si="56">VLOOKUP($A11,hospital_details,6,0)</f>
        <v>tier - 1</v>
      </c>
      <c r="Q11" s="7" t="str">
        <f t="shared" ref="Q11:Q74" si="57">VLOOKUP($A11,hospital_details,7,0)</f>
        <v>tier - 2</v>
      </c>
      <c r="R11" s="7" t="str">
        <f t="shared" ref="R11:R74" si="58">VLOOKUP($A11,hospital_details,8,0)</f>
        <v>R1013</v>
      </c>
    </row>
    <row r="12" spans="1:21" ht="14.4" customHeight="1" x14ac:dyDescent="0.3">
      <c r="A12" s="5" t="s">
        <v>31</v>
      </c>
      <c r="B12" s="5" t="str">
        <f>VLOOKUP($A12,[1]!Customer_Names[#Data],3,0)</f>
        <v xml:space="preserve">  Paola Andrea</v>
      </c>
      <c r="C12" s="5">
        <v>37.700000000000003</v>
      </c>
      <c r="D12" s="5" t="str" cm="1">
        <f t="array" ref="D12">_xlfn.IFS(Healthcare!$C12&lt;18.5,"under weight",Healthcare!$C12&lt;=24.9,"Normal Weight",Healthcare!$C12&gt;=25,"overweight",Healthcare!$C12&gt;=30,"obese")</f>
        <v>overweight</v>
      </c>
      <c r="E12" s="5">
        <v>5.96</v>
      </c>
      <c r="F12" s="5" t="str" cm="1">
        <f t="array" ref="F12">_xlfn.IFS(Healthcare!$E12&lt;5.7,"normal",Healthcare!$E12&lt;=6.4,"prediabetes",Healthcare!$E12&gt;=6.5,"diabetes")</f>
        <v>prediabetes</v>
      </c>
      <c r="G12" s="5" t="s">
        <v>20</v>
      </c>
      <c r="H12" s="5" t="s">
        <v>19</v>
      </c>
      <c r="I12" s="5" t="s">
        <v>19</v>
      </c>
      <c r="J12" s="5">
        <v>2</v>
      </c>
      <c r="K12" s="5" t="s">
        <v>20</v>
      </c>
      <c r="L12" s="5" t="str">
        <f>VLOOKUP(Healthcare!$A12,hospital_details,2,0)</f>
        <v>22-Jul-1959</v>
      </c>
      <c r="M12" s="5">
        <f t="shared" ref="M12:M74" ca="1" si="59">VLOOKUP(A12,hospital_details,3,0)</f>
        <v>67</v>
      </c>
      <c r="N12" s="5">
        <f t="shared" ref="N12:N75" si="60">VLOOKUP($A12,hospital_details,4,0)</f>
        <v>0</v>
      </c>
      <c r="O12" s="6">
        <f t="shared" ref="O12:O75" si="61">VLOOKUP($A12,hospital_details,5,0)</f>
        <v>48824.45</v>
      </c>
      <c r="P12" s="5" t="str">
        <f t="shared" ref="P12:P75" si="62">VLOOKUP($A12,hospital_details,6,0)</f>
        <v>tier - 2</v>
      </c>
      <c r="Q12" s="5" t="str">
        <f t="shared" ref="Q12:Q75" si="63">VLOOKUP($A12,hospital_details,7,0)</f>
        <v>tier - 1</v>
      </c>
      <c r="R12" s="5" t="str">
        <f t="shared" ref="R12:R75" si="64">VLOOKUP($A12,hospital_details,8,0)</f>
        <v>R1011</v>
      </c>
    </row>
    <row r="13" spans="1:21" ht="14.4" customHeight="1" x14ac:dyDescent="0.3">
      <c r="A13" s="7" t="s">
        <v>32</v>
      </c>
      <c r="B13" s="7" t="str">
        <f>VLOOKUP($A13,[1]!Customer_Names[#Data],3,0)</f>
        <v xml:space="preserve">  David</v>
      </c>
      <c r="C13" s="7">
        <v>42.13</v>
      </c>
      <c r="D13" s="7" t="str" cm="1">
        <f t="array" ref="D13">_xlfn.IFS(Healthcare!$C13&lt;18.5,"under weight",Healthcare!$C13&lt;=24.9,"Normal Weight",Healthcare!$C13&gt;=25,"overweight",Healthcare!$C13&gt;=30,"obese")</f>
        <v>overweight</v>
      </c>
      <c r="E13" s="7">
        <v>11.9</v>
      </c>
      <c r="F13" s="7" t="str" cm="1">
        <f t="array" ref="F13">_xlfn.IFS(Healthcare!$E13&lt;5.7,"normal",Healthcare!$E13&lt;=6.4,"prediabetes",Healthcare!$E13&gt;=6.5,"diabetes")</f>
        <v>diabetes</v>
      </c>
      <c r="G13" s="7" t="s">
        <v>19</v>
      </c>
      <c r="H13" s="7" t="s">
        <v>19</v>
      </c>
      <c r="I13" s="7" t="s">
        <v>19</v>
      </c>
      <c r="J13" s="7">
        <v>0</v>
      </c>
      <c r="K13" s="7" t="s">
        <v>20</v>
      </c>
      <c r="L13" s="7" t="str">
        <f>VLOOKUP(Healthcare!$A13,hospital_details,2,0)</f>
        <v>27-Oct-1965</v>
      </c>
      <c r="M13" s="7">
        <f t="shared" ref="M13:M75" ca="1" si="65">VLOOKUP(A13,hospital_details,3,0)</f>
        <v>60</v>
      </c>
      <c r="N13" s="7">
        <f t="shared" ref="N13:N76" si="66">VLOOKUP($A13,hospital_details,4,0)</f>
        <v>1</v>
      </c>
      <c r="O13" s="8">
        <f t="shared" ref="O13:O76" si="67">VLOOKUP($A13,hospital_details,5,0)</f>
        <v>48675.519999999997</v>
      </c>
      <c r="P13" s="7" t="str">
        <f t="shared" ref="P13:P76" si="68">VLOOKUP($A13,hospital_details,6,0)</f>
        <v>tier - 1</v>
      </c>
      <c r="Q13" s="7" t="str">
        <f t="shared" ref="Q13:Q76" si="69">VLOOKUP($A13,hospital_details,7,0)</f>
        <v>tier - 2</v>
      </c>
      <c r="R13" s="7" t="str">
        <f t="shared" ref="R13:R76" si="70">VLOOKUP($A13,hospital_details,8,0)</f>
        <v>R1013</v>
      </c>
    </row>
    <row r="14" spans="1:21" ht="14.4" customHeight="1" x14ac:dyDescent="0.3">
      <c r="A14" s="5" t="s">
        <v>33</v>
      </c>
      <c r="B14" s="5" t="str">
        <f>VLOOKUP($A14,[1]!Customer_Names[#Data],3,0)</f>
        <v xml:space="preserve">  Wade</v>
      </c>
      <c r="C14" s="5">
        <v>40.92</v>
      </c>
      <c r="D14" s="5" t="str" cm="1">
        <f t="array" ref="D14">_xlfn.IFS(Healthcare!$C14&lt;18.5,"under weight",Healthcare!$C14&lt;=24.9,"Normal Weight",Healthcare!$C14&gt;=25,"overweight",Healthcare!$C14&gt;=30,"obese")</f>
        <v>overweight</v>
      </c>
      <c r="E14" s="5">
        <v>8.41</v>
      </c>
      <c r="F14" s="5" t="str" cm="1">
        <f t="array" ref="F14">_xlfn.IFS(Healthcare!$E14&lt;5.7,"normal",Healthcare!$E14&lt;=6.4,"prediabetes",Healthcare!$E14&gt;=6.5,"diabetes")</f>
        <v>diabetes</v>
      </c>
      <c r="G14" s="5" t="s">
        <v>19</v>
      </c>
      <c r="H14" s="5" t="s">
        <v>19</v>
      </c>
      <c r="I14" s="5" t="s">
        <v>19</v>
      </c>
      <c r="J14" s="5">
        <v>0</v>
      </c>
      <c r="K14" s="5" t="s">
        <v>20</v>
      </c>
      <c r="L14" s="5" t="str">
        <f>VLOOKUP(Healthcare!$A14,hospital_details,2,0)</f>
        <v>11-Oct-1962</v>
      </c>
      <c r="M14" s="5">
        <f t="shared" ref="M14:M76" ca="1" si="71">VLOOKUP(A14,hospital_details,3,0)</f>
        <v>64</v>
      </c>
      <c r="N14" s="5">
        <f t="shared" ref="N14:N77" si="72">VLOOKUP($A14,hospital_details,4,0)</f>
        <v>0</v>
      </c>
      <c r="O14" s="6">
        <f t="shared" ref="O14:O77" si="73">VLOOKUP($A14,hospital_details,5,0)</f>
        <v>48673.56</v>
      </c>
      <c r="P14" s="5" t="str">
        <f t="shared" ref="P14:P77" si="74">VLOOKUP($A14,hospital_details,6,0)</f>
        <v>tier - 1</v>
      </c>
      <c r="Q14" s="5" t="str">
        <f t="shared" ref="Q14:Q77" si="75">VLOOKUP($A14,hospital_details,7,0)</f>
        <v>tier - 2</v>
      </c>
      <c r="R14" s="5" t="str">
        <f t="shared" ref="R14:R77" si="76">VLOOKUP($A14,hospital_details,8,0)</f>
        <v>R1013</v>
      </c>
    </row>
    <row r="15" spans="1:21" ht="14.4" customHeight="1" x14ac:dyDescent="0.3">
      <c r="A15" s="7" t="s">
        <v>34</v>
      </c>
      <c r="B15" s="7" t="str">
        <f>VLOOKUP($A15,[1]!Customer_Names[#Data],3,0)</f>
        <v xml:space="preserve">  Franklin</v>
      </c>
      <c r="C15" s="7">
        <v>40.564999999999998</v>
      </c>
      <c r="D15" s="7" t="str" cm="1">
        <f t="array" ref="D15">_xlfn.IFS(Healthcare!$C15&lt;18.5,"under weight",Healthcare!$C15&lt;=24.9,"Normal Weight",Healthcare!$C15&gt;=25,"overweight",Healthcare!$C15&gt;=30,"obese")</f>
        <v>overweight</v>
      </c>
      <c r="E15" s="7">
        <v>7.02</v>
      </c>
      <c r="F15" s="7" t="str" cm="1">
        <f t="array" ref="F15">_xlfn.IFS(Healthcare!$E15&lt;5.7,"normal",Healthcare!$E15&lt;=6.4,"prediabetes",Healthcare!$E15&gt;=6.5,"diabetes")</f>
        <v>diabetes</v>
      </c>
      <c r="G15" s="7" t="s">
        <v>19</v>
      </c>
      <c r="H15" s="7" t="s">
        <v>19</v>
      </c>
      <c r="I15" s="7" t="s">
        <v>19</v>
      </c>
      <c r="J15" s="7">
        <v>0</v>
      </c>
      <c r="K15" s="7" t="s">
        <v>20</v>
      </c>
      <c r="L15" s="7" t="str">
        <f>VLOOKUP(Healthcare!$A15,hospital_details,2,0)</f>
        <v>1-Dec-1968</v>
      </c>
      <c r="M15" s="7">
        <f t="shared" ref="M15:M77" ca="1" si="77">VLOOKUP(A15,hospital_details,3,0)</f>
        <v>57</v>
      </c>
      <c r="N15" s="7">
        <f t="shared" ref="N15:N78" si="78">VLOOKUP($A15,hospital_details,4,0)</f>
        <v>3</v>
      </c>
      <c r="O15" s="8">
        <f t="shared" ref="O15:O78" si="79">VLOOKUP($A15,hospital_details,5,0)</f>
        <v>48549.18</v>
      </c>
      <c r="P15" s="7" t="str">
        <f t="shared" ref="P15:P78" si="80">VLOOKUP($A15,hospital_details,6,0)</f>
        <v>tier - 1</v>
      </c>
      <c r="Q15" s="7" t="str">
        <f t="shared" ref="Q15:Q78" si="81">VLOOKUP($A15,hospital_details,7,0)</f>
        <v>tier - 3</v>
      </c>
      <c r="R15" s="7" t="str">
        <f t="shared" ref="R15:R78" si="82">VLOOKUP($A15,hospital_details,8,0)</f>
        <v>R1016</v>
      </c>
    </row>
    <row r="16" spans="1:21" ht="14.4" customHeight="1" x14ac:dyDescent="0.3">
      <c r="A16" s="5" t="s">
        <v>35</v>
      </c>
      <c r="B16" s="5" t="str">
        <f>VLOOKUP($A16,[1]!Customer_Names[#Data],3,0)</f>
        <v xml:space="preserve">  Leilani M</v>
      </c>
      <c r="C16" s="5">
        <v>36.384999999999998</v>
      </c>
      <c r="D16" s="5" t="str" cm="1">
        <f t="array" ref="D16">_xlfn.IFS(Healthcare!$C16&lt;18.5,"under weight",Healthcare!$C16&lt;=24.9,"Normal Weight",Healthcare!$C16&gt;=25,"overweight",Healthcare!$C16&gt;=30,"obese")</f>
        <v>overweight</v>
      </c>
      <c r="E16" s="5">
        <v>7.59</v>
      </c>
      <c r="F16" s="5" t="str" cm="1">
        <f t="array" ref="F16">_xlfn.IFS(Healthcare!$E16&lt;5.7,"normal",Healthcare!$E16&lt;=6.4,"prediabetes",Healthcare!$E16&gt;=6.5,"diabetes")</f>
        <v>diabetes</v>
      </c>
      <c r="G16" s="5" t="s">
        <v>20</v>
      </c>
      <c r="H16" s="5" t="s">
        <v>19</v>
      </c>
      <c r="I16" s="5" t="s">
        <v>19</v>
      </c>
      <c r="J16" s="5">
        <v>2</v>
      </c>
      <c r="K16" s="5" t="s">
        <v>20</v>
      </c>
      <c r="L16" s="5" t="str">
        <f>VLOOKUP(Healthcare!$A16,hospital_details,2,0)</f>
        <v>21-Dec-1961</v>
      </c>
      <c r="M16" s="5">
        <f t="shared" ref="M16:M78" ca="1" si="83">VLOOKUP(A16,hospital_details,3,0)</f>
        <v>64</v>
      </c>
      <c r="N16" s="5">
        <f t="shared" ref="N16:N79" si="84">VLOOKUP($A16,hospital_details,4,0)</f>
        <v>1</v>
      </c>
      <c r="O16" s="6">
        <f t="shared" ref="O16:O79" si="85">VLOOKUP($A16,hospital_details,5,0)</f>
        <v>48517.56</v>
      </c>
      <c r="P16" s="5" t="str">
        <f t="shared" ref="P16:P79" si="86">VLOOKUP($A16,hospital_details,6,0)</f>
        <v>tier - 1</v>
      </c>
      <c r="Q16" s="5" t="str">
        <f t="shared" ref="Q16:Q79" si="87">VLOOKUP($A16,hospital_details,7,0)</f>
        <v>tier - 3</v>
      </c>
      <c r="R16" s="5" t="str">
        <f t="shared" ref="R16:R79" si="88">VLOOKUP($A16,hospital_details,8,0)</f>
        <v>R1024</v>
      </c>
    </row>
    <row r="17" spans="1:25" ht="14.4" customHeight="1" x14ac:dyDescent="0.3">
      <c r="A17" s="7" t="s">
        <v>36</v>
      </c>
      <c r="B17" s="7" t="str">
        <f>VLOOKUP($A17,[1]!Customer_Names[#Data],3,0)</f>
        <v xml:space="preserve">  Philippe</v>
      </c>
      <c r="C17" s="7">
        <v>39.9</v>
      </c>
      <c r="D17" s="7" t="str" cm="1">
        <f t="array" ref="D17">_xlfn.IFS(Healthcare!$C17&lt;18.5,"under weight",Healthcare!$C17&lt;=24.9,"Normal Weight",Healthcare!$C17&gt;=25,"overweight",Healthcare!$C17&gt;=30,"obese")</f>
        <v>overweight</v>
      </c>
      <c r="E17" s="7">
        <v>11.32</v>
      </c>
      <c r="F17" s="7" t="str" cm="1">
        <f t="array" ref="F17">_xlfn.IFS(Healthcare!$E17&lt;5.7,"normal",Healthcare!$E17&lt;=6.4,"prediabetes",Healthcare!$E17&gt;=6.5,"diabetes")</f>
        <v>diabetes</v>
      </c>
      <c r="G17" s="7" t="s">
        <v>19</v>
      </c>
      <c r="H17" s="7" t="s">
        <v>19</v>
      </c>
      <c r="I17" s="7" t="s">
        <v>19</v>
      </c>
      <c r="J17" s="7">
        <v>0</v>
      </c>
      <c r="K17" s="7" t="s">
        <v>20</v>
      </c>
      <c r="L17" s="7" t="str">
        <f>VLOOKUP(Healthcare!$A17,hospital_details,2,0)</f>
        <v>27-Aug-1962</v>
      </c>
      <c r="M17" s="7">
        <f t="shared" ref="M17:M79" ca="1" si="89">VLOOKUP(A17,hospital_details,3,0)</f>
        <v>64</v>
      </c>
      <c r="N17" s="7">
        <f t="shared" ref="N17:N80" si="90">VLOOKUP($A17,hospital_details,4,0)</f>
        <v>0</v>
      </c>
      <c r="O17" s="8">
        <f t="shared" ref="O17:O80" si="91">VLOOKUP($A17,hospital_details,5,0)</f>
        <v>48173.36</v>
      </c>
      <c r="P17" s="7" t="str">
        <f t="shared" ref="P17:P80" si="92">VLOOKUP($A17,hospital_details,6,0)</f>
        <v>tier - 1</v>
      </c>
      <c r="Q17" s="7" t="str">
        <f t="shared" ref="Q17:Q80" si="93">VLOOKUP($A17,hospital_details,7,0)</f>
        <v>tier - 3</v>
      </c>
      <c r="R17" s="7" t="str">
        <f t="shared" ref="R17:R80" si="94">VLOOKUP($A17,hospital_details,8,0)</f>
        <v>R1011</v>
      </c>
    </row>
    <row r="18" spans="1:25" ht="16.95" customHeight="1" x14ac:dyDescent="0.4">
      <c r="A18" s="5" t="s">
        <v>37</v>
      </c>
      <c r="B18" s="5" t="str">
        <f>VLOOKUP($A18,[1]!Customer_Names[#Data],3,0)</f>
        <v xml:space="preserve">  Jennifer A</v>
      </c>
      <c r="C18" s="5">
        <v>33.799999999999997</v>
      </c>
      <c r="D18" s="5" t="str" cm="1">
        <f t="array" ref="D18">_xlfn.IFS(Healthcare!$C18&lt;18.5,"under weight",Healthcare!$C18&lt;=24.9,"Normal Weight",Healthcare!$C18&gt;=25,"overweight",Healthcare!$C18&gt;=30,"obese")</f>
        <v>overweight</v>
      </c>
      <c r="E18" s="5">
        <v>7.67</v>
      </c>
      <c r="F18" s="5" t="str" cm="1">
        <f t="array" ref="F18">_xlfn.IFS(Healthcare!$E18&lt;5.7,"normal",Healthcare!$E18&lt;=6.4,"prediabetes",Healthcare!$E18&gt;=6.5,"diabetes")</f>
        <v>diabetes</v>
      </c>
      <c r="G18" s="5" t="s">
        <v>19</v>
      </c>
      <c r="H18" s="5" t="s">
        <v>19</v>
      </c>
      <c r="I18" s="5" t="s">
        <v>19</v>
      </c>
      <c r="J18" s="5">
        <v>3</v>
      </c>
      <c r="K18" s="5" t="s">
        <v>20</v>
      </c>
      <c r="L18" s="5" t="str">
        <f>VLOOKUP(Healthcare!$A18,hospital_details,2,0)</f>
        <v>16-Nov-1958</v>
      </c>
      <c r="M18" s="5">
        <f t="shared" ref="M18:M80" ca="1" si="95">VLOOKUP(A18,hospital_details,3,0)</f>
        <v>67</v>
      </c>
      <c r="N18" s="5">
        <f t="shared" ref="N18:N81" si="96">VLOOKUP($A18,hospital_details,4,0)</f>
        <v>1</v>
      </c>
      <c r="O18" s="6">
        <f t="shared" ref="O18:O81" si="97">VLOOKUP($A18,hospital_details,5,0)</f>
        <v>47928.03</v>
      </c>
      <c r="P18" s="5" t="str">
        <f t="shared" ref="P18:P81" si="98">VLOOKUP($A18,hospital_details,6,0)</f>
        <v>tier - 2</v>
      </c>
      <c r="Q18" s="5" t="str">
        <f t="shared" ref="Q18:Q81" si="99">VLOOKUP($A18,hospital_details,7,0)</f>
        <v>tier - 3</v>
      </c>
      <c r="R18" s="5" t="str">
        <f t="shared" ref="R18:R81" si="100">VLOOKUP($A18,hospital_details,8,0)</f>
        <v>R1011</v>
      </c>
      <c r="S18" s="10"/>
      <c r="T18" s="9"/>
      <c r="X18" s="11"/>
      <c r="Y18" s="11"/>
    </row>
    <row r="19" spans="1:25" ht="14.4" customHeight="1" x14ac:dyDescent="0.3">
      <c r="A19" s="7" t="s">
        <v>38</v>
      </c>
      <c r="B19" s="7" t="str">
        <f>VLOOKUP($A19,[1]!Customer_Names[#Data],3,0)</f>
        <v xml:space="preserve">  Christina M</v>
      </c>
      <c r="C19" s="7">
        <v>36.765000000000001</v>
      </c>
      <c r="D19" s="7" t="str" cm="1">
        <f t="array" ref="D19">_xlfn.IFS(Healthcare!$C19&lt;18.5,"under weight",Healthcare!$C19&lt;=24.9,"Normal Weight",Healthcare!$C19&gt;=25,"overweight",Healthcare!$C19&gt;=30,"obese")</f>
        <v>overweight</v>
      </c>
      <c r="E19" s="7">
        <v>7.29</v>
      </c>
      <c r="F19" s="7" t="str" cm="1">
        <f t="array" ref="F19">_xlfn.IFS(Healthcare!$E19&lt;5.7,"normal",Healthcare!$E19&lt;=6.4,"prediabetes",Healthcare!$E19&gt;=6.5,"diabetes")</f>
        <v>diabetes</v>
      </c>
      <c r="G19" s="7" t="s">
        <v>20</v>
      </c>
      <c r="H19" s="7" t="s">
        <v>19</v>
      </c>
      <c r="I19" s="7" t="s">
        <v>29</v>
      </c>
      <c r="J19" s="7">
        <v>1</v>
      </c>
      <c r="K19" s="7" t="s">
        <v>20</v>
      </c>
      <c r="L19" s="7" t="str">
        <f>VLOOKUP(Healthcare!$A19,hospital_details,2,0)</f>
        <v>5-Aug-1963</v>
      </c>
      <c r="M19" s="7">
        <f t="shared" ref="M19:M81" ca="1" si="101">VLOOKUP(A19,hospital_details,3,0)</f>
        <v>63</v>
      </c>
      <c r="N19" s="7">
        <f t="shared" ref="N19:N82" si="102">VLOOKUP($A19,hospital_details,4,0)</f>
        <v>1</v>
      </c>
      <c r="O19" s="8">
        <f t="shared" ref="O19:O82" si="103">VLOOKUP($A19,hospital_details,5,0)</f>
        <v>47896.79</v>
      </c>
      <c r="P19" s="7" t="str">
        <f t="shared" ref="P19:P82" si="104">VLOOKUP($A19,hospital_details,6,0)</f>
        <v>tier - 1</v>
      </c>
      <c r="Q19" s="7" t="str">
        <f t="shared" ref="Q19:Q82" si="105">VLOOKUP($A19,hospital_details,7,0)</f>
        <v>tier - 3</v>
      </c>
      <c r="R19" s="7" t="str">
        <f t="shared" ref="R19:R82" si="106">VLOOKUP($A19,hospital_details,8,0)</f>
        <v>R1024</v>
      </c>
    </row>
    <row r="20" spans="1:25" ht="14.4" customHeight="1" x14ac:dyDescent="0.3">
      <c r="A20" s="5" t="s">
        <v>39</v>
      </c>
      <c r="B20" s="5" t="str">
        <f>VLOOKUP($A20,[1]!Customer_Names[#Data],3,0)</f>
        <v xml:space="preserve">  Said Sr</v>
      </c>
      <c r="C20" s="5">
        <v>36.954999999999998</v>
      </c>
      <c r="D20" s="5" t="str" cm="1">
        <f t="array" ref="D20">_xlfn.IFS(Healthcare!$C20&lt;18.5,"under weight",Healthcare!$C20&lt;=24.9,"Normal Weight",Healthcare!$C20&gt;=25,"overweight",Healthcare!$C20&gt;=30,"obese")</f>
        <v>overweight</v>
      </c>
      <c r="E20" s="5">
        <v>4.72</v>
      </c>
      <c r="F20" s="5" t="str" cm="1">
        <f t="array" ref="F20">_xlfn.IFS(Healthcare!$E20&lt;5.7,"normal",Healthcare!$E20&lt;=6.4,"prediabetes",Healthcare!$E20&gt;=6.5,"diabetes")</f>
        <v>normal</v>
      </c>
      <c r="G20" s="5" t="s">
        <v>20</v>
      </c>
      <c r="H20" s="5" t="s">
        <v>19</v>
      </c>
      <c r="I20" s="5" t="s">
        <v>19</v>
      </c>
      <c r="J20" s="5">
        <v>1</v>
      </c>
      <c r="K20" s="5" t="s">
        <v>20</v>
      </c>
      <c r="L20" s="5" t="str">
        <f>VLOOKUP(Healthcare!$A20,hospital_details,2,0)</f>
        <v>7-Nov-1964</v>
      </c>
      <c r="M20" s="5">
        <f t="shared" ref="M20:M82" ca="1" si="107">VLOOKUP(A20,hospital_details,3,0)</f>
        <v>61</v>
      </c>
      <c r="N20" s="5">
        <f t="shared" ref="N20:N83" si="108">VLOOKUP($A20,hospital_details,4,0)</f>
        <v>2</v>
      </c>
      <c r="O20" s="6">
        <f t="shared" ref="O20:O83" si="109">VLOOKUP($A20,hospital_details,5,0)</f>
        <v>47496.49</v>
      </c>
      <c r="P20" s="5" t="str">
        <f t="shared" ref="P20:P83" si="110">VLOOKUP($A20,hospital_details,6,0)</f>
        <v>tier - 1</v>
      </c>
      <c r="Q20" s="5" t="str">
        <f t="shared" ref="Q20:Q83" si="111">VLOOKUP($A20,hospital_details,7,0)</f>
        <v>tier - 3</v>
      </c>
      <c r="R20" s="5" t="str">
        <f t="shared" ref="R20:R83" si="112">VLOOKUP($A20,hospital_details,8,0)</f>
        <v>R1012</v>
      </c>
    </row>
    <row r="21" spans="1:25" ht="14.4" customHeight="1" x14ac:dyDescent="0.3">
      <c r="A21" s="7" t="s">
        <v>40</v>
      </c>
      <c r="B21" s="7" t="str">
        <f>VLOOKUP($A21,[1]!Customer_Names[#Data],3,0)</f>
        <v xml:space="preserve">  John</v>
      </c>
      <c r="C21" s="7">
        <v>42.9</v>
      </c>
      <c r="D21" s="7" t="str" cm="1">
        <f t="array" ref="D21">_xlfn.IFS(Healthcare!$C21&lt;18.5,"under weight",Healthcare!$C21&lt;=24.9,"Normal Weight",Healthcare!$C21&gt;=25,"overweight",Healthcare!$C21&gt;=30,"obese")</f>
        <v>overweight</v>
      </c>
      <c r="E21" s="7">
        <v>11.41</v>
      </c>
      <c r="F21" s="7" t="str" cm="1">
        <f t="array" ref="F21">_xlfn.IFS(Healthcare!$E21&lt;5.7,"normal",Healthcare!$E21&lt;=6.4,"prediabetes",Healthcare!$E21&gt;=6.5,"diabetes")</f>
        <v>diabetes</v>
      </c>
      <c r="G21" s="7" t="s">
        <v>19</v>
      </c>
      <c r="H21" s="7" t="s">
        <v>19</v>
      </c>
      <c r="I21" s="7" t="s">
        <v>19</v>
      </c>
      <c r="J21" s="7">
        <v>0</v>
      </c>
      <c r="K21" s="7" t="s">
        <v>20</v>
      </c>
      <c r="L21" s="7" t="str">
        <f>VLOOKUP(Healthcare!$A21,hospital_details,2,0)</f>
        <v>27-Sep-1971</v>
      </c>
      <c r="M21" s="7">
        <f t="shared" ref="M21:M83" ca="1" si="113">VLOOKUP(A21,hospital_details,3,0)</f>
        <v>55</v>
      </c>
      <c r="N21" s="7">
        <f t="shared" ref="N21:N84" si="114">VLOOKUP($A21,hospital_details,4,0)</f>
        <v>2</v>
      </c>
      <c r="O21" s="8">
        <f t="shared" ref="O21:O84" si="115">VLOOKUP($A21,hospital_details,5,0)</f>
        <v>47462.89</v>
      </c>
      <c r="P21" s="7" t="str">
        <f t="shared" ref="P21:P84" si="116">VLOOKUP($A21,hospital_details,6,0)</f>
        <v>tier - 1</v>
      </c>
      <c r="Q21" s="7" t="str">
        <f t="shared" ref="Q21:Q84" si="117">VLOOKUP($A21,hospital_details,7,0)</f>
        <v>tier - 2</v>
      </c>
      <c r="R21" s="7" t="str">
        <f t="shared" ref="R21:R84" si="118">VLOOKUP($A21,hospital_details,8,0)</f>
        <v>R1013</v>
      </c>
    </row>
    <row r="22" spans="1:25" ht="14.4" customHeight="1" x14ac:dyDescent="0.3">
      <c r="A22" s="5" t="s">
        <v>41</v>
      </c>
      <c r="B22" s="5" t="str">
        <f>VLOOKUP($A22,[1]!Customer_Names[#Data],3,0)</f>
        <v xml:space="preserve">  Myles</v>
      </c>
      <c r="C22" s="5">
        <v>36.299999999999997</v>
      </c>
      <c r="D22" s="5" t="str" cm="1">
        <f t="array" ref="D22">_xlfn.IFS(Healthcare!$C22&lt;18.5,"under weight",Healthcare!$C22&lt;=24.9,"Normal Weight",Healthcare!$C22&gt;=25,"overweight",Healthcare!$C22&gt;=30,"obese")</f>
        <v>overweight</v>
      </c>
      <c r="E22" s="5">
        <v>11.5</v>
      </c>
      <c r="F22" s="5" t="str" cm="1">
        <f t="array" ref="F22">_xlfn.IFS(Healthcare!$E22&lt;5.7,"normal",Healthcare!$E22&lt;=6.4,"prediabetes",Healthcare!$E22&gt;=6.5,"diabetes")</f>
        <v>diabetes</v>
      </c>
      <c r="G22" s="5" t="s">
        <v>20</v>
      </c>
      <c r="H22" s="5" t="s">
        <v>19</v>
      </c>
      <c r="I22" s="5" t="s">
        <v>19</v>
      </c>
      <c r="J22" s="5">
        <v>2</v>
      </c>
      <c r="K22" s="5" t="s">
        <v>20</v>
      </c>
      <c r="L22" s="5" t="str">
        <f>VLOOKUP(Healthcare!$A22,hospital_details,2,0)</f>
        <v>13-Jun-1961</v>
      </c>
      <c r="M22" s="5">
        <f t="shared" ref="M22:M84" ca="1" si="119">VLOOKUP(A22,hospital_details,3,0)</f>
        <v>65</v>
      </c>
      <c r="N22" s="5">
        <f t="shared" ref="N22:N85" si="120">VLOOKUP($A22,hospital_details,4,0)</f>
        <v>1</v>
      </c>
      <c r="O22" s="6">
        <f t="shared" ref="O22:O85" si="121">VLOOKUP($A22,hospital_details,5,0)</f>
        <v>47403.88</v>
      </c>
      <c r="P22" s="5" t="str">
        <f t="shared" ref="P22:P85" si="122">VLOOKUP($A22,hospital_details,6,0)</f>
        <v>tier - 1</v>
      </c>
      <c r="Q22" s="5" t="str">
        <f t="shared" ref="Q22:Q85" si="123">VLOOKUP($A22,hospital_details,7,0)</f>
        <v>tier - 3</v>
      </c>
      <c r="R22" s="5" t="str">
        <f t="shared" ref="R22:R85" si="124">VLOOKUP($A22,hospital_details,8,0)</f>
        <v>R1011</v>
      </c>
    </row>
    <row r="23" spans="1:25" ht="14.4" customHeight="1" x14ac:dyDescent="0.3">
      <c r="A23" s="7" t="s">
        <v>42</v>
      </c>
      <c r="B23" s="7" t="str">
        <f>VLOOKUP($A23,[1]!Customer_Names[#Data],3,0)</f>
        <v xml:space="preserve">  Madelyn C</v>
      </c>
      <c r="C23" s="7">
        <v>32.200000000000003</v>
      </c>
      <c r="D23" s="7" t="str" cm="1">
        <f t="array" ref="D23">_xlfn.IFS(Healthcare!$C23&lt;18.5,"under weight",Healthcare!$C23&lt;=24.9,"Normal Weight",Healthcare!$C23&gt;=25,"overweight",Healthcare!$C23&gt;=30,"obese")</f>
        <v>overweight</v>
      </c>
      <c r="E23" s="7">
        <v>6.22</v>
      </c>
      <c r="F23" s="7" t="str" cm="1">
        <f t="array" ref="F23">_xlfn.IFS(Healthcare!$E23&lt;5.7,"normal",Healthcare!$E23&lt;=6.4,"prediabetes",Healthcare!$E23&gt;=6.5,"diabetes")</f>
        <v>prediabetes</v>
      </c>
      <c r="G23" s="7" t="s">
        <v>20</v>
      </c>
      <c r="H23" s="7" t="s">
        <v>19</v>
      </c>
      <c r="I23" s="7" t="s">
        <v>19</v>
      </c>
      <c r="J23" s="7">
        <v>2</v>
      </c>
      <c r="K23" s="7" t="s">
        <v>20</v>
      </c>
      <c r="L23" s="7" t="str">
        <f>VLOOKUP(Healthcare!$A23,hospital_details,2,0)</f>
        <v>4-Oct-1959</v>
      </c>
      <c r="M23" s="7">
        <f t="shared" ref="M23:M85" ca="1" si="125">VLOOKUP(A23,hospital_details,3,0)</f>
        <v>67</v>
      </c>
      <c r="N23" s="7">
        <f t="shared" ref="N23:N86" si="126">VLOOKUP($A23,hospital_details,4,0)</f>
        <v>2</v>
      </c>
      <c r="O23" s="8">
        <f t="shared" ref="O23:O86" si="127">VLOOKUP($A23,hospital_details,5,0)</f>
        <v>47305.31</v>
      </c>
      <c r="P23" s="7" t="str">
        <f t="shared" ref="P23:P86" si="128">VLOOKUP($A23,hospital_details,6,0)</f>
        <v>tier - 2</v>
      </c>
      <c r="Q23" s="7" t="str">
        <f t="shared" ref="Q23:Q86" si="129">VLOOKUP($A23,hospital_details,7,0)</f>
        <v>tier - 1</v>
      </c>
      <c r="R23" s="7" t="str">
        <f t="shared" ref="R23:R86" si="130">VLOOKUP($A23,hospital_details,8,0)</f>
        <v>R1011</v>
      </c>
    </row>
    <row r="24" spans="1:25" ht="14.4" customHeight="1" x14ac:dyDescent="0.3">
      <c r="A24" s="5" t="s">
        <v>43</v>
      </c>
      <c r="B24" s="5" t="str">
        <f>VLOOKUP($A24,[1]!Customer_Names[#Data],3,0)</f>
        <v xml:space="preserve">  Nicole</v>
      </c>
      <c r="C24" s="5">
        <v>31.3</v>
      </c>
      <c r="D24" s="5" t="str" cm="1">
        <f t="array" ref="D24">_xlfn.IFS(Healthcare!$C24&lt;18.5,"under weight",Healthcare!$C24&lt;=24.9,"Normal Weight",Healthcare!$C24&gt;=25,"overweight",Healthcare!$C24&gt;=30,"obese")</f>
        <v>overweight</v>
      </c>
      <c r="E24" s="5">
        <v>11.38</v>
      </c>
      <c r="F24" s="5" t="str" cm="1">
        <f t="array" ref="F24">_xlfn.IFS(Healthcare!$E24&lt;5.7,"normal",Healthcare!$E24&lt;=6.4,"prediabetes",Healthcare!$E24&gt;=6.5,"diabetes")</f>
        <v>diabetes</v>
      </c>
      <c r="G24" s="5" t="s">
        <v>19</v>
      </c>
      <c r="H24" s="5" t="s">
        <v>19</v>
      </c>
      <c r="I24" s="5" t="s">
        <v>19</v>
      </c>
      <c r="J24" s="5">
        <v>3</v>
      </c>
      <c r="K24" s="5" t="s">
        <v>20</v>
      </c>
      <c r="L24" s="5" t="str">
        <f>VLOOKUP(Healthcare!$A24,hospital_details,2,0)</f>
        <v>3-Sep-1958</v>
      </c>
      <c r="M24" s="5">
        <f t="shared" ref="M24:M86" ca="1" si="131">VLOOKUP(A24,hospital_details,3,0)</f>
        <v>68</v>
      </c>
      <c r="N24" s="5">
        <f t="shared" ref="N24:N87" si="132">VLOOKUP($A24,hospital_details,4,0)</f>
        <v>2</v>
      </c>
      <c r="O24" s="6">
        <f t="shared" ref="O24:O87" si="133">VLOOKUP($A24,hospital_details,5,0)</f>
        <v>47291.06</v>
      </c>
      <c r="P24" s="5" t="str">
        <f t="shared" ref="P24:P87" si="134">VLOOKUP($A24,hospital_details,6,0)</f>
        <v>tier - 2</v>
      </c>
      <c r="Q24" s="5" t="str">
        <f t="shared" ref="Q24:Q87" si="135">VLOOKUP($A24,hospital_details,7,0)</f>
        <v>tier - 1</v>
      </c>
      <c r="R24" s="5" t="str">
        <f t="shared" ref="R24:R87" si="136">VLOOKUP($A24,hospital_details,8,0)</f>
        <v>R1011</v>
      </c>
    </row>
    <row r="25" spans="1:25" ht="14.4" customHeight="1" x14ac:dyDescent="0.3">
      <c r="A25" s="7" t="s">
        <v>44</v>
      </c>
      <c r="B25" s="7" t="str">
        <f>VLOOKUP($A25,[1]!Customer_Names[#Data],3,0)</f>
        <v xml:space="preserve">  Eric A</v>
      </c>
      <c r="C25" s="7">
        <v>41.8</v>
      </c>
      <c r="D25" s="7" t="str" cm="1">
        <f t="array" ref="D25">_xlfn.IFS(Healthcare!$C25&lt;18.5,"under weight",Healthcare!$C25&lt;=24.9,"Normal Weight",Healthcare!$C25&gt;=25,"overweight",Healthcare!$C25&gt;=30,"obese")</f>
        <v>overweight</v>
      </c>
      <c r="E25" s="7">
        <v>7.89</v>
      </c>
      <c r="F25" s="7" t="str" cm="1">
        <f t="array" ref="F25">_xlfn.IFS(Healthcare!$E25&lt;5.7,"normal",Healthcare!$E25&lt;=6.4,"prediabetes",Healthcare!$E25&gt;=6.5,"diabetes")</f>
        <v>diabetes</v>
      </c>
      <c r="G25" s="7" t="s">
        <v>20</v>
      </c>
      <c r="H25" s="7" t="s">
        <v>19</v>
      </c>
      <c r="I25" s="7" t="s">
        <v>19</v>
      </c>
      <c r="J25" s="7">
        <v>2</v>
      </c>
      <c r="K25" s="7" t="s">
        <v>20</v>
      </c>
      <c r="L25" s="7" t="str">
        <f>VLOOKUP(Healthcare!$A25,hospital_details,2,0)</f>
        <v>28-Dec-1970</v>
      </c>
      <c r="M25" s="7">
        <f t="shared" ref="M25:M87" ca="1" si="137">VLOOKUP(A25,hospital_details,3,0)</f>
        <v>55</v>
      </c>
      <c r="N25" s="7">
        <f t="shared" ref="N25:N88" si="138">VLOOKUP($A25,hospital_details,4,0)</f>
        <v>2</v>
      </c>
      <c r="O25" s="8">
        <f t="shared" ref="O25:O88" si="139">VLOOKUP($A25,hospital_details,5,0)</f>
        <v>47269.85</v>
      </c>
      <c r="P25" s="7" t="str">
        <f t="shared" ref="P25:P88" si="140">VLOOKUP($A25,hospital_details,6,0)</f>
        <v>tier - 1</v>
      </c>
      <c r="Q25" s="7" t="str">
        <f t="shared" ref="Q25:Q88" si="141">VLOOKUP($A25,hospital_details,7,0)</f>
        <v>tier - 2</v>
      </c>
      <c r="R25" s="7" t="str">
        <f t="shared" ref="R25:R88" si="142">VLOOKUP($A25,hospital_details,8,0)</f>
        <v>R1013</v>
      </c>
      <c r="S25" s="10"/>
    </row>
    <row r="26" spans="1:25" ht="14.4" customHeight="1" x14ac:dyDescent="0.3">
      <c r="A26" s="5" t="s">
        <v>45</v>
      </c>
      <c r="B26" s="5" t="str">
        <f>VLOOKUP($A26,[1]!Customer_Names[#Data],3,0)</f>
        <v xml:space="preserve">  Emiliano I</v>
      </c>
      <c r="C26" s="5">
        <v>35.090000000000003</v>
      </c>
      <c r="D26" s="5" t="str" cm="1">
        <f t="array" ref="D26">_xlfn.IFS(Healthcare!$C26&lt;18.5,"under weight",Healthcare!$C26&lt;=24.9,"Normal Weight",Healthcare!$C26&gt;=25,"overweight",Healthcare!$C26&gt;=30,"obese")</f>
        <v>overweight</v>
      </c>
      <c r="E26" s="5">
        <v>4.38</v>
      </c>
      <c r="F26" s="5" t="str" cm="1">
        <f t="array" ref="F26">_xlfn.IFS(Healthcare!$E26&lt;5.7,"normal",Healthcare!$E26&lt;=6.4,"prediabetes",Healthcare!$E26&gt;=6.5,"diabetes")</f>
        <v>normal</v>
      </c>
      <c r="G26" s="5" t="s">
        <v>20</v>
      </c>
      <c r="H26" s="5" t="s">
        <v>19</v>
      </c>
      <c r="I26" s="5" t="s">
        <v>19</v>
      </c>
      <c r="J26" s="5">
        <v>2</v>
      </c>
      <c r="K26" s="5" t="s">
        <v>20</v>
      </c>
      <c r="L26" s="5" t="str">
        <f>VLOOKUP(Healthcare!$A26,hospital_details,2,0)</f>
        <v>14-Jul-1959</v>
      </c>
      <c r="M26" s="5">
        <f t="shared" ref="M26:M88" ca="1" si="143">VLOOKUP(A26,hospital_details,3,0)</f>
        <v>67</v>
      </c>
      <c r="N26" s="5">
        <f t="shared" ref="N26:N89" si="144">VLOOKUP($A26,hospital_details,4,0)</f>
        <v>0</v>
      </c>
      <c r="O26" s="6">
        <f t="shared" ref="O26:O89" si="145">VLOOKUP($A26,hospital_details,5,0)</f>
        <v>47055.53</v>
      </c>
      <c r="P26" s="5" t="str">
        <f t="shared" ref="P26:P89" si="146">VLOOKUP($A26,hospital_details,6,0)</f>
        <v>tier - 2</v>
      </c>
      <c r="Q26" s="5" t="str">
        <f t="shared" ref="Q26:Q89" si="147">VLOOKUP($A26,hospital_details,7,0)</f>
        <v>tier - 1</v>
      </c>
      <c r="R26" s="5" t="str">
        <f t="shared" ref="R26:R89" si="148">VLOOKUP($A26,hospital_details,8,0)</f>
        <v>R1013</v>
      </c>
    </row>
    <row r="27" spans="1:25" ht="14.4" customHeight="1" x14ac:dyDescent="0.3">
      <c r="A27" s="7" t="s">
        <v>46</v>
      </c>
      <c r="B27" s="7" t="str">
        <f>VLOOKUP($A27,[1]!Customer_Names[#Data],3,0)</f>
        <v xml:space="preserve">  Adam</v>
      </c>
      <c r="C27" s="7">
        <v>33.880000000000003</v>
      </c>
      <c r="D27" s="7" t="str" cm="1">
        <f t="array" ref="D27">_xlfn.IFS(Healthcare!$C27&lt;18.5,"under weight",Healthcare!$C27&lt;=24.9,"Normal Weight",Healthcare!$C27&gt;=25,"overweight",Healthcare!$C27&gt;=30,"obese")</f>
        <v>overweight</v>
      </c>
      <c r="E27" s="7">
        <v>7.01</v>
      </c>
      <c r="F27" s="7" t="str" cm="1">
        <f t="array" ref="F27">_xlfn.IFS(Healthcare!$E27&lt;5.7,"normal",Healthcare!$E27&lt;=6.4,"prediabetes",Healthcare!$E27&gt;=6.5,"diabetes")</f>
        <v>diabetes</v>
      </c>
      <c r="G27" s="7" t="s">
        <v>19</v>
      </c>
      <c r="H27" s="7" t="s">
        <v>19</v>
      </c>
      <c r="I27" s="7" t="s">
        <v>19</v>
      </c>
      <c r="J27" s="7">
        <v>3</v>
      </c>
      <c r="K27" s="7" t="s">
        <v>20</v>
      </c>
      <c r="L27" s="7" t="str">
        <f>VLOOKUP(Healthcare!$A27,hospital_details,2,0)</f>
        <v>15-Sep-1958</v>
      </c>
      <c r="M27" s="7">
        <f t="shared" ref="M27:M89" ca="1" si="149">VLOOKUP(A27,hospital_details,3,0)</f>
        <v>68</v>
      </c>
      <c r="N27" s="7">
        <f t="shared" ref="N27:N90" si="150">VLOOKUP($A27,hospital_details,4,0)</f>
        <v>0</v>
      </c>
      <c r="O27" s="8">
        <f t="shared" ref="O27:O90" si="151">VLOOKUP($A27,hospital_details,5,0)</f>
        <v>46889.26</v>
      </c>
      <c r="P27" s="7" t="str">
        <f t="shared" ref="P27:P90" si="152">VLOOKUP($A27,hospital_details,6,0)</f>
        <v>tier - 2</v>
      </c>
      <c r="Q27" s="7" t="str">
        <f t="shared" ref="Q27:Q90" si="153">VLOOKUP($A27,hospital_details,7,0)</f>
        <v>tier - 3</v>
      </c>
      <c r="R27" s="7" t="str">
        <f t="shared" ref="R27:R90" si="154">VLOOKUP($A27,hospital_details,8,0)</f>
        <v>R1013</v>
      </c>
    </row>
    <row r="28" spans="1:25" ht="14.4" customHeight="1" x14ac:dyDescent="0.3">
      <c r="A28" s="5" t="s">
        <v>47</v>
      </c>
      <c r="B28" s="5" t="str">
        <f>VLOOKUP($A28,[1]!Customer_Names[#Data],3,0)</f>
        <v xml:space="preserve">  Zach</v>
      </c>
      <c r="C28" s="5">
        <v>30.875</v>
      </c>
      <c r="D28" s="5" t="str" cm="1">
        <f t="array" ref="D28">_xlfn.IFS(Healthcare!$C28&lt;18.5,"under weight",Healthcare!$C28&lt;=24.9,"Normal Weight",Healthcare!$C28&gt;=25,"overweight",Healthcare!$C28&gt;=30,"obese")</f>
        <v>overweight</v>
      </c>
      <c r="E28" s="5">
        <v>11.88</v>
      </c>
      <c r="F28" s="5" t="str" cm="1">
        <f t="array" ref="F28">_xlfn.IFS(Healthcare!$E28&lt;5.7,"normal",Healthcare!$E28&lt;=6.4,"prediabetes",Healthcare!$E28&gt;=6.5,"diabetes")</f>
        <v>diabetes</v>
      </c>
      <c r="G28" s="5" t="s">
        <v>19</v>
      </c>
      <c r="H28" s="5" t="s">
        <v>19</v>
      </c>
      <c r="I28" s="5" t="s">
        <v>19</v>
      </c>
      <c r="J28" s="5">
        <v>0</v>
      </c>
      <c r="K28" s="5" t="s">
        <v>20</v>
      </c>
      <c r="L28" s="5" t="str">
        <f>VLOOKUP(Healthcare!$A28,hospital_details,2,0)</f>
        <v>17-Nov-1960</v>
      </c>
      <c r="M28" s="5">
        <f t="shared" ref="M28:M90" ca="1" si="155">VLOOKUP(A28,hospital_details,3,0)</f>
        <v>65</v>
      </c>
      <c r="N28" s="5">
        <f t="shared" ref="N28:N91" si="156">VLOOKUP($A28,hospital_details,4,0)</f>
        <v>3</v>
      </c>
      <c r="O28" s="6">
        <f t="shared" ref="O28:O91" si="157">VLOOKUP($A28,hospital_details,5,0)</f>
        <v>46718.16</v>
      </c>
      <c r="P28" s="5" t="str">
        <f t="shared" ref="P28:P91" si="158">VLOOKUP($A28,hospital_details,6,0)</f>
        <v>tier - 1</v>
      </c>
      <c r="Q28" s="5" t="str">
        <f t="shared" ref="Q28:Q91" si="159">VLOOKUP($A28,hospital_details,7,0)</f>
        <v>tier - 1</v>
      </c>
      <c r="R28" s="5" t="str">
        <f t="shared" ref="R28:R91" si="160">VLOOKUP($A28,hospital_details,8,0)</f>
        <v>R1012</v>
      </c>
    </row>
    <row r="29" spans="1:25" ht="14.4" customHeight="1" x14ac:dyDescent="0.3">
      <c r="A29" s="7" t="s">
        <v>48</v>
      </c>
      <c r="B29" s="7" t="str">
        <f>VLOOKUP($A29,[1]!Customer_Names[#Data],3,0)</f>
        <v xml:space="preserve">  Stephanie W</v>
      </c>
      <c r="C29" s="7">
        <v>36.86</v>
      </c>
      <c r="D29" s="7" t="str" cm="1">
        <f t="array" ref="D29">_xlfn.IFS(Healthcare!$C29&lt;18.5,"under weight",Healthcare!$C29&lt;=24.9,"Normal Weight",Healthcare!$C29&gt;=25,"overweight",Healthcare!$C29&gt;=30,"obese")</f>
        <v>overweight</v>
      </c>
      <c r="E29" s="7">
        <v>5.19</v>
      </c>
      <c r="F29" s="7" t="str" cm="1">
        <f t="array" ref="F29">_xlfn.IFS(Healthcare!$E29&lt;5.7,"normal",Healthcare!$E29&lt;=6.4,"prediabetes",Healthcare!$E29&gt;=6.5,"diabetes")</f>
        <v>normal</v>
      </c>
      <c r="G29" s="7" t="s">
        <v>20</v>
      </c>
      <c r="H29" s="7" t="s">
        <v>19</v>
      </c>
      <c r="I29" s="7" t="s">
        <v>29</v>
      </c>
      <c r="J29" s="7">
        <v>1</v>
      </c>
      <c r="K29" s="7" t="s">
        <v>20</v>
      </c>
      <c r="L29" s="7" t="str">
        <f>VLOOKUP(Healthcare!$A29,hospital_details,2,0)</f>
        <v>23-Jun-1969</v>
      </c>
      <c r="M29" s="7">
        <f t="shared" ref="M29:M91" ca="1" si="161">VLOOKUP(A29,hospital_details,3,0)</f>
        <v>57</v>
      </c>
      <c r="N29" s="7">
        <f t="shared" ref="N29:N92" si="162">VLOOKUP($A29,hospital_details,4,0)</f>
        <v>3</v>
      </c>
      <c r="O29" s="8">
        <f t="shared" ref="O29:O92" si="163">VLOOKUP($A29,hospital_details,5,0)</f>
        <v>46661.440000000002</v>
      </c>
      <c r="P29" s="7" t="str">
        <f t="shared" ref="P29:P92" si="164">VLOOKUP($A29,hospital_details,6,0)</f>
        <v>tier - 1</v>
      </c>
      <c r="Q29" s="7" t="str">
        <f t="shared" ref="Q29:Q92" si="165">VLOOKUP($A29,hospital_details,7,0)</f>
        <v>tier - 3</v>
      </c>
      <c r="R29" s="7" t="str">
        <f t="shared" ref="R29:R92" si="166">VLOOKUP($A29,hospital_details,8,0)</f>
        <v>R1012</v>
      </c>
    </row>
    <row r="30" spans="1:25" ht="14.4" customHeight="1" x14ac:dyDescent="0.3">
      <c r="A30" s="5" t="s">
        <v>49</v>
      </c>
      <c r="B30" s="5" t="str">
        <f>VLOOKUP($A30,[1]!Customer_Names[#Data],3,0)</f>
        <v xml:space="preserve">  Stephen</v>
      </c>
      <c r="C30" s="5">
        <v>35.86</v>
      </c>
      <c r="D30" s="5" t="str" cm="1">
        <f t="array" ref="D30">_xlfn.IFS(Healthcare!$C30&lt;18.5,"under weight",Healthcare!$C30&lt;=24.9,"Normal Weight",Healthcare!$C30&gt;=25,"overweight",Healthcare!$C30&gt;=30,"obese")</f>
        <v>overweight</v>
      </c>
      <c r="E30" s="5">
        <v>6.74</v>
      </c>
      <c r="F30" s="5" t="str" cm="1">
        <f t="array" ref="F30">_xlfn.IFS(Healthcare!$E30&lt;5.7,"normal",Healthcare!$E30&lt;=6.4,"prediabetes",Healthcare!$E30&gt;=6.5,"diabetes")</f>
        <v>diabetes</v>
      </c>
      <c r="G30" s="5" t="s">
        <v>20</v>
      </c>
      <c r="H30" s="5" t="s">
        <v>19</v>
      </c>
      <c r="I30" s="5" t="s">
        <v>19</v>
      </c>
      <c r="J30" s="5">
        <v>2</v>
      </c>
      <c r="K30" s="5" t="s">
        <v>20</v>
      </c>
      <c r="L30" s="5" t="str">
        <f>VLOOKUP(Healthcare!$A30,hospital_details,2,0)</f>
        <v>8-Aug-1961</v>
      </c>
      <c r="M30" s="5">
        <f t="shared" ref="M30:M92" ca="1" si="167">VLOOKUP(A30,hospital_details,3,0)</f>
        <v>65</v>
      </c>
      <c r="N30" s="5">
        <f t="shared" ref="N30:N93" si="168">VLOOKUP($A30,hospital_details,4,0)</f>
        <v>0</v>
      </c>
      <c r="O30" s="6">
        <f t="shared" ref="O30:O93" si="169">VLOOKUP($A30,hospital_details,5,0)</f>
        <v>46599.11</v>
      </c>
      <c r="P30" s="5" t="str">
        <f t="shared" ref="P30:P93" si="170">VLOOKUP($A30,hospital_details,6,0)</f>
        <v>tier - 1</v>
      </c>
      <c r="Q30" s="5" t="str">
        <f t="shared" ref="Q30:Q93" si="171">VLOOKUP($A30,hospital_details,7,0)</f>
        <v>tier - 1</v>
      </c>
      <c r="R30" s="5" t="str">
        <f t="shared" ref="R30:R93" si="172">VLOOKUP($A30,hospital_details,8,0)</f>
        <v>R1013</v>
      </c>
    </row>
    <row r="31" spans="1:25" ht="14.4" customHeight="1" x14ac:dyDescent="0.3">
      <c r="A31" s="7" t="s">
        <v>50</v>
      </c>
      <c r="B31" s="7" t="str">
        <f>VLOOKUP($A31,[1]!Customer_Names[#Data],3,0)</f>
        <v xml:space="preserve">  Natalie</v>
      </c>
      <c r="C31" s="7">
        <v>37.049999999999997</v>
      </c>
      <c r="D31" s="7" t="str" cm="1">
        <f t="array" ref="D31">_xlfn.IFS(Healthcare!$C31&lt;18.5,"under weight",Healthcare!$C31&lt;=24.9,"Normal Weight",Healthcare!$C31&gt;=25,"overweight",Healthcare!$C31&gt;=30,"obese")</f>
        <v>overweight</v>
      </c>
      <c r="E31" s="7">
        <v>8.44</v>
      </c>
      <c r="F31" s="7" t="str" cm="1">
        <f t="array" ref="F31">_xlfn.IFS(Healthcare!$E31&lt;5.7,"normal",Healthcare!$E31&lt;=6.4,"prediabetes",Healthcare!$E31&gt;=6.5,"diabetes")</f>
        <v>diabetes</v>
      </c>
      <c r="G31" s="7" t="s">
        <v>19</v>
      </c>
      <c r="H31" s="7" t="s">
        <v>19</v>
      </c>
      <c r="I31" s="7" t="s">
        <v>19</v>
      </c>
      <c r="J31" s="7">
        <v>0</v>
      </c>
      <c r="K31" s="7" t="s">
        <v>20</v>
      </c>
      <c r="L31" s="7" t="str">
        <f>VLOOKUP(Healthcare!$A31,hospital_details,2,0)</f>
        <v>6-Dec-1971</v>
      </c>
      <c r="M31" s="7">
        <f t="shared" ref="M31:M93" ca="1" si="173">VLOOKUP(A31,hospital_details,3,0)</f>
        <v>54</v>
      </c>
      <c r="N31" s="7">
        <f t="shared" ref="N31:N94" si="174">VLOOKUP($A31,hospital_details,4,0)</f>
        <v>3</v>
      </c>
      <c r="O31" s="8">
        <f t="shared" ref="O31:O94" si="175">VLOOKUP($A31,hospital_details,5,0)</f>
        <v>46255.11</v>
      </c>
      <c r="P31" s="7" t="str">
        <f t="shared" ref="P31:P94" si="176">VLOOKUP($A31,hospital_details,6,0)</f>
        <v>tier - 1</v>
      </c>
      <c r="Q31" s="7" t="str">
        <f t="shared" ref="Q31:Q94" si="177">VLOOKUP($A31,hospital_details,7,0)</f>
        <v>tier - 3</v>
      </c>
      <c r="R31" s="7" t="str">
        <f t="shared" ref="R31:R94" si="178">VLOOKUP($A31,hospital_details,8,0)</f>
        <v>R1024</v>
      </c>
    </row>
    <row r="32" spans="1:25" ht="14.4" customHeight="1" x14ac:dyDescent="0.3">
      <c r="A32" s="5" t="s">
        <v>51</v>
      </c>
      <c r="B32" s="5" t="str">
        <f>VLOOKUP($A32,[1]!Customer_Names[#Data],3,0)</f>
        <v xml:space="preserve">  Nicole J</v>
      </c>
      <c r="C32" s="5">
        <v>43.89</v>
      </c>
      <c r="D32" s="5" t="str" cm="1">
        <f t="array" ref="D32">_xlfn.IFS(Healthcare!$C32&lt;18.5,"under weight",Healthcare!$C32&lt;=24.9,"Normal Weight",Healthcare!$C32&gt;=25,"overweight",Healthcare!$C32&gt;=30,"obese")</f>
        <v>overweight</v>
      </c>
      <c r="E32" s="5">
        <v>8.7100000000000009</v>
      </c>
      <c r="F32" s="5" t="str" cm="1">
        <f t="array" ref="F32">_xlfn.IFS(Healthcare!$E32&lt;5.7,"normal",Healthcare!$E32&lt;=6.4,"prediabetes",Healthcare!$E32&gt;=6.5,"diabetes")</f>
        <v>diabetes</v>
      </c>
      <c r="G32" s="5" t="s">
        <v>19</v>
      </c>
      <c r="H32" s="5" t="s">
        <v>19</v>
      </c>
      <c r="I32" s="5" t="s">
        <v>19</v>
      </c>
      <c r="J32" s="5">
        <v>0</v>
      </c>
      <c r="K32" s="5" t="s">
        <v>20</v>
      </c>
      <c r="L32" s="5" t="str">
        <f>VLOOKUP(Healthcare!$A32,hospital_details,2,0)</f>
        <v>17-Aug-1978</v>
      </c>
      <c r="M32" s="5">
        <f t="shared" ref="M32:M94" ca="1" si="179">VLOOKUP(A32,hospital_details,3,0)</f>
        <v>48</v>
      </c>
      <c r="N32" s="5">
        <f t="shared" ref="N32:N95" si="180">VLOOKUP($A32,hospital_details,4,0)</f>
        <v>2</v>
      </c>
      <c r="O32" s="6">
        <f t="shared" ref="O32:O95" si="181">VLOOKUP($A32,hospital_details,5,0)</f>
        <v>46200.99</v>
      </c>
      <c r="P32" s="5" t="str">
        <f t="shared" ref="P32:P95" si="182">VLOOKUP($A32,hospital_details,6,0)</f>
        <v>tier - 1</v>
      </c>
      <c r="Q32" s="5" t="str">
        <f t="shared" ref="Q32:Q95" si="183">VLOOKUP($A32,hospital_details,7,0)</f>
        <v>tier - 1</v>
      </c>
      <c r="R32" s="5" t="str">
        <f t="shared" ref="R32:R95" si="184">VLOOKUP($A32,hospital_details,8,0)</f>
        <v>R1013</v>
      </c>
    </row>
    <row r="33" spans="1:26" ht="14.4" customHeight="1" x14ac:dyDescent="0.3">
      <c r="A33" s="7" t="s">
        <v>52</v>
      </c>
      <c r="B33" s="7" t="str">
        <f>VLOOKUP($A33,[1]!Customer_Names[#Data],3,0)</f>
        <v xml:space="preserve">  Jefferson D</v>
      </c>
      <c r="C33" s="7">
        <v>42.35</v>
      </c>
      <c r="D33" s="7" t="str" cm="1">
        <f t="array" ref="D33">_xlfn.IFS(Healthcare!$C33&lt;18.5,"under weight",Healthcare!$C33&lt;=24.9,"Normal Weight",Healthcare!$C33&gt;=25,"overweight",Healthcare!$C33&gt;=30,"obese")</f>
        <v>overweight</v>
      </c>
      <c r="E33" s="7">
        <v>5.08</v>
      </c>
      <c r="F33" s="7" t="str" cm="1">
        <f t="array" ref="F33">_xlfn.IFS(Healthcare!$E33&lt;5.7,"normal",Healthcare!$E33&lt;=6.4,"prediabetes",Healthcare!$E33&gt;=6.5,"diabetes")</f>
        <v>normal</v>
      </c>
      <c r="G33" s="7" t="s">
        <v>20</v>
      </c>
      <c r="H33" s="7" t="s">
        <v>19</v>
      </c>
      <c r="I33" s="7" t="s">
        <v>19</v>
      </c>
      <c r="J33" s="7">
        <v>0</v>
      </c>
      <c r="K33" s="7" t="s">
        <v>20</v>
      </c>
      <c r="L33" s="7" t="str">
        <f>VLOOKUP(Healthcare!$A33,hospital_details,2,0)</f>
        <v>2-Dec-1976</v>
      </c>
      <c r="M33" s="7">
        <f t="shared" ref="M33:M95" ca="1" si="185">VLOOKUP(A33,hospital_details,3,0)</f>
        <v>49</v>
      </c>
      <c r="N33" s="7">
        <f t="shared" ref="N33:N96" si="186">VLOOKUP($A33,hospital_details,4,0)</f>
        <v>3</v>
      </c>
      <c r="O33" s="8">
        <f t="shared" ref="O33:O96" si="187">VLOOKUP($A33,hospital_details,5,0)</f>
        <v>46151.12</v>
      </c>
      <c r="P33" s="7" t="str">
        <f t="shared" ref="P33:P96" si="188">VLOOKUP($A33,hospital_details,6,0)</f>
        <v>tier - 1</v>
      </c>
      <c r="Q33" s="7" t="str">
        <f t="shared" ref="Q33:Q96" si="189">VLOOKUP($A33,hospital_details,7,0)</f>
        <v>tier - 3</v>
      </c>
      <c r="R33" s="7" t="str">
        <f t="shared" ref="R33:R96" si="190">VLOOKUP($A33,hospital_details,8,0)</f>
        <v>R1013</v>
      </c>
    </row>
    <row r="34" spans="1:26" ht="14.4" customHeight="1" x14ac:dyDescent="0.3">
      <c r="A34" s="5" t="s">
        <v>53</v>
      </c>
      <c r="B34" s="5" t="str">
        <f>VLOOKUP($A34,[1]!Customer_Names[#Data],3,0)</f>
        <v xml:space="preserve">  Brendan D</v>
      </c>
      <c r="C34" s="5">
        <v>31.35</v>
      </c>
      <c r="D34" s="5" t="str" cm="1">
        <f t="array" ref="D34">_xlfn.IFS(Healthcare!$C34&lt;18.5,"under weight",Healthcare!$C34&lt;=24.9,"Normal Weight",Healthcare!$C34&gt;=25,"overweight",Healthcare!$C34&gt;=30,"obese")</f>
        <v>overweight</v>
      </c>
      <c r="E34" s="5">
        <v>6.86</v>
      </c>
      <c r="F34" s="5" t="str" cm="1">
        <f t="array" ref="F34">_xlfn.IFS(Healthcare!$E34&lt;5.7,"normal",Healthcare!$E34&lt;=6.4,"prediabetes",Healthcare!$E34&gt;=6.5,"diabetes")</f>
        <v>diabetes</v>
      </c>
      <c r="G34" s="5" t="s">
        <v>19</v>
      </c>
      <c r="H34" s="5" t="s">
        <v>19</v>
      </c>
      <c r="I34" s="5" t="s">
        <v>19</v>
      </c>
      <c r="J34" s="5">
        <v>0</v>
      </c>
      <c r="K34" s="5" t="s">
        <v>20</v>
      </c>
      <c r="L34" s="5" t="str">
        <f>VLOOKUP(Healthcare!$A34,hospital_details,2,0)</f>
        <v>4-Dec-1962</v>
      </c>
      <c r="M34" s="5">
        <f t="shared" ref="M34:M96" ca="1" si="191">VLOOKUP(A34,hospital_details,3,0)</f>
        <v>63</v>
      </c>
      <c r="N34" s="5">
        <f t="shared" ref="N34:N97" si="192">VLOOKUP($A34,hospital_details,4,0)</f>
        <v>3</v>
      </c>
      <c r="O34" s="6">
        <f t="shared" ref="O34:O97" si="193">VLOOKUP($A34,hospital_details,5,0)</f>
        <v>46130.53</v>
      </c>
      <c r="P34" s="5" t="str">
        <f t="shared" ref="P34:P97" si="194">VLOOKUP($A34,hospital_details,6,0)</f>
        <v>tier - 1</v>
      </c>
      <c r="Q34" s="5" t="str">
        <f t="shared" ref="Q34:Q97" si="195">VLOOKUP($A34,hospital_details,7,0)</f>
        <v>tier - 1</v>
      </c>
      <c r="R34" s="5" t="str">
        <f t="shared" ref="R34:R97" si="196">VLOOKUP($A34,hospital_details,8,0)</f>
        <v>R1012</v>
      </c>
    </row>
    <row r="35" spans="1:26" ht="14.4" customHeight="1" x14ac:dyDescent="0.3">
      <c r="A35" s="7" t="s">
        <v>54</v>
      </c>
      <c r="B35" s="7" t="str">
        <f>VLOOKUP($A35,[1]!Customer_Names[#Data],3,0)</f>
        <v xml:space="preserve">  Courtney</v>
      </c>
      <c r="C35" s="7">
        <v>47.6</v>
      </c>
      <c r="D35" s="7" t="str" cm="1">
        <f t="array" ref="D35">_xlfn.IFS(Healthcare!$C35&lt;18.5,"under weight",Healthcare!$C35&lt;=24.9,"Normal Weight",Healthcare!$C35&gt;=25,"overweight",Healthcare!$C35&gt;=30,"obese")</f>
        <v>overweight</v>
      </c>
      <c r="E35" s="7">
        <v>5.95</v>
      </c>
      <c r="F35" s="7" t="str" cm="1">
        <f t="array" ref="F35">_xlfn.IFS(Healthcare!$E35&lt;5.7,"normal",Healthcare!$E35&lt;=6.4,"prediabetes",Healthcare!$E35&gt;=6.5,"diabetes")</f>
        <v>prediabetes</v>
      </c>
      <c r="G35" s="7" t="s">
        <v>20</v>
      </c>
      <c r="H35" s="7" t="s">
        <v>19</v>
      </c>
      <c r="I35" s="7" t="s">
        <v>19</v>
      </c>
      <c r="J35" s="7">
        <v>0</v>
      </c>
      <c r="K35" s="7" t="s">
        <v>20</v>
      </c>
      <c r="L35" s="7" t="str">
        <f>VLOOKUP(Healthcare!$A35,hospital_details,2,0)</f>
        <v>30-Sep-1985</v>
      </c>
      <c r="M35" s="7">
        <f t="shared" ref="M35:M97" ca="1" si="197">VLOOKUP(A35,hospital_details,3,0)</f>
        <v>41</v>
      </c>
      <c r="N35" s="7">
        <f t="shared" ref="N35:N98" si="198">VLOOKUP($A35,hospital_details,4,0)</f>
        <v>2</v>
      </c>
      <c r="O35" s="8">
        <f t="shared" ref="O35:O98" si="199">VLOOKUP($A35,hospital_details,5,0)</f>
        <v>46113.51</v>
      </c>
      <c r="P35" s="7" t="str">
        <f t="shared" ref="P35:P98" si="200">VLOOKUP($A35,hospital_details,6,0)</f>
        <v>tier - 2</v>
      </c>
      <c r="Q35" s="7" t="str">
        <f t="shared" ref="Q35:Q98" si="201">VLOOKUP($A35,hospital_details,7,0)</f>
        <v>tier - 3</v>
      </c>
      <c r="R35" s="7" t="str">
        <f t="shared" ref="R35:R98" si="202">VLOOKUP($A35,hospital_details,8,0)</f>
        <v>R1011</v>
      </c>
    </row>
    <row r="36" spans="1:26" ht="14.4" customHeight="1" x14ac:dyDescent="0.3">
      <c r="A36" s="5" t="s">
        <v>55</v>
      </c>
      <c r="B36" s="5" t="str">
        <f>VLOOKUP($A36,[1]!Customer_Names[#Data],3,0)</f>
        <v xml:space="preserve">  Sydney L</v>
      </c>
      <c r="C36" s="5">
        <v>46.2</v>
      </c>
      <c r="D36" s="5" t="str" cm="1">
        <f t="array" ref="D36">_xlfn.IFS(Healthcare!$C36&lt;18.5,"under weight",Healthcare!$C36&lt;=24.9,"Normal Weight",Healthcare!$C36&gt;=25,"overweight",Healthcare!$C36&gt;=30,"obese")</f>
        <v>overweight</v>
      </c>
      <c r="E36" s="5">
        <v>6.09</v>
      </c>
      <c r="F36" s="5" t="str" cm="1">
        <f t="array" ref="F36">_xlfn.IFS(Healthcare!$E36&lt;5.7,"normal",Healthcare!$E36&lt;=6.4,"prediabetes",Healthcare!$E36&gt;=6.5,"diabetes")</f>
        <v>prediabetes</v>
      </c>
      <c r="G36" s="5" t="s">
        <v>19</v>
      </c>
      <c r="H36" s="5" t="s">
        <v>19</v>
      </c>
      <c r="I36" s="5" t="s">
        <v>29</v>
      </c>
      <c r="J36" s="5">
        <v>1</v>
      </c>
      <c r="K36" s="5" t="s">
        <v>20</v>
      </c>
      <c r="L36" s="5" t="str">
        <f>VLOOKUP(Healthcare!$A36,hospital_details,2,0)</f>
        <v>12-Aug-1979</v>
      </c>
      <c r="M36" s="5">
        <f t="shared" ref="M36:M98" ca="1" si="203">VLOOKUP(A36,hospital_details,3,0)</f>
        <v>47</v>
      </c>
      <c r="N36" s="5">
        <f t="shared" ref="N36:N99" si="204">VLOOKUP($A36,hospital_details,4,0)</f>
        <v>0</v>
      </c>
      <c r="O36" s="6">
        <f t="shared" ref="O36:O99" si="205">VLOOKUP($A36,hospital_details,5,0)</f>
        <v>45863.21</v>
      </c>
      <c r="P36" s="5" t="str">
        <f t="shared" ref="P36:P99" si="206">VLOOKUP($A36,hospital_details,6,0)</f>
        <v>tier - 2</v>
      </c>
      <c r="Q36" s="5" t="str">
        <f t="shared" ref="Q36:Q99" si="207">VLOOKUP($A36,hospital_details,7,0)</f>
        <v>tier - 1</v>
      </c>
      <c r="R36" s="5" t="str">
        <f t="shared" ref="R36:R99" si="208">VLOOKUP($A36,hospital_details,8,0)</f>
        <v>R1013</v>
      </c>
    </row>
    <row r="37" spans="1:26" ht="14.4" customHeight="1" x14ac:dyDescent="0.3">
      <c r="A37" s="7" t="s">
        <v>56</v>
      </c>
      <c r="B37" s="7" t="str">
        <f>VLOOKUP($A37,[1]!Customer_Names[#Data],3,0)</f>
        <v xml:space="preserve">  Julien</v>
      </c>
      <c r="C37" s="7">
        <v>32.015000000000001</v>
      </c>
      <c r="D37" s="7" t="str" cm="1">
        <f t="array" ref="D37">_xlfn.IFS(Healthcare!$C37&lt;18.5,"under weight",Healthcare!$C37&lt;=24.9,"Normal Weight",Healthcare!$C37&gt;=25,"overweight",Healthcare!$C37&gt;=30,"obese")</f>
        <v>overweight</v>
      </c>
      <c r="E37" s="7">
        <v>11.75</v>
      </c>
      <c r="F37" s="7" t="str" cm="1">
        <f t="array" ref="F37">_xlfn.IFS(Healthcare!$E37&lt;5.7,"normal",Healthcare!$E37&lt;=6.4,"prediabetes",Healthcare!$E37&gt;=6.5,"diabetes")</f>
        <v>diabetes</v>
      </c>
      <c r="G37" s="7" t="s">
        <v>19</v>
      </c>
      <c r="H37" s="7" t="s">
        <v>19</v>
      </c>
      <c r="I37" s="7" t="s">
        <v>19</v>
      </c>
      <c r="J37" s="7">
        <v>0</v>
      </c>
      <c r="K37" s="7" t="s">
        <v>20</v>
      </c>
      <c r="L37" s="7" t="str">
        <f>VLOOKUP(Healthcare!$A37,hospital_details,2,0)</f>
        <v>21-Dec-1960</v>
      </c>
      <c r="M37" s="7">
        <f t="shared" ref="M37:M99" ca="1" si="209">VLOOKUP(A37,hospital_details,3,0)</f>
        <v>65</v>
      </c>
      <c r="N37" s="7">
        <f t="shared" ref="N37:N100" si="210">VLOOKUP($A37,hospital_details,4,0)</f>
        <v>0</v>
      </c>
      <c r="O37" s="8">
        <f t="shared" ref="O37:O100" si="211">VLOOKUP($A37,hospital_details,5,0)</f>
        <v>45710.21</v>
      </c>
      <c r="P37" s="7" t="str">
        <f t="shared" ref="P37:P100" si="212">VLOOKUP($A37,hospital_details,6,0)</f>
        <v>tier - 2</v>
      </c>
      <c r="Q37" s="7" t="str">
        <f t="shared" ref="Q37:Q100" si="213">VLOOKUP($A37,hospital_details,7,0)</f>
        <v>tier - 2</v>
      </c>
      <c r="R37" s="7" t="str">
        <f t="shared" ref="R37:R100" si="214">VLOOKUP($A37,hospital_details,8,0)</f>
        <v>R1016</v>
      </c>
    </row>
    <row r="38" spans="1:26" ht="14.4" customHeight="1" x14ac:dyDescent="0.3">
      <c r="A38" s="5" t="s">
        <v>57</v>
      </c>
      <c r="B38" s="5" t="str">
        <f>VLOOKUP($A38,[1]!Customer_Names[#Data],3,0)</f>
        <v xml:space="preserve">  Ryan M</v>
      </c>
      <c r="C38" s="5">
        <v>40.564999999999998</v>
      </c>
      <c r="D38" s="5" t="str" cm="1">
        <f t="array" ref="D38">_xlfn.IFS(Healthcare!$C38&lt;18.5,"under weight",Healthcare!$C38&lt;=24.9,"Normal Weight",Healthcare!$C38&gt;=25,"overweight",Healthcare!$C38&gt;=30,"obese")</f>
        <v>overweight</v>
      </c>
      <c r="E38" s="5">
        <v>7.37</v>
      </c>
      <c r="F38" s="5" t="str" cm="1">
        <f t="array" ref="F38">_xlfn.IFS(Healthcare!$E38&lt;5.7,"normal",Healthcare!$E38&lt;=6.4,"prediabetes",Healthcare!$E38&gt;=6.5,"diabetes")</f>
        <v>diabetes</v>
      </c>
      <c r="G38" s="5" t="s">
        <v>19</v>
      </c>
      <c r="H38" s="5" t="s">
        <v>19</v>
      </c>
      <c r="I38" s="5" t="s">
        <v>19</v>
      </c>
      <c r="J38" s="5">
        <v>0</v>
      </c>
      <c r="K38" s="5" t="s">
        <v>20</v>
      </c>
      <c r="L38" s="5" t="str">
        <f>VLOOKUP(Healthcare!$A38,hospital_details,2,0)</f>
        <v>9-Aug-1974</v>
      </c>
      <c r="M38" s="5">
        <f t="shared" ref="M38:M100" ca="1" si="215">VLOOKUP(A38,hospital_details,3,0)</f>
        <v>52</v>
      </c>
      <c r="N38" s="5">
        <f t="shared" ref="N38:N101" si="216">VLOOKUP($A38,hospital_details,4,0)</f>
        <v>2</v>
      </c>
      <c r="O38" s="6">
        <f t="shared" ref="O38:O101" si="217">VLOOKUP($A38,hospital_details,5,0)</f>
        <v>45702.02</v>
      </c>
      <c r="P38" s="5" t="str">
        <f t="shared" ref="P38:P101" si="218">VLOOKUP($A38,hospital_details,6,0)</f>
        <v>tier - 2</v>
      </c>
      <c r="Q38" s="5" t="str">
        <f t="shared" ref="Q38:Q101" si="219">VLOOKUP($A38,hospital_details,7,0)</f>
        <v>tier - 2</v>
      </c>
      <c r="R38" s="5" t="str">
        <f t="shared" ref="R38:R101" si="220">VLOOKUP($A38,hospital_details,8,0)</f>
        <v>R1012</v>
      </c>
    </row>
    <row r="39" spans="1:26" ht="14.4" customHeight="1" x14ac:dyDescent="0.3">
      <c r="A39" s="7" t="s">
        <v>58</v>
      </c>
      <c r="B39" s="7" t="str">
        <f>VLOOKUP($A39,[1]!Customer_Names[#Data],3,0)</f>
        <v xml:space="preserve">  Anna H</v>
      </c>
      <c r="C39" s="7">
        <v>32.450000000000003</v>
      </c>
      <c r="D39" s="7" t="str" cm="1">
        <f t="array" ref="D39">_xlfn.IFS(Healthcare!$C39&lt;18.5,"under weight",Healthcare!$C39&lt;=24.9,"Normal Weight",Healthcare!$C39&gt;=25,"overweight",Healthcare!$C39&gt;=30,"obese")</f>
        <v>overweight</v>
      </c>
      <c r="E39" s="7">
        <v>11.91</v>
      </c>
      <c r="F39" s="7" t="str" cm="1">
        <f t="array" ref="F39">_xlfn.IFS(Healthcare!$E39&lt;5.7,"normal",Healthcare!$E39&lt;=6.4,"prediabetes",Healthcare!$E39&gt;=6.5,"diabetes")</f>
        <v>diabetes</v>
      </c>
      <c r="G39" s="7" t="s">
        <v>19</v>
      </c>
      <c r="H39" s="7" t="s">
        <v>19</v>
      </c>
      <c r="I39" s="7" t="s">
        <v>19</v>
      </c>
      <c r="J39" s="7">
        <v>0</v>
      </c>
      <c r="K39" s="7" t="s">
        <v>20</v>
      </c>
      <c r="L39" s="7" t="str">
        <f>VLOOKUP(Healthcare!$A39,hospital_details,2,0)</f>
        <v>17-Dec-1962</v>
      </c>
      <c r="M39" s="7">
        <f t="shared" ref="M39:M101" ca="1" si="221">VLOOKUP(A39,hospital_details,3,0)</f>
        <v>63</v>
      </c>
      <c r="N39" s="7">
        <f t="shared" ref="N39:N102" si="222">VLOOKUP($A39,hospital_details,4,0)</f>
        <v>0</v>
      </c>
      <c r="O39" s="8">
        <f t="shared" ref="O39:O102" si="223">VLOOKUP($A39,hospital_details,5,0)</f>
        <v>45008.959999999999</v>
      </c>
      <c r="P39" s="7" t="str">
        <f t="shared" ref="P39:P102" si="224">VLOOKUP($A39,hospital_details,6,0)</f>
        <v>tier - 2</v>
      </c>
      <c r="Q39" s="7" t="str">
        <f t="shared" ref="Q39:Q102" si="225">VLOOKUP($A39,hospital_details,7,0)</f>
        <v>tier - 2</v>
      </c>
      <c r="R39" s="7" t="str">
        <f t="shared" ref="R39:R102" si="226">VLOOKUP($A39,hospital_details,8,0)</f>
        <v>R1013</v>
      </c>
    </row>
    <row r="40" spans="1:26" ht="16.95" customHeight="1" x14ac:dyDescent="0.4">
      <c r="A40" s="5" t="s">
        <v>59</v>
      </c>
      <c r="B40" s="5" t="str">
        <f>VLOOKUP($A40,[1]!Customer_Names[#Data],3,0)</f>
        <v xml:space="preserve">  Samantha</v>
      </c>
      <c r="C40" s="5">
        <v>34.96</v>
      </c>
      <c r="D40" s="5" t="str" cm="1">
        <f t="array" ref="D40">_xlfn.IFS(Healthcare!$C40&lt;18.5,"under weight",Healthcare!$C40&lt;=24.9,"Normal Weight",Healthcare!$C40&gt;=25,"overweight",Healthcare!$C40&gt;=30,"obese")</f>
        <v>overweight</v>
      </c>
      <c r="E40" s="5">
        <v>6.52</v>
      </c>
      <c r="F40" s="5" t="str" cm="1">
        <f t="array" ref="F40">_xlfn.IFS(Healthcare!$E40&lt;5.7,"normal",Healthcare!$E40&lt;=6.4,"prediabetes",Healthcare!$E40&gt;=6.5,"diabetes")</f>
        <v>diabetes</v>
      </c>
      <c r="G40" s="5" t="s">
        <v>19</v>
      </c>
      <c r="H40" s="5" t="s">
        <v>19</v>
      </c>
      <c r="I40" s="5" t="s">
        <v>19</v>
      </c>
      <c r="J40" s="5">
        <v>0</v>
      </c>
      <c r="K40" s="5" t="s">
        <v>20</v>
      </c>
      <c r="L40" s="5" t="str">
        <f>VLOOKUP(Healthcare!$A40,hospital_details,2,0)</f>
        <v>13-Aug-1971</v>
      </c>
      <c r="M40" s="5">
        <f t="shared" ref="M40:M102" ca="1" si="227">VLOOKUP(A40,hospital_details,3,0)</f>
        <v>55</v>
      </c>
      <c r="N40" s="5">
        <f t="shared" ref="N40:N103" si="228">VLOOKUP($A40,hospital_details,4,0)</f>
        <v>2</v>
      </c>
      <c r="O40" s="6">
        <f t="shared" ref="O40:O103" si="229">VLOOKUP($A40,hospital_details,5,0)</f>
        <v>44641.2</v>
      </c>
      <c r="P40" s="5" t="str">
        <f t="shared" ref="P40:P103" si="230">VLOOKUP($A40,hospital_details,6,0)</f>
        <v>tier - 2</v>
      </c>
      <c r="Q40" s="5" t="str">
        <f t="shared" ref="Q40:Q103" si="231">VLOOKUP($A40,hospital_details,7,0)</f>
        <v>tier - 3</v>
      </c>
      <c r="R40" s="5" t="str">
        <f t="shared" ref="R40:R103" si="232">VLOOKUP($A40,hospital_details,8,0)</f>
        <v>R1024</v>
      </c>
      <c r="S40" s="10"/>
      <c r="T40" s="9"/>
      <c r="U40" s="9"/>
      <c r="V40" s="9"/>
      <c r="W40" s="9"/>
      <c r="X40" s="11"/>
      <c r="Y40" s="11"/>
      <c r="Z40" s="11"/>
    </row>
    <row r="41" spans="1:26" ht="14.4" customHeight="1" x14ac:dyDescent="0.3">
      <c r="A41" s="7" t="s">
        <v>60</v>
      </c>
      <c r="B41" s="7" t="str">
        <f>VLOOKUP($A41,[1]!Customer_Names[#Data],3,0)</f>
        <v xml:space="preserve">  Robert</v>
      </c>
      <c r="C41" s="7">
        <v>35.5</v>
      </c>
      <c r="D41" s="7" t="str" cm="1">
        <f t="array" ref="D41">_xlfn.IFS(Healthcare!$C41&lt;18.5,"under weight",Healthcare!$C41&lt;=24.9,"Normal Weight",Healthcare!$C41&gt;=25,"overweight",Healthcare!$C41&gt;=30,"obese")</f>
        <v>overweight</v>
      </c>
      <c r="E41" s="7">
        <v>5.14</v>
      </c>
      <c r="F41" s="7" t="str" cm="1">
        <f t="array" ref="F41">_xlfn.IFS(Healthcare!$E41&lt;5.7,"normal",Healthcare!$E41&lt;=6.4,"prediabetes",Healthcare!$E41&gt;=6.5,"diabetes")</f>
        <v>normal</v>
      </c>
      <c r="G41" s="7" t="s">
        <v>19</v>
      </c>
      <c r="H41" s="7" t="s">
        <v>19</v>
      </c>
      <c r="I41" s="7" t="s">
        <v>29</v>
      </c>
      <c r="J41" s="7">
        <v>1</v>
      </c>
      <c r="K41" s="7" t="s">
        <v>20</v>
      </c>
      <c r="L41" s="7" t="str">
        <f>VLOOKUP(Healthcare!$A41,hospital_details,2,0)</f>
        <v>11-Oct-1993</v>
      </c>
      <c r="M41" s="7">
        <f t="shared" ref="M41:M103" ca="1" si="233">VLOOKUP(A41,hospital_details,3,0)</f>
        <v>33</v>
      </c>
      <c r="N41" s="7">
        <f t="shared" ref="N41:N104" si="234">VLOOKUP($A41,hospital_details,4,0)</f>
        <v>2</v>
      </c>
      <c r="O41" s="8">
        <f t="shared" ref="O41:O104" si="235">VLOOKUP($A41,hospital_details,5,0)</f>
        <v>44585.46</v>
      </c>
      <c r="P41" s="7" t="str">
        <f t="shared" ref="P41:P104" si="236">VLOOKUP($A41,hospital_details,6,0)</f>
        <v>tier - 2</v>
      </c>
      <c r="Q41" s="7" t="str">
        <f t="shared" ref="Q41:Q104" si="237">VLOOKUP($A41,hospital_details,7,0)</f>
        <v>tier - 2</v>
      </c>
      <c r="R41" s="7" t="str">
        <f t="shared" ref="R41:R104" si="238">VLOOKUP($A41,hospital_details,8,0)</f>
        <v>R1011</v>
      </c>
    </row>
    <row r="42" spans="1:26" ht="14.4" customHeight="1" x14ac:dyDescent="0.3">
      <c r="A42" s="5" t="s">
        <v>61</v>
      </c>
      <c r="B42" s="5" t="str">
        <f>VLOOKUP($A42,[1]!Customer_Names[#Data],3,0)</f>
        <v xml:space="preserve">  James R</v>
      </c>
      <c r="C42" s="5">
        <v>52.58</v>
      </c>
      <c r="D42" s="5" t="str" cm="1">
        <f t="array" ref="D42">_xlfn.IFS(Healthcare!$C42&lt;18.5,"under weight",Healthcare!$C42&lt;=24.9,"Normal Weight",Healthcare!$C42&gt;=25,"overweight",Healthcare!$C42&gt;=30,"obese")</f>
        <v>overweight</v>
      </c>
      <c r="E42" s="5">
        <v>4.1900000000000004</v>
      </c>
      <c r="F42" s="5" t="str" cm="1">
        <f t="array" ref="F42">_xlfn.IFS(Healthcare!$E42&lt;5.7,"normal",Healthcare!$E42&lt;=6.4,"prediabetes",Healthcare!$E42&gt;=6.5,"diabetes")</f>
        <v>normal</v>
      </c>
      <c r="G42" s="5" t="s">
        <v>19</v>
      </c>
      <c r="H42" s="5" t="s">
        <v>20</v>
      </c>
      <c r="I42" s="5" t="s">
        <v>19</v>
      </c>
      <c r="J42" s="5">
        <v>1</v>
      </c>
      <c r="K42" s="5" t="s">
        <v>20</v>
      </c>
      <c r="L42" s="5" t="str">
        <f>VLOOKUP(Healthcare!$A42,hospital_details,2,0)</f>
        <v>2-Aug-2000</v>
      </c>
      <c r="M42" s="5">
        <f t="shared" ref="M42:M104" ca="1" si="239">VLOOKUP(A42,hospital_details,3,0)</f>
        <v>26</v>
      </c>
      <c r="N42" s="5">
        <f t="shared" ref="N42:N105" si="240">VLOOKUP($A42,hospital_details,4,0)</f>
        <v>1</v>
      </c>
      <c r="O42" s="6">
        <f t="shared" ref="O42:O105" si="241">VLOOKUP($A42,hospital_details,5,0)</f>
        <v>44501.4</v>
      </c>
      <c r="P42" s="5" t="str">
        <f t="shared" ref="P42:P105" si="242">VLOOKUP($A42,hospital_details,6,0)</f>
        <v>tier - 2</v>
      </c>
      <c r="Q42" s="5" t="str">
        <f t="shared" ref="Q42:Q105" si="243">VLOOKUP($A42,hospital_details,7,0)</f>
        <v>tier - 3</v>
      </c>
      <c r="R42" s="5" t="str">
        <f t="shared" ref="R42:R105" si="244">VLOOKUP($A42,hospital_details,8,0)</f>
        <v>R1013</v>
      </c>
    </row>
    <row r="43" spans="1:26" ht="14.4" customHeight="1" x14ac:dyDescent="0.3">
      <c r="A43" s="7" t="s">
        <v>62</v>
      </c>
      <c r="B43" s="7" t="str">
        <f>VLOOKUP($A43,[1]!Customer_Names[#Data],3,0)</f>
        <v xml:space="preserve">  Roseann</v>
      </c>
      <c r="C43" s="7">
        <v>35.200000000000003</v>
      </c>
      <c r="D43" s="7" t="str" cm="1">
        <f t="array" ref="D43">_xlfn.IFS(Healthcare!$C43&lt;18.5,"under weight",Healthcare!$C43&lt;=24.9,"Normal Weight",Healthcare!$C43&gt;=25,"overweight",Healthcare!$C43&gt;=30,"obese")</f>
        <v>overweight</v>
      </c>
      <c r="E43" s="7">
        <v>11.68</v>
      </c>
      <c r="F43" s="7" t="str" cm="1">
        <f t="array" ref="F43">_xlfn.IFS(Healthcare!$E43&lt;5.7,"normal",Healthcare!$E43&lt;=6.4,"prediabetes",Healthcare!$E43&gt;=6.5,"diabetes")</f>
        <v>diabetes</v>
      </c>
      <c r="G43" s="7" t="s">
        <v>20</v>
      </c>
      <c r="H43" s="7" t="s">
        <v>19</v>
      </c>
      <c r="I43" s="7" t="s">
        <v>19</v>
      </c>
      <c r="J43" s="7">
        <v>0</v>
      </c>
      <c r="K43" s="7" t="s">
        <v>20</v>
      </c>
      <c r="L43" s="7" t="str">
        <f>VLOOKUP(Healthcare!$A43,hospital_details,2,0)</f>
        <v>14-Sep-1967</v>
      </c>
      <c r="M43" s="7">
        <f t="shared" ref="M43:M105" ca="1" si="245">VLOOKUP(A43,hospital_details,3,0)</f>
        <v>59</v>
      </c>
      <c r="N43" s="7">
        <f t="shared" ref="N43:N106" si="246">VLOOKUP($A43,hospital_details,4,0)</f>
        <v>0</v>
      </c>
      <c r="O43" s="8">
        <f t="shared" ref="O43:O106" si="247">VLOOKUP($A43,hospital_details,5,0)</f>
        <v>44423.8</v>
      </c>
      <c r="P43" s="7" t="str">
        <f t="shared" ref="P43:P106" si="248">VLOOKUP($A43,hospital_details,6,0)</f>
        <v>tier - 2</v>
      </c>
      <c r="Q43" s="7" t="str">
        <f t="shared" ref="Q43:Q106" si="249">VLOOKUP($A43,hospital_details,7,0)</f>
        <v>tier - 3</v>
      </c>
      <c r="R43" s="7" t="str">
        <f t="shared" ref="R43:R106" si="250">VLOOKUP($A43,hospital_details,8,0)</f>
        <v>R1013</v>
      </c>
    </row>
    <row r="44" spans="1:26" ht="14.4" customHeight="1" x14ac:dyDescent="0.3">
      <c r="A44" s="5" t="s">
        <v>63</v>
      </c>
      <c r="B44" s="5" t="str">
        <f>VLOOKUP($A44,[1]!Customer_Names[#Data],3,0)</f>
        <v xml:space="preserve">  Nicole</v>
      </c>
      <c r="C44" s="5">
        <v>38.06</v>
      </c>
      <c r="D44" s="5" t="str" cm="1">
        <f t="array" ref="D44">_xlfn.IFS(Healthcare!$C44&lt;18.5,"under weight",Healthcare!$C44&lt;=24.9,"Normal Weight",Healthcare!$C44&gt;=25,"overweight",Healthcare!$C44&gt;=30,"obese")</f>
        <v>overweight</v>
      </c>
      <c r="E44" s="5">
        <v>6.98</v>
      </c>
      <c r="F44" s="5" t="str" cm="1">
        <f t="array" ref="F44">_xlfn.IFS(Healthcare!$E44&lt;5.7,"normal",Healthcare!$E44&lt;=6.4,"prediabetes",Healthcare!$E44&gt;=6.5,"diabetes")</f>
        <v>diabetes</v>
      </c>
      <c r="G44" s="5" t="s">
        <v>19</v>
      </c>
      <c r="H44" s="5" t="s">
        <v>19</v>
      </c>
      <c r="I44" s="5" t="s">
        <v>19</v>
      </c>
      <c r="J44" s="5">
        <v>0</v>
      </c>
      <c r="K44" s="5" t="s">
        <v>20</v>
      </c>
      <c r="L44" s="5" t="str">
        <f>VLOOKUP(Healthcare!$A44,hospital_details,2,0)</f>
        <v>29-Oct-1971</v>
      </c>
      <c r="M44" s="5">
        <f t="shared" ref="M44:M106" ca="1" si="251">VLOOKUP(A44,hospital_details,3,0)</f>
        <v>54</v>
      </c>
      <c r="N44" s="5">
        <f t="shared" ref="N44:N107" si="252">VLOOKUP($A44,hospital_details,4,0)</f>
        <v>0</v>
      </c>
      <c r="O44" s="6">
        <f t="shared" ref="O44:O107" si="253">VLOOKUP($A44,hospital_details,5,0)</f>
        <v>44400.41</v>
      </c>
      <c r="P44" s="5" t="str">
        <f t="shared" ref="P44:P107" si="254">VLOOKUP($A44,hospital_details,6,0)</f>
        <v>tier - 2</v>
      </c>
      <c r="Q44" s="5" t="str">
        <f t="shared" ref="Q44:Q107" si="255">VLOOKUP($A44,hospital_details,7,0)</f>
        <v>tier - 2</v>
      </c>
      <c r="R44" s="5" t="str">
        <f t="shared" ref="R44:R107" si="256">VLOOKUP($A44,hospital_details,8,0)</f>
        <v>R1013</v>
      </c>
    </row>
    <row r="45" spans="1:26" ht="14.4" customHeight="1" x14ac:dyDescent="0.3">
      <c r="A45" s="7" t="s">
        <v>64</v>
      </c>
      <c r="B45" s="7" t="str">
        <f>VLOOKUP($A45,[1]!Customer_Names[#Data],3,0)</f>
        <v xml:space="preserve">  Spencer</v>
      </c>
      <c r="C45" s="7">
        <v>34.21</v>
      </c>
      <c r="D45" s="7" t="str" cm="1">
        <f t="array" ref="D45">_xlfn.IFS(Healthcare!$C45&lt;18.5,"under weight",Healthcare!$C45&lt;=24.9,"Normal Weight",Healthcare!$C45&gt;=25,"overweight",Healthcare!$C45&gt;=30,"obese")</f>
        <v>overweight</v>
      </c>
      <c r="E45" s="7">
        <v>8.34</v>
      </c>
      <c r="F45" s="7" t="str" cm="1">
        <f t="array" ref="F45">_xlfn.IFS(Healthcare!$E45&lt;5.7,"normal",Healthcare!$E45&lt;=6.4,"prediabetes",Healthcare!$E45&gt;=6.5,"diabetes")</f>
        <v>diabetes</v>
      </c>
      <c r="G45" s="7" t="s">
        <v>19</v>
      </c>
      <c r="H45" s="7" t="s">
        <v>19</v>
      </c>
      <c r="I45" s="7" t="s">
        <v>19</v>
      </c>
      <c r="J45" s="7">
        <v>0</v>
      </c>
      <c r="K45" s="7" t="s">
        <v>20</v>
      </c>
      <c r="L45" s="7" t="str">
        <f>VLOOKUP(Healthcare!$A45,hospital_details,2,0)</f>
        <v>24-Nov-1968</v>
      </c>
      <c r="M45" s="7">
        <f t="shared" ref="M45:M107" ca="1" si="257">VLOOKUP(A45,hospital_details,3,0)</f>
        <v>57</v>
      </c>
      <c r="N45" s="7">
        <f t="shared" ref="N45:N108" si="258">VLOOKUP($A45,hospital_details,4,0)</f>
        <v>2</v>
      </c>
      <c r="O45" s="8">
        <f t="shared" ref="O45:O108" si="259">VLOOKUP($A45,hospital_details,5,0)</f>
        <v>44260.75</v>
      </c>
      <c r="P45" s="7" t="str">
        <f t="shared" ref="P45:P108" si="260">VLOOKUP($A45,hospital_details,6,0)</f>
        <v>tier - 2</v>
      </c>
      <c r="Q45" s="7" t="str">
        <f t="shared" ref="Q45:Q108" si="261">VLOOKUP($A45,hospital_details,7,0)</f>
        <v>tier - 1</v>
      </c>
      <c r="R45" s="7" t="str">
        <f t="shared" ref="R45:R108" si="262">VLOOKUP($A45,hospital_details,8,0)</f>
        <v>R1013</v>
      </c>
    </row>
    <row r="46" spans="1:26" ht="14.4" customHeight="1" x14ac:dyDescent="0.3">
      <c r="A46" s="5" t="s">
        <v>65</v>
      </c>
      <c r="B46" s="5" t="str">
        <f>VLOOKUP($A46,[1]!Customer_Names[#Data],3,0)</f>
        <v xml:space="preserve">  Eric W</v>
      </c>
      <c r="C46" s="5">
        <v>38.94</v>
      </c>
      <c r="D46" s="5" t="str" cm="1">
        <f t="array" ref="D46">_xlfn.IFS(Healthcare!$C46&lt;18.5,"under weight",Healthcare!$C46&lt;=24.9,"Normal Weight",Healthcare!$C46&gt;=25,"overweight",Healthcare!$C46&gt;=30,"obese")</f>
        <v>overweight</v>
      </c>
      <c r="E46" s="5">
        <v>8.49</v>
      </c>
      <c r="F46" s="5" t="str" cm="1">
        <f t="array" ref="F46">_xlfn.IFS(Healthcare!$E46&lt;5.7,"normal",Healthcare!$E46&lt;=6.4,"prediabetes",Healthcare!$E46&gt;=6.5,"diabetes")</f>
        <v>diabetes</v>
      </c>
      <c r="G46" s="5" t="s">
        <v>20</v>
      </c>
      <c r="H46" s="5" t="s">
        <v>19</v>
      </c>
      <c r="I46" s="5" t="s">
        <v>19</v>
      </c>
      <c r="J46" s="5">
        <v>1</v>
      </c>
      <c r="K46" s="5" t="s">
        <v>20</v>
      </c>
      <c r="L46" s="5" t="str">
        <f>VLOOKUP(Healthcare!$A46,hospital_details,2,0)</f>
        <v>1-Jun-1975</v>
      </c>
      <c r="M46" s="5">
        <f t="shared" ref="M46:M108" ca="1" si="263">VLOOKUP(A46,hospital_details,3,0)</f>
        <v>51</v>
      </c>
      <c r="N46" s="5">
        <f t="shared" ref="N46:N109" si="264">VLOOKUP($A46,hospital_details,4,0)</f>
        <v>2</v>
      </c>
      <c r="O46" s="6">
        <f t="shared" ref="O46:O109" si="265">VLOOKUP($A46,hospital_details,5,0)</f>
        <v>44202.65</v>
      </c>
      <c r="P46" s="5" t="str">
        <f t="shared" ref="P46:P109" si="266">VLOOKUP($A46,hospital_details,6,0)</f>
        <v>tier - 2</v>
      </c>
      <c r="Q46" s="5" t="str">
        <f t="shared" ref="Q46:Q109" si="267">VLOOKUP($A46,hospital_details,7,0)</f>
        <v>tier - 2</v>
      </c>
      <c r="R46" s="5" t="str">
        <f t="shared" ref="R46:R109" si="268">VLOOKUP($A46,hospital_details,8,0)</f>
        <v>R1013</v>
      </c>
    </row>
    <row r="47" spans="1:26" ht="14.4" customHeight="1" x14ac:dyDescent="0.3">
      <c r="A47" s="7" t="s">
        <v>66</v>
      </c>
      <c r="B47" s="7" t="str">
        <f>VLOOKUP($A47,[1]!Customer_Names[#Data],3,0)</f>
        <v xml:space="preserve">  Brianna L</v>
      </c>
      <c r="C47" s="7">
        <v>30.21</v>
      </c>
      <c r="D47" s="7" t="str" cm="1">
        <f t="array" ref="D47">_xlfn.IFS(Healthcare!$C47&lt;18.5,"under weight",Healthcare!$C47&lt;=24.9,"Normal Weight",Healthcare!$C47&gt;=25,"overweight",Healthcare!$C47&gt;=30,"obese")</f>
        <v>overweight</v>
      </c>
      <c r="E47" s="7">
        <v>5.34</v>
      </c>
      <c r="F47" s="7" t="str" cm="1">
        <f t="array" ref="F47">_xlfn.IFS(Healthcare!$E47&lt;5.7,"normal",Healthcare!$E47&lt;=6.4,"prediabetes",Healthcare!$E47&gt;=6.5,"diabetes")</f>
        <v>normal</v>
      </c>
      <c r="G47" s="7" t="s">
        <v>20</v>
      </c>
      <c r="H47" s="7" t="s">
        <v>19</v>
      </c>
      <c r="I47" s="7" t="s">
        <v>19</v>
      </c>
      <c r="J47" s="7">
        <v>1</v>
      </c>
      <c r="K47" s="7" t="s">
        <v>20</v>
      </c>
      <c r="L47" s="7" t="str">
        <f>VLOOKUP(Healthcare!$A47,hospital_details,2,0)</f>
        <v>16-Jul-1988</v>
      </c>
      <c r="M47" s="7">
        <f t="shared" ref="M47:M109" ca="1" si="269">VLOOKUP(A47,hospital_details,3,0)</f>
        <v>38</v>
      </c>
      <c r="N47" s="7">
        <f t="shared" ref="N47:N110" si="270">VLOOKUP($A47,hospital_details,4,0)</f>
        <v>1</v>
      </c>
      <c r="O47" s="8">
        <f t="shared" ref="O47:O110" si="271">VLOOKUP($A47,hospital_details,5,0)</f>
        <v>43943.88</v>
      </c>
      <c r="P47" s="7" t="str">
        <f t="shared" ref="P47:P110" si="272">VLOOKUP($A47,hospital_details,6,0)</f>
        <v>tier - 2</v>
      </c>
      <c r="Q47" s="7" t="str">
        <f t="shared" ref="Q47:Q110" si="273">VLOOKUP($A47,hospital_details,7,0)</f>
        <v>tier - 1</v>
      </c>
      <c r="R47" s="7" t="str">
        <f t="shared" ref="R47:R110" si="274">VLOOKUP($A47,hospital_details,8,0)</f>
        <v>R1012</v>
      </c>
    </row>
    <row r="48" spans="1:26" ht="14.4" customHeight="1" x14ac:dyDescent="0.3">
      <c r="A48" s="5" t="s">
        <v>67</v>
      </c>
      <c r="B48" s="5" t="str">
        <f>VLOOKUP($A48,[1]!Customer_Names[#Data],3,0)</f>
        <v xml:space="preserve">  Thomas J</v>
      </c>
      <c r="C48" s="5">
        <v>33.630000000000003</v>
      </c>
      <c r="D48" s="5" t="str" cm="1">
        <f t="array" ref="D48">_xlfn.IFS(Healthcare!$C48&lt;18.5,"under weight",Healthcare!$C48&lt;=24.9,"Normal Weight",Healthcare!$C48&gt;=25,"overweight",Healthcare!$C48&gt;=30,"obese")</f>
        <v>overweight</v>
      </c>
      <c r="E48" s="5">
        <v>4.43</v>
      </c>
      <c r="F48" s="5" t="str" cm="1">
        <f t="array" ref="F48">_xlfn.IFS(Healthcare!$E48&lt;5.7,"normal",Healthcare!$E48&lt;=6.4,"prediabetes",Healthcare!$E48&gt;=6.5,"diabetes")</f>
        <v>normal</v>
      </c>
      <c r="G48" s="5" t="s">
        <v>20</v>
      </c>
      <c r="H48" s="5" t="s">
        <v>19</v>
      </c>
      <c r="I48" s="5" t="s">
        <v>19</v>
      </c>
      <c r="J48" s="5">
        <v>2</v>
      </c>
      <c r="K48" s="5" t="s">
        <v>20</v>
      </c>
      <c r="L48" s="5" t="str">
        <f>VLOOKUP(Healthcare!$A48,hospital_details,2,0)</f>
        <v>5-Oct-1966</v>
      </c>
      <c r="M48" s="5">
        <f t="shared" ref="M48:M110" ca="1" si="275">VLOOKUP(A48,hospital_details,3,0)</f>
        <v>60</v>
      </c>
      <c r="N48" s="5">
        <f t="shared" ref="N48:N111" si="276">VLOOKUP($A48,hospital_details,4,0)</f>
        <v>0</v>
      </c>
      <c r="O48" s="6">
        <f t="shared" ref="O48:O111" si="277">VLOOKUP($A48,hospital_details,5,0)</f>
        <v>43921.18</v>
      </c>
      <c r="P48" s="5" t="str">
        <f t="shared" ref="P48:P111" si="278">VLOOKUP($A48,hospital_details,6,0)</f>
        <v>tier - 2</v>
      </c>
      <c r="Q48" s="5" t="str">
        <f t="shared" ref="Q48:Q111" si="279">VLOOKUP($A48,hospital_details,7,0)</f>
        <v>tier - 2</v>
      </c>
      <c r="R48" s="5" t="str">
        <f t="shared" ref="R48:R111" si="280">VLOOKUP($A48,hospital_details,8,0)</f>
        <v>R1012</v>
      </c>
    </row>
    <row r="49" spans="1:19" ht="14.4" customHeight="1" x14ac:dyDescent="0.3">
      <c r="A49" s="7" t="s">
        <v>68</v>
      </c>
      <c r="B49" s="7" t="str">
        <f>VLOOKUP($A49,[1]!Customer_Names[#Data],3,0)</f>
        <v xml:space="preserve">  Melissa L</v>
      </c>
      <c r="C49" s="7">
        <v>40.369999999999997</v>
      </c>
      <c r="D49" s="7" t="str" cm="1">
        <f t="array" ref="D49">_xlfn.IFS(Healthcare!$C49&lt;18.5,"under weight",Healthcare!$C49&lt;=24.9,"Normal Weight",Healthcare!$C49&gt;=25,"overweight",Healthcare!$C49&gt;=30,"obese")</f>
        <v>overweight</v>
      </c>
      <c r="E49" s="7">
        <v>4.47</v>
      </c>
      <c r="F49" s="7" t="str" cm="1">
        <f t="array" ref="F49">_xlfn.IFS(Healthcare!$E49&lt;5.7,"normal",Healthcare!$E49&lt;=6.4,"prediabetes",Healthcare!$E49&gt;=6.5,"diabetes")</f>
        <v>normal</v>
      </c>
      <c r="G49" s="7" t="s">
        <v>19</v>
      </c>
      <c r="H49" s="7" t="s">
        <v>19</v>
      </c>
      <c r="I49" s="7" t="s">
        <v>19</v>
      </c>
      <c r="J49" s="7">
        <v>0</v>
      </c>
      <c r="K49" s="7" t="s">
        <v>20</v>
      </c>
      <c r="L49" s="7" t="str">
        <f>VLOOKUP(Healthcare!$A49,hospital_details,2,0)</f>
        <v>10-Nov-1980</v>
      </c>
      <c r="M49" s="7">
        <f t="shared" ref="M49:M111" ca="1" si="281">VLOOKUP(A49,hospital_details,3,0)</f>
        <v>45</v>
      </c>
      <c r="N49" s="7">
        <f t="shared" ref="N49:N112" si="282">VLOOKUP($A49,hospital_details,4,0)</f>
        <v>2</v>
      </c>
      <c r="O49" s="8">
        <f t="shared" ref="O49:O112" si="283">VLOOKUP($A49,hospital_details,5,0)</f>
        <v>43896.38</v>
      </c>
      <c r="P49" s="7" t="str">
        <f t="shared" ref="P49:P112" si="284">VLOOKUP($A49,hospital_details,6,0)</f>
        <v>tier - 2</v>
      </c>
      <c r="Q49" s="7" t="str">
        <f t="shared" ref="Q49:Q112" si="285">VLOOKUP($A49,hospital_details,7,0)</f>
        <v>tier - 1</v>
      </c>
      <c r="R49" s="7" t="str">
        <f t="shared" ref="R49:R112" si="286">VLOOKUP($A49,hospital_details,8,0)</f>
        <v>R1013</v>
      </c>
    </row>
    <row r="50" spans="1:19" ht="14.4" customHeight="1" x14ac:dyDescent="0.3">
      <c r="A50" s="5" t="s">
        <v>69</v>
      </c>
      <c r="B50" s="5" t="str">
        <f>VLOOKUP($A50,[1]!Customer_Names[#Data],3,0)</f>
        <v xml:space="preserve">  Flavio</v>
      </c>
      <c r="C50" s="5">
        <v>53.09</v>
      </c>
      <c r="D50" s="5" t="str" cm="1">
        <f t="array" ref="D50">_xlfn.IFS(Healthcare!$C50&lt;18.5,"under weight",Healthcare!$C50&lt;=24.9,"Normal Weight",Healthcare!$C50&gt;=25,"overweight",Healthcare!$C50&gt;=30,"obese")</f>
        <v>overweight</v>
      </c>
      <c r="E50" s="5">
        <v>4.82</v>
      </c>
      <c r="F50" s="5" t="str" cm="1">
        <f t="array" ref="F50">_xlfn.IFS(Healthcare!$E50&lt;5.7,"normal",Healthcare!$E50&lt;=6.4,"prediabetes",Healthcare!$E50&gt;=6.5,"diabetes")</f>
        <v>normal</v>
      </c>
      <c r="G50" s="5" t="s">
        <v>20</v>
      </c>
      <c r="H50" s="5" t="s">
        <v>19</v>
      </c>
      <c r="I50" s="5" t="s">
        <v>19</v>
      </c>
      <c r="J50" s="5">
        <v>2</v>
      </c>
      <c r="K50" s="5" t="s">
        <v>20</v>
      </c>
      <c r="L50" s="5" t="str">
        <f>VLOOKUP(Healthcare!$A50,hospital_details,2,0)</f>
        <v>2-Jul-1966</v>
      </c>
      <c r="M50" s="5">
        <f t="shared" ref="M50:M112" ca="1" si="287">VLOOKUP(A50,hospital_details,3,0)</f>
        <v>60</v>
      </c>
      <c r="N50" s="5">
        <f t="shared" ref="N50:N113" si="288">VLOOKUP($A50,hospital_details,4,0)</f>
        <v>0</v>
      </c>
      <c r="O50" s="6">
        <f t="shared" ref="O50:O113" si="289">VLOOKUP($A50,hospital_details,5,0)</f>
        <v>43817.45</v>
      </c>
      <c r="P50" s="5" t="str">
        <f t="shared" ref="P50:P113" si="290">VLOOKUP($A50,hospital_details,6,0)</f>
        <v>tier - 2</v>
      </c>
      <c r="Q50" s="5" t="str">
        <f t="shared" ref="Q50:Q113" si="291">VLOOKUP($A50,hospital_details,7,0)</f>
        <v>tier - 3</v>
      </c>
      <c r="R50" s="5" t="str">
        <f t="shared" ref="R50:R113" si="292">VLOOKUP($A50,hospital_details,8,0)</f>
        <v>R1012</v>
      </c>
    </row>
    <row r="51" spans="1:19" ht="14.4" customHeight="1" x14ac:dyDescent="0.3">
      <c r="A51" s="7" t="s">
        <v>70</v>
      </c>
      <c r="B51" s="7" t="str">
        <f>VLOOKUP($A51,[1]!Customer_Names[#Data],3,0)</f>
        <v xml:space="preserve">  Ryan</v>
      </c>
      <c r="C51" s="7">
        <v>31.79</v>
      </c>
      <c r="D51" s="7" t="str" cm="1">
        <f t="array" ref="D51">_xlfn.IFS(Healthcare!$C51&lt;18.5,"under weight",Healthcare!$C51&lt;=24.9,"Normal Weight",Healthcare!$C51&gt;=25,"overweight",Healthcare!$C51&gt;=30,"obese")</f>
        <v>overweight</v>
      </c>
      <c r="E51" s="7">
        <v>5.51</v>
      </c>
      <c r="F51" s="7" t="str" cm="1">
        <f t="array" ref="F51">_xlfn.IFS(Healthcare!$E51&lt;5.7,"normal",Healthcare!$E51&lt;=6.4,"prediabetes",Healthcare!$E51&gt;=6.5,"diabetes")</f>
        <v>normal</v>
      </c>
      <c r="G51" s="7" t="s">
        <v>20</v>
      </c>
      <c r="H51" s="7" t="s">
        <v>19</v>
      </c>
      <c r="I51" s="7" t="s">
        <v>19</v>
      </c>
      <c r="J51" s="7">
        <v>2</v>
      </c>
      <c r="K51" s="7" t="s">
        <v>20</v>
      </c>
      <c r="L51" s="7" t="str">
        <f>VLOOKUP(Healthcare!$A51,hospital_details,2,0)</f>
        <v>25-Oct-1966</v>
      </c>
      <c r="M51" s="7">
        <f t="shared" ref="M51:M113" ca="1" si="293">VLOOKUP(A51,hospital_details,3,0)</f>
        <v>59</v>
      </c>
      <c r="N51" s="7">
        <f t="shared" ref="N51:N114" si="294">VLOOKUP($A51,hospital_details,4,0)</f>
        <v>2</v>
      </c>
      <c r="O51" s="8">
        <f t="shared" ref="O51:O114" si="295">VLOOKUP($A51,hospital_details,5,0)</f>
        <v>43813.87</v>
      </c>
      <c r="P51" s="7" t="str">
        <f t="shared" ref="P51:P114" si="296">VLOOKUP($A51,hospital_details,6,0)</f>
        <v>tier - 2</v>
      </c>
      <c r="Q51" s="7" t="str">
        <f t="shared" ref="Q51:Q114" si="297">VLOOKUP($A51,hospital_details,7,0)</f>
        <v>tier - 2</v>
      </c>
      <c r="R51" s="7" t="str">
        <f t="shared" ref="R51:R114" si="298">VLOOKUP($A51,hospital_details,8,0)</f>
        <v>R1013</v>
      </c>
    </row>
    <row r="52" spans="1:19" ht="14.4" customHeight="1" x14ac:dyDescent="0.3">
      <c r="A52" s="5" t="s">
        <v>71</v>
      </c>
      <c r="B52" s="5" t="str">
        <f>VLOOKUP($A52,[1]!Customer_Names[#Data],3,0)</f>
        <v xml:space="preserve">  Anthony J</v>
      </c>
      <c r="C52" s="5">
        <v>41.895000000000003</v>
      </c>
      <c r="D52" s="5" t="str" cm="1">
        <f t="array" ref="D52">_xlfn.IFS(Healthcare!$C52&lt;18.5,"under weight",Healthcare!$C52&lt;=24.9,"Normal Weight",Healthcare!$C52&gt;=25,"overweight",Healthcare!$C52&gt;=30,"obese")</f>
        <v>overweight</v>
      </c>
      <c r="E52" s="5">
        <v>10.87</v>
      </c>
      <c r="F52" s="5" t="str" cm="1">
        <f t="array" ref="F52">_xlfn.IFS(Healthcare!$E52&lt;5.7,"normal",Healthcare!$E52&lt;=6.4,"prediabetes",Healthcare!$E52&gt;=6.5,"diabetes")</f>
        <v>diabetes</v>
      </c>
      <c r="G52" s="5" t="s">
        <v>20</v>
      </c>
      <c r="H52" s="5" t="s">
        <v>19</v>
      </c>
      <c r="I52" s="5" t="s">
        <v>19</v>
      </c>
      <c r="J52" s="5">
        <v>1</v>
      </c>
      <c r="K52" s="5" t="s">
        <v>20</v>
      </c>
      <c r="L52" s="5" t="str">
        <f>VLOOKUP(Healthcare!$A52,hospital_details,2,0)</f>
        <v>29-Dec-1986</v>
      </c>
      <c r="M52" s="5">
        <f t="shared" ref="M52:M114" ca="1" si="299">VLOOKUP(A52,hospital_details,3,0)</f>
        <v>39</v>
      </c>
      <c r="N52" s="5">
        <f t="shared" ref="N52:N115" si="300">VLOOKUP($A52,hospital_details,4,0)</f>
        <v>3</v>
      </c>
      <c r="O52" s="6">
        <f t="shared" ref="O52:O115" si="301">VLOOKUP($A52,hospital_details,5,0)</f>
        <v>43753.34</v>
      </c>
      <c r="P52" s="5" t="str">
        <f t="shared" ref="P52:P115" si="302">VLOOKUP($A52,hospital_details,6,0)</f>
        <v>tier - 2</v>
      </c>
      <c r="Q52" s="5" t="str">
        <f t="shared" ref="Q52:Q115" si="303">VLOOKUP($A52,hospital_details,7,0)</f>
        <v>tier - 1</v>
      </c>
      <c r="R52" s="5" t="str">
        <f t="shared" ref="R52:R115" si="304">VLOOKUP($A52,hospital_details,8,0)</f>
        <v>R1015</v>
      </c>
    </row>
    <row r="53" spans="1:19" ht="14.4" customHeight="1" x14ac:dyDescent="0.3">
      <c r="A53" s="7" t="s">
        <v>72</v>
      </c>
      <c r="B53" s="7" t="str">
        <f>VLOOKUP($A53,[1]!Customer_Names[#Data],3,0)</f>
        <v xml:space="preserve">  Alex</v>
      </c>
      <c r="C53" s="7">
        <v>31.16</v>
      </c>
      <c r="D53" s="7" t="str" cm="1">
        <f t="array" ref="D53">_xlfn.IFS(Healthcare!$C53&lt;18.5,"under weight",Healthcare!$C53&lt;=24.9,"Normal Weight",Healthcare!$C53&gt;=25,"overweight",Healthcare!$C53&gt;=30,"obese")</f>
        <v>overweight</v>
      </c>
      <c r="E53" s="7">
        <v>9.34</v>
      </c>
      <c r="F53" s="7" t="str" cm="1">
        <f t="array" ref="F53">_xlfn.IFS(Healthcare!$E53&lt;5.7,"normal",Healthcare!$E53&lt;=6.4,"prediabetes",Healthcare!$E53&gt;=6.5,"diabetes")</f>
        <v>diabetes</v>
      </c>
      <c r="G53" s="7" t="s">
        <v>19</v>
      </c>
      <c r="H53" s="7" t="s">
        <v>19</v>
      </c>
      <c r="I53" s="7" t="s">
        <v>19</v>
      </c>
      <c r="J53" s="7">
        <v>0</v>
      </c>
      <c r="K53" s="7" t="s">
        <v>20</v>
      </c>
      <c r="L53" s="7" t="str">
        <f>VLOOKUP(Healthcare!$A53,hospital_details,2,0)</f>
        <v>22-Aug-1965</v>
      </c>
      <c r="M53" s="7">
        <f t="shared" ref="M53:M115" ca="1" si="305">VLOOKUP(A53,hospital_details,3,0)</f>
        <v>61</v>
      </c>
      <c r="N53" s="7">
        <f t="shared" ref="N53:N116" si="306">VLOOKUP($A53,hospital_details,4,0)</f>
        <v>0</v>
      </c>
      <c r="O53" s="8">
        <f t="shared" ref="O53:O116" si="307">VLOOKUP($A53,hospital_details,5,0)</f>
        <v>43578.94</v>
      </c>
      <c r="P53" s="7" t="str">
        <f t="shared" ref="P53:P116" si="308">VLOOKUP($A53,hospital_details,6,0)</f>
        <v>tier - 2</v>
      </c>
      <c r="Q53" s="7" t="str">
        <f t="shared" ref="Q53:Q116" si="309">VLOOKUP($A53,hospital_details,7,0)</f>
        <v>tier - 2</v>
      </c>
      <c r="R53" s="7" t="str">
        <f t="shared" ref="R53:R116" si="310">VLOOKUP($A53,hospital_details,8,0)</f>
        <v>R1012</v>
      </c>
      <c r="S53" s="10"/>
    </row>
    <row r="54" spans="1:19" ht="14.4" customHeight="1" x14ac:dyDescent="0.3">
      <c r="A54" s="5" t="s">
        <v>73</v>
      </c>
      <c r="B54" s="5" t="str">
        <f>VLOOKUP($A54,[1]!Customer_Names[#Data],3,0)</f>
        <v xml:space="preserve">  David</v>
      </c>
      <c r="C54" s="5">
        <v>34.104999999999997</v>
      </c>
      <c r="D54" s="5" t="str" cm="1">
        <f t="array" ref="D54">_xlfn.IFS(Healthcare!$C54&lt;18.5,"under weight",Healthcare!$C54&lt;=24.9,"Normal Weight",Healthcare!$C54&gt;=25,"overweight",Healthcare!$C54&gt;=30,"obese")</f>
        <v>overweight</v>
      </c>
      <c r="E54" s="5">
        <v>5.03</v>
      </c>
      <c r="F54" s="5" t="str" cm="1">
        <f t="array" ref="F54">_xlfn.IFS(Healthcare!$E54&lt;5.7,"normal",Healthcare!$E54&lt;=6.4,"prediabetes",Healthcare!$E54&gt;=6.5,"diabetes")</f>
        <v>normal</v>
      </c>
      <c r="G54" s="5" t="s">
        <v>20</v>
      </c>
      <c r="H54" s="5" t="s">
        <v>19</v>
      </c>
      <c r="I54" s="5" t="s">
        <v>29</v>
      </c>
      <c r="J54" s="5">
        <v>1</v>
      </c>
      <c r="K54" s="5" t="s">
        <v>20</v>
      </c>
      <c r="L54" s="5" t="str">
        <f>VLOOKUP(Healthcare!$A54,hospital_details,2,0)</f>
        <v>3-Dec-1969</v>
      </c>
      <c r="M54" s="5">
        <f t="shared" ref="M54:M116" ca="1" si="311">VLOOKUP(A54,hospital_details,3,0)</f>
        <v>56</v>
      </c>
      <c r="N54" s="5">
        <f t="shared" ref="N54:N117" si="312">VLOOKUP($A54,hospital_details,4,0)</f>
        <v>0</v>
      </c>
      <c r="O54" s="6">
        <f t="shared" ref="O54:O117" si="313">VLOOKUP($A54,hospital_details,5,0)</f>
        <v>43254.42</v>
      </c>
      <c r="P54" s="5" t="str">
        <f t="shared" ref="P54:P117" si="314">VLOOKUP($A54,hospital_details,6,0)</f>
        <v>tier - 2</v>
      </c>
      <c r="Q54" s="5" t="str">
        <f t="shared" ref="Q54:Q117" si="315">VLOOKUP($A54,hospital_details,7,0)</f>
        <v>tier - 2</v>
      </c>
      <c r="R54" s="5" t="str">
        <f t="shared" ref="R54:R117" si="316">VLOOKUP($A54,hospital_details,8,0)</f>
        <v>R1016</v>
      </c>
    </row>
    <row r="55" spans="1:19" ht="14.4" customHeight="1" x14ac:dyDescent="0.3">
      <c r="A55" s="7" t="s">
        <v>74</v>
      </c>
      <c r="B55" s="7" t="str">
        <f>VLOOKUP($A55,[1]!Customer_Names[#Data],3,0)</f>
        <v xml:space="preserve">  Andrew B</v>
      </c>
      <c r="C55" s="7">
        <v>51.93</v>
      </c>
      <c r="D55" s="7" t="str" cm="1">
        <f t="array" ref="D55">_xlfn.IFS(Healthcare!$C55&lt;18.5,"under weight",Healthcare!$C55&lt;=24.9,"Normal Weight",Healthcare!$C55&gt;=25,"overweight",Healthcare!$C55&gt;=30,"obese")</f>
        <v>overweight</v>
      </c>
      <c r="E55" s="7">
        <v>11.05</v>
      </c>
      <c r="F55" s="7" t="str" cm="1">
        <f t="array" ref="F55">_xlfn.IFS(Healthcare!$E55&lt;5.7,"normal",Healthcare!$E55&lt;=6.4,"prediabetes",Healthcare!$E55&gt;=6.5,"diabetes")</f>
        <v>diabetes</v>
      </c>
      <c r="G55" s="7" t="s">
        <v>19</v>
      </c>
      <c r="H55" s="7" t="s">
        <v>19</v>
      </c>
      <c r="I55" s="7" t="s">
        <v>19</v>
      </c>
      <c r="J55" s="7">
        <v>0</v>
      </c>
      <c r="K55" s="7" t="s">
        <v>20</v>
      </c>
      <c r="L55" s="7" t="str">
        <f>VLOOKUP(Healthcare!$A55,hospital_details,2,0)</f>
        <v>29-Nov-1965</v>
      </c>
      <c r="M55" s="7">
        <f t="shared" ref="M55:M117" ca="1" si="317">VLOOKUP(A55,hospital_details,3,0)</f>
        <v>60</v>
      </c>
      <c r="N55" s="7">
        <f t="shared" ref="N55:N118" si="318">VLOOKUP($A55,hospital_details,4,0)</f>
        <v>0</v>
      </c>
      <c r="O55" s="8">
        <f t="shared" ref="O55:O118" si="319">VLOOKUP($A55,hospital_details,5,0)</f>
        <v>43073.760000000002</v>
      </c>
      <c r="P55" s="7" t="str">
        <f t="shared" ref="P55:P118" si="320">VLOOKUP($A55,hospital_details,6,0)</f>
        <v>tier - 2</v>
      </c>
      <c r="Q55" s="7" t="str">
        <f t="shared" ref="Q55:Q118" si="321">VLOOKUP($A55,hospital_details,7,0)</f>
        <v>tier - 2</v>
      </c>
      <c r="R55" s="7" t="str">
        <f t="shared" ref="R55:R118" si="322">VLOOKUP($A55,hospital_details,8,0)</f>
        <v>R1011</v>
      </c>
    </row>
    <row r="56" spans="1:19" ht="14.4" customHeight="1" x14ac:dyDescent="0.3">
      <c r="A56" s="5" t="s">
        <v>75</v>
      </c>
      <c r="B56" s="5" t="str">
        <f>VLOOKUP($A56,[1]!Customer_Names[#Data],3,0)</f>
        <v xml:space="preserve">  Dara E</v>
      </c>
      <c r="C56" s="5">
        <v>38.950000000000003</v>
      </c>
      <c r="D56" s="5" t="str" cm="1">
        <f t="array" ref="D56">_xlfn.IFS(Healthcare!$C56&lt;18.5,"under weight",Healthcare!$C56&lt;=24.9,"Normal Weight",Healthcare!$C56&gt;=25,"overweight",Healthcare!$C56&gt;=30,"obese")</f>
        <v>overweight</v>
      </c>
      <c r="E56" s="5">
        <v>11.95</v>
      </c>
      <c r="F56" s="5" t="str" cm="1">
        <f t="array" ref="F56">_xlfn.IFS(Healthcare!$E56&lt;5.7,"normal",Healthcare!$E56&lt;=6.4,"prediabetes",Healthcare!$E56&gt;=6.5,"diabetes")</f>
        <v>diabetes</v>
      </c>
      <c r="G56" s="5" t="s">
        <v>19</v>
      </c>
      <c r="H56" s="5" t="s">
        <v>19</v>
      </c>
      <c r="I56" s="5" t="s">
        <v>19</v>
      </c>
      <c r="J56" s="5">
        <v>0</v>
      </c>
      <c r="K56" s="5" t="s">
        <v>20</v>
      </c>
      <c r="L56" s="5" t="str">
        <f>VLOOKUP(Healthcare!$A56,hospital_details,2,0)</f>
        <v>4-Nov-1978</v>
      </c>
      <c r="M56" s="5">
        <f t="shared" ref="M56:M118" ca="1" si="323">VLOOKUP(A56,hospital_details,3,0)</f>
        <v>47</v>
      </c>
      <c r="N56" s="5">
        <f t="shared" ref="N56:N119" si="324">VLOOKUP($A56,hospital_details,4,0)</f>
        <v>0</v>
      </c>
      <c r="O56" s="6">
        <f t="shared" ref="O56:O119" si="325">VLOOKUP($A56,hospital_details,5,0)</f>
        <v>42983.46</v>
      </c>
      <c r="P56" s="5" t="str">
        <f t="shared" ref="P56:P119" si="326">VLOOKUP($A56,hospital_details,6,0)</f>
        <v>tier - 1</v>
      </c>
      <c r="Q56" s="5" t="str">
        <f t="shared" ref="Q56:Q119" si="327">VLOOKUP($A56,hospital_details,7,0)</f>
        <v>tier - 2</v>
      </c>
      <c r="R56" s="5" t="str">
        <f t="shared" ref="R56:R119" si="328">VLOOKUP($A56,hospital_details,8,0)</f>
        <v>R1012</v>
      </c>
    </row>
    <row r="57" spans="1:19" ht="14.4" customHeight="1" x14ac:dyDescent="0.3">
      <c r="A57" s="7" t="s">
        <v>76</v>
      </c>
      <c r="B57" s="7" t="str">
        <f>VLOOKUP($A57,[1]!Customer_Names[#Data],3,0)</f>
        <v xml:space="preserve">  Inna</v>
      </c>
      <c r="C57" s="7">
        <v>36.630000000000003</v>
      </c>
      <c r="D57" s="7" t="str" cm="1">
        <f t="array" ref="D57">_xlfn.IFS(Healthcare!$C57&lt;18.5,"under weight",Healthcare!$C57&lt;=24.9,"Normal Weight",Healthcare!$C57&gt;=25,"overweight",Healthcare!$C57&gt;=30,"obese")</f>
        <v>overweight</v>
      </c>
      <c r="E57" s="7">
        <v>7.72</v>
      </c>
      <c r="F57" s="7" t="str" cm="1">
        <f t="array" ref="F57">_xlfn.IFS(Healthcare!$E57&lt;5.7,"normal",Healthcare!$E57&lt;=6.4,"prediabetes",Healthcare!$E57&gt;=6.5,"diabetes")</f>
        <v>diabetes</v>
      </c>
      <c r="G57" s="7" t="s">
        <v>20</v>
      </c>
      <c r="H57" s="7" t="s">
        <v>19</v>
      </c>
      <c r="I57" s="7" t="s">
        <v>19</v>
      </c>
      <c r="J57" s="7">
        <v>1</v>
      </c>
      <c r="K57" s="7" t="s">
        <v>20</v>
      </c>
      <c r="L57" s="7" t="str">
        <f>VLOOKUP(Healthcare!$A57,hospital_details,2,0)</f>
        <v>23-Oct-1975</v>
      </c>
      <c r="M57" s="7">
        <f t="shared" ref="M57:M119" ca="1" si="329">VLOOKUP(A57,hospital_details,3,0)</f>
        <v>50</v>
      </c>
      <c r="N57" s="7">
        <f t="shared" ref="N57:N120" si="330">VLOOKUP($A57,hospital_details,4,0)</f>
        <v>1</v>
      </c>
      <c r="O57" s="8">
        <f t="shared" ref="O57:O120" si="331">VLOOKUP($A57,hospital_details,5,0)</f>
        <v>42969.85</v>
      </c>
      <c r="P57" s="7" t="str">
        <f t="shared" ref="P57:P120" si="332">VLOOKUP($A57,hospital_details,6,0)</f>
        <v>tier - 1</v>
      </c>
      <c r="Q57" s="7" t="str">
        <f t="shared" ref="Q57:Q120" si="333">VLOOKUP($A57,hospital_details,7,0)</f>
        <v>tier - 3</v>
      </c>
      <c r="R57" s="7" t="str">
        <f t="shared" ref="R57:R120" si="334">VLOOKUP($A57,hospital_details,8,0)</f>
        <v>R1013</v>
      </c>
    </row>
    <row r="58" spans="1:19" ht="14.4" customHeight="1" x14ac:dyDescent="0.3">
      <c r="A58" s="5" t="s">
        <v>77</v>
      </c>
      <c r="B58" s="5" t="str">
        <f>VLOOKUP($A58,[1]!Customer_Names[#Data],3,0)</f>
        <v xml:space="preserve">  Ari</v>
      </c>
      <c r="C58" s="5">
        <v>34.200000000000003</v>
      </c>
      <c r="D58" s="5" t="str" cm="1">
        <f t="array" ref="D58">_xlfn.IFS(Healthcare!$C58&lt;18.5,"under weight",Healthcare!$C58&lt;=24.9,"Normal Weight",Healthcare!$C58&gt;=25,"overweight",Healthcare!$C58&gt;=30,"obese")</f>
        <v>overweight</v>
      </c>
      <c r="E58" s="5">
        <v>5.75</v>
      </c>
      <c r="F58" s="5" t="str" cm="1">
        <f t="array" ref="F58">_xlfn.IFS(Healthcare!$E58&lt;5.7,"normal",Healthcare!$E58&lt;=6.4,"prediabetes",Healthcare!$E58&gt;=6.5,"diabetes")</f>
        <v>prediabetes</v>
      </c>
      <c r="G58" s="5" t="s">
        <v>19</v>
      </c>
      <c r="H58" s="5" t="s">
        <v>19</v>
      </c>
      <c r="I58" s="5" t="s">
        <v>19</v>
      </c>
      <c r="J58" s="5">
        <v>2</v>
      </c>
      <c r="K58" s="5" t="s">
        <v>20</v>
      </c>
      <c r="L58" s="5" t="str">
        <f>VLOOKUP(Healthcare!$A58,hospital_details,2,0)</f>
        <v>10-Sep-1972</v>
      </c>
      <c r="M58" s="5">
        <f t="shared" ref="M58:M120" ca="1" si="335">VLOOKUP(A58,hospital_details,3,0)</f>
        <v>54</v>
      </c>
      <c r="N58" s="5">
        <f t="shared" ref="N58:N121" si="336">VLOOKUP($A58,hospital_details,4,0)</f>
        <v>2</v>
      </c>
      <c r="O58" s="6">
        <f t="shared" ref="O58:O121" si="337">VLOOKUP($A58,hospital_details,5,0)</f>
        <v>42856.84</v>
      </c>
      <c r="P58" s="5" t="str">
        <f t="shared" ref="P58:P121" si="338">VLOOKUP($A58,hospital_details,6,0)</f>
        <v>tier - 1</v>
      </c>
      <c r="Q58" s="5" t="str">
        <f t="shared" ref="Q58:Q121" si="339">VLOOKUP($A58,hospital_details,7,0)</f>
        <v>tier - 1</v>
      </c>
      <c r="R58" s="5" t="str">
        <f t="shared" ref="R58:R121" si="340">VLOOKUP($A58,hospital_details,8,0)</f>
        <v>R1011</v>
      </c>
    </row>
    <row r="59" spans="1:19" ht="14.4" customHeight="1" x14ac:dyDescent="0.3">
      <c r="A59" s="7" t="s">
        <v>78</v>
      </c>
      <c r="B59" s="7" t="str">
        <f>VLOOKUP($A59,[1]!Customer_Names[#Data],3,0)</f>
        <v xml:space="preserve">  Lindsey</v>
      </c>
      <c r="C59" s="7">
        <v>50.63</v>
      </c>
      <c r="D59" s="7" t="str" cm="1">
        <f t="array" ref="D59">_xlfn.IFS(Healthcare!$C59&lt;18.5,"under weight",Healthcare!$C59&lt;=24.9,"Normal Weight",Healthcare!$C59&gt;=25,"overweight",Healthcare!$C59&gt;=30,"obese")</f>
        <v>overweight</v>
      </c>
      <c r="E59" s="7">
        <v>11.89</v>
      </c>
      <c r="F59" s="7" t="str" cm="1">
        <f t="array" ref="F59">_xlfn.IFS(Healthcare!$E59&lt;5.7,"normal",Healthcare!$E59&lt;=6.4,"prediabetes",Healthcare!$E59&gt;=6.5,"diabetes")</f>
        <v>diabetes</v>
      </c>
      <c r="G59" s="7" t="s">
        <v>19</v>
      </c>
      <c r="H59" s="7" t="s">
        <v>19</v>
      </c>
      <c r="I59" s="7" t="s">
        <v>19</v>
      </c>
      <c r="J59" s="7">
        <v>0</v>
      </c>
      <c r="K59" s="7" t="s">
        <v>20</v>
      </c>
      <c r="L59" s="7" t="str">
        <f>VLOOKUP(Healthcare!$A59,hospital_details,2,0)</f>
        <v>29-Oct-1965</v>
      </c>
      <c r="M59" s="7">
        <f t="shared" ref="M59:M121" ca="1" si="341">VLOOKUP(A59,hospital_details,3,0)</f>
        <v>60</v>
      </c>
      <c r="N59" s="7">
        <f t="shared" ref="N59:N122" si="342">VLOOKUP($A59,hospital_details,4,0)</f>
        <v>0</v>
      </c>
      <c r="O59" s="8">
        <f t="shared" ref="O59:O122" si="343">VLOOKUP($A59,hospital_details,5,0)</f>
        <v>42764.12</v>
      </c>
      <c r="P59" s="7" t="str">
        <f t="shared" ref="P59:P122" si="344">VLOOKUP($A59,hospital_details,6,0)</f>
        <v>tier - 1</v>
      </c>
      <c r="Q59" s="7" t="str">
        <f t="shared" ref="Q59:Q122" si="345">VLOOKUP($A59,hospital_details,7,0)</f>
        <v>tier - 2</v>
      </c>
      <c r="R59" s="7" t="str">
        <f t="shared" ref="R59:R122" si="346">VLOOKUP($A59,hospital_details,8,0)</f>
        <v>R1011</v>
      </c>
    </row>
    <row r="60" spans="1:19" ht="14.4" customHeight="1" x14ac:dyDescent="0.3">
      <c r="A60" s="5" t="s">
        <v>79</v>
      </c>
      <c r="B60" s="5" t="str">
        <f>VLOOKUP($A60,[1]!Customer_Names[#Data],3,0)</f>
        <v xml:space="preserve">  Kenny</v>
      </c>
      <c r="C60" s="5">
        <v>36.479999999999997</v>
      </c>
      <c r="D60" s="5" t="str" cm="1">
        <f t="array" ref="D60">_xlfn.IFS(Healthcare!$C60&lt;18.5,"under weight",Healthcare!$C60&lt;=24.9,"Normal Weight",Healthcare!$C60&gt;=25,"overweight",Healthcare!$C60&gt;=30,"obese")</f>
        <v>overweight</v>
      </c>
      <c r="E60" s="5">
        <v>6.2</v>
      </c>
      <c r="F60" s="5" t="str" cm="1">
        <f t="array" ref="F60">_xlfn.IFS(Healthcare!$E60&lt;5.7,"normal",Healthcare!$E60&lt;=6.4,"prediabetes",Healthcare!$E60&gt;=6.5,"diabetes")</f>
        <v>prediabetes</v>
      </c>
      <c r="G60" s="5" t="s">
        <v>19</v>
      </c>
      <c r="H60" s="5" t="s">
        <v>19</v>
      </c>
      <c r="I60" s="5" t="s">
        <v>19</v>
      </c>
      <c r="J60" s="5">
        <v>0</v>
      </c>
      <c r="K60" s="5" t="s">
        <v>20</v>
      </c>
      <c r="L60" s="5" t="str">
        <f>VLOOKUP(Healthcare!$A60,hospital_details,2,0)</f>
        <v>21-Oct-1977</v>
      </c>
      <c r="M60" s="5">
        <f t="shared" ref="M60:M122" ca="1" si="347">VLOOKUP(A60,hospital_details,3,0)</f>
        <v>48</v>
      </c>
      <c r="N60" s="5">
        <f t="shared" ref="N60:N123" si="348">VLOOKUP($A60,hospital_details,4,0)</f>
        <v>2</v>
      </c>
      <c r="O60" s="6">
        <f t="shared" ref="O60:O123" si="349">VLOOKUP($A60,hospital_details,5,0)</f>
        <v>42760.5</v>
      </c>
      <c r="P60" s="5" t="str">
        <f t="shared" ref="P60:P123" si="350">VLOOKUP($A60,hospital_details,6,0)</f>
        <v>tier - 1</v>
      </c>
      <c r="Q60" s="5" t="str">
        <f t="shared" ref="Q60:Q123" si="351">VLOOKUP($A60,hospital_details,7,0)</f>
        <v>tier - 2</v>
      </c>
      <c r="R60" s="5" t="str">
        <f t="shared" ref="R60:R123" si="352">VLOOKUP($A60,hospital_details,8,0)</f>
        <v>R1012</v>
      </c>
    </row>
    <row r="61" spans="1:19" ht="14.4" customHeight="1" x14ac:dyDescent="0.3">
      <c r="A61" s="7" t="s">
        <v>80</v>
      </c>
      <c r="B61" s="7" t="str">
        <f>VLOOKUP($A61,[1]!Customer_Names[#Data],3,0)</f>
        <v xml:space="preserve">  Louise</v>
      </c>
      <c r="C61" s="7">
        <v>54.82</v>
      </c>
      <c r="D61" s="7" t="str" cm="1">
        <f t="array" ref="D61">_xlfn.IFS(Healthcare!$C61&lt;18.5,"under weight",Healthcare!$C61&lt;=24.9,"Normal Weight",Healthcare!$C61&gt;=25,"overweight",Healthcare!$C61&gt;=30,"obese")</f>
        <v>overweight</v>
      </c>
      <c r="E61" s="7">
        <v>10.61</v>
      </c>
      <c r="F61" s="7" t="str" cm="1">
        <f t="array" ref="F61">_xlfn.IFS(Healthcare!$E61&lt;5.7,"normal",Healthcare!$E61&lt;=6.4,"prediabetes",Healthcare!$E61&gt;=6.5,"diabetes")</f>
        <v>diabetes</v>
      </c>
      <c r="G61" s="7" t="s">
        <v>19</v>
      </c>
      <c r="H61" s="7" t="s">
        <v>19</v>
      </c>
      <c r="I61" s="7" t="s">
        <v>19</v>
      </c>
      <c r="J61" s="7">
        <v>0</v>
      </c>
      <c r="K61" s="7" t="s">
        <v>20</v>
      </c>
      <c r="L61" s="7" t="str">
        <f>VLOOKUP(Healthcare!$A61,hospital_details,2,0)</f>
        <v>3-Nov-1971</v>
      </c>
      <c r="M61" s="7">
        <f t="shared" ref="M61:M123" ca="1" si="353">VLOOKUP(A61,hospital_details,3,0)</f>
        <v>54</v>
      </c>
      <c r="N61" s="7">
        <f t="shared" ref="N61:N124" si="354">VLOOKUP($A61,hospital_details,4,0)</f>
        <v>0</v>
      </c>
      <c r="O61" s="8">
        <f t="shared" ref="O61:O124" si="355">VLOOKUP($A61,hospital_details,5,0)</f>
        <v>42644.2</v>
      </c>
      <c r="P61" s="7" t="str">
        <f t="shared" ref="P61:P124" si="356">VLOOKUP($A61,hospital_details,6,0)</f>
        <v>tier - 1</v>
      </c>
      <c r="Q61" s="7" t="str">
        <f t="shared" ref="Q61:Q124" si="357">VLOOKUP($A61,hospital_details,7,0)</f>
        <v>tier - 3</v>
      </c>
      <c r="R61" s="7" t="str">
        <f t="shared" ref="R61:R124" si="358">VLOOKUP($A61,hospital_details,8,0)</f>
        <v>R1011</v>
      </c>
    </row>
    <row r="62" spans="1:19" ht="14.4" customHeight="1" x14ac:dyDescent="0.3">
      <c r="A62" s="5" t="s">
        <v>81</v>
      </c>
      <c r="B62" s="5" t="str">
        <f>VLOOKUP($A62,[1]!Customer_Names[#Data],3,0)</f>
        <v xml:space="preserve">  Cameron</v>
      </c>
      <c r="C62" s="5">
        <v>38.06</v>
      </c>
      <c r="D62" s="5" t="str" cm="1">
        <f t="array" ref="D62">_xlfn.IFS(Healthcare!$C62&lt;18.5,"under weight",Healthcare!$C62&lt;=24.9,"Normal Weight",Healthcare!$C62&gt;=25,"overweight",Healthcare!$C62&gt;=30,"obese")</f>
        <v>overweight</v>
      </c>
      <c r="E62" s="5">
        <v>6.04</v>
      </c>
      <c r="F62" s="5" t="str" cm="1">
        <f t="array" ref="F62">_xlfn.IFS(Healthcare!$E62&lt;5.7,"normal",Healthcare!$E62&lt;=6.4,"prediabetes",Healthcare!$E62&gt;=6.5,"diabetes")</f>
        <v>prediabetes</v>
      </c>
      <c r="G62" s="5" t="s">
        <v>19</v>
      </c>
      <c r="H62" s="5" t="s">
        <v>19</v>
      </c>
      <c r="I62" s="5" t="s">
        <v>29</v>
      </c>
      <c r="J62" s="5">
        <v>1</v>
      </c>
      <c r="K62" s="5" t="s">
        <v>20</v>
      </c>
      <c r="L62" s="5" t="str">
        <f>VLOOKUP(Healthcare!$A62,hospital_details,2,0)</f>
        <v>27-Dec-1979</v>
      </c>
      <c r="M62" s="5">
        <f t="shared" ref="M62:M124" ca="1" si="359">VLOOKUP(A62,hospital_details,3,0)</f>
        <v>46</v>
      </c>
      <c r="N62" s="5">
        <f t="shared" ref="N62:N125" si="360">VLOOKUP($A62,hospital_details,4,0)</f>
        <v>2</v>
      </c>
      <c r="O62" s="6">
        <f t="shared" ref="O62:O125" si="361">VLOOKUP($A62,hospital_details,5,0)</f>
        <v>42560.43</v>
      </c>
      <c r="P62" s="5" t="str">
        <f t="shared" ref="P62:P125" si="362">VLOOKUP($A62,hospital_details,6,0)</f>
        <v>tier - 1</v>
      </c>
      <c r="Q62" s="5" t="str">
        <f t="shared" ref="Q62:Q125" si="363">VLOOKUP($A62,hospital_details,7,0)</f>
        <v>tier - 3</v>
      </c>
      <c r="R62" s="5" t="str">
        <f t="shared" ref="R62:R125" si="364">VLOOKUP($A62,hospital_details,8,0)</f>
        <v>R1013</v>
      </c>
    </row>
    <row r="63" spans="1:19" ht="14.4" customHeight="1" x14ac:dyDescent="0.3">
      <c r="A63" s="7" t="s">
        <v>82</v>
      </c>
      <c r="B63" s="7" t="str">
        <f>VLOOKUP($A63,[1]!Customer_Names[#Data],3,0)</f>
        <v xml:space="preserve">  Katie T</v>
      </c>
      <c r="C63" s="7">
        <v>51.48</v>
      </c>
      <c r="D63" s="7" t="str" cm="1">
        <f t="array" ref="D63">_xlfn.IFS(Healthcare!$C63&lt;18.5,"under weight",Healthcare!$C63&lt;=24.9,"Normal Weight",Healthcare!$C63&gt;=25,"overweight",Healthcare!$C63&gt;=30,"obese")</f>
        <v>overweight</v>
      </c>
      <c r="E63" s="7">
        <v>9.33</v>
      </c>
      <c r="F63" s="7" t="str" cm="1">
        <f t="array" ref="F63">_xlfn.IFS(Healthcare!$E63&lt;5.7,"normal",Healthcare!$E63&lt;=6.4,"prediabetes",Healthcare!$E63&gt;=6.5,"diabetes")</f>
        <v>diabetes</v>
      </c>
      <c r="G63" s="7" t="s">
        <v>20</v>
      </c>
      <c r="H63" s="7" t="s">
        <v>19</v>
      </c>
      <c r="I63" s="7" t="s">
        <v>19</v>
      </c>
      <c r="J63" s="7">
        <v>0</v>
      </c>
      <c r="K63" s="7" t="s">
        <v>20</v>
      </c>
      <c r="L63" s="7" t="str">
        <f>VLOOKUP(Healthcare!$A63,hospital_details,2,0)</f>
        <v>27-Jun-1967</v>
      </c>
      <c r="M63" s="7">
        <f t="shared" ref="M63:M125" ca="1" si="365">VLOOKUP(A63,hospital_details,3,0)</f>
        <v>59</v>
      </c>
      <c r="N63" s="7">
        <f t="shared" ref="N63:N126" si="366">VLOOKUP($A63,hospital_details,4,0)</f>
        <v>0</v>
      </c>
      <c r="O63" s="8">
        <f t="shared" ref="O63:O126" si="367">VLOOKUP($A63,hospital_details,5,0)</f>
        <v>42538.720000000001</v>
      </c>
      <c r="P63" s="7" t="str">
        <f t="shared" ref="P63:P126" si="368">VLOOKUP($A63,hospital_details,6,0)</f>
        <v>tier - 1</v>
      </c>
      <c r="Q63" s="7" t="str">
        <f t="shared" ref="Q63:Q126" si="369">VLOOKUP($A63,hospital_details,7,0)</f>
        <v>tier - 3</v>
      </c>
      <c r="R63" s="7" t="str">
        <f t="shared" ref="R63:R126" si="370">VLOOKUP($A63,hospital_details,8,0)</f>
        <v>R1011</v>
      </c>
    </row>
    <row r="64" spans="1:19" ht="14.4" customHeight="1" x14ac:dyDescent="0.3">
      <c r="A64" s="5" t="s">
        <v>83</v>
      </c>
      <c r="B64" s="5" t="str">
        <f>VLOOKUP($A64,[1]!Customer_Names[#Data],3,0)</f>
        <v xml:space="preserve">  Casey</v>
      </c>
      <c r="C64" s="5">
        <v>52.06</v>
      </c>
      <c r="D64" s="5" t="str" cm="1">
        <f t="array" ref="D64">_xlfn.IFS(Healthcare!$C64&lt;18.5,"under weight",Healthcare!$C64&lt;=24.9,"Normal Weight",Healthcare!$C64&gt;=25,"overweight",Healthcare!$C64&gt;=30,"obese")</f>
        <v>overweight</v>
      </c>
      <c r="E64" s="5">
        <v>11.47</v>
      </c>
      <c r="F64" s="5" t="str" cm="1">
        <f t="array" ref="F64">_xlfn.IFS(Healthcare!$E64&lt;5.7,"normal",Healthcare!$E64&lt;=6.4,"prediabetes",Healthcare!$E64&gt;=6.5,"diabetes")</f>
        <v>diabetes</v>
      </c>
      <c r="G64" s="5" t="s">
        <v>19</v>
      </c>
      <c r="H64" s="5" t="s">
        <v>19</v>
      </c>
      <c r="I64" s="5" t="s">
        <v>19</v>
      </c>
      <c r="J64" s="5">
        <v>0</v>
      </c>
      <c r="K64" s="5" t="s">
        <v>20</v>
      </c>
      <c r="L64" s="5" t="str">
        <f>VLOOKUP(Healthcare!$A64,hospital_details,2,0)</f>
        <v>3-Aug-1968</v>
      </c>
      <c r="M64" s="5">
        <f t="shared" ref="M64:M126" ca="1" si="371">VLOOKUP(A64,hospital_details,3,0)</f>
        <v>58</v>
      </c>
      <c r="N64" s="5">
        <f t="shared" ref="N64:N127" si="372">VLOOKUP($A64,hospital_details,4,0)</f>
        <v>0</v>
      </c>
      <c r="O64" s="6">
        <f t="shared" ref="O64:O127" si="373">VLOOKUP($A64,hospital_details,5,0)</f>
        <v>42478.6</v>
      </c>
      <c r="P64" s="5" t="str">
        <f t="shared" ref="P64:P127" si="374">VLOOKUP($A64,hospital_details,6,0)</f>
        <v>tier - 1</v>
      </c>
      <c r="Q64" s="5" t="str">
        <f t="shared" ref="Q64:Q127" si="375">VLOOKUP($A64,hospital_details,7,0)</f>
        <v>tier - 2</v>
      </c>
      <c r="R64" s="5" t="str">
        <f t="shared" ref="R64:R127" si="376">VLOOKUP($A64,hospital_details,8,0)</f>
        <v>R1011</v>
      </c>
    </row>
    <row r="65" spans="1:23" ht="14.4" customHeight="1" x14ac:dyDescent="0.3">
      <c r="A65" s="7" t="s">
        <v>84</v>
      </c>
      <c r="B65" s="7" t="str">
        <f>VLOOKUP($A65,[1]!Customer_Names[#Data],3,0)</f>
        <v xml:space="preserve">  David</v>
      </c>
      <c r="C65" s="7">
        <v>30.684999999999999</v>
      </c>
      <c r="D65" s="7" t="str" cm="1">
        <f t="array" ref="D65">_xlfn.IFS(Healthcare!$C65&lt;18.5,"under weight",Healthcare!$C65&lt;=24.9,"Normal Weight",Healthcare!$C65&gt;=25,"overweight",Healthcare!$C65&gt;=30,"obese")</f>
        <v>overweight</v>
      </c>
      <c r="E65" s="7">
        <v>7.02</v>
      </c>
      <c r="F65" s="7" t="str" cm="1">
        <f t="array" ref="F65">_xlfn.IFS(Healthcare!$E65&lt;5.7,"normal",Healthcare!$E65&lt;=6.4,"prediabetes",Healthcare!$E65&gt;=6.5,"diabetes")</f>
        <v>diabetes</v>
      </c>
      <c r="G65" s="7" t="s">
        <v>20</v>
      </c>
      <c r="H65" s="7" t="s">
        <v>19</v>
      </c>
      <c r="I65" s="7" t="s">
        <v>19</v>
      </c>
      <c r="J65" s="7">
        <v>0</v>
      </c>
      <c r="K65" s="7" t="s">
        <v>20</v>
      </c>
      <c r="L65" s="7" t="str">
        <f>VLOOKUP(Healthcare!$A65,hospital_details,2,0)</f>
        <v>28-Jun-1967</v>
      </c>
      <c r="M65" s="7">
        <f t="shared" ref="M65:M127" ca="1" si="377">VLOOKUP(A65,hospital_details,3,0)</f>
        <v>59</v>
      </c>
      <c r="N65" s="7">
        <f t="shared" ref="N65:N128" si="378">VLOOKUP($A65,hospital_details,4,0)</f>
        <v>0</v>
      </c>
      <c r="O65" s="8">
        <f t="shared" ref="O65:O128" si="379">VLOOKUP($A65,hospital_details,5,0)</f>
        <v>42303.69</v>
      </c>
      <c r="P65" s="7" t="str">
        <f t="shared" ref="P65:P128" si="380">VLOOKUP($A65,hospital_details,6,0)</f>
        <v>tier - 1</v>
      </c>
      <c r="Q65" s="7" t="str">
        <f t="shared" ref="Q65:Q128" si="381">VLOOKUP($A65,hospital_details,7,0)</f>
        <v>tier - 2</v>
      </c>
      <c r="R65" s="7" t="str">
        <f t="shared" ref="R65:R128" si="382">VLOOKUP($A65,hospital_details,8,0)</f>
        <v>R1016</v>
      </c>
    </row>
    <row r="66" spans="1:23" ht="14.4" customHeight="1" x14ac:dyDescent="0.3">
      <c r="A66" s="5" t="s">
        <v>85</v>
      </c>
      <c r="B66" s="5" t="str">
        <f>VLOOKUP($A66,[1]!Customer_Names[#Data],3,0)</f>
        <v xml:space="preserve">  Bryson C</v>
      </c>
      <c r="C66" s="5">
        <v>36.08</v>
      </c>
      <c r="D66" s="5" t="str" cm="1">
        <f t="array" ref="D66">_xlfn.IFS(Healthcare!$C66&lt;18.5,"under weight",Healthcare!$C66&lt;=24.9,"Normal Weight",Healthcare!$C66&gt;=25,"overweight",Healthcare!$C66&gt;=30,"obese")</f>
        <v>overweight</v>
      </c>
      <c r="E66" s="5">
        <v>8.8000000000000007</v>
      </c>
      <c r="F66" s="5" t="str" cm="1">
        <f t="array" ref="F66">_xlfn.IFS(Healthcare!$E66&lt;5.7,"normal",Healthcare!$E66&lt;=6.4,"prediabetes",Healthcare!$E66&gt;=6.5,"diabetes")</f>
        <v>diabetes</v>
      </c>
      <c r="G66" s="5" t="s">
        <v>20</v>
      </c>
      <c r="H66" s="5" t="s">
        <v>19</v>
      </c>
      <c r="I66" s="5" t="s">
        <v>19</v>
      </c>
      <c r="J66" s="5">
        <v>1</v>
      </c>
      <c r="K66" s="5" t="s">
        <v>20</v>
      </c>
      <c r="L66" s="5" t="str">
        <f>VLOOKUP(Healthcare!$A66,hospital_details,2,0)</f>
        <v>15-Aug-1975</v>
      </c>
      <c r="M66" s="5">
        <f t="shared" ref="M66:M129" ca="1" si="383">VLOOKUP(A66,hospital_details,3,0)</f>
        <v>51</v>
      </c>
      <c r="N66" s="5">
        <f t="shared" ref="N66:N129" si="384">VLOOKUP($A66,hospital_details,4,0)</f>
        <v>1</v>
      </c>
      <c r="O66" s="6">
        <f t="shared" ref="O66:O129" si="385">VLOOKUP($A66,hospital_details,5,0)</f>
        <v>42211.14</v>
      </c>
      <c r="P66" s="5" t="str">
        <f t="shared" ref="P66:P129" si="386">VLOOKUP($A66,hospital_details,6,0)</f>
        <v>tier - 1</v>
      </c>
      <c r="Q66" s="5" t="str">
        <f t="shared" ref="Q66:Q129" si="387">VLOOKUP($A66,hospital_details,7,0)</f>
        <v>tier - 3</v>
      </c>
      <c r="R66" s="5" t="str">
        <f t="shared" ref="R66:R129" si="388">VLOOKUP($A66,hospital_details,8,0)</f>
        <v>R1013</v>
      </c>
    </row>
    <row r="67" spans="1:23" ht="14.4" customHeight="1" x14ac:dyDescent="0.3">
      <c r="A67" s="7" t="s">
        <v>86</v>
      </c>
      <c r="B67" s="7" t="str">
        <f>VLOOKUP($A67,[1]!Customer_Names[#Data],3,0)</f>
        <v xml:space="preserve">  Megan</v>
      </c>
      <c r="C67" s="7">
        <v>54.99</v>
      </c>
      <c r="D67" s="7" t="str" cm="1">
        <f t="array" ref="D67">_xlfn.IFS(Healthcare!$C67&lt;18.5,"under weight",Healthcare!$C67&lt;=24.9,"Normal Weight",Healthcare!$C67&gt;=25,"overweight",Healthcare!$C67&gt;=30,"obese")</f>
        <v>overweight</v>
      </c>
      <c r="E67" s="7">
        <v>8.68</v>
      </c>
      <c r="F67" s="7" t="str" cm="1">
        <f t="array" ref="F67">_xlfn.IFS(Healthcare!$E67&lt;5.7,"normal",Healthcare!$E67&lt;=6.4,"prediabetes",Healthcare!$E67&gt;=6.5,"diabetes")</f>
        <v>diabetes</v>
      </c>
      <c r="G67" s="7" t="s">
        <v>19</v>
      </c>
      <c r="H67" s="7" t="s">
        <v>19</v>
      </c>
      <c r="I67" s="7" t="s">
        <v>19</v>
      </c>
      <c r="J67" s="7">
        <v>2</v>
      </c>
      <c r="K67" s="7" t="s">
        <v>20</v>
      </c>
      <c r="L67" s="7" t="str">
        <f>VLOOKUP(Healthcare!$A67,hospital_details,2,0)</f>
        <v>18-Sep-1973</v>
      </c>
      <c r="M67" s="7">
        <f t="shared" ref="M67:M130" ca="1" si="389">VLOOKUP(A67,hospital_details,3,0)</f>
        <v>53</v>
      </c>
      <c r="N67" s="7">
        <f t="shared" ref="N67:N130" si="390">VLOOKUP($A67,hospital_details,4,0)</f>
        <v>0</v>
      </c>
      <c r="O67" s="8">
        <f t="shared" ref="O67:O130" si="391">VLOOKUP($A67,hospital_details,5,0)</f>
        <v>42188.15</v>
      </c>
      <c r="P67" s="7" t="str">
        <f t="shared" ref="P67:P130" si="392">VLOOKUP($A67,hospital_details,6,0)</f>
        <v>tier - 1</v>
      </c>
      <c r="Q67" s="7" t="str">
        <f t="shared" ref="Q67:Q130" si="393">VLOOKUP($A67,hospital_details,7,0)</f>
        <v>tier - 1</v>
      </c>
      <c r="R67" s="7" t="str">
        <f t="shared" ref="R67:R130" si="394">VLOOKUP($A67,hospital_details,8,0)</f>
        <v>R1011</v>
      </c>
    </row>
    <row r="68" spans="1:23" ht="16.95" customHeight="1" x14ac:dyDescent="0.4">
      <c r="A68" s="5" t="s">
        <v>87</v>
      </c>
      <c r="B68" s="5" t="str">
        <f>VLOOKUP($A68,[1]!Customer_Names[#Data],3,0)</f>
        <v xml:space="preserve">  Daniel</v>
      </c>
      <c r="C68" s="5">
        <v>35.97</v>
      </c>
      <c r="D68" s="5" t="str" cm="1">
        <f t="array" ref="D68">_xlfn.IFS(Healthcare!$C68&lt;18.5,"under weight",Healthcare!$C68&lt;=24.9,"Normal Weight",Healthcare!$C68&gt;=25,"overweight",Healthcare!$C68&gt;=30,"obese")</f>
        <v>overweight</v>
      </c>
      <c r="E68" s="5">
        <v>6.12</v>
      </c>
      <c r="F68" s="5" t="str" cm="1">
        <f t="array" ref="F68">_xlfn.IFS(Healthcare!$E68&lt;5.7,"normal",Healthcare!$E68&lt;=6.4,"prediabetes",Healthcare!$E68&gt;=6.5,"diabetes")</f>
        <v>prediabetes</v>
      </c>
      <c r="G68" s="5" t="s">
        <v>19</v>
      </c>
      <c r="H68" s="5" t="s">
        <v>19</v>
      </c>
      <c r="I68" s="5" t="s">
        <v>29</v>
      </c>
      <c r="J68" s="5">
        <v>1</v>
      </c>
      <c r="K68" s="5" t="s">
        <v>20</v>
      </c>
      <c r="L68" s="5" t="str">
        <f>VLOOKUP(Healthcare!$A68,hospital_details,2,0)</f>
        <v>3-Jul-1979</v>
      </c>
      <c r="M68" s="5">
        <f t="shared" ref="M68:M131" ca="1" si="395">VLOOKUP(A68,hospital_details,3,0)</f>
        <v>47</v>
      </c>
      <c r="N68" s="5">
        <f t="shared" ref="N68:N131" si="396">VLOOKUP($A68,hospital_details,4,0)</f>
        <v>3</v>
      </c>
      <c r="O68" s="6">
        <f t="shared" ref="O68:O131" si="397">VLOOKUP($A68,hospital_details,5,0)</f>
        <v>42124.52</v>
      </c>
      <c r="P68" s="5" t="str">
        <f t="shared" ref="P68:P131" si="398">VLOOKUP($A68,hospital_details,6,0)</f>
        <v>tier - 1</v>
      </c>
      <c r="Q68" s="5" t="str">
        <f t="shared" ref="Q68:Q131" si="399">VLOOKUP($A68,hospital_details,7,0)</f>
        <v>tier - 1</v>
      </c>
      <c r="R68" s="5" t="str">
        <f t="shared" ref="R68:R131" si="400">VLOOKUP($A68,hospital_details,8,0)</f>
        <v>R1013</v>
      </c>
      <c r="T68" s="9"/>
      <c r="U68" s="9"/>
      <c r="V68" s="9"/>
      <c r="W68" s="9"/>
    </row>
    <row r="69" spans="1:23" ht="14.4" customHeight="1" x14ac:dyDescent="0.3">
      <c r="A69" s="7" t="s">
        <v>88</v>
      </c>
      <c r="B69" s="7" t="str">
        <f>VLOOKUP($A69,[1]!Customer_Names[#Data],3,0)</f>
        <v xml:space="preserve">  Steven M</v>
      </c>
      <c r="C69" s="7">
        <v>45.54</v>
      </c>
      <c r="D69" s="7" t="str" cm="1">
        <f t="array" ref="D69">_xlfn.IFS(Healthcare!$C69&lt;18.5,"under weight",Healthcare!$C69&lt;=24.9,"Normal Weight",Healthcare!$C69&gt;=25,"overweight",Healthcare!$C69&gt;=30,"obese")</f>
        <v>overweight</v>
      </c>
      <c r="E69" s="7">
        <v>5.4</v>
      </c>
      <c r="F69" s="7" t="str" cm="1">
        <f t="array" ref="F69">_xlfn.IFS(Healthcare!$E69&lt;5.7,"normal",Healthcare!$E69&lt;=6.4,"prediabetes",Healthcare!$E69&gt;=6.5,"diabetes")</f>
        <v>normal</v>
      </c>
      <c r="G69" s="7" t="s">
        <v>20</v>
      </c>
      <c r="H69" s="7" t="s">
        <v>19</v>
      </c>
      <c r="I69" s="7" t="s">
        <v>29</v>
      </c>
      <c r="J69" s="7">
        <v>1</v>
      </c>
      <c r="K69" s="7" t="s">
        <v>20</v>
      </c>
      <c r="L69" s="7" t="str">
        <f>VLOOKUP(Healthcare!$A69,hospital_details,2,0)</f>
        <v>9-Dec-1997</v>
      </c>
      <c r="M69" s="7">
        <f t="shared" ref="M69:M132" ca="1" si="401">VLOOKUP(A69,hospital_details,3,0)</f>
        <v>28</v>
      </c>
      <c r="N69" s="7">
        <f t="shared" ref="N69:N132" si="402">VLOOKUP($A69,hospital_details,4,0)</f>
        <v>2</v>
      </c>
      <c r="O69" s="8">
        <f t="shared" ref="O69:O132" si="403">VLOOKUP($A69,hospital_details,5,0)</f>
        <v>42112.24</v>
      </c>
      <c r="P69" s="7" t="str">
        <f t="shared" ref="P69:P132" si="404">VLOOKUP($A69,hospital_details,6,0)</f>
        <v>tier - 1</v>
      </c>
      <c r="Q69" s="7" t="str">
        <f t="shared" ref="Q69:Q132" si="405">VLOOKUP($A69,hospital_details,7,0)</f>
        <v>tier - 3</v>
      </c>
      <c r="R69" s="7" t="str">
        <f t="shared" ref="R69:R132" si="406">VLOOKUP($A69,hospital_details,8,0)</f>
        <v>R1013</v>
      </c>
      <c r="S69" s="10"/>
    </row>
    <row r="70" spans="1:23" ht="14.4" customHeight="1" x14ac:dyDescent="0.3">
      <c r="A70" s="5" t="s">
        <v>89</v>
      </c>
      <c r="B70" s="5" t="str">
        <f>VLOOKUP($A70,[1]!Customer_Names[#Data],3,0)</f>
        <v xml:space="preserve">  Jenna L</v>
      </c>
      <c r="C70" s="5">
        <v>35.53</v>
      </c>
      <c r="D70" s="5" t="str" cm="1">
        <f t="array" ref="D70">_xlfn.IFS(Healthcare!$C70&lt;18.5,"under weight",Healthcare!$C70&lt;=24.9,"Normal Weight",Healthcare!$C70&gt;=25,"overweight",Healthcare!$C70&gt;=30,"obese")</f>
        <v>overweight</v>
      </c>
      <c r="E70" s="5">
        <v>4.3600000000000003</v>
      </c>
      <c r="F70" s="5" t="str" cm="1">
        <f t="array" ref="F70">_xlfn.IFS(Healthcare!$E70&lt;5.7,"normal",Healthcare!$E70&lt;=6.4,"prediabetes",Healthcare!$E70&gt;=6.5,"diabetes")</f>
        <v>normal</v>
      </c>
      <c r="G70" s="5" t="s">
        <v>20</v>
      </c>
      <c r="H70" s="5" t="s">
        <v>19</v>
      </c>
      <c r="I70" s="5" t="s">
        <v>19</v>
      </c>
      <c r="J70" s="5">
        <v>0</v>
      </c>
      <c r="K70" s="5" t="s">
        <v>20</v>
      </c>
      <c r="L70" s="5" t="str">
        <f>VLOOKUP(Healthcare!$A70,hospital_details,2,0)</f>
        <v>28-Nov-1976</v>
      </c>
      <c r="M70" s="5">
        <f t="shared" ref="M70:M133" ca="1" si="407">VLOOKUP(A70,hospital_details,3,0)</f>
        <v>49</v>
      </c>
      <c r="N70" s="5">
        <f t="shared" ref="N70:N133" si="408">VLOOKUP($A70,hospital_details,4,0)</f>
        <v>0</v>
      </c>
      <c r="O70" s="6">
        <f t="shared" ref="O70:O133" si="409">VLOOKUP($A70,hospital_details,5,0)</f>
        <v>42111.66</v>
      </c>
      <c r="P70" s="5" t="str">
        <f t="shared" ref="P70:P133" si="410">VLOOKUP($A70,hospital_details,6,0)</f>
        <v>tier - 1</v>
      </c>
      <c r="Q70" s="5" t="str">
        <f t="shared" ref="Q70:Q133" si="411">VLOOKUP($A70,hospital_details,7,0)</f>
        <v>tier - 1</v>
      </c>
      <c r="R70" s="5" t="str">
        <f t="shared" ref="R70:R133" si="412">VLOOKUP($A70,hospital_details,8,0)</f>
        <v>R1024</v>
      </c>
    </row>
    <row r="71" spans="1:23" ht="14.4" customHeight="1" x14ac:dyDescent="0.3">
      <c r="A71" s="7" t="s">
        <v>90</v>
      </c>
      <c r="B71" s="7" t="str">
        <f>VLOOKUP($A71,[1]!Customer_Names[#Data],3,0)</f>
        <v xml:space="preserve">  Freeman</v>
      </c>
      <c r="C71" s="7">
        <v>30.8</v>
      </c>
      <c r="D71" s="7" t="str" cm="1">
        <f t="array" ref="D71">_xlfn.IFS(Healthcare!$C71&lt;18.5,"under weight",Healthcare!$C71&lt;=24.9,"Normal Weight",Healthcare!$C71&gt;=25,"overweight",Healthcare!$C71&gt;=30,"obese")</f>
        <v>overweight</v>
      </c>
      <c r="E71" s="7">
        <v>9.77</v>
      </c>
      <c r="F71" s="7" t="str" cm="1">
        <f t="array" ref="F71">_xlfn.IFS(Healthcare!$E71&lt;5.7,"normal",Healthcare!$E71&lt;=6.4,"prediabetes",Healthcare!$E71&gt;=6.5,"diabetes")</f>
        <v>diabetes</v>
      </c>
      <c r="G71" s="7" t="s">
        <v>19</v>
      </c>
      <c r="H71" s="7" t="s">
        <v>19</v>
      </c>
      <c r="I71" s="7" t="s">
        <v>19</v>
      </c>
      <c r="J71" s="7">
        <v>0</v>
      </c>
      <c r="K71" s="7" t="s">
        <v>20</v>
      </c>
      <c r="L71" s="7" t="str">
        <f>VLOOKUP(Healthcare!$A71,hospital_details,2,0)</f>
        <v>19-Dec-1968</v>
      </c>
      <c r="M71" s="7">
        <f t="shared" ref="M71:M134" ca="1" si="413">VLOOKUP(A71,hospital_details,3,0)</f>
        <v>57</v>
      </c>
      <c r="N71" s="7">
        <f t="shared" ref="N71:N134" si="414">VLOOKUP($A71,hospital_details,4,0)</f>
        <v>1</v>
      </c>
      <c r="O71" s="8">
        <f t="shared" ref="O71:O134" si="415">VLOOKUP($A71,hospital_details,5,0)</f>
        <v>41999.519999999997</v>
      </c>
      <c r="P71" s="7" t="str">
        <f t="shared" ref="P71:P134" si="416">VLOOKUP($A71,hospital_details,6,0)</f>
        <v>tier - 1</v>
      </c>
      <c r="Q71" s="7" t="str">
        <f t="shared" ref="Q71:Q134" si="417">VLOOKUP($A71,hospital_details,7,0)</f>
        <v>tier - 3</v>
      </c>
      <c r="R71" s="7" t="str">
        <f t="shared" ref="R71:R134" si="418">VLOOKUP($A71,hospital_details,8,0)</f>
        <v>R1013</v>
      </c>
    </row>
    <row r="72" spans="1:23" ht="14.4" customHeight="1" x14ac:dyDescent="0.3">
      <c r="A72" s="5" t="s">
        <v>91</v>
      </c>
      <c r="B72" s="5" t="str">
        <f>VLOOKUP($A72,[1]!Customer_Names[#Data],3,0)</f>
        <v xml:space="preserve">  Jeff</v>
      </c>
      <c r="C72" s="5">
        <v>38.39</v>
      </c>
      <c r="D72" s="5" t="str" cm="1">
        <f t="array" ref="D72">_xlfn.IFS(Healthcare!$C72&lt;18.5,"under weight",Healthcare!$C72&lt;=24.9,"Normal Weight",Healthcare!$C72&gt;=25,"overweight",Healthcare!$C72&gt;=30,"obese")</f>
        <v>overweight</v>
      </c>
      <c r="E72" s="5">
        <v>4.25</v>
      </c>
      <c r="F72" s="5" t="str" cm="1">
        <f t="array" ref="F72">_xlfn.IFS(Healthcare!$E72&lt;5.7,"normal",Healthcare!$E72&lt;=6.4,"prediabetes",Healthcare!$E72&gt;=6.5,"diabetes")</f>
        <v>normal</v>
      </c>
      <c r="G72" s="5" t="s">
        <v>19</v>
      </c>
      <c r="H72" s="5" t="s">
        <v>19</v>
      </c>
      <c r="I72" s="5" t="s">
        <v>19</v>
      </c>
      <c r="J72" s="5">
        <v>1</v>
      </c>
      <c r="K72" s="5" t="s">
        <v>20</v>
      </c>
      <c r="L72" s="5" t="str">
        <f>VLOOKUP(Healthcare!$A72,hospital_details,2,0)</f>
        <v>10-Nov-1984</v>
      </c>
      <c r="M72" s="5">
        <f t="shared" ref="M72:M135" ca="1" si="419">VLOOKUP(A72,hospital_details,3,0)</f>
        <v>41</v>
      </c>
      <c r="N72" s="5">
        <f t="shared" ref="N72:N135" si="420">VLOOKUP($A72,hospital_details,4,0)</f>
        <v>3</v>
      </c>
      <c r="O72" s="6">
        <f t="shared" ref="O72:O135" si="421">VLOOKUP($A72,hospital_details,5,0)</f>
        <v>41949.24</v>
      </c>
      <c r="P72" s="5" t="str">
        <f t="shared" ref="P72:P135" si="422">VLOOKUP($A72,hospital_details,6,0)</f>
        <v>tier - 1</v>
      </c>
      <c r="Q72" s="5" t="str">
        <f t="shared" ref="Q72:Q135" si="423">VLOOKUP($A72,hospital_details,7,0)</f>
        <v>tier - 1</v>
      </c>
      <c r="R72" s="5" t="str">
        <f t="shared" ref="R72:R135" si="424">VLOOKUP($A72,hospital_details,8,0)</f>
        <v>R1013</v>
      </c>
    </row>
    <row r="73" spans="1:23" ht="14.4" customHeight="1" x14ac:dyDescent="0.3">
      <c r="A73" s="7" t="s">
        <v>92</v>
      </c>
      <c r="B73" s="7" t="str">
        <f>VLOOKUP($A73,[1]!Customer_Names[#Data],3,0)</f>
        <v xml:space="preserve">  Elenilton V</v>
      </c>
      <c r="C73" s="7">
        <v>32.299999999999997</v>
      </c>
      <c r="D73" s="7" t="str" cm="1">
        <f t="array" ref="D73">_xlfn.IFS(Healthcare!$C73&lt;18.5,"under weight",Healthcare!$C73&lt;=24.9,"Normal Weight",Healthcare!$C73&gt;=25,"overweight",Healthcare!$C73&gt;=30,"obese")</f>
        <v>overweight</v>
      </c>
      <c r="E73" s="7">
        <v>4.76</v>
      </c>
      <c r="F73" s="7" t="str" cm="1">
        <f t="array" ref="F73">_xlfn.IFS(Healthcare!$E73&lt;5.7,"normal",Healthcare!$E73&lt;=6.4,"prediabetes",Healthcare!$E73&gt;=6.5,"diabetes")</f>
        <v>normal</v>
      </c>
      <c r="G73" s="7" t="s">
        <v>19</v>
      </c>
      <c r="H73" s="7" t="s">
        <v>19</v>
      </c>
      <c r="I73" s="7" t="s">
        <v>19</v>
      </c>
      <c r="J73" s="7">
        <v>2</v>
      </c>
      <c r="K73" s="7" t="s">
        <v>20</v>
      </c>
      <c r="L73" s="7" t="str">
        <f>VLOOKUP(Healthcare!$A73,hospital_details,2,0)</f>
        <v>8-Jun-1972</v>
      </c>
      <c r="M73" s="7">
        <f t="shared" ref="M73:M136" ca="1" si="425">VLOOKUP(A73,hospital_details,3,0)</f>
        <v>54</v>
      </c>
      <c r="N73" s="7">
        <f t="shared" ref="N73:N136" si="426">VLOOKUP($A73,hospital_details,4,0)</f>
        <v>1</v>
      </c>
      <c r="O73" s="8">
        <f t="shared" ref="O73:O136" si="427">VLOOKUP($A73,hospital_details,5,0)</f>
        <v>41919.1</v>
      </c>
      <c r="P73" s="7" t="str">
        <f t="shared" ref="P73:P136" si="428">VLOOKUP($A73,hospital_details,6,0)</f>
        <v>tier - 1</v>
      </c>
      <c r="Q73" s="7" t="str">
        <f t="shared" ref="Q73:Q136" si="429">VLOOKUP($A73,hospital_details,7,0)</f>
        <v>tier - 1</v>
      </c>
      <c r="R73" s="7" t="str">
        <f t="shared" ref="R73:R136" si="430">VLOOKUP($A73,hospital_details,8,0)</f>
        <v>R1016</v>
      </c>
    </row>
    <row r="74" spans="1:23" ht="14.4" customHeight="1" x14ac:dyDescent="0.3">
      <c r="A74" s="5" t="s">
        <v>93</v>
      </c>
      <c r="B74" s="5" t="str">
        <f>VLOOKUP($A74,[1]!Customer_Names[#Data],3,0)</f>
        <v xml:space="preserve">  Maurya</v>
      </c>
      <c r="C74" s="5">
        <v>48.8</v>
      </c>
      <c r="D74" s="5" t="str" cm="1">
        <f t="array" ref="D74">_xlfn.IFS(Healthcare!$C74&lt;18.5,"under weight",Healthcare!$C74&lt;=24.9,"Normal Weight",Healthcare!$C74&gt;=25,"overweight",Healthcare!$C74&gt;=30,"obese")</f>
        <v>overweight</v>
      </c>
      <c r="E74" s="5">
        <v>6.22</v>
      </c>
      <c r="F74" s="5" t="str" cm="1">
        <f t="array" ref="F74">_xlfn.IFS(Healthcare!$E74&lt;5.7,"normal",Healthcare!$E74&lt;=6.4,"prediabetes",Healthcare!$E74&gt;=6.5,"diabetes")</f>
        <v>prediabetes</v>
      </c>
      <c r="G74" s="5" t="s">
        <v>20</v>
      </c>
      <c r="H74" s="5" t="s">
        <v>19</v>
      </c>
      <c r="I74" s="5" t="s">
        <v>19</v>
      </c>
      <c r="J74" s="5">
        <v>2</v>
      </c>
      <c r="K74" s="5" t="s">
        <v>20</v>
      </c>
      <c r="L74" s="5" t="str">
        <f>VLOOKUP(Healthcare!$A74,hospital_details,2,0)</f>
        <v>21-Sep-1966</v>
      </c>
      <c r="M74" s="5">
        <f t="shared" ref="M74:M137" ca="1" si="431">VLOOKUP(A74,hospital_details,3,0)</f>
        <v>60</v>
      </c>
      <c r="N74" s="5">
        <f t="shared" ref="N74:N137" si="432">VLOOKUP($A74,hospital_details,4,0)</f>
        <v>0</v>
      </c>
      <c r="O74" s="6">
        <f t="shared" ref="O74:O137" si="433">VLOOKUP($A74,hospital_details,5,0)</f>
        <v>41886.54</v>
      </c>
      <c r="P74" s="5" t="str">
        <f t="shared" ref="P74:P137" si="434">VLOOKUP($A74,hospital_details,6,0)</f>
        <v>tier - 1</v>
      </c>
      <c r="Q74" s="5" t="str">
        <f t="shared" ref="Q74:Q137" si="435">VLOOKUP($A74,hospital_details,7,0)</f>
        <v>tier - 3</v>
      </c>
      <c r="R74" s="5" t="str">
        <f t="shared" ref="R74:R137" si="436">VLOOKUP($A74,hospital_details,8,0)</f>
        <v>R1011</v>
      </c>
    </row>
    <row r="75" spans="1:23" ht="14.4" customHeight="1" x14ac:dyDescent="0.3">
      <c r="A75" s="7" t="s">
        <v>94</v>
      </c>
      <c r="B75" s="7" t="str">
        <f>VLOOKUP($A75,[1]!Customer_Names[#Data],3,0)</f>
        <v xml:space="preserve">  Samantha C</v>
      </c>
      <c r="C75" s="7">
        <v>45.5</v>
      </c>
      <c r="D75" s="7" t="str" cm="1">
        <f t="array" ref="D75">_xlfn.IFS(Healthcare!$C75&lt;18.5,"under weight",Healthcare!$C75&lt;=24.9,"Normal Weight",Healthcare!$C75&gt;=25,"overweight",Healthcare!$C75&gt;=30,"obese")</f>
        <v>overweight</v>
      </c>
      <c r="E75" s="7">
        <v>7.96</v>
      </c>
      <c r="F75" s="7" t="str" cm="1">
        <f t="array" ref="F75">_xlfn.IFS(Healthcare!$E75&lt;5.7,"normal",Healthcare!$E75&lt;=6.4,"prediabetes",Healthcare!$E75&gt;=6.5,"diabetes")</f>
        <v>diabetes</v>
      </c>
      <c r="G75" s="7" t="s">
        <v>19</v>
      </c>
      <c r="H75" s="7" t="s">
        <v>19</v>
      </c>
      <c r="I75" s="7" t="s">
        <v>19</v>
      </c>
      <c r="J75" s="7">
        <v>0</v>
      </c>
      <c r="K75" s="7" t="s">
        <v>20</v>
      </c>
      <c r="L75" s="7" t="str">
        <f>VLOOKUP(Healthcare!$A75,hospital_details,2,0)</f>
        <v>22-Sep-1962</v>
      </c>
      <c r="M75" s="7">
        <f t="shared" ref="M75:M138" ca="1" si="437">VLOOKUP(A75,hospital_details,3,0)</f>
        <v>64</v>
      </c>
      <c r="N75" s="7">
        <f t="shared" ref="N75:N138" si="438">VLOOKUP($A75,hospital_details,4,0)</f>
        <v>0</v>
      </c>
      <c r="O75" s="8">
        <f t="shared" ref="O75:O138" si="439">VLOOKUP($A75,hospital_details,5,0)</f>
        <v>41794.629999999997</v>
      </c>
      <c r="P75" s="7" t="str">
        <f t="shared" ref="P75:P138" si="440">VLOOKUP($A75,hospital_details,6,0)</f>
        <v>tier - 1</v>
      </c>
      <c r="Q75" s="7" t="str">
        <f t="shared" ref="Q75:Q138" si="441">VLOOKUP($A75,hospital_details,7,0)</f>
        <v>tier - 3</v>
      </c>
      <c r="R75" s="7" t="str">
        <f t="shared" ref="R75:R138" si="442">VLOOKUP($A75,hospital_details,8,0)</f>
        <v>R1011</v>
      </c>
    </row>
    <row r="76" spans="1:23" ht="14.4" customHeight="1" x14ac:dyDescent="0.3">
      <c r="A76" s="5" t="s">
        <v>95</v>
      </c>
      <c r="B76" s="5" t="str">
        <f>VLOOKUP($A76,[1]!Customer_Names[#Data],3,0)</f>
        <v xml:space="preserve">  Bethany A</v>
      </c>
      <c r="C76" s="5">
        <v>53.61</v>
      </c>
      <c r="D76" s="5" t="str" cm="1">
        <f t="array" ref="D76">_xlfn.IFS(Healthcare!$C76&lt;18.5,"under weight",Healthcare!$C76&lt;=24.9,"Normal Weight",Healthcare!$C76&gt;=25,"overweight",Healthcare!$C76&gt;=30,"obese")</f>
        <v>overweight</v>
      </c>
      <c r="E76" s="5">
        <v>10.92</v>
      </c>
      <c r="F76" s="5" t="str" cm="1">
        <f t="array" ref="F76">_xlfn.IFS(Healthcare!$E76&lt;5.7,"normal",Healthcare!$E76&lt;=6.4,"prediabetes",Healthcare!$E76&gt;=6.5,"diabetes")</f>
        <v>diabetes</v>
      </c>
      <c r="G76" s="5" t="s">
        <v>20</v>
      </c>
      <c r="H76" s="5" t="s">
        <v>19</v>
      </c>
      <c r="I76" s="5" t="s">
        <v>19</v>
      </c>
      <c r="J76" s="5">
        <v>1</v>
      </c>
      <c r="K76" s="5" t="s">
        <v>20</v>
      </c>
      <c r="L76" s="5" t="str">
        <f>VLOOKUP(Healthcare!$A76,hospital_details,2,0)</f>
        <v>29-Sep-1975</v>
      </c>
      <c r="M76" s="5">
        <f t="shared" ref="M76:M139" ca="1" si="443">VLOOKUP(A76,hospital_details,3,0)</f>
        <v>51</v>
      </c>
      <c r="N76" s="5">
        <f t="shared" ref="N76:N139" si="444">VLOOKUP($A76,hospital_details,4,0)</f>
        <v>1</v>
      </c>
      <c r="O76" s="6">
        <f t="shared" ref="O76:O139" si="445">VLOOKUP($A76,hospital_details,5,0)</f>
        <v>41681.86</v>
      </c>
      <c r="P76" s="5" t="str">
        <f t="shared" ref="P76:P139" si="446">VLOOKUP($A76,hospital_details,6,0)</f>
        <v>tier - 1</v>
      </c>
      <c r="Q76" s="5" t="str">
        <f t="shared" ref="Q76:Q139" si="447">VLOOKUP($A76,hospital_details,7,0)</f>
        <v>tier - 1</v>
      </c>
      <c r="R76" s="5" t="str">
        <f t="shared" ref="R76:R139" si="448">VLOOKUP($A76,hospital_details,8,0)</f>
        <v>R1011</v>
      </c>
    </row>
    <row r="77" spans="1:23" ht="14.4" customHeight="1" x14ac:dyDescent="0.3">
      <c r="A77" s="7" t="s">
        <v>96</v>
      </c>
      <c r="B77" s="7" t="str">
        <f>VLOOKUP($A77,[1]!Customer_Names[#Data],3,0)</f>
        <v xml:space="preserve">  Yves</v>
      </c>
      <c r="C77" s="7">
        <v>36.19</v>
      </c>
      <c r="D77" s="7" t="str" cm="1">
        <f t="array" ref="D77">_xlfn.IFS(Healthcare!$C77&lt;18.5,"under weight",Healthcare!$C77&lt;=24.9,"Normal Weight",Healthcare!$C77&gt;=25,"overweight",Healthcare!$C77&gt;=30,"obese")</f>
        <v>overweight</v>
      </c>
      <c r="E77" s="7">
        <v>11.51</v>
      </c>
      <c r="F77" s="7" t="str" cm="1">
        <f t="array" ref="F77">_xlfn.IFS(Healthcare!$E77&lt;5.7,"normal",Healthcare!$E77&lt;=6.4,"prediabetes",Healthcare!$E77&gt;=6.5,"diabetes")</f>
        <v>diabetes</v>
      </c>
      <c r="G77" s="7" t="s">
        <v>20</v>
      </c>
      <c r="H77" s="7" t="s">
        <v>19</v>
      </c>
      <c r="I77" s="7" t="s">
        <v>19</v>
      </c>
      <c r="J77" s="7">
        <v>1</v>
      </c>
      <c r="K77" s="7" t="s">
        <v>20</v>
      </c>
      <c r="L77" s="7" t="str">
        <f>VLOOKUP(Healthcare!$A77,hospital_details,2,0)</f>
        <v>14-Nov-1975</v>
      </c>
      <c r="M77" s="7">
        <f t="shared" ref="M77:M140" ca="1" si="449">VLOOKUP(A77,hospital_details,3,0)</f>
        <v>50</v>
      </c>
      <c r="N77" s="7">
        <f t="shared" ref="N77:N140" si="450">VLOOKUP($A77,hospital_details,4,0)</f>
        <v>0</v>
      </c>
      <c r="O77" s="8">
        <f t="shared" ref="O77:O140" si="451">VLOOKUP($A77,hospital_details,5,0)</f>
        <v>41676.080000000002</v>
      </c>
      <c r="P77" s="7" t="str">
        <f t="shared" ref="P77:P140" si="452">VLOOKUP($A77,hospital_details,6,0)</f>
        <v>tier - 1</v>
      </c>
      <c r="Q77" s="7" t="str">
        <f t="shared" ref="Q77:Q140" si="453">VLOOKUP($A77,hospital_details,7,0)</f>
        <v>tier - 2</v>
      </c>
      <c r="R77" s="7" t="str">
        <f t="shared" ref="R77:R140" si="454">VLOOKUP($A77,hospital_details,8,0)</f>
        <v>R1013</v>
      </c>
    </row>
    <row r="78" spans="1:23" ht="14.4" customHeight="1" x14ac:dyDescent="0.3">
      <c r="A78" s="5" t="s">
        <v>97</v>
      </c>
      <c r="B78" s="5" t="str">
        <f>VLOOKUP($A78,[1]!Customer_Names[#Data],3,0)</f>
        <v xml:space="preserve">  Danielle</v>
      </c>
      <c r="C78" s="5">
        <v>34.6</v>
      </c>
      <c r="D78" s="5" t="str" cm="1">
        <f t="array" ref="D78">_xlfn.IFS(Healthcare!$C78&lt;18.5,"under weight",Healthcare!$C78&lt;=24.9,"Normal Weight",Healthcare!$C78&gt;=25,"overweight",Healthcare!$C78&gt;=30,"obese")</f>
        <v>overweight</v>
      </c>
      <c r="E78" s="5">
        <v>5.99</v>
      </c>
      <c r="F78" s="5" t="str" cm="1">
        <f t="array" ref="F78">_xlfn.IFS(Healthcare!$E78&lt;5.7,"normal",Healthcare!$E78&lt;=6.4,"prediabetes",Healthcare!$E78&gt;=6.5,"diabetes")</f>
        <v>prediabetes</v>
      </c>
      <c r="G78" s="5" t="s">
        <v>20</v>
      </c>
      <c r="H78" s="5" t="s">
        <v>19</v>
      </c>
      <c r="I78" s="5" t="s">
        <v>19</v>
      </c>
      <c r="J78" s="5">
        <v>0</v>
      </c>
      <c r="K78" s="5" t="s">
        <v>20</v>
      </c>
      <c r="L78" s="5" t="str">
        <f>VLOOKUP(Healthcare!$A78,hospital_details,2,0)</f>
        <v>29-Oct-1976</v>
      </c>
      <c r="M78" s="5">
        <f t="shared" ref="M78:M141" ca="1" si="455">VLOOKUP(A78,hospital_details,3,0)</f>
        <v>49</v>
      </c>
      <c r="N78" s="5">
        <f t="shared" ref="N78:N141" si="456">VLOOKUP($A78,hospital_details,4,0)</f>
        <v>1</v>
      </c>
      <c r="O78" s="6">
        <f t="shared" ref="O78:O141" si="457">VLOOKUP($A78,hospital_details,5,0)</f>
        <v>41661.599999999999</v>
      </c>
      <c r="P78" s="5" t="str">
        <f t="shared" ref="P78:P141" si="458">VLOOKUP($A78,hospital_details,6,0)</f>
        <v>tier - 1</v>
      </c>
      <c r="Q78" s="5" t="str">
        <f t="shared" ref="Q78:Q141" si="459">VLOOKUP($A78,hospital_details,7,0)</f>
        <v>tier - 3</v>
      </c>
      <c r="R78" s="5" t="str">
        <f t="shared" ref="R78:R141" si="460">VLOOKUP($A78,hospital_details,8,0)</f>
        <v>R1011</v>
      </c>
    </row>
    <row r="79" spans="1:23" ht="14.4" customHeight="1" x14ac:dyDescent="0.3">
      <c r="A79" s="7" t="s">
        <v>98</v>
      </c>
      <c r="B79" s="7" t="str">
        <f>VLOOKUP($A79,[1]!Customer_Names[#Data],3,0)</f>
        <v xml:space="preserve">  Julia</v>
      </c>
      <c r="C79" s="7">
        <v>54.12</v>
      </c>
      <c r="D79" s="7" t="str" cm="1">
        <f t="array" ref="D79">_xlfn.IFS(Healthcare!$C79&lt;18.5,"under weight",Healthcare!$C79&lt;=24.9,"Normal Weight",Healthcare!$C79&gt;=25,"overweight",Healthcare!$C79&gt;=30,"obese")</f>
        <v>overweight</v>
      </c>
      <c r="E79" s="7">
        <v>11.57</v>
      </c>
      <c r="F79" s="7" t="str" cm="1">
        <f t="array" ref="F79">_xlfn.IFS(Healthcare!$E79&lt;5.7,"normal",Healthcare!$E79&lt;=6.4,"prediabetes",Healthcare!$E79&gt;=6.5,"diabetes")</f>
        <v>diabetes</v>
      </c>
      <c r="G79" s="7" t="s">
        <v>19</v>
      </c>
      <c r="H79" s="7" t="s">
        <v>19</v>
      </c>
      <c r="I79" s="7" t="s">
        <v>19</v>
      </c>
      <c r="J79" s="7">
        <v>0</v>
      </c>
      <c r="K79" s="7" t="s">
        <v>20</v>
      </c>
      <c r="L79" s="7" t="str">
        <f>VLOOKUP(Healthcare!$A79,hospital_details,2,0)</f>
        <v>24-Nov-1974</v>
      </c>
      <c r="M79" s="7">
        <f t="shared" ref="M79:M142" ca="1" si="461">VLOOKUP(A79,hospital_details,3,0)</f>
        <v>51</v>
      </c>
      <c r="N79" s="7">
        <f t="shared" ref="N79:N142" si="462">VLOOKUP($A79,hospital_details,4,0)</f>
        <v>0</v>
      </c>
      <c r="O79" s="8">
        <f t="shared" ref="O79:O142" si="463">VLOOKUP($A79,hospital_details,5,0)</f>
        <v>41636.199999999997</v>
      </c>
      <c r="P79" s="7" t="str">
        <f t="shared" ref="P79:P142" si="464">VLOOKUP($A79,hospital_details,6,0)</f>
        <v>tier - 1</v>
      </c>
      <c r="Q79" s="7" t="str">
        <f t="shared" ref="Q79:Q142" si="465">VLOOKUP($A79,hospital_details,7,0)</f>
        <v>tier - 1</v>
      </c>
      <c r="R79" s="7" t="str">
        <f t="shared" ref="R79:R142" si="466">VLOOKUP($A79,hospital_details,8,0)</f>
        <v>R1011</v>
      </c>
    </row>
    <row r="80" spans="1:23" ht="14.4" customHeight="1" x14ac:dyDescent="0.3">
      <c r="A80" s="5" t="s">
        <v>99</v>
      </c>
      <c r="B80" s="5" t="str">
        <f>VLOOKUP($A80,[1]!Customer_Names[#Data],3,0)</f>
        <v xml:space="preserve">  Joshua</v>
      </c>
      <c r="C80" s="5">
        <v>48.82</v>
      </c>
      <c r="D80" s="5" t="str" cm="1">
        <f t="array" ref="D80">_xlfn.IFS(Healthcare!$C80&lt;18.5,"under weight",Healthcare!$C80&lt;=24.9,"Normal Weight",Healthcare!$C80&gt;=25,"overweight",Healthcare!$C80&gt;=30,"obese")</f>
        <v>overweight</v>
      </c>
      <c r="E80" s="5">
        <v>6.67</v>
      </c>
      <c r="F80" s="5" t="str" cm="1">
        <f t="array" ref="F80">_xlfn.IFS(Healthcare!$E80&lt;5.7,"normal",Healthcare!$E80&lt;=6.4,"prediabetes",Healthcare!$E80&gt;=6.5,"diabetes")</f>
        <v>diabetes</v>
      </c>
      <c r="G80" s="5" t="s">
        <v>20</v>
      </c>
      <c r="H80" s="5" t="s">
        <v>19</v>
      </c>
      <c r="I80" s="5" t="s">
        <v>19</v>
      </c>
      <c r="J80" s="5">
        <v>0</v>
      </c>
      <c r="K80" s="5" t="s">
        <v>20</v>
      </c>
      <c r="L80" s="5" t="str">
        <f>VLOOKUP(Healthcare!$A80,hospital_details,2,0)</f>
        <v>22-Dec-1967</v>
      </c>
      <c r="M80" s="5">
        <f t="shared" ref="M80:M143" ca="1" si="467">VLOOKUP(A80,hospital_details,3,0)</f>
        <v>58</v>
      </c>
      <c r="N80" s="5">
        <f t="shared" ref="N80:N143" si="468">VLOOKUP($A80,hospital_details,4,0)</f>
        <v>0</v>
      </c>
      <c r="O80" s="6">
        <f t="shared" ref="O80:O143" si="469">VLOOKUP($A80,hospital_details,5,0)</f>
        <v>41505.15</v>
      </c>
      <c r="P80" s="5" t="str">
        <f t="shared" ref="P80:P143" si="470">VLOOKUP($A80,hospital_details,6,0)</f>
        <v>tier - 1</v>
      </c>
      <c r="Q80" s="5" t="str">
        <f t="shared" ref="Q80:Q143" si="471">VLOOKUP($A80,hospital_details,7,0)</f>
        <v>tier - 2</v>
      </c>
      <c r="R80" s="5" t="str">
        <f t="shared" ref="R80:R143" si="472">VLOOKUP($A80,hospital_details,8,0)</f>
        <v>R1011</v>
      </c>
    </row>
    <row r="81" spans="1:18" ht="14.4" customHeight="1" x14ac:dyDescent="0.3">
      <c r="A81" s="7" t="s">
        <v>100</v>
      </c>
      <c r="B81" s="7" t="str">
        <f>VLOOKUP($A81,[1]!Customer_Names[#Data],3,0)</f>
        <v xml:space="preserve">  Jennifer</v>
      </c>
      <c r="C81" s="7">
        <v>51.01</v>
      </c>
      <c r="D81" s="7" t="str" cm="1">
        <f t="array" ref="D81">_xlfn.IFS(Healthcare!$C81&lt;18.5,"under weight",Healthcare!$C81&lt;=24.9,"Normal Weight",Healthcare!$C81&gt;=25,"overweight",Healthcare!$C81&gt;=30,"obese")</f>
        <v>overweight</v>
      </c>
      <c r="E81" s="7">
        <v>9.1999999999999993</v>
      </c>
      <c r="F81" s="7" t="str" cm="1">
        <f t="array" ref="F81">_xlfn.IFS(Healthcare!$E81&lt;5.7,"normal",Healthcare!$E81&lt;=6.4,"prediabetes",Healthcare!$E81&gt;=6.5,"diabetes")</f>
        <v>diabetes</v>
      </c>
      <c r="G81" s="7" t="s">
        <v>19</v>
      </c>
      <c r="H81" s="7" t="s">
        <v>19</v>
      </c>
      <c r="I81" s="7" t="s">
        <v>19</v>
      </c>
      <c r="J81" s="7">
        <v>0</v>
      </c>
      <c r="K81" s="7" t="s">
        <v>20</v>
      </c>
      <c r="L81" s="7" t="str">
        <f>VLOOKUP(Healthcare!$A81,hospital_details,2,0)</f>
        <v>16-Oct-1971</v>
      </c>
      <c r="M81" s="7">
        <f t="shared" ref="M81:M144" ca="1" si="473">VLOOKUP(A81,hospital_details,3,0)</f>
        <v>55</v>
      </c>
      <c r="N81" s="7">
        <f t="shared" ref="N81:N144" si="474">VLOOKUP($A81,hospital_details,4,0)</f>
        <v>0</v>
      </c>
      <c r="O81" s="8">
        <f t="shared" ref="O81:O144" si="475">VLOOKUP($A81,hospital_details,5,0)</f>
        <v>41351.879999999997</v>
      </c>
      <c r="P81" s="7" t="str">
        <f t="shared" ref="P81:P144" si="476">VLOOKUP($A81,hospital_details,6,0)</f>
        <v>tier - 1</v>
      </c>
      <c r="Q81" s="7" t="str">
        <f t="shared" ref="Q81:Q144" si="477">VLOOKUP($A81,hospital_details,7,0)</f>
        <v>tier - 2</v>
      </c>
      <c r="R81" s="7" t="str">
        <f t="shared" ref="R81:R144" si="478">VLOOKUP($A81,hospital_details,8,0)</f>
        <v>R1011</v>
      </c>
    </row>
    <row r="82" spans="1:18" ht="14.4" customHeight="1" x14ac:dyDescent="0.3">
      <c r="A82" s="5" t="s">
        <v>101</v>
      </c>
      <c r="B82" s="5" t="str">
        <f>VLOOKUP($A82,[1]!Customer_Names[#Data],3,0)</f>
        <v xml:space="preserve">  Gwen M</v>
      </c>
      <c r="C82" s="5">
        <v>45.65</v>
      </c>
      <c r="D82" s="5" t="str" cm="1">
        <f t="array" ref="D82">_xlfn.IFS(Healthcare!$C82&lt;18.5,"under weight",Healthcare!$C82&lt;=24.9,"Normal Weight",Healthcare!$C82&gt;=25,"overweight",Healthcare!$C82&gt;=30,"obese")</f>
        <v>overweight</v>
      </c>
      <c r="E82" s="5">
        <v>5.1100000000000003</v>
      </c>
      <c r="F82" s="5" t="str" cm="1">
        <f t="array" ref="F82">_xlfn.IFS(Healthcare!$E82&lt;5.7,"normal",Healthcare!$E82&lt;=6.4,"prediabetes",Healthcare!$E82&gt;=6.5,"diabetes")</f>
        <v>normal</v>
      </c>
      <c r="G82" s="5" t="s">
        <v>20</v>
      </c>
      <c r="H82" s="5" t="s">
        <v>19</v>
      </c>
      <c r="I82" s="5" t="s">
        <v>19</v>
      </c>
      <c r="J82" s="5">
        <v>1</v>
      </c>
      <c r="K82" s="5" t="s">
        <v>20</v>
      </c>
      <c r="L82" s="5" t="str">
        <f>VLOOKUP(Healthcare!$A82,hospital_details,2,0)</f>
        <v>7-Oct-1964</v>
      </c>
      <c r="M82" s="5">
        <f t="shared" ref="M82:M145" ca="1" si="479">VLOOKUP(A82,hospital_details,3,0)</f>
        <v>62</v>
      </c>
      <c r="N82" s="5">
        <f t="shared" ref="N82:N145" si="480">VLOOKUP($A82,hospital_details,4,0)</f>
        <v>0</v>
      </c>
      <c r="O82" s="6">
        <f t="shared" ref="O82:O145" si="481">VLOOKUP($A82,hospital_details,5,0)</f>
        <v>41331.79</v>
      </c>
      <c r="P82" s="5" t="str">
        <f t="shared" ref="P82:P145" si="482">VLOOKUP($A82,hospital_details,6,0)</f>
        <v>tier - 1</v>
      </c>
      <c r="Q82" s="5" t="str">
        <f t="shared" ref="Q82:Q145" si="483">VLOOKUP($A82,hospital_details,7,0)</f>
        <v>tier - 2</v>
      </c>
      <c r="R82" s="5" t="str">
        <f t="shared" ref="R82:R145" si="484">VLOOKUP($A82,hospital_details,8,0)</f>
        <v>R1011</v>
      </c>
    </row>
    <row r="83" spans="1:18" ht="14.4" customHeight="1" x14ac:dyDescent="0.3">
      <c r="A83" s="7" t="s">
        <v>102</v>
      </c>
      <c r="B83" s="7" t="str">
        <f>VLOOKUP($A83,[1]!Customer_Names[#Data],3,0)</f>
        <v xml:space="preserve">  Patrick</v>
      </c>
      <c r="C83" s="7">
        <v>52.9</v>
      </c>
      <c r="D83" s="7" t="str" cm="1">
        <f t="array" ref="D83">_xlfn.IFS(Healthcare!$C83&lt;18.5,"under weight",Healthcare!$C83&lt;=24.9,"Normal Weight",Healthcare!$C83&gt;=25,"overweight",Healthcare!$C83&gt;=30,"obese")</f>
        <v>overweight</v>
      </c>
      <c r="E83" s="7">
        <v>5.34</v>
      </c>
      <c r="F83" s="7" t="str" cm="1">
        <f t="array" ref="F83">_xlfn.IFS(Healthcare!$E83&lt;5.7,"normal",Healthcare!$E83&lt;=6.4,"prediabetes",Healthcare!$E83&gt;=6.5,"diabetes")</f>
        <v>normal</v>
      </c>
      <c r="G83" s="7" t="s">
        <v>19</v>
      </c>
      <c r="H83" s="7" t="s">
        <v>19</v>
      </c>
      <c r="I83" s="7" t="s">
        <v>19</v>
      </c>
      <c r="J83" s="7">
        <v>0</v>
      </c>
      <c r="K83" s="7" t="s">
        <v>20</v>
      </c>
      <c r="L83" s="7" t="str">
        <f>VLOOKUP(Healthcare!$A83,hospital_details,2,0)</f>
        <v>27-Aug-1977</v>
      </c>
      <c r="M83" s="7">
        <f t="shared" ref="M83:M146" ca="1" si="485">VLOOKUP(A83,hospital_details,3,0)</f>
        <v>49</v>
      </c>
      <c r="N83" s="7">
        <f t="shared" ref="N83:N146" si="486">VLOOKUP($A83,hospital_details,4,0)</f>
        <v>2</v>
      </c>
      <c r="O83" s="8">
        <f t="shared" ref="O83:O146" si="487">VLOOKUP($A83,hospital_details,5,0)</f>
        <v>41271.5</v>
      </c>
      <c r="P83" s="7" t="str">
        <f t="shared" ref="P83:P146" si="488">VLOOKUP($A83,hospital_details,6,0)</f>
        <v>tier - 1</v>
      </c>
      <c r="Q83" s="7" t="str">
        <f t="shared" ref="Q83:Q146" si="489">VLOOKUP($A83,hospital_details,7,0)</f>
        <v>tier - 2</v>
      </c>
      <c r="R83" s="7" t="str">
        <f t="shared" ref="R83:R146" si="490">VLOOKUP($A83,hospital_details,8,0)</f>
        <v>R1011</v>
      </c>
    </row>
    <row r="84" spans="1:18" ht="14.4" customHeight="1" x14ac:dyDescent="0.3">
      <c r="A84" s="5" t="s">
        <v>103</v>
      </c>
      <c r="B84" s="5" t="str">
        <f>VLOOKUP($A84,[1]!Customer_Names[#Data],3,0)</f>
        <v xml:space="preserve">  Kate</v>
      </c>
      <c r="C84" s="5">
        <v>45.41</v>
      </c>
      <c r="D84" s="5" t="str" cm="1">
        <f t="array" ref="D84">_xlfn.IFS(Healthcare!$C84&lt;18.5,"under weight",Healthcare!$C84&lt;=24.9,"Normal Weight",Healthcare!$C84&gt;=25,"overweight",Healthcare!$C84&gt;=30,"obese")</f>
        <v>overweight</v>
      </c>
      <c r="E84" s="5">
        <v>4.03</v>
      </c>
      <c r="F84" s="5" t="str" cm="1">
        <f t="array" ref="F84">_xlfn.IFS(Healthcare!$E84&lt;5.7,"normal",Healthcare!$E84&lt;=6.4,"prediabetes",Healthcare!$E84&gt;=6.5,"diabetes")</f>
        <v>normal</v>
      </c>
      <c r="G84" s="5" t="s">
        <v>20</v>
      </c>
      <c r="H84" s="5" t="s">
        <v>19</v>
      </c>
      <c r="I84" s="5" t="s">
        <v>19</v>
      </c>
      <c r="J84" s="5">
        <v>1</v>
      </c>
      <c r="K84" s="5" t="s">
        <v>20</v>
      </c>
      <c r="L84" s="5" t="str">
        <f>VLOOKUP(Healthcare!$A84,hospital_details,2,0)</f>
        <v>6-Jun-1964</v>
      </c>
      <c r="M84" s="5">
        <f t="shared" ref="M84:M147" ca="1" si="491">VLOOKUP(A84,hospital_details,3,0)</f>
        <v>62</v>
      </c>
      <c r="N84" s="5">
        <f t="shared" ref="N84:N147" si="492">VLOOKUP($A84,hospital_details,4,0)</f>
        <v>0</v>
      </c>
      <c r="O84" s="6">
        <f t="shared" ref="O84:O147" si="493">VLOOKUP($A84,hospital_details,5,0)</f>
        <v>41250.39</v>
      </c>
      <c r="P84" s="5" t="str">
        <f t="shared" ref="P84:P147" si="494">VLOOKUP($A84,hospital_details,6,0)</f>
        <v>tier - 1</v>
      </c>
      <c r="Q84" s="5" t="str">
        <f t="shared" ref="Q84:Q147" si="495">VLOOKUP($A84,hospital_details,7,0)</f>
        <v>tier - 3</v>
      </c>
      <c r="R84" s="5" t="str">
        <f t="shared" ref="R84:R147" si="496">VLOOKUP($A84,hospital_details,8,0)</f>
        <v>R1011</v>
      </c>
    </row>
    <row r="85" spans="1:18" ht="14.4" customHeight="1" x14ac:dyDescent="0.3">
      <c r="A85" s="7" t="s">
        <v>104</v>
      </c>
      <c r="B85" s="7" t="str">
        <f>VLOOKUP($A85,[1]!Customer_Names[#Data],3,0)</f>
        <v xml:space="preserve">  Kevin</v>
      </c>
      <c r="C85" s="7">
        <v>49.41</v>
      </c>
      <c r="D85" s="7" t="str" cm="1">
        <f t="array" ref="D85">_xlfn.IFS(Healthcare!$C85&lt;18.5,"under weight",Healthcare!$C85&lt;=24.9,"Normal Weight",Healthcare!$C85&gt;=25,"overweight",Healthcare!$C85&gt;=30,"obese")</f>
        <v>overweight</v>
      </c>
      <c r="E85" s="7">
        <v>4.2300000000000004</v>
      </c>
      <c r="F85" s="7" t="str" cm="1">
        <f t="array" ref="F85">_xlfn.IFS(Healthcare!$E85&lt;5.7,"normal",Healthcare!$E85&lt;=6.4,"prediabetes",Healthcare!$E85&gt;=6.5,"diabetes")</f>
        <v>normal</v>
      </c>
      <c r="G85" s="7" t="s">
        <v>20</v>
      </c>
      <c r="H85" s="7" t="s">
        <v>19</v>
      </c>
      <c r="I85" s="7" t="s">
        <v>29</v>
      </c>
      <c r="J85" s="7">
        <v>1</v>
      </c>
      <c r="K85" s="7" t="s">
        <v>20</v>
      </c>
      <c r="L85" s="7" t="str">
        <f>VLOOKUP(Healthcare!$A85,hospital_details,2,0)</f>
        <v>8-Aug-1969</v>
      </c>
      <c r="M85" s="7">
        <f t="shared" ref="M85:M148" ca="1" si="497">VLOOKUP(A85,hospital_details,3,0)</f>
        <v>57</v>
      </c>
      <c r="N85" s="7">
        <f t="shared" ref="N85:N148" si="498">VLOOKUP($A85,hospital_details,4,0)</f>
        <v>0</v>
      </c>
      <c r="O85" s="8">
        <f t="shared" ref="O85:O148" si="499">VLOOKUP($A85,hospital_details,5,0)</f>
        <v>41191.57</v>
      </c>
      <c r="P85" s="7" t="str">
        <f t="shared" ref="P85:P148" si="500">VLOOKUP($A85,hospital_details,6,0)</f>
        <v>tier - 1</v>
      </c>
      <c r="Q85" s="7" t="str">
        <f t="shared" ref="Q85:Q148" si="501">VLOOKUP($A85,hospital_details,7,0)</f>
        <v>tier - 2</v>
      </c>
      <c r="R85" s="7" t="str">
        <f t="shared" ref="R85:R148" si="502">VLOOKUP($A85,hospital_details,8,0)</f>
        <v>R1011</v>
      </c>
    </row>
    <row r="86" spans="1:18" ht="14.4" customHeight="1" x14ac:dyDescent="0.3">
      <c r="A86" s="5" t="s">
        <v>105</v>
      </c>
      <c r="B86" s="5" t="str">
        <f>VLOOKUP($A86,[1]!Customer_Names[#Data],3,0)</f>
        <v xml:space="preserve">  Stephen II</v>
      </c>
      <c r="C86" s="5">
        <v>31.824999999999999</v>
      </c>
      <c r="D86" s="5" t="str" cm="1">
        <f t="array" ref="D86">_xlfn.IFS(Healthcare!$C86&lt;18.5,"under weight",Healthcare!$C86&lt;=24.9,"Normal Weight",Healthcare!$C86&gt;=25,"overweight",Healthcare!$C86&gt;=30,"obese")</f>
        <v>overweight</v>
      </c>
      <c r="E86" s="5">
        <v>4.0599999999999996</v>
      </c>
      <c r="F86" s="5" t="str" cm="1">
        <f t="array" ref="F86">_xlfn.IFS(Healthcare!$E86&lt;5.7,"normal",Healthcare!$E86&lt;=6.4,"prediabetes",Healthcare!$E86&gt;=6.5,"diabetes")</f>
        <v>normal</v>
      </c>
      <c r="G86" s="5" t="s">
        <v>19</v>
      </c>
      <c r="H86" s="5" t="s">
        <v>19</v>
      </c>
      <c r="I86" s="5" t="s">
        <v>19</v>
      </c>
      <c r="J86" s="5">
        <v>2</v>
      </c>
      <c r="K86" s="5" t="s">
        <v>20</v>
      </c>
      <c r="L86" s="5" t="str">
        <f>VLOOKUP(Healthcare!$A86,hospital_details,2,0)</f>
        <v>6-Sep-1972</v>
      </c>
      <c r="M86" s="5">
        <f t="shared" ref="M86:M149" ca="1" si="503">VLOOKUP(A86,hospital_details,3,0)</f>
        <v>54</v>
      </c>
      <c r="N86" s="5">
        <f t="shared" ref="N86:N149" si="504">VLOOKUP($A86,hospital_details,4,0)</f>
        <v>0</v>
      </c>
      <c r="O86" s="6">
        <f t="shared" ref="O86:O149" si="505">VLOOKUP($A86,hospital_details,5,0)</f>
        <v>41097.160000000003</v>
      </c>
      <c r="P86" s="5" t="str">
        <f t="shared" ref="P86:P149" si="506">VLOOKUP($A86,hospital_details,6,0)</f>
        <v>tier - 1</v>
      </c>
      <c r="Q86" s="5" t="str">
        <f t="shared" ref="Q86:Q149" si="507">VLOOKUP($A86,hospital_details,7,0)</f>
        <v>tier - 3</v>
      </c>
      <c r="R86" s="5" t="str">
        <f t="shared" ref="R86:R149" si="508">VLOOKUP($A86,hospital_details,8,0)</f>
        <v>R1016</v>
      </c>
    </row>
    <row r="87" spans="1:18" ht="14.4" customHeight="1" x14ac:dyDescent="0.3">
      <c r="A87" s="7" t="s">
        <v>106</v>
      </c>
      <c r="B87" s="7" t="str">
        <f>VLOOKUP($A87,[1]!Customer_Names[#Data],3,0)</f>
        <v xml:space="preserve">  Philip</v>
      </c>
      <c r="C87" s="7">
        <v>51.28</v>
      </c>
      <c r="D87" s="7" t="str" cm="1">
        <f t="array" ref="D87">_xlfn.IFS(Healthcare!$C87&lt;18.5,"under weight",Healthcare!$C87&lt;=24.9,"Normal Weight",Healthcare!$C87&gt;=25,"overweight",Healthcare!$C87&gt;=30,"obese")</f>
        <v>overweight</v>
      </c>
      <c r="E87" s="7">
        <v>4.68</v>
      </c>
      <c r="F87" s="7" t="str" cm="1">
        <f t="array" ref="F87">_xlfn.IFS(Healthcare!$E87&lt;5.7,"normal",Healthcare!$E87&lt;=6.4,"prediabetes",Healthcare!$E87&gt;=6.5,"diabetes")</f>
        <v>normal</v>
      </c>
      <c r="G87" s="7" t="s">
        <v>19</v>
      </c>
      <c r="H87" s="7" t="s">
        <v>19</v>
      </c>
      <c r="I87" s="7" t="s">
        <v>19</v>
      </c>
      <c r="J87" s="7">
        <v>2</v>
      </c>
      <c r="K87" s="7" t="s">
        <v>20</v>
      </c>
      <c r="L87" s="7" t="str">
        <f>VLOOKUP(Healthcare!$A87,hospital_details,2,0)</f>
        <v>12-Aug-1972</v>
      </c>
      <c r="M87" s="7">
        <f t="shared" ref="M87:M150" ca="1" si="509">VLOOKUP(A87,hospital_details,3,0)</f>
        <v>54</v>
      </c>
      <c r="N87" s="7">
        <f t="shared" ref="N87:N150" si="510">VLOOKUP($A87,hospital_details,4,0)</f>
        <v>0</v>
      </c>
      <c r="O87" s="8">
        <f t="shared" ref="O87:O150" si="511">VLOOKUP($A87,hospital_details,5,0)</f>
        <v>41055.29</v>
      </c>
      <c r="P87" s="7" t="str">
        <f t="shared" ref="P87:P150" si="512">VLOOKUP($A87,hospital_details,6,0)</f>
        <v>tier - 1</v>
      </c>
      <c r="Q87" s="7" t="str">
        <f t="shared" ref="Q87:Q150" si="513">VLOOKUP($A87,hospital_details,7,0)</f>
        <v>tier - 2</v>
      </c>
      <c r="R87" s="7" t="str">
        <f t="shared" ref="R87:R150" si="514">VLOOKUP($A87,hospital_details,8,0)</f>
        <v>R1011</v>
      </c>
    </row>
    <row r="88" spans="1:18" ht="14.4" customHeight="1" x14ac:dyDescent="0.3">
      <c r="A88" s="5" t="s">
        <v>107</v>
      </c>
      <c r="B88" s="5" t="str">
        <f>VLOOKUP($A88,[1]!Customer_Names[#Data],3,0)</f>
        <v xml:space="preserve">  Brett A</v>
      </c>
      <c r="C88" s="5">
        <v>34.96</v>
      </c>
      <c r="D88" s="5" t="str" cm="1">
        <f t="array" ref="D88">_xlfn.IFS(Healthcare!$C88&lt;18.5,"under weight",Healthcare!$C88&lt;=24.9,"Normal Weight",Healthcare!$C88&gt;=25,"overweight",Healthcare!$C88&gt;=30,"obese")</f>
        <v>overweight</v>
      </c>
      <c r="E88" s="5">
        <v>4.34</v>
      </c>
      <c r="F88" s="5" t="str" cm="1">
        <f t="array" ref="F88">_xlfn.IFS(Healthcare!$E88&lt;5.7,"normal",Healthcare!$E88&lt;=6.4,"prediabetes",Healthcare!$E88&gt;=6.5,"diabetes")</f>
        <v>normal</v>
      </c>
      <c r="G88" s="5" t="s">
        <v>19</v>
      </c>
      <c r="H88" s="5" t="s">
        <v>19</v>
      </c>
      <c r="I88" s="5" t="s">
        <v>29</v>
      </c>
      <c r="J88" s="5">
        <v>1</v>
      </c>
      <c r="K88" s="5" t="s">
        <v>20</v>
      </c>
      <c r="L88" s="5" t="str">
        <f>VLOOKUP(Healthcare!$A88,hospital_details,2,0)</f>
        <v>11-Oct-1979</v>
      </c>
      <c r="M88" s="5">
        <f t="shared" ref="M88:M151" ca="1" si="515">VLOOKUP(A88,hospital_details,3,0)</f>
        <v>47</v>
      </c>
      <c r="N88" s="5">
        <f t="shared" ref="N88:N151" si="516">VLOOKUP($A88,hospital_details,4,0)</f>
        <v>1</v>
      </c>
      <c r="O88" s="6">
        <f t="shared" ref="O88:O151" si="517">VLOOKUP($A88,hospital_details,5,0)</f>
        <v>41034.22</v>
      </c>
      <c r="P88" s="5" t="str">
        <f t="shared" ref="P88:P151" si="518">VLOOKUP($A88,hospital_details,6,0)</f>
        <v>tier - 1</v>
      </c>
      <c r="Q88" s="5" t="str">
        <f t="shared" ref="Q88:Q151" si="519">VLOOKUP($A88,hospital_details,7,0)</f>
        <v>tier - 3</v>
      </c>
      <c r="R88" s="5" t="str">
        <f t="shared" ref="R88:R151" si="520">VLOOKUP($A88,hospital_details,8,0)</f>
        <v>R1017</v>
      </c>
    </row>
    <row r="89" spans="1:18" ht="14.4" customHeight="1" x14ac:dyDescent="0.3">
      <c r="A89" s="7" t="s">
        <v>108</v>
      </c>
      <c r="B89" s="7" t="str">
        <f>VLOOKUP($A89,[1]!Customer_Names[#Data],3,0)</f>
        <v xml:space="preserve">  Rebecca</v>
      </c>
      <c r="C89" s="7">
        <v>33.11</v>
      </c>
      <c r="D89" s="7" t="str" cm="1">
        <f t="array" ref="D89">_xlfn.IFS(Healthcare!$C89&lt;18.5,"under weight",Healthcare!$C89&lt;=24.9,"Normal Weight",Healthcare!$C89&gt;=25,"overweight",Healthcare!$C89&gt;=30,"obese")</f>
        <v>overweight</v>
      </c>
      <c r="E89" s="7">
        <v>10.51</v>
      </c>
      <c r="F89" s="7" t="str" cm="1">
        <f t="array" ref="F89">_xlfn.IFS(Healthcare!$E89&lt;5.7,"normal",Healthcare!$E89&lt;=6.4,"prediabetes",Healthcare!$E89&gt;=6.5,"diabetes")</f>
        <v>diabetes</v>
      </c>
      <c r="G89" s="7" t="s">
        <v>19</v>
      </c>
      <c r="H89" s="7" t="s">
        <v>19</v>
      </c>
      <c r="I89" s="7" t="s">
        <v>19</v>
      </c>
      <c r="J89" s="7">
        <v>0</v>
      </c>
      <c r="K89" s="7" t="s">
        <v>20</v>
      </c>
      <c r="L89" s="7" t="str">
        <f>VLOOKUP(Healthcare!$A89,hospital_details,2,0)</f>
        <v>5-Jun-1974</v>
      </c>
      <c r="M89" s="7">
        <f t="shared" ref="M89:M152" ca="1" si="521">VLOOKUP(A89,hospital_details,3,0)</f>
        <v>52</v>
      </c>
      <c r="N89" s="7">
        <f t="shared" ref="N89:N152" si="522">VLOOKUP($A89,hospital_details,4,0)</f>
        <v>0</v>
      </c>
      <c r="O89" s="8">
        <f t="shared" ref="O89:O152" si="523">VLOOKUP($A89,hospital_details,5,0)</f>
        <v>40974.160000000003</v>
      </c>
      <c r="P89" s="7" t="str">
        <f t="shared" ref="P89:P152" si="524">VLOOKUP($A89,hospital_details,6,0)</f>
        <v>tier - 1</v>
      </c>
      <c r="Q89" s="7" t="str">
        <f t="shared" ref="Q89:Q152" si="525">VLOOKUP($A89,hospital_details,7,0)</f>
        <v>tier - 2</v>
      </c>
      <c r="R89" s="7" t="str">
        <f t="shared" ref="R89:R152" si="526">VLOOKUP($A89,hospital_details,8,0)</f>
        <v>R1013</v>
      </c>
    </row>
    <row r="90" spans="1:18" ht="14.4" customHeight="1" x14ac:dyDescent="0.3">
      <c r="A90" s="5" t="s">
        <v>109</v>
      </c>
      <c r="B90" s="5" t="str">
        <f>VLOOKUP($A90,[1]!Customer_Names[#Data],3,0)</f>
        <v xml:space="preserve">  Kelley</v>
      </c>
      <c r="C90" s="5">
        <v>54.74</v>
      </c>
      <c r="D90" s="5" t="str" cm="1">
        <f t="array" ref="D90">_xlfn.IFS(Healthcare!$C90&lt;18.5,"under weight",Healthcare!$C90&lt;=24.9,"Normal Weight",Healthcare!$C90&gt;=25,"overweight",Healthcare!$C90&gt;=30,"obese")</f>
        <v>overweight</v>
      </c>
      <c r="E90" s="5">
        <v>5.84</v>
      </c>
      <c r="F90" s="5" t="str" cm="1">
        <f t="array" ref="F90">_xlfn.IFS(Healthcare!$E90&lt;5.7,"normal",Healthcare!$E90&lt;=6.4,"prediabetes",Healthcare!$E90&gt;=6.5,"diabetes")</f>
        <v>prediabetes</v>
      </c>
      <c r="G90" s="5" t="s">
        <v>20</v>
      </c>
      <c r="H90" s="5" t="s">
        <v>19</v>
      </c>
      <c r="I90" s="5" t="s">
        <v>29</v>
      </c>
      <c r="J90" s="5">
        <v>1</v>
      </c>
      <c r="K90" s="5" t="s">
        <v>20</v>
      </c>
      <c r="L90" s="5" t="str">
        <f>VLOOKUP(Healthcare!$A90,hospital_details,2,0)</f>
        <v>8-Sep-1983</v>
      </c>
      <c r="M90" s="5">
        <f t="shared" ref="M90:M153" ca="1" si="527">VLOOKUP(A90,hospital_details,3,0)</f>
        <v>43</v>
      </c>
      <c r="N90" s="5">
        <f t="shared" ref="N90:N153" si="528">VLOOKUP($A90,hospital_details,4,0)</f>
        <v>3</v>
      </c>
      <c r="O90" s="6">
        <f t="shared" ref="O90:O153" si="529">VLOOKUP($A90,hospital_details,5,0)</f>
        <v>40961.29</v>
      </c>
      <c r="P90" s="5" t="str">
        <f t="shared" ref="P90:P153" si="530">VLOOKUP($A90,hospital_details,6,0)</f>
        <v>tier - 1</v>
      </c>
      <c r="Q90" s="5" t="str">
        <f t="shared" ref="Q90:Q153" si="531">VLOOKUP($A90,hospital_details,7,0)</f>
        <v>tier - 2</v>
      </c>
      <c r="R90" s="5" t="str">
        <f t="shared" ref="R90:R153" si="532">VLOOKUP($A90,hospital_details,8,0)</f>
        <v>R1011</v>
      </c>
    </row>
    <row r="91" spans="1:18" ht="14.4" customHeight="1" x14ac:dyDescent="0.3">
      <c r="A91" s="7" t="s">
        <v>110</v>
      </c>
      <c r="B91" s="7" t="str">
        <f>VLOOKUP($A91,[1]!Customer_Names[#Data],3,0)</f>
        <v xml:space="preserve">  Abigail K</v>
      </c>
      <c r="C91" s="7">
        <v>32.56</v>
      </c>
      <c r="D91" s="7" t="str" cm="1">
        <f t="array" ref="D91">_xlfn.IFS(Healthcare!$C91&lt;18.5,"under weight",Healthcare!$C91&lt;=24.9,"Normal Weight",Healthcare!$C91&gt;=25,"overweight",Healthcare!$C91&gt;=30,"obese")</f>
        <v>overweight</v>
      </c>
      <c r="E91" s="7">
        <v>5.41</v>
      </c>
      <c r="F91" s="7" t="str" cm="1">
        <f t="array" ref="F91">_xlfn.IFS(Healthcare!$E91&lt;5.7,"normal",Healthcare!$E91&lt;=6.4,"prediabetes",Healthcare!$E91&gt;=6.5,"diabetes")</f>
        <v>normal</v>
      </c>
      <c r="G91" s="7" t="s">
        <v>19</v>
      </c>
      <c r="H91" s="7" t="s">
        <v>19</v>
      </c>
      <c r="I91" s="7" t="s">
        <v>29</v>
      </c>
      <c r="J91" s="7">
        <v>1</v>
      </c>
      <c r="K91" s="7" t="s">
        <v>20</v>
      </c>
      <c r="L91" s="7" t="str">
        <f>VLOOKUP(Healthcare!$A91,hospital_details,2,0)</f>
        <v>16-Sep-1979</v>
      </c>
      <c r="M91" s="7">
        <f t="shared" ref="M91:M154" ca="1" si="533">VLOOKUP(A91,hospital_details,3,0)</f>
        <v>47</v>
      </c>
      <c r="N91" s="7">
        <f t="shared" ref="N91:N154" si="534">VLOOKUP($A91,hospital_details,4,0)</f>
        <v>3</v>
      </c>
      <c r="O91" s="8">
        <f t="shared" ref="O91:O154" si="535">VLOOKUP($A91,hospital_details,5,0)</f>
        <v>40941.29</v>
      </c>
      <c r="P91" s="7" t="str">
        <f t="shared" ref="P91:P154" si="536">VLOOKUP($A91,hospital_details,6,0)</f>
        <v>tier - 1</v>
      </c>
      <c r="Q91" s="7" t="str">
        <f t="shared" ref="Q91:Q154" si="537">VLOOKUP($A91,hospital_details,7,0)</f>
        <v>tier - 2</v>
      </c>
      <c r="R91" s="7" t="str">
        <f t="shared" ref="R91:R154" si="538">VLOOKUP($A91,hospital_details,8,0)</f>
        <v>R1013</v>
      </c>
    </row>
    <row r="92" spans="1:18" ht="14.4" customHeight="1" x14ac:dyDescent="0.3">
      <c r="A92" s="5" t="s">
        <v>111</v>
      </c>
      <c r="B92" s="5" t="str">
        <f>VLOOKUP($A92,[1]!Customer_Names[#Data],3,0)</f>
        <v xml:space="preserve">  Hope</v>
      </c>
      <c r="C92" s="5">
        <v>39.049999999999997</v>
      </c>
      <c r="D92" s="5" t="str" cm="1">
        <f t="array" ref="D92">_xlfn.IFS(Healthcare!$C92&lt;18.5,"under weight",Healthcare!$C92&lt;=24.9,"Normal Weight",Healthcare!$C92&gt;=25,"overweight",Healthcare!$C92&gt;=30,"obese")</f>
        <v>overweight</v>
      </c>
      <c r="E92" s="5">
        <v>6.06</v>
      </c>
      <c r="F92" s="5" t="str" cm="1">
        <f t="array" ref="F92">_xlfn.IFS(Healthcare!$E92&lt;5.7,"normal",Healthcare!$E92&lt;=6.4,"prediabetes",Healthcare!$E92&gt;=6.5,"diabetes")</f>
        <v>prediabetes</v>
      </c>
      <c r="G92" s="5" t="s">
        <v>19</v>
      </c>
      <c r="H92" s="5" t="s">
        <v>19</v>
      </c>
      <c r="I92" s="5" t="s">
        <v>19</v>
      </c>
      <c r="J92" s="5">
        <v>1</v>
      </c>
      <c r="K92" s="5" t="s">
        <v>20</v>
      </c>
      <c r="L92" s="5" t="str">
        <f>VLOOKUP(Healthcare!$A92,hospital_details,2,0)</f>
        <v>4-Aug-1992</v>
      </c>
      <c r="M92" s="5">
        <f t="shared" ref="M92:M155" ca="1" si="539">VLOOKUP(A92,hospital_details,3,0)</f>
        <v>34</v>
      </c>
      <c r="N92" s="5">
        <f t="shared" ref="N92:N155" si="540">VLOOKUP($A92,hospital_details,4,0)</f>
        <v>3</v>
      </c>
      <c r="O92" s="6">
        <f t="shared" ref="O92:O155" si="541">VLOOKUP($A92,hospital_details,5,0)</f>
        <v>40932.43</v>
      </c>
      <c r="P92" s="5" t="str">
        <f t="shared" ref="P92:P155" si="542">VLOOKUP($A92,hospital_details,6,0)</f>
        <v>tier - 1</v>
      </c>
      <c r="Q92" s="5" t="str">
        <f t="shared" ref="Q92:Q155" si="543">VLOOKUP($A92,hospital_details,7,0)</f>
        <v>tier - 2</v>
      </c>
      <c r="R92" s="5" t="str">
        <f t="shared" ref="R92:R155" si="544">VLOOKUP($A92,hospital_details,8,0)</f>
        <v>R1013</v>
      </c>
    </row>
    <row r="93" spans="1:18" ht="14.4" customHeight="1" x14ac:dyDescent="0.3">
      <c r="A93" s="7" t="s">
        <v>112</v>
      </c>
      <c r="B93" s="7" t="str">
        <f>VLOOKUP($A93,[1]!Customer_Names[#Data],3,0)</f>
        <v xml:space="preserve">  Elyse M</v>
      </c>
      <c r="C93" s="7">
        <v>42.75</v>
      </c>
      <c r="D93" s="7" t="str" cm="1">
        <f t="array" ref="D93">_xlfn.IFS(Healthcare!$C93&lt;18.5,"under weight",Healthcare!$C93&lt;=24.9,"Normal Weight",Healthcare!$C93&gt;=25,"overweight",Healthcare!$C93&gt;=30,"obese")</f>
        <v>overweight</v>
      </c>
      <c r="E93" s="7">
        <v>4.22</v>
      </c>
      <c r="F93" s="7" t="str" cm="1">
        <f t="array" ref="F93">_xlfn.IFS(Healthcare!$E93&lt;5.7,"normal",Healthcare!$E93&lt;=6.4,"prediabetes",Healthcare!$E93&gt;=6.5,"diabetes")</f>
        <v>normal</v>
      </c>
      <c r="G93" s="7" t="s">
        <v>19</v>
      </c>
      <c r="H93" s="7" t="s">
        <v>19</v>
      </c>
      <c r="I93" s="7" t="s">
        <v>19</v>
      </c>
      <c r="J93" s="7">
        <v>0</v>
      </c>
      <c r="K93" s="7" t="s">
        <v>20</v>
      </c>
      <c r="L93" s="7" t="str">
        <f>VLOOKUP(Healthcare!$A93,hospital_details,2,0)</f>
        <v>2-Jul-1999</v>
      </c>
      <c r="M93" s="7">
        <f t="shared" ref="M93:M156" ca="1" si="545">VLOOKUP(A93,hospital_details,3,0)</f>
        <v>27</v>
      </c>
      <c r="N93" s="7">
        <f t="shared" ref="N93:N156" si="546">VLOOKUP($A93,hospital_details,4,0)</f>
        <v>1</v>
      </c>
      <c r="O93" s="8">
        <f t="shared" ref="O93:O156" si="547">VLOOKUP($A93,hospital_details,5,0)</f>
        <v>40904.199999999997</v>
      </c>
      <c r="P93" s="7" t="str">
        <f t="shared" ref="P93:P156" si="548">VLOOKUP($A93,hospital_details,6,0)</f>
        <v>tier - 1</v>
      </c>
      <c r="Q93" s="7" t="str">
        <f t="shared" ref="Q93:Q156" si="549">VLOOKUP($A93,hospital_details,7,0)</f>
        <v>tier - 1</v>
      </c>
      <c r="R93" s="7" t="str">
        <f t="shared" ref="R93:R156" si="550">VLOOKUP($A93,hospital_details,8,0)</f>
        <v>R1024</v>
      </c>
    </row>
    <row r="94" spans="1:18" ht="14.4" customHeight="1" x14ac:dyDescent="0.3">
      <c r="A94" s="5" t="s">
        <v>113</v>
      </c>
      <c r="B94" s="5" t="str">
        <f>VLOOKUP($A94,[1]!Customer_Names[#Data],3,0)</f>
        <v xml:space="preserve">  Nicholas</v>
      </c>
      <c r="C94" s="5">
        <v>50.58</v>
      </c>
      <c r="D94" s="5" t="str" cm="1">
        <f t="array" ref="D94">_xlfn.IFS(Healthcare!$C94&lt;18.5,"under weight",Healthcare!$C94&lt;=24.9,"Normal Weight",Healthcare!$C94&gt;=25,"overweight",Healthcare!$C94&gt;=30,"obese")</f>
        <v>overweight</v>
      </c>
      <c r="E94" s="5">
        <v>5.12</v>
      </c>
      <c r="F94" s="5" t="str" cm="1">
        <f t="array" ref="F94">_xlfn.IFS(Healthcare!$E94&lt;5.7,"normal",Healthcare!$E94&lt;=6.4,"prediabetes",Healthcare!$E94&gt;=6.5,"diabetes")</f>
        <v>normal</v>
      </c>
      <c r="G94" s="5" t="s">
        <v>19</v>
      </c>
      <c r="H94" s="5" t="s">
        <v>19</v>
      </c>
      <c r="I94" s="5" t="s">
        <v>19</v>
      </c>
      <c r="J94" s="5">
        <v>2</v>
      </c>
      <c r="K94" s="5" t="s">
        <v>20</v>
      </c>
      <c r="L94" s="5" t="str">
        <f>VLOOKUP(Healthcare!$A94,hospital_details,2,0)</f>
        <v>10-Jun-1972</v>
      </c>
      <c r="M94" s="5">
        <f t="shared" ref="M94:M157" ca="1" si="551">VLOOKUP(A94,hospital_details,3,0)</f>
        <v>54</v>
      </c>
      <c r="N94" s="5">
        <f t="shared" ref="N94:N157" si="552">VLOOKUP($A94,hospital_details,4,0)</f>
        <v>0</v>
      </c>
      <c r="O94" s="6">
        <f t="shared" ref="O94:O157" si="553">VLOOKUP($A94,hospital_details,5,0)</f>
        <v>40817.85</v>
      </c>
      <c r="P94" s="5" t="str">
        <f t="shared" ref="P94:P157" si="554">VLOOKUP($A94,hospital_details,6,0)</f>
        <v>tier - 1</v>
      </c>
      <c r="Q94" s="5" t="str">
        <f t="shared" ref="Q94:Q157" si="555">VLOOKUP($A94,hospital_details,7,0)</f>
        <v>tier - 3</v>
      </c>
      <c r="R94" s="5" t="str">
        <f t="shared" ref="R94:R157" si="556">VLOOKUP($A94,hospital_details,8,0)</f>
        <v>R1011</v>
      </c>
    </row>
    <row r="95" spans="1:18" ht="14.4" customHeight="1" x14ac:dyDescent="0.3">
      <c r="A95" s="7" t="s">
        <v>114</v>
      </c>
      <c r="B95" s="7" t="str">
        <f>VLOOKUP($A95,[1]!Customer_Names[#Data],3,0)</f>
        <v xml:space="preserve">  David</v>
      </c>
      <c r="C95" s="7">
        <v>30.495000000000001</v>
      </c>
      <c r="D95" s="7" t="str" cm="1">
        <f t="array" ref="D95">_xlfn.IFS(Healthcare!$C95&lt;18.5,"under weight",Healthcare!$C95&lt;=24.9,"Normal Weight",Healthcare!$C95&gt;=25,"overweight",Healthcare!$C95&gt;=30,"obese")</f>
        <v>overweight</v>
      </c>
      <c r="E95" s="7">
        <v>4.57</v>
      </c>
      <c r="F95" s="7" t="str" cm="1">
        <f t="array" ref="F95">_xlfn.IFS(Healthcare!$E95&lt;5.7,"normal",Healthcare!$E95&lt;=6.4,"prediabetes",Healthcare!$E95&gt;=6.5,"diabetes")</f>
        <v>normal</v>
      </c>
      <c r="G95" s="7" t="s">
        <v>20</v>
      </c>
      <c r="H95" s="7" t="s">
        <v>19</v>
      </c>
      <c r="I95" s="7" t="s">
        <v>19</v>
      </c>
      <c r="J95" s="7">
        <v>0</v>
      </c>
      <c r="K95" s="7" t="s">
        <v>20</v>
      </c>
      <c r="L95" s="7" t="str">
        <f>VLOOKUP(Healthcare!$A95,hospital_details,2,0)</f>
        <v>26-Dec-1976</v>
      </c>
      <c r="M95" s="7">
        <f t="shared" ref="M95:M158" ca="1" si="557">VLOOKUP(A95,hospital_details,3,0)</f>
        <v>49</v>
      </c>
      <c r="N95" s="7">
        <f t="shared" ref="N95:N158" si="558">VLOOKUP($A95,hospital_details,4,0)</f>
        <v>3</v>
      </c>
      <c r="O95" s="8">
        <f t="shared" ref="O95:O158" si="559">VLOOKUP($A95,hospital_details,5,0)</f>
        <v>40720.550000000003</v>
      </c>
      <c r="P95" s="7" t="str">
        <f t="shared" ref="P95:P158" si="560">VLOOKUP($A95,hospital_details,6,0)</f>
        <v>tier - 1</v>
      </c>
      <c r="Q95" s="7" t="str">
        <f t="shared" ref="Q95:Q158" si="561">VLOOKUP($A95,hospital_details,7,0)</f>
        <v>tier - 3</v>
      </c>
      <c r="R95" s="7" t="str">
        <f t="shared" ref="R95:R158" si="562">VLOOKUP($A95,hospital_details,8,0)</f>
        <v>R1012</v>
      </c>
    </row>
    <row r="96" spans="1:18" ht="14.4" customHeight="1" x14ac:dyDescent="0.3">
      <c r="A96" s="5" t="s">
        <v>115</v>
      </c>
      <c r="B96" s="5" t="str">
        <f>VLOOKUP($A96,[1]!Customer_Names[#Data],3,0)</f>
        <v xml:space="preserve">  Natalie</v>
      </c>
      <c r="C96" s="5">
        <v>48.31</v>
      </c>
      <c r="D96" s="5" t="str" cm="1">
        <f t="array" ref="D96">_xlfn.IFS(Healthcare!$C96&lt;18.5,"under weight",Healthcare!$C96&lt;=24.9,"Normal Weight",Healthcare!$C96&gt;=25,"overweight",Healthcare!$C96&gt;=30,"obese")</f>
        <v>overweight</v>
      </c>
      <c r="E96" s="5">
        <v>9.58</v>
      </c>
      <c r="F96" s="5" t="str" cm="1">
        <f t="array" ref="F96">_xlfn.IFS(Healthcare!$E96&lt;5.7,"normal",Healthcare!$E96&lt;=6.4,"prediabetes",Healthcare!$E96&gt;=6.5,"diabetes")</f>
        <v>diabetes</v>
      </c>
      <c r="G96" s="5" t="s">
        <v>20</v>
      </c>
      <c r="H96" s="5" t="s">
        <v>19</v>
      </c>
      <c r="I96" s="5" t="s">
        <v>19</v>
      </c>
      <c r="J96" s="5">
        <v>2</v>
      </c>
      <c r="K96" s="5" t="s">
        <v>20</v>
      </c>
      <c r="L96" s="5" t="str">
        <f>VLOOKUP(Healthcare!$A96,hospital_details,2,0)</f>
        <v>25-Sep-1970</v>
      </c>
      <c r="M96" s="5">
        <f t="shared" ref="M96:M159" ca="1" si="563">VLOOKUP(A96,hospital_details,3,0)</f>
        <v>56</v>
      </c>
      <c r="N96" s="5">
        <f t="shared" ref="N96:N159" si="564">VLOOKUP($A96,hospital_details,4,0)</f>
        <v>0</v>
      </c>
      <c r="O96" s="6">
        <f t="shared" ref="O96:O159" si="565">VLOOKUP($A96,hospital_details,5,0)</f>
        <v>40692.910000000003</v>
      </c>
      <c r="P96" s="5" t="str">
        <f t="shared" ref="P96:P159" si="566">VLOOKUP($A96,hospital_details,6,0)</f>
        <v>tier - 1</v>
      </c>
      <c r="Q96" s="5" t="str">
        <f t="shared" ref="Q96:Q159" si="567">VLOOKUP($A96,hospital_details,7,0)</f>
        <v>tier - 1</v>
      </c>
      <c r="R96" s="5" t="str">
        <f t="shared" ref="R96:R159" si="568">VLOOKUP($A96,hospital_details,8,0)</f>
        <v>R1011</v>
      </c>
    </row>
    <row r="97" spans="1:24" ht="14.4" customHeight="1" x14ac:dyDescent="0.3">
      <c r="A97" s="7" t="s">
        <v>116</v>
      </c>
      <c r="B97" s="7" t="str">
        <f>VLOOKUP($A97,[1]!Customer_Names[#Data],3,0)</f>
        <v xml:space="preserve">  Thomas</v>
      </c>
      <c r="C97" s="7">
        <v>48.99</v>
      </c>
      <c r="D97" s="7" t="str" cm="1">
        <f t="array" ref="D97">_xlfn.IFS(Healthcare!$C97&lt;18.5,"under weight",Healthcare!$C97&lt;=24.9,"Normal Weight",Healthcare!$C97&gt;=25,"overweight",Healthcare!$C97&gt;=30,"obese")</f>
        <v>overweight</v>
      </c>
      <c r="E97" s="7">
        <v>9.7799999999999994</v>
      </c>
      <c r="F97" s="7" t="str" cm="1">
        <f t="array" ref="F97">_xlfn.IFS(Healthcare!$E97&lt;5.7,"normal",Healthcare!$E97&lt;=6.4,"prediabetes",Healthcare!$E97&gt;=6.5,"diabetes")</f>
        <v>diabetes</v>
      </c>
      <c r="G97" s="7" t="s">
        <v>20</v>
      </c>
      <c r="H97" s="7" t="s">
        <v>19</v>
      </c>
      <c r="I97" s="7" t="s">
        <v>19</v>
      </c>
      <c r="J97" s="7">
        <v>1</v>
      </c>
      <c r="K97" s="7" t="s">
        <v>20</v>
      </c>
      <c r="L97" s="7" t="str">
        <f>VLOOKUP(Healthcare!$A97,hospital_details,2,0)</f>
        <v>10-Jul-1975</v>
      </c>
      <c r="M97" s="7">
        <f t="shared" ref="M97:M160" ca="1" si="569">VLOOKUP(A97,hospital_details,3,0)</f>
        <v>51</v>
      </c>
      <c r="N97" s="7">
        <f t="shared" ref="N97:N160" si="570">VLOOKUP($A97,hospital_details,4,0)</f>
        <v>1</v>
      </c>
      <c r="O97" s="8">
        <f t="shared" ref="O97:O160" si="571">VLOOKUP($A97,hospital_details,5,0)</f>
        <v>40590.550000000003</v>
      </c>
      <c r="P97" s="7" t="str">
        <f t="shared" ref="P97:P160" si="572">VLOOKUP($A97,hospital_details,6,0)</f>
        <v>tier - 1</v>
      </c>
      <c r="Q97" s="7" t="str">
        <f t="shared" ref="Q97:Q160" si="573">VLOOKUP($A97,hospital_details,7,0)</f>
        <v>tier - 3</v>
      </c>
      <c r="R97" s="7" t="str">
        <f t="shared" ref="R97:R160" si="574">VLOOKUP($A97,hospital_details,8,0)</f>
        <v>R1012</v>
      </c>
    </row>
    <row r="98" spans="1:24" ht="16.95" customHeight="1" x14ac:dyDescent="0.4">
      <c r="A98" s="5" t="s">
        <v>117</v>
      </c>
      <c r="B98" s="5" t="str">
        <f>VLOOKUP($A98,[1]!Customer_Names[#Data],3,0)</f>
        <v xml:space="preserve">  Pamela J</v>
      </c>
      <c r="C98" s="5">
        <v>38.39</v>
      </c>
      <c r="D98" s="5" t="str" cm="1">
        <f t="array" ref="D98">_xlfn.IFS(Healthcare!$C98&lt;18.5,"under weight",Healthcare!$C98&lt;=24.9,"Normal Weight",Healthcare!$C98&gt;=25,"overweight",Healthcare!$C98&gt;=30,"obese")</f>
        <v>overweight</v>
      </c>
      <c r="E98" s="5">
        <v>4.1100000000000003</v>
      </c>
      <c r="F98" s="5" t="str" cm="1">
        <f t="array" ref="F98">_xlfn.IFS(Healthcare!$E98&lt;5.7,"normal",Healthcare!$E98&lt;=6.4,"prediabetes",Healthcare!$E98&gt;=6.5,"diabetes")</f>
        <v>normal</v>
      </c>
      <c r="G98" s="5" t="s">
        <v>20</v>
      </c>
      <c r="H98" s="5" t="s">
        <v>19</v>
      </c>
      <c r="I98" s="5" t="s">
        <v>19</v>
      </c>
      <c r="J98" s="5">
        <v>0</v>
      </c>
      <c r="K98" s="5" t="s">
        <v>20</v>
      </c>
      <c r="L98" s="5" t="str">
        <f>VLOOKUP(Healthcare!$A98,hospital_details,2,0)</f>
        <v>3-Nov-1985</v>
      </c>
      <c r="M98" s="5">
        <f t="shared" ref="M98:M161" ca="1" si="575">VLOOKUP(A98,hospital_details,3,0)</f>
        <v>40</v>
      </c>
      <c r="N98" s="5">
        <f t="shared" ref="N98:N161" si="576">VLOOKUP($A98,hospital_details,4,0)</f>
        <v>0</v>
      </c>
      <c r="O98" s="6">
        <f t="shared" ref="O98:O161" si="577">VLOOKUP($A98,hospital_details,5,0)</f>
        <v>40419.019999999997</v>
      </c>
      <c r="P98" s="5" t="str">
        <f t="shared" ref="P98:P161" si="578">VLOOKUP($A98,hospital_details,6,0)</f>
        <v>tier - 1</v>
      </c>
      <c r="Q98" s="5" t="str">
        <f t="shared" ref="Q98:Q161" si="579">VLOOKUP($A98,hospital_details,7,0)</f>
        <v>tier - 2</v>
      </c>
      <c r="R98" s="5" t="str">
        <f t="shared" ref="R98:R161" si="580">VLOOKUP($A98,hospital_details,8,0)</f>
        <v>R1013</v>
      </c>
      <c r="T98" s="9"/>
      <c r="U98" s="9"/>
      <c r="V98" s="9"/>
      <c r="W98" s="11"/>
      <c r="X98" s="11"/>
    </row>
    <row r="99" spans="1:24" ht="14.4" customHeight="1" x14ac:dyDescent="0.3">
      <c r="A99" s="7" t="s">
        <v>118</v>
      </c>
      <c r="B99" s="7" t="str">
        <f>VLOOKUP($A99,[1]!Customer_Names[#Data],3,0)</f>
        <v xml:space="preserve">  Jessica</v>
      </c>
      <c r="C99" s="7">
        <v>44.34</v>
      </c>
      <c r="D99" s="7" t="str" cm="1">
        <f t="array" ref="D99">_xlfn.IFS(Healthcare!$C99&lt;18.5,"under weight",Healthcare!$C99&lt;=24.9,"Normal Weight",Healthcare!$C99&gt;=25,"overweight",Healthcare!$C99&gt;=30,"obese")</f>
        <v>overweight</v>
      </c>
      <c r="E99" s="7">
        <v>4.0199999999999996</v>
      </c>
      <c r="F99" s="7" t="str" cm="1">
        <f t="array" ref="F99">_xlfn.IFS(Healthcare!$E99&lt;5.7,"normal",Healthcare!$E99&lt;=6.4,"prediabetes",Healthcare!$E99&gt;=6.5,"diabetes")</f>
        <v>normal</v>
      </c>
      <c r="G99" s="7" t="s">
        <v>20</v>
      </c>
      <c r="H99" s="7" t="s">
        <v>19</v>
      </c>
      <c r="I99" s="7" t="s">
        <v>19</v>
      </c>
      <c r="J99" s="7">
        <v>2</v>
      </c>
      <c r="K99" s="7" t="s">
        <v>20</v>
      </c>
      <c r="L99" s="7" t="str">
        <f>VLOOKUP(Healthcare!$A99,hospital_details,2,0)</f>
        <v>12-Aug-1966</v>
      </c>
      <c r="M99" s="7">
        <f t="shared" ref="M99:M162" ca="1" si="581">VLOOKUP(A99,hospital_details,3,0)</f>
        <v>60</v>
      </c>
      <c r="N99" s="7">
        <f t="shared" ref="N99:N162" si="582">VLOOKUP($A99,hospital_details,4,0)</f>
        <v>0</v>
      </c>
      <c r="O99" s="8">
        <f t="shared" ref="O99:O162" si="583">VLOOKUP($A99,hospital_details,5,0)</f>
        <v>40373.74</v>
      </c>
      <c r="P99" s="7" t="str">
        <f t="shared" ref="P99:P162" si="584">VLOOKUP($A99,hospital_details,6,0)</f>
        <v>tier - 1</v>
      </c>
      <c r="Q99" s="7" t="str">
        <f t="shared" ref="Q99:Q162" si="585">VLOOKUP($A99,hospital_details,7,0)</f>
        <v>tier - 3</v>
      </c>
      <c r="R99" s="7" t="str">
        <f t="shared" ref="R99:R162" si="586">VLOOKUP($A99,hospital_details,8,0)</f>
        <v>R1011</v>
      </c>
    </row>
    <row r="100" spans="1:24" ht="14.4" customHeight="1" x14ac:dyDescent="0.3">
      <c r="A100" s="5" t="s">
        <v>119</v>
      </c>
      <c r="B100" s="5" t="str">
        <f>VLOOKUP($A100,[1]!Customer_Names[#Data],3,0)</f>
        <v xml:space="preserve">  Ron N</v>
      </c>
      <c r="C100" s="5">
        <v>41.51</v>
      </c>
      <c r="D100" s="5" t="str" cm="1">
        <f t="array" ref="D100">_xlfn.IFS(Healthcare!$C100&lt;18.5,"under weight",Healthcare!$C100&lt;=24.9,"Normal Weight",Healthcare!$C100&gt;=25,"overweight",Healthcare!$C100&gt;=30,"obese")</f>
        <v>overweight</v>
      </c>
      <c r="E100" s="5">
        <v>6.92</v>
      </c>
      <c r="F100" s="5" t="str" cm="1">
        <f t="array" ref="F100">_xlfn.IFS(Healthcare!$E100&lt;5.7,"normal",Healthcare!$E100&lt;=6.4,"prediabetes",Healthcare!$E100&gt;=6.5,"diabetes")</f>
        <v>diabetes</v>
      </c>
      <c r="G100" s="5" t="s">
        <v>19</v>
      </c>
      <c r="H100" s="5" t="s">
        <v>19</v>
      </c>
      <c r="I100" s="5" t="s">
        <v>19</v>
      </c>
      <c r="J100" s="5">
        <v>0</v>
      </c>
      <c r="K100" s="5" t="s">
        <v>20</v>
      </c>
      <c r="L100" s="5" t="str">
        <f>VLOOKUP(Healthcare!$A100,hospital_details,2,0)</f>
        <v>4-Sep-1962</v>
      </c>
      <c r="M100" s="5">
        <f t="shared" ref="M100:M163" ca="1" si="587">VLOOKUP(A100,hospital_details,3,0)</f>
        <v>64</v>
      </c>
      <c r="N100" s="5">
        <f t="shared" ref="N100:N163" si="588">VLOOKUP($A100,hospital_details,4,0)</f>
        <v>0</v>
      </c>
      <c r="O100" s="6">
        <f t="shared" ref="O100:O163" si="589">VLOOKUP($A100,hospital_details,5,0)</f>
        <v>40309.93</v>
      </c>
      <c r="P100" s="5" t="str">
        <f t="shared" ref="P100:P163" si="590">VLOOKUP($A100,hospital_details,6,0)</f>
        <v>tier - 1</v>
      </c>
      <c r="Q100" s="5" t="str">
        <f t="shared" ref="Q100:Q163" si="591">VLOOKUP($A100,hospital_details,7,0)</f>
        <v>tier - 3</v>
      </c>
      <c r="R100" s="5" t="str">
        <f t="shared" ref="R100:R163" si="592">VLOOKUP($A100,hospital_details,8,0)</f>
        <v>R1011</v>
      </c>
    </row>
    <row r="101" spans="1:24" ht="14.4" customHeight="1" x14ac:dyDescent="0.3">
      <c r="A101" s="7" t="s">
        <v>120</v>
      </c>
      <c r="B101" s="7" t="str">
        <f>VLOOKUP($A101,[1]!Customer_Names[#Data],3,0)</f>
        <v xml:space="preserve">  Daniel</v>
      </c>
      <c r="C101" s="7">
        <v>48.2</v>
      </c>
      <c r="D101" s="7" t="str" cm="1">
        <f t="array" ref="D101">_xlfn.IFS(Healthcare!$C101&lt;18.5,"under weight",Healthcare!$C101&lt;=24.9,"Normal Weight",Healthcare!$C101&gt;=25,"overweight",Healthcare!$C101&gt;=30,"obese")</f>
        <v>overweight</v>
      </c>
      <c r="E101" s="7">
        <v>4.84</v>
      </c>
      <c r="F101" s="7" t="str" cm="1">
        <f t="array" ref="F101">_xlfn.IFS(Healthcare!$E101&lt;5.7,"normal",Healthcare!$E101&lt;=6.4,"prediabetes",Healthcare!$E101&gt;=6.5,"diabetes")</f>
        <v>normal</v>
      </c>
      <c r="G101" s="7" t="s">
        <v>19</v>
      </c>
      <c r="H101" s="7" t="s">
        <v>19</v>
      </c>
      <c r="I101" s="7" t="s">
        <v>19</v>
      </c>
      <c r="J101" s="7">
        <v>0</v>
      </c>
      <c r="K101" s="7" t="s">
        <v>20</v>
      </c>
      <c r="L101" s="7" t="str">
        <f>VLOOKUP(Healthcare!$A101,hospital_details,2,0)</f>
        <v>27-Jun-1977</v>
      </c>
      <c r="M101" s="7">
        <f t="shared" ref="M101:M164" ca="1" si="593">VLOOKUP(A101,hospital_details,3,0)</f>
        <v>49</v>
      </c>
      <c r="N101" s="7">
        <f t="shared" ref="N101:N164" si="594">VLOOKUP($A101,hospital_details,4,0)</f>
        <v>2</v>
      </c>
      <c r="O101" s="8">
        <f t="shared" ref="O101:O164" si="595">VLOOKUP($A101,hospital_details,5,0)</f>
        <v>40284.379999999997</v>
      </c>
      <c r="P101" s="7" t="str">
        <f t="shared" ref="P101:P164" si="596">VLOOKUP($A101,hospital_details,6,0)</f>
        <v>tier - 1</v>
      </c>
      <c r="Q101" s="7" t="str">
        <f t="shared" ref="Q101:Q164" si="597">VLOOKUP($A101,hospital_details,7,0)</f>
        <v>tier - 3</v>
      </c>
      <c r="R101" s="7" t="str">
        <f t="shared" ref="R101:R164" si="598">VLOOKUP($A101,hospital_details,8,0)</f>
        <v>R1012</v>
      </c>
    </row>
    <row r="102" spans="1:24" ht="14.4" customHeight="1" x14ac:dyDescent="0.3">
      <c r="A102" s="5" t="s">
        <v>121</v>
      </c>
      <c r="B102" s="5" t="str">
        <f>VLOOKUP($A102,[1]!Customer_Names[#Data],3,0)</f>
        <v xml:space="preserve">  Brian</v>
      </c>
      <c r="C102" s="5">
        <v>35.75</v>
      </c>
      <c r="D102" s="5" t="str" cm="1">
        <f t="array" ref="D102">_xlfn.IFS(Healthcare!$C102&lt;18.5,"under weight",Healthcare!$C102&lt;=24.9,"Normal Weight",Healthcare!$C102&gt;=25,"overweight",Healthcare!$C102&gt;=30,"obese")</f>
        <v>overweight</v>
      </c>
      <c r="E102" s="5">
        <v>8</v>
      </c>
      <c r="F102" s="5" t="str" cm="1">
        <f t="array" ref="F102">_xlfn.IFS(Healthcare!$E102&lt;5.7,"normal",Healthcare!$E102&lt;=6.4,"prediabetes",Healthcare!$E102&gt;=6.5,"diabetes")</f>
        <v>diabetes</v>
      </c>
      <c r="G102" s="5" t="s">
        <v>20</v>
      </c>
      <c r="H102" s="5" t="s">
        <v>19</v>
      </c>
      <c r="I102" s="5" t="s">
        <v>19</v>
      </c>
      <c r="J102" s="5">
        <v>0</v>
      </c>
      <c r="K102" s="5" t="s">
        <v>20</v>
      </c>
      <c r="L102" s="5" t="str">
        <f>VLOOKUP(Healthcare!$A102,hospital_details,2,0)</f>
        <v>4-Oct-1981</v>
      </c>
      <c r="M102" s="5">
        <f t="shared" ref="M102:M165" ca="1" si="599">VLOOKUP(A102,hospital_details,3,0)</f>
        <v>45</v>
      </c>
      <c r="N102" s="5">
        <f t="shared" ref="N102:N165" si="600">VLOOKUP($A102,hospital_details,4,0)</f>
        <v>1</v>
      </c>
      <c r="O102" s="6">
        <f t="shared" ref="O102:O165" si="601">VLOOKUP($A102,hospital_details,5,0)</f>
        <v>40273.65</v>
      </c>
      <c r="P102" s="5" t="str">
        <f t="shared" ref="P102:P165" si="602">VLOOKUP($A102,hospital_details,6,0)</f>
        <v>tier - 1</v>
      </c>
      <c r="Q102" s="5" t="str">
        <f t="shared" ref="Q102:Q165" si="603">VLOOKUP($A102,hospital_details,7,0)</f>
        <v>tier - 3</v>
      </c>
      <c r="R102" s="5" t="str">
        <f t="shared" ref="R102:R165" si="604">VLOOKUP($A102,hospital_details,8,0)</f>
        <v>R1013</v>
      </c>
    </row>
    <row r="103" spans="1:24" ht="14.4" customHeight="1" x14ac:dyDescent="0.3">
      <c r="A103" s="7" t="s">
        <v>122</v>
      </c>
      <c r="B103" s="7" t="str">
        <f>VLOOKUP($A103,[1]!Customer_Names[#Data],3,0)</f>
        <v xml:space="preserve">  Sari</v>
      </c>
      <c r="C103" s="7">
        <v>53.81</v>
      </c>
      <c r="D103" s="7" t="str" cm="1">
        <f t="array" ref="D103">_xlfn.IFS(Healthcare!$C103&lt;18.5,"under weight",Healthcare!$C103&lt;=24.9,"Normal Weight",Healthcare!$C103&gt;=25,"overweight",Healthcare!$C103&gt;=30,"obese")</f>
        <v>overweight</v>
      </c>
      <c r="E103" s="7">
        <v>8.77</v>
      </c>
      <c r="F103" s="7" t="str" cm="1">
        <f t="array" ref="F103">_xlfn.IFS(Healthcare!$E103&lt;5.7,"normal",Healthcare!$E103&lt;=6.4,"prediabetes",Healthcare!$E103&gt;=6.5,"diabetes")</f>
        <v>diabetes</v>
      </c>
      <c r="G103" s="7" t="s">
        <v>20</v>
      </c>
      <c r="H103" s="7" t="s">
        <v>19</v>
      </c>
      <c r="I103" s="7" t="s">
        <v>19</v>
      </c>
      <c r="J103" s="7">
        <v>0</v>
      </c>
      <c r="K103" s="7" t="s">
        <v>20</v>
      </c>
      <c r="L103" s="7" t="str">
        <f>VLOOKUP(Healthcare!$A103,hospital_details,2,0)</f>
        <v>28-Jul-1981</v>
      </c>
      <c r="M103" s="7">
        <f t="shared" ref="M103:M166" ca="1" si="605">VLOOKUP(A103,hospital_details,3,0)</f>
        <v>45</v>
      </c>
      <c r="N103" s="7">
        <f t="shared" ref="N103:N166" si="606">VLOOKUP($A103,hospital_details,4,0)</f>
        <v>1</v>
      </c>
      <c r="O103" s="8">
        <f t="shared" ref="O103:O166" si="607">VLOOKUP($A103,hospital_details,5,0)</f>
        <v>40208.559999999998</v>
      </c>
      <c r="P103" s="7" t="str">
        <f t="shared" ref="P103:P166" si="608">VLOOKUP($A103,hospital_details,6,0)</f>
        <v>tier - 1</v>
      </c>
      <c r="Q103" s="7" t="str">
        <f t="shared" ref="Q103:Q166" si="609">VLOOKUP($A103,hospital_details,7,0)</f>
        <v>tier - 2</v>
      </c>
      <c r="R103" s="7" t="str">
        <f t="shared" ref="R103:R166" si="610">VLOOKUP($A103,hospital_details,8,0)</f>
        <v>R1011</v>
      </c>
    </row>
    <row r="104" spans="1:24" ht="14.4" customHeight="1" x14ac:dyDescent="0.3">
      <c r="A104" s="5" t="s">
        <v>123</v>
      </c>
      <c r="B104" s="5" t="str">
        <f>VLOOKUP($A104,[1]!Customer_Names[#Data],3,0)</f>
        <v xml:space="preserve">  Robert M</v>
      </c>
      <c r="C104" s="5">
        <v>49.48</v>
      </c>
      <c r="D104" s="5" t="str" cm="1">
        <f t="array" ref="D104">_xlfn.IFS(Healthcare!$C104&lt;18.5,"under weight",Healthcare!$C104&lt;=24.9,"Normal Weight",Healthcare!$C104&gt;=25,"overweight",Healthcare!$C104&gt;=30,"obese")</f>
        <v>overweight</v>
      </c>
      <c r="E104" s="5">
        <v>4.96</v>
      </c>
      <c r="F104" s="5" t="str" cm="1">
        <f t="array" ref="F104">_xlfn.IFS(Healthcare!$E104&lt;5.7,"normal",Healthcare!$E104&lt;=6.4,"prediabetes",Healthcare!$E104&gt;=6.5,"diabetes")</f>
        <v>normal</v>
      </c>
      <c r="G104" s="5" t="s">
        <v>19</v>
      </c>
      <c r="H104" s="5" t="s">
        <v>19</v>
      </c>
      <c r="I104" s="5" t="s">
        <v>29</v>
      </c>
      <c r="J104" s="5">
        <v>1</v>
      </c>
      <c r="K104" s="5" t="s">
        <v>20</v>
      </c>
      <c r="L104" s="5" t="str">
        <f>VLOOKUP(Healthcare!$A104,hospital_details,2,0)</f>
        <v>18-Aug-1979</v>
      </c>
      <c r="M104" s="5">
        <f t="shared" ref="M104:M167" ca="1" si="611">VLOOKUP(A104,hospital_details,3,0)</f>
        <v>47</v>
      </c>
      <c r="N104" s="5">
        <f t="shared" ref="N104:N167" si="612">VLOOKUP($A104,hospital_details,4,0)</f>
        <v>2</v>
      </c>
      <c r="O104" s="6">
        <f t="shared" ref="O104:O167" si="613">VLOOKUP($A104,hospital_details,5,0)</f>
        <v>40204.83</v>
      </c>
      <c r="P104" s="5" t="str">
        <f t="shared" ref="P104:P167" si="614">VLOOKUP($A104,hospital_details,6,0)</f>
        <v>tier - 1</v>
      </c>
      <c r="Q104" s="5" t="str">
        <f t="shared" ref="Q104:Q167" si="615">VLOOKUP($A104,hospital_details,7,0)</f>
        <v>tier - 3</v>
      </c>
      <c r="R104" s="5" t="str">
        <f t="shared" ref="R104:R167" si="616">VLOOKUP($A104,hospital_details,8,0)</f>
        <v>R1012</v>
      </c>
    </row>
    <row r="105" spans="1:24" ht="14.4" customHeight="1" x14ac:dyDescent="0.3">
      <c r="A105" s="7" t="s">
        <v>124</v>
      </c>
      <c r="B105" s="7" t="str">
        <f>VLOOKUP($A105,[1]!Customer_Names[#Data],3,0)</f>
        <v xml:space="preserve">  Ricardo</v>
      </c>
      <c r="C105" s="7">
        <v>34.1</v>
      </c>
      <c r="D105" s="7" t="str" cm="1">
        <f t="array" ref="D105">_xlfn.IFS(Healthcare!$C105&lt;18.5,"under weight",Healthcare!$C105&lt;=24.9,"Normal Weight",Healthcare!$C105&gt;=25,"overweight",Healthcare!$C105&gt;=30,"obese")</f>
        <v>overweight</v>
      </c>
      <c r="E105" s="7">
        <v>4.43</v>
      </c>
      <c r="F105" s="7" t="str" cm="1">
        <f t="array" ref="F105">_xlfn.IFS(Healthcare!$E105&lt;5.7,"normal",Healthcare!$E105&lt;=6.4,"prediabetes",Healthcare!$E105&gt;=6.5,"diabetes")</f>
        <v>normal</v>
      </c>
      <c r="G105" s="7" t="s">
        <v>20</v>
      </c>
      <c r="H105" s="7" t="s">
        <v>19</v>
      </c>
      <c r="I105" s="7" t="s">
        <v>19</v>
      </c>
      <c r="J105" s="7">
        <v>0</v>
      </c>
      <c r="K105" s="7" t="s">
        <v>20</v>
      </c>
      <c r="L105" s="7" t="str">
        <f>VLOOKUP(Healthcare!$A105,hospital_details,2,0)</f>
        <v>21-Oct-1985</v>
      </c>
      <c r="M105" s="7">
        <f t="shared" ref="M105:M168" ca="1" si="617">VLOOKUP(A105,hospital_details,3,0)</f>
        <v>40</v>
      </c>
      <c r="N105" s="7">
        <f t="shared" ref="N105:N168" si="618">VLOOKUP($A105,hospital_details,4,0)</f>
        <v>4</v>
      </c>
      <c r="O105" s="8">
        <f t="shared" ref="O105:O168" si="619">VLOOKUP($A105,hospital_details,5,0)</f>
        <v>40182.25</v>
      </c>
      <c r="P105" s="7" t="str">
        <f t="shared" ref="P105:P168" si="620">VLOOKUP($A105,hospital_details,6,0)</f>
        <v>tier - 1</v>
      </c>
      <c r="Q105" s="7" t="str">
        <f t="shared" ref="Q105:Q168" si="621">VLOOKUP($A105,hospital_details,7,0)</f>
        <v>tier - 2</v>
      </c>
      <c r="R105" s="7" t="str">
        <f t="shared" ref="R105:R168" si="622">VLOOKUP($A105,hospital_details,8,0)</f>
        <v>R1011</v>
      </c>
    </row>
    <row r="106" spans="1:24" ht="14.4" customHeight="1" x14ac:dyDescent="0.3">
      <c r="A106" s="5" t="s">
        <v>125</v>
      </c>
      <c r="B106" s="5" t="str">
        <f>VLOOKUP($A106,[1]!Customer_Names[#Data],3,0)</f>
        <v xml:space="preserve">  Gedion</v>
      </c>
      <c r="C106" s="5">
        <v>35.299999999999997</v>
      </c>
      <c r="D106" s="5" t="str" cm="1">
        <f t="array" ref="D106">_xlfn.IFS(Healthcare!$C106&lt;18.5,"under weight",Healthcare!$C106&lt;=24.9,"Normal Weight",Healthcare!$C106&gt;=25,"overweight",Healthcare!$C106&gt;=30,"obese")</f>
        <v>overweight</v>
      </c>
      <c r="E106" s="5">
        <v>5.82</v>
      </c>
      <c r="F106" s="5" t="str" cm="1">
        <f t="array" ref="F106">_xlfn.IFS(Healthcare!$E106&lt;5.7,"normal",Healthcare!$E106&lt;=6.4,"prediabetes",Healthcare!$E106&gt;=6.5,"diabetes")</f>
        <v>prediabetes</v>
      </c>
      <c r="G106" s="5" t="s">
        <v>20</v>
      </c>
      <c r="H106" s="5" t="s">
        <v>19</v>
      </c>
      <c r="I106" s="5" t="s">
        <v>29</v>
      </c>
      <c r="J106" s="5">
        <v>1</v>
      </c>
      <c r="K106" s="5" t="s">
        <v>20</v>
      </c>
      <c r="L106" s="5" t="str">
        <f>VLOOKUP(Healthcare!$A106,hospital_details,2,0)</f>
        <v>14-Oct-1983</v>
      </c>
      <c r="M106" s="5">
        <f t="shared" ref="M106:M169" ca="1" si="623">VLOOKUP(A106,hospital_details,3,0)</f>
        <v>43</v>
      </c>
      <c r="N106" s="5">
        <f t="shared" ref="N106:N169" si="624">VLOOKUP($A106,hospital_details,4,0)</f>
        <v>2</v>
      </c>
      <c r="O106" s="6">
        <f t="shared" ref="O106:O169" si="625">VLOOKUP($A106,hospital_details,5,0)</f>
        <v>40103.89</v>
      </c>
      <c r="P106" s="5" t="str">
        <f t="shared" ref="P106:P169" si="626">VLOOKUP($A106,hospital_details,6,0)</f>
        <v>tier - 1</v>
      </c>
      <c r="Q106" s="5" t="str">
        <f t="shared" ref="Q106:Q169" si="627">VLOOKUP($A106,hospital_details,7,0)</f>
        <v>tier - 2</v>
      </c>
      <c r="R106" s="5" t="str">
        <f t="shared" ref="R106:R169" si="628">VLOOKUP($A106,hospital_details,8,0)</f>
        <v>R1011</v>
      </c>
    </row>
    <row r="107" spans="1:24" ht="14.4" customHeight="1" x14ac:dyDescent="0.3">
      <c r="A107" s="7" t="s">
        <v>126</v>
      </c>
      <c r="B107" s="7" t="str">
        <f>VLOOKUP($A107,[1]!Customer_Names[#Data],3,0)</f>
        <v xml:space="preserve">  Mark</v>
      </c>
      <c r="C107" s="7">
        <v>43.83</v>
      </c>
      <c r="D107" s="7" t="str" cm="1">
        <f t="array" ref="D107">_xlfn.IFS(Healthcare!$C107&lt;18.5,"under weight",Healthcare!$C107&lt;=24.9,"Normal Weight",Healthcare!$C107&gt;=25,"overweight",Healthcare!$C107&gt;=30,"obese")</f>
        <v>overweight</v>
      </c>
      <c r="E107" s="7">
        <v>6.03</v>
      </c>
      <c r="F107" s="7" t="str" cm="1">
        <f t="array" ref="F107">_xlfn.IFS(Healthcare!$E107&lt;5.7,"normal",Healthcare!$E107&lt;=6.4,"prediabetes",Healthcare!$E107&gt;=6.5,"diabetes")</f>
        <v>prediabetes</v>
      </c>
      <c r="G107" s="7" t="s">
        <v>20</v>
      </c>
      <c r="H107" s="7" t="s">
        <v>19</v>
      </c>
      <c r="I107" s="7" t="s">
        <v>19</v>
      </c>
      <c r="J107" s="7">
        <v>2</v>
      </c>
      <c r="K107" s="7" t="s">
        <v>20</v>
      </c>
      <c r="L107" s="7" t="str">
        <f>VLOOKUP(Healthcare!$A107,hospital_details,2,0)</f>
        <v>12-Aug-1966</v>
      </c>
      <c r="M107" s="7">
        <f t="shared" ref="M107:M170" ca="1" si="629">VLOOKUP(A107,hospital_details,3,0)</f>
        <v>60</v>
      </c>
      <c r="N107" s="7">
        <f t="shared" ref="N107:N170" si="630">VLOOKUP($A107,hospital_details,4,0)</f>
        <v>0</v>
      </c>
      <c r="O107" s="8">
        <f t="shared" ref="O107:O170" si="631">VLOOKUP($A107,hospital_details,5,0)</f>
        <v>40069.440000000002</v>
      </c>
      <c r="P107" s="7" t="str">
        <f t="shared" ref="P107:P170" si="632">VLOOKUP($A107,hospital_details,6,0)</f>
        <v>tier - 1</v>
      </c>
      <c r="Q107" s="7" t="str">
        <f t="shared" ref="Q107:Q170" si="633">VLOOKUP($A107,hospital_details,7,0)</f>
        <v>tier - 3</v>
      </c>
      <c r="R107" s="7" t="str">
        <f t="shared" ref="R107:R170" si="634">VLOOKUP($A107,hospital_details,8,0)</f>
        <v>R1011</v>
      </c>
    </row>
    <row r="108" spans="1:24" ht="14.4" customHeight="1" x14ac:dyDescent="0.3">
      <c r="A108" s="5" t="s">
        <v>127</v>
      </c>
      <c r="B108" s="5" t="str">
        <f>VLOOKUP($A108,[1]!Customer_Names[#Data],3,0)</f>
        <v xml:space="preserve">  Gamini P</v>
      </c>
      <c r="C108" s="5">
        <v>50.07</v>
      </c>
      <c r="D108" s="5" t="str" cm="1">
        <f t="array" ref="D108">_xlfn.IFS(Healthcare!$C108&lt;18.5,"under weight",Healthcare!$C108&lt;=24.9,"Normal Weight",Healthcare!$C108&gt;=25,"overweight",Healthcare!$C108&gt;=30,"obese")</f>
        <v>overweight</v>
      </c>
      <c r="E108" s="5">
        <v>9.27</v>
      </c>
      <c r="F108" s="5" t="str" cm="1">
        <f t="array" ref="F108">_xlfn.IFS(Healthcare!$E108&lt;5.7,"normal",Healthcare!$E108&lt;=6.4,"prediabetes",Healthcare!$E108&gt;=6.5,"diabetes")</f>
        <v>diabetes</v>
      </c>
      <c r="G108" s="5" t="s">
        <v>19</v>
      </c>
      <c r="H108" s="5" t="s">
        <v>19</v>
      </c>
      <c r="I108" s="5" t="s">
        <v>19</v>
      </c>
      <c r="J108" s="5">
        <v>0</v>
      </c>
      <c r="K108" s="5" t="s">
        <v>20</v>
      </c>
      <c r="L108" s="5" t="str">
        <f>VLOOKUP(Healthcare!$A108,hospital_details,2,0)</f>
        <v>20-Dec-1978</v>
      </c>
      <c r="M108" s="5">
        <f t="shared" ref="M108:M171" ca="1" si="635">VLOOKUP(A108,hospital_details,3,0)</f>
        <v>47</v>
      </c>
      <c r="N108" s="5">
        <f t="shared" ref="N108:N171" si="636">VLOOKUP($A108,hospital_details,4,0)</f>
        <v>2</v>
      </c>
      <c r="O108" s="6">
        <f t="shared" ref="O108:O171" si="637">VLOOKUP($A108,hospital_details,5,0)</f>
        <v>40054.730000000003</v>
      </c>
      <c r="P108" s="5" t="str">
        <f t="shared" ref="P108:P171" si="638">VLOOKUP($A108,hospital_details,6,0)</f>
        <v>tier - 1</v>
      </c>
      <c r="Q108" s="5" t="str">
        <f t="shared" ref="Q108:Q171" si="639">VLOOKUP($A108,hospital_details,7,0)</f>
        <v>tier - 3</v>
      </c>
      <c r="R108" s="5" t="str">
        <f t="shared" ref="R108:R171" si="640">VLOOKUP($A108,hospital_details,8,0)</f>
        <v>R1011</v>
      </c>
    </row>
    <row r="109" spans="1:24" ht="14.4" customHeight="1" x14ac:dyDescent="0.3">
      <c r="A109" s="7" t="s">
        <v>128</v>
      </c>
      <c r="B109" s="7" t="str">
        <f>VLOOKUP($A109,[1]!Customer_Names[#Data],3,0)</f>
        <v xml:space="preserve">  Emily J</v>
      </c>
      <c r="C109" s="7">
        <v>32.774999999999999</v>
      </c>
      <c r="D109" s="7" t="str" cm="1">
        <f t="array" ref="D109">_xlfn.IFS(Healthcare!$C109&lt;18.5,"under weight",Healthcare!$C109&lt;=24.9,"Normal Weight",Healthcare!$C109&gt;=25,"overweight",Healthcare!$C109&gt;=30,"obese")</f>
        <v>overweight</v>
      </c>
      <c r="E109" s="7">
        <v>5.53</v>
      </c>
      <c r="F109" s="7" t="str" cm="1">
        <f t="array" ref="F109">_xlfn.IFS(Healthcare!$E109&lt;5.7,"normal",Healthcare!$E109&lt;=6.4,"prediabetes",Healthcare!$E109&gt;=6.5,"diabetes")</f>
        <v>normal</v>
      </c>
      <c r="G109" s="7" t="s">
        <v>19</v>
      </c>
      <c r="H109" s="7" t="s">
        <v>19</v>
      </c>
      <c r="I109" s="7" t="s">
        <v>19</v>
      </c>
      <c r="J109" s="7">
        <v>0</v>
      </c>
      <c r="K109" s="7" t="s">
        <v>20</v>
      </c>
      <c r="L109" s="7" t="str">
        <f>VLOOKUP(Healthcare!$A109,hospital_details,2,0)</f>
        <v>25-Dec-1982</v>
      </c>
      <c r="M109" s="7">
        <f t="shared" ref="M109:M172" ca="1" si="641">VLOOKUP(A109,hospital_details,3,0)</f>
        <v>43</v>
      </c>
      <c r="N109" s="7">
        <f t="shared" ref="N109:N172" si="642">VLOOKUP($A109,hospital_details,4,0)</f>
        <v>2</v>
      </c>
      <c r="O109" s="8">
        <f t="shared" ref="O109:O172" si="643">VLOOKUP($A109,hospital_details,5,0)</f>
        <v>40003.33</v>
      </c>
      <c r="P109" s="7" t="str">
        <f t="shared" ref="P109:P172" si="644">VLOOKUP($A109,hospital_details,6,0)</f>
        <v>tier - 1</v>
      </c>
      <c r="Q109" s="7" t="str">
        <f t="shared" ref="Q109:Q172" si="645">VLOOKUP($A109,hospital_details,7,0)</f>
        <v>tier - 1</v>
      </c>
      <c r="R109" s="7" t="str">
        <f t="shared" ref="R109:R172" si="646">VLOOKUP($A109,hospital_details,8,0)</f>
        <v>R1012</v>
      </c>
    </row>
    <row r="110" spans="1:24" ht="14.4" customHeight="1" x14ac:dyDescent="0.3">
      <c r="A110" s="5" t="s">
        <v>129</v>
      </c>
      <c r="B110" s="5" t="str">
        <f>VLOOKUP($A110,[1]!Customer_Names[#Data],3,0)</f>
        <v xml:space="preserve">  Amanda</v>
      </c>
      <c r="C110" s="5">
        <v>34.104999999999997</v>
      </c>
      <c r="D110" s="5" t="str" cm="1">
        <f t="array" ref="D110">_xlfn.IFS(Healthcare!$C110&lt;18.5,"under weight",Healthcare!$C110&lt;=24.9,"Normal Weight",Healthcare!$C110&gt;=25,"overweight",Healthcare!$C110&gt;=30,"obese")</f>
        <v>overweight</v>
      </c>
      <c r="E110" s="5">
        <v>5.07</v>
      </c>
      <c r="F110" s="5" t="str" cm="1">
        <f t="array" ref="F110">_xlfn.IFS(Healthcare!$E110&lt;5.7,"normal",Healthcare!$E110&lt;=6.4,"prediabetes",Healthcare!$E110&gt;=6.5,"diabetes")</f>
        <v>normal</v>
      </c>
      <c r="G110" s="5" t="s">
        <v>19</v>
      </c>
      <c r="H110" s="5" t="s">
        <v>19</v>
      </c>
      <c r="I110" s="5" t="s">
        <v>19</v>
      </c>
      <c r="J110" s="5">
        <v>1</v>
      </c>
      <c r="K110" s="5" t="s">
        <v>20</v>
      </c>
      <c r="L110" s="5" t="str">
        <f>VLOOKUP(Healthcare!$A110,hospital_details,2,0)</f>
        <v>8-Aug-1987</v>
      </c>
      <c r="M110" s="5">
        <f t="shared" ref="M110:M173" ca="1" si="647">VLOOKUP(A110,hospital_details,3,0)</f>
        <v>39</v>
      </c>
      <c r="N110" s="5">
        <f t="shared" ref="N110:N173" si="648">VLOOKUP($A110,hospital_details,4,0)</f>
        <v>3</v>
      </c>
      <c r="O110" s="6">
        <f t="shared" ref="O110:O173" si="649">VLOOKUP($A110,hospital_details,5,0)</f>
        <v>39983.43</v>
      </c>
      <c r="P110" s="5" t="str">
        <f t="shared" ref="P110:P173" si="650">VLOOKUP($A110,hospital_details,6,0)</f>
        <v>tier - 2</v>
      </c>
      <c r="Q110" s="5" t="str">
        <f t="shared" ref="Q110:Q173" si="651">VLOOKUP($A110,hospital_details,7,0)</f>
        <v>tier - 3</v>
      </c>
      <c r="R110" s="5" t="str">
        <f t="shared" ref="R110:R173" si="652">VLOOKUP($A110,hospital_details,8,0)</f>
        <v>R1012</v>
      </c>
    </row>
    <row r="111" spans="1:24" ht="14.4" customHeight="1" x14ac:dyDescent="0.3">
      <c r="A111" s="7" t="s">
        <v>130</v>
      </c>
      <c r="B111" s="7" t="str">
        <f>VLOOKUP($A111,[1]!Customer_Names[#Data],3,0)</f>
        <v xml:space="preserve">  Nicholas</v>
      </c>
      <c r="C111" s="7">
        <v>48.93</v>
      </c>
      <c r="D111" s="7" t="str" cm="1">
        <f t="array" ref="D111">_xlfn.IFS(Healthcare!$C111&lt;18.5,"under weight",Healthcare!$C111&lt;=24.9,"Normal Weight",Healthcare!$C111&gt;=25,"overweight",Healthcare!$C111&gt;=30,"obese")</f>
        <v>overweight</v>
      </c>
      <c r="E111" s="7">
        <v>11.17</v>
      </c>
      <c r="F111" s="7" t="str" cm="1">
        <f t="array" ref="F111">_xlfn.IFS(Healthcare!$E111&lt;5.7,"normal",Healthcare!$E111&lt;=6.4,"prediabetes",Healthcare!$E111&gt;=6.5,"diabetes")</f>
        <v>diabetes</v>
      </c>
      <c r="G111" s="7" t="s">
        <v>20</v>
      </c>
      <c r="H111" s="7" t="s">
        <v>19</v>
      </c>
      <c r="I111" s="7" t="s">
        <v>19</v>
      </c>
      <c r="J111" s="7">
        <v>1</v>
      </c>
      <c r="K111" s="7" t="s">
        <v>20</v>
      </c>
      <c r="L111" s="7" t="str">
        <f>VLOOKUP(Healthcare!$A111,hospital_details,2,0)</f>
        <v>2-Dec-1975</v>
      </c>
      <c r="M111" s="7">
        <f t="shared" ref="M111:M174" ca="1" si="653">VLOOKUP(A111,hospital_details,3,0)</f>
        <v>50</v>
      </c>
      <c r="N111" s="7">
        <f t="shared" ref="N111:N174" si="654">VLOOKUP($A111,hospital_details,4,0)</f>
        <v>1</v>
      </c>
      <c r="O111" s="8">
        <f t="shared" ref="O111:O174" si="655">VLOOKUP($A111,hospital_details,5,0)</f>
        <v>39963.120000000003</v>
      </c>
      <c r="P111" s="7" t="str">
        <f t="shared" ref="P111:P174" si="656">VLOOKUP($A111,hospital_details,6,0)</f>
        <v>tier - 2</v>
      </c>
      <c r="Q111" s="7" t="str">
        <f t="shared" ref="Q111:Q174" si="657">VLOOKUP($A111,hospital_details,7,0)</f>
        <v>tier - 2</v>
      </c>
      <c r="R111" s="7" t="str">
        <f t="shared" ref="R111:R174" si="658">VLOOKUP($A111,hospital_details,8,0)</f>
        <v>R1011</v>
      </c>
    </row>
    <row r="112" spans="1:24" ht="14.4" customHeight="1" x14ac:dyDescent="0.3">
      <c r="A112" s="5" t="s">
        <v>131</v>
      </c>
      <c r="B112" s="5" t="str">
        <f>VLOOKUP($A112,[1]!Customer_Names[#Data],3,0)</f>
        <v xml:space="preserve">  Knox</v>
      </c>
      <c r="C112" s="5">
        <v>37.07</v>
      </c>
      <c r="D112" s="5" t="str" cm="1">
        <f t="array" ref="D112">_xlfn.IFS(Healthcare!$C112&lt;18.5,"under weight",Healthcare!$C112&lt;=24.9,"Normal Weight",Healthcare!$C112&gt;=25,"overweight",Healthcare!$C112&gt;=30,"obese")</f>
        <v>overweight</v>
      </c>
      <c r="E112" s="5">
        <v>6.14</v>
      </c>
      <c r="F112" s="5" t="str" cm="1">
        <f t="array" ref="F112">_xlfn.IFS(Healthcare!$E112&lt;5.7,"normal",Healthcare!$E112&lt;=6.4,"prediabetes",Healthcare!$E112&gt;=6.5,"diabetes")</f>
        <v>prediabetes</v>
      </c>
      <c r="G112" s="5" t="s">
        <v>20</v>
      </c>
      <c r="H112" s="5" t="s">
        <v>19</v>
      </c>
      <c r="I112" s="5" t="s">
        <v>19</v>
      </c>
      <c r="J112" s="5">
        <v>0</v>
      </c>
      <c r="K112" s="5" t="s">
        <v>20</v>
      </c>
      <c r="L112" s="5" t="str">
        <f>VLOOKUP(Healthcare!$A112,hospital_details,2,0)</f>
        <v>22-Aug-1985</v>
      </c>
      <c r="M112" s="5">
        <f t="shared" ref="M112:M175" ca="1" si="659">VLOOKUP(A112,hospital_details,3,0)</f>
        <v>41</v>
      </c>
      <c r="N112" s="5">
        <f t="shared" ref="N112:N175" si="660">VLOOKUP($A112,hospital_details,4,0)</f>
        <v>1</v>
      </c>
      <c r="O112" s="6">
        <f t="shared" ref="O112:O175" si="661">VLOOKUP($A112,hospital_details,5,0)</f>
        <v>39871.699999999997</v>
      </c>
      <c r="P112" s="5" t="str">
        <f t="shared" ref="P112:P175" si="662">VLOOKUP($A112,hospital_details,6,0)</f>
        <v>tier - 1</v>
      </c>
      <c r="Q112" s="5" t="str">
        <f t="shared" ref="Q112:Q175" si="663">VLOOKUP($A112,hospital_details,7,0)</f>
        <v>tier - 2</v>
      </c>
      <c r="R112" s="5" t="str">
        <f t="shared" ref="R112:R175" si="664">VLOOKUP($A112,hospital_details,8,0)</f>
        <v>R1013</v>
      </c>
    </row>
    <row r="113" spans="1:23" ht="14.4" customHeight="1" x14ac:dyDescent="0.3">
      <c r="A113" s="7" t="s">
        <v>132</v>
      </c>
      <c r="B113" s="7" t="str">
        <f>VLOOKUP($A113,[1]!Customer_Names[#Data],3,0)</f>
        <v xml:space="preserve">  Yianna</v>
      </c>
      <c r="C113" s="7">
        <v>51.51</v>
      </c>
      <c r="D113" s="7" t="str" cm="1">
        <f t="array" ref="D113">_xlfn.IFS(Healthcare!$C113&lt;18.5,"under weight",Healthcare!$C113&lt;=24.9,"Normal Weight",Healthcare!$C113&gt;=25,"overweight",Healthcare!$C113&gt;=30,"obese")</f>
        <v>overweight</v>
      </c>
      <c r="E113" s="7">
        <v>6.26</v>
      </c>
      <c r="F113" s="7" t="str" cm="1">
        <f t="array" ref="F113">_xlfn.IFS(Healthcare!$E113&lt;5.7,"normal",Healthcare!$E113&lt;=6.4,"prediabetes",Healthcare!$E113&gt;=6.5,"diabetes")</f>
        <v>prediabetes</v>
      </c>
      <c r="G113" s="7" t="s">
        <v>20</v>
      </c>
      <c r="H113" s="7" t="s">
        <v>19</v>
      </c>
      <c r="I113" s="7" t="s">
        <v>29</v>
      </c>
      <c r="J113" s="7">
        <v>1</v>
      </c>
      <c r="K113" s="7" t="s">
        <v>20</v>
      </c>
      <c r="L113" s="7" t="str">
        <f>VLOOKUP(Healthcare!$A113,hospital_details,2,0)</f>
        <v>1-Jun-1983</v>
      </c>
      <c r="M113" s="7">
        <f t="shared" ref="M113:M176" ca="1" si="665">VLOOKUP(A113,hospital_details,3,0)</f>
        <v>43</v>
      </c>
      <c r="N113" s="7">
        <f t="shared" ref="N113:N176" si="666">VLOOKUP($A113,hospital_details,4,0)</f>
        <v>3</v>
      </c>
      <c r="O113" s="8">
        <f t="shared" ref="O113:O176" si="667">VLOOKUP($A113,hospital_details,5,0)</f>
        <v>39865.699999999997</v>
      </c>
      <c r="P113" s="7" t="str">
        <f t="shared" ref="P113:P176" si="668">VLOOKUP($A113,hospital_details,6,0)</f>
        <v>tier - 2</v>
      </c>
      <c r="Q113" s="7" t="str">
        <f t="shared" ref="Q113:Q176" si="669">VLOOKUP($A113,hospital_details,7,0)</f>
        <v>tier - 2</v>
      </c>
      <c r="R113" s="7" t="str">
        <f t="shared" ref="R113:R176" si="670">VLOOKUP($A113,hospital_details,8,0)</f>
        <v>R1011</v>
      </c>
    </row>
    <row r="114" spans="1:23" ht="14.4" customHeight="1" x14ac:dyDescent="0.3">
      <c r="A114" s="5" t="s">
        <v>133</v>
      </c>
      <c r="B114" s="5" t="str">
        <f>VLOOKUP($A114,[1]!Customer_Names[#Data],3,0)</f>
        <v xml:space="preserve">  Roberta</v>
      </c>
      <c r="C114" s="5">
        <v>34.799999999999997</v>
      </c>
      <c r="D114" s="5" t="str" cm="1">
        <f t="array" ref="D114">_xlfn.IFS(Healthcare!$C114&lt;18.5,"under weight",Healthcare!$C114&lt;=24.9,"Normal Weight",Healthcare!$C114&gt;=25,"overweight",Healthcare!$C114&gt;=30,"obese")</f>
        <v>overweight</v>
      </c>
      <c r="E114" s="5">
        <v>4.72</v>
      </c>
      <c r="F114" s="5" t="str" cm="1">
        <f t="array" ref="F114">_xlfn.IFS(Healthcare!$E114&lt;5.7,"normal",Healthcare!$E114&lt;=6.4,"prediabetes",Healthcare!$E114&gt;=6.5,"diabetes")</f>
        <v>normal</v>
      </c>
      <c r="G114" s="5" t="s">
        <v>20</v>
      </c>
      <c r="H114" s="5" t="s">
        <v>19</v>
      </c>
      <c r="I114" s="5" t="s">
        <v>19</v>
      </c>
      <c r="J114" s="5">
        <v>0</v>
      </c>
      <c r="K114" s="5" t="s">
        <v>20</v>
      </c>
      <c r="L114" s="5" t="str">
        <f>VLOOKUP(Healthcare!$A114,hospital_details,2,0)</f>
        <v>17-Jul-1985</v>
      </c>
      <c r="M114" s="5">
        <f t="shared" ref="M114:M177" ca="1" si="671">VLOOKUP(A114,hospital_details,3,0)</f>
        <v>41</v>
      </c>
      <c r="N114" s="5">
        <f t="shared" ref="N114:N177" si="672">VLOOKUP($A114,hospital_details,4,0)</f>
        <v>2</v>
      </c>
      <c r="O114" s="6">
        <f t="shared" ref="O114:O177" si="673">VLOOKUP($A114,hospital_details,5,0)</f>
        <v>39836.519999999997</v>
      </c>
      <c r="P114" s="5" t="str">
        <f t="shared" ref="P114:P177" si="674">VLOOKUP($A114,hospital_details,6,0)</f>
        <v>tier - 2</v>
      </c>
      <c r="Q114" s="5" t="str">
        <f t="shared" ref="Q114:Q177" si="675">VLOOKUP($A114,hospital_details,7,0)</f>
        <v>tier - 1</v>
      </c>
      <c r="R114" s="5" t="str">
        <f t="shared" ref="R114:R177" si="676">VLOOKUP($A114,hospital_details,8,0)</f>
        <v>R1011</v>
      </c>
    </row>
    <row r="115" spans="1:23" ht="14.4" customHeight="1" x14ac:dyDescent="0.3">
      <c r="A115" s="7" t="s">
        <v>134</v>
      </c>
      <c r="B115" s="7" t="str">
        <f>VLOOKUP($A115,[1]!Customer_Names[#Data],3,0)</f>
        <v xml:space="preserve">  Benjamin P</v>
      </c>
      <c r="C115" s="7">
        <v>36.67</v>
      </c>
      <c r="D115" s="7" t="str" cm="1">
        <f t="array" ref="D115">_xlfn.IFS(Healthcare!$C115&lt;18.5,"under weight",Healthcare!$C115&lt;=24.9,"Normal Weight",Healthcare!$C115&gt;=25,"overweight",Healthcare!$C115&gt;=30,"obese")</f>
        <v>overweight</v>
      </c>
      <c r="E115" s="7">
        <v>5.18</v>
      </c>
      <c r="F115" s="7" t="str" cm="1">
        <f t="array" ref="F115">_xlfn.IFS(Healthcare!$E115&lt;5.7,"normal",Healthcare!$E115&lt;=6.4,"prediabetes",Healthcare!$E115&gt;=6.5,"diabetes")</f>
        <v>normal</v>
      </c>
      <c r="G115" s="7" t="s">
        <v>19</v>
      </c>
      <c r="H115" s="7" t="s">
        <v>19</v>
      </c>
      <c r="I115" s="7" t="s">
        <v>19</v>
      </c>
      <c r="J115" s="7">
        <v>1</v>
      </c>
      <c r="K115" s="7" t="s">
        <v>20</v>
      </c>
      <c r="L115" s="7" t="str">
        <f>VLOOKUP(Healthcare!$A115,hospital_details,2,0)</f>
        <v>24-Jul-1987</v>
      </c>
      <c r="M115" s="7">
        <f t="shared" ref="M115:M178" ca="1" si="677">VLOOKUP(A115,hospital_details,3,0)</f>
        <v>39</v>
      </c>
      <c r="N115" s="7">
        <f t="shared" ref="N115:N178" si="678">VLOOKUP($A115,hospital_details,4,0)</f>
        <v>1</v>
      </c>
      <c r="O115" s="8">
        <f t="shared" ref="O115:O178" si="679">VLOOKUP($A115,hospital_details,5,0)</f>
        <v>39774.28</v>
      </c>
      <c r="P115" s="7" t="str">
        <f t="shared" ref="P115:P178" si="680">VLOOKUP($A115,hospital_details,6,0)</f>
        <v>tier - 1</v>
      </c>
      <c r="Q115" s="7" t="str">
        <f t="shared" ref="Q115:Q178" si="681">VLOOKUP($A115,hospital_details,7,0)</f>
        <v>tier - 1</v>
      </c>
      <c r="R115" s="7" t="str">
        <f t="shared" ref="R115:R178" si="682">VLOOKUP($A115,hospital_details,8,0)</f>
        <v>R1014</v>
      </c>
    </row>
    <row r="116" spans="1:23" ht="21" x14ac:dyDescent="0.4">
      <c r="A116" s="5" t="s">
        <v>135</v>
      </c>
      <c r="B116" s="5" t="str">
        <f>VLOOKUP($A116,[1]!Customer_Names[#Data],3,0)</f>
        <v xml:space="preserve">  Craig</v>
      </c>
      <c r="C116" s="5">
        <v>30.9</v>
      </c>
      <c r="D116" s="5" t="str" cm="1">
        <f t="array" ref="D116">_xlfn.IFS(Healthcare!$C116&lt;18.5,"under weight",Healthcare!$C116&lt;=24.9,"Normal Weight",Healthcare!$C116&gt;=25,"overweight",Healthcare!$C116&gt;=30,"obese")</f>
        <v>overweight</v>
      </c>
      <c r="E116" s="5">
        <v>9.4</v>
      </c>
      <c r="F116" s="5" t="str" cm="1">
        <f t="array" ref="F116">_xlfn.IFS(Healthcare!$E116&lt;5.7,"normal",Healthcare!$E116&lt;=6.4,"prediabetes",Healthcare!$E116&gt;=6.5,"diabetes")</f>
        <v>diabetes</v>
      </c>
      <c r="G116" s="5" t="s">
        <v>19</v>
      </c>
      <c r="H116" s="5" t="s">
        <v>19</v>
      </c>
      <c r="I116" s="5" t="s">
        <v>19</v>
      </c>
      <c r="J116" s="5">
        <v>2</v>
      </c>
      <c r="K116" s="5" t="s">
        <v>20</v>
      </c>
      <c r="L116" s="5" t="str">
        <f>VLOOKUP(Healthcare!$A116,hospital_details,2,0)</f>
        <v>17-Dec-1973</v>
      </c>
      <c r="M116" s="5">
        <f t="shared" ref="M116:M179" ca="1" si="683">VLOOKUP(A116,hospital_details,3,0)</f>
        <v>52</v>
      </c>
      <c r="N116" s="5">
        <f t="shared" ref="N116:N179" si="684">VLOOKUP($A116,hospital_details,4,0)</f>
        <v>0</v>
      </c>
      <c r="O116" s="6">
        <f t="shared" ref="O116:O179" si="685">VLOOKUP($A116,hospital_details,5,0)</f>
        <v>39727.61</v>
      </c>
      <c r="P116" s="5" t="str">
        <f t="shared" ref="P116:P179" si="686">VLOOKUP($A116,hospital_details,6,0)</f>
        <v>tier - 1</v>
      </c>
      <c r="Q116" s="5" t="str">
        <f t="shared" ref="Q116:Q179" si="687">VLOOKUP($A116,hospital_details,7,0)</f>
        <v>tier - 2</v>
      </c>
      <c r="R116" s="5" t="str">
        <f t="shared" ref="R116:R179" si="688">VLOOKUP($A116,hospital_details,8,0)</f>
        <v>R1011</v>
      </c>
      <c r="T116" s="9"/>
      <c r="U116" s="9"/>
      <c r="V116" s="9"/>
      <c r="W116" s="9"/>
    </row>
    <row r="117" spans="1:23" ht="14.4" customHeight="1" x14ac:dyDescent="0.3">
      <c r="A117" s="7" t="s">
        <v>136</v>
      </c>
      <c r="B117" s="7" t="str">
        <f>VLOOKUP($A117,[1]!Customer_Names[#Data],3,0)</f>
        <v xml:space="preserve">  Ann</v>
      </c>
      <c r="C117" s="7">
        <v>30.495000000000001</v>
      </c>
      <c r="D117" s="7" t="str" cm="1">
        <f t="array" ref="D117">_xlfn.IFS(Healthcare!$C117&lt;18.5,"under weight",Healthcare!$C117&lt;=24.9,"Normal Weight",Healthcare!$C117&gt;=25,"overweight",Healthcare!$C117&gt;=30,"obese")</f>
        <v>overweight</v>
      </c>
      <c r="E117" s="7">
        <v>6.29</v>
      </c>
      <c r="F117" s="7" t="str" cm="1">
        <f t="array" ref="F117">_xlfn.IFS(Healthcare!$E117&lt;5.7,"normal",Healthcare!$E117&lt;=6.4,"prediabetes",Healthcare!$E117&gt;=6.5,"diabetes")</f>
        <v>prediabetes</v>
      </c>
      <c r="G117" s="7" t="s">
        <v>19</v>
      </c>
      <c r="H117" s="7" t="s">
        <v>19</v>
      </c>
      <c r="I117" s="7" t="s">
        <v>19</v>
      </c>
      <c r="J117" s="7">
        <v>0</v>
      </c>
      <c r="K117" s="7" t="s">
        <v>20</v>
      </c>
      <c r="L117" s="7" t="str">
        <f>VLOOKUP(Healthcare!$A117,hospital_details,2,0)</f>
        <v>12-Aug-1977</v>
      </c>
      <c r="M117" s="7">
        <f t="shared" ref="M117:M180" ca="1" si="689">VLOOKUP(A117,hospital_details,3,0)</f>
        <v>49</v>
      </c>
      <c r="N117" s="7">
        <f t="shared" ref="N117:N180" si="690">VLOOKUP($A117,hospital_details,4,0)</f>
        <v>1</v>
      </c>
      <c r="O117" s="8">
        <f t="shared" ref="O117:O180" si="691">VLOOKUP($A117,hospital_details,5,0)</f>
        <v>39725.519999999997</v>
      </c>
      <c r="P117" s="7" t="str">
        <f t="shared" ref="P117:P180" si="692">VLOOKUP($A117,hospital_details,6,0)</f>
        <v>tier - 2</v>
      </c>
      <c r="Q117" s="7" t="str">
        <f t="shared" ref="Q117:Q180" si="693">VLOOKUP($A117,hospital_details,7,0)</f>
        <v>tier - 1</v>
      </c>
      <c r="R117" s="7" t="str">
        <f t="shared" ref="R117:R180" si="694">VLOOKUP($A117,hospital_details,8,0)</f>
        <v>R1012</v>
      </c>
    </row>
    <row r="118" spans="1:23" ht="14.4" customHeight="1" x14ac:dyDescent="0.3">
      <c r="A118" s="5" t="s">
        <v>137</v>
      </c>
      <c r="B118" s="5" t="str">
        <f>VLOOKUP($A118,[1]!Customer_Names[#Data],3,0)</f>
        <v xml:space="preserve">  Jamie P</v>
      </c>
      <c r="C118" s="5">
        <v>44.88</v>
      </c>
      <c r="D118" s="5" t="str" cm="1">
        <f t="array" ref="D118">_xlfn.IFS(Healthcare!$C118&lt;18.5,"under weight",Healthcare!$C118&lt;=24.9,"Normal Weight",Healthcare!$C118&gt;=25,"overweight",Healthcare!$C118&gt;=30,"obese")</f>
        <v>overweight</v>
      </c>
      <c r="E118" s="5">
        <v>6.04</v>
      </c>
      <c r="F118" s="5" t="str" cm="1">
        <f t="array" ref="F118">_xlfn.IFS(Healthcare!$E118&lt;5.7,"normal",Healthcare!$E118&lt;=6.4,"prediabetes",Healthcare!$E118&gt;=6.5,"diabetes")</f>
        <v>prediabetes</v>
      </c>
      <c r="G118" s="5" t="s">
        <v>19</v>
      </c>
      <c r="H118" s="5" t="s">
        <v>19</v>
      </c>
      <c r="I118" s="5" t="s">
        <v>29</v>
      </c>
      <c r="J118" s="5">
        <v>1</v>
      </c>
      <c r="K118" s="5" t="s">
        <v>20</v>
      </c>
      <c r="L118" s="5" t="str">
        <f>VLOOKUP(Healthcare!$A118,hospital_details,2,0)</f>
        <v>16-Jul-2003</v>
      </c>
      <c r="M118" s="5">
        <f t="shared" ref="M118:M181" ca="1" si="695">VLOOKUP(A118,hospital_details,3,0)</f>
        <v>23</v>
      </c>
      <c r="N118" s="5">
        <f t="shared" ref="N118:N181" si="696">VLOOKUP($A118,hospital_details,4,0)</f>
        <v>0</v>
      </c>
      <c r="O118" s="6">
        <f t="shared" ref="O118:O181" si="697">VLOOKUP($A118,hospital_details,5,0)</f>
        <v>39722.75</v>
      </c>
      <c r="P118" s="5" t="str">
        <f t="shared" ref="P118:P181" si="698">VLOOKUP($A118,hospital_details,6,0)</f>
        <v>tier - 1</v>
      </c>
      <c r="Q118" s="5" t="str">
        <f t="shared" ref="Q118:Q181" si="699">VLOOKUP($A118,hospital_details,7,0)</f>
        <v>tier - 1</v>
      </c>
      <c r="R118" s="5" t="str">
        <f t="shared" ref="R118:R181" si="700">VLOOKUP($A118,hospital_details,8,0)</f>
        <v>R1013</v>
      </c>
      <c r="S118" s="10"/>
    </row>
    <row r="119" spans="1:23" ht="14.4" customHeight="1" x14ac:dyDescent="0.3">
      <c r="A119" s="7" t="s">
        <v>138</v>
      </c>
      <c r="B119" s="7" t="str">
        <f>VLOOKUP($A119,[1]!Customer_Names[#Data],3,0)</f>
        <v xml:space="preserve">  John</v>
      </c>
      <c r="C119" s="7">
        <v>44.32</v>
      </c>
      <c r="D119" s="7" t="str" cm="1">
        <f t="array" ref="D119">_xlfn.IFS(Healthcare!$C119&lt;18.5,"under weight",Healthcare!$C119&lt;=24.9,"Normal Weight",Healthcare!$C119&gt;=25,"overweight",Healthcare!$C119&gt;=30,"obese")</f>
        <v>overweight</v>
      </c>
      <c r="E119" s="7">
        <v>10.55</v>
      </c>
      <c r="F119" s="7" t="str" cm="1">
        <f t="array" ref="F119">_xlfn.IFS(Healthcare!$E119&lt;5.7,"normal",Healthcare!$E119&lt;=6.4,"prediabetes",Healthcare!$E119&gt;=6.5,"diabetes")</f>
        <v>diabetes</v>
      </c>
      <c r="G119" s="7" t="s">
        <v>19</v>
      </c>
      <c r="H119" s="7" t="s">
        <v>19</v>
      </c>
      <c r="I119" s="7" t="s">
        <v>19</v>
      </c>
      <c r="J119" s="7">
        <v>0</v>
      </c>
      <c r="K119" s="7" t="s">
        <v>20</v>
      </c>
      <c r="L119" s="7" t="str">
        <f>VLOOKUP(Healthcare!$A119,hospital_details,2,0)</f>
        <v>29-Sep-1968</v>
      </c>
      <c r="M119" s="7">
        <f t="shared" ref="M119:M182" ca="1" si="701">VLOOKUP(A119,hospital_details,3,0)</f>
        <v>58</v>
      </c>
      <c r="N119" s="7">
        <f t="shared" ref="N119:N182" si="702">VLOOKUP($A119,hospital_details,4,0)</f>
        <v>0</v>
      </c>
      <c r="O119" s="8">
        <f t="shared" ref="O119:O182" si="703">VLOOKUP($A119,hospital_details,5,0)</f>
        <v>39721.93</v>
      </c>
      <c r="P119" s="7" t="str">
        <f t="shared" ref="P119:P182" si="704">VLOOKUP($A119,hospital_details,6,0)</f>
        <v>tier - 2</v>
      </c>
      <c r="Q119" s="7" t="str">
        <f t="shared" ref="Q119:Q182" si="705">VLOOKUP($A119,hospital_details,7,0)</f>
        <v>tier - 2</v>
      </c>
      <c r="R119" s="7" t="str">
        <f t="shared" ref="R119:R182" si="706">VLOOKUP($A119,hospital_details,8,0)</f>
        <v>R1011</v>
      </c>
    </row>
    <row r="120" spans="1:23" ht="14.4" customHeight="1" x14ac:dyDescent="0.3">
      <c r="A120" s="5" t="s">
        <v>139</v>
      </c>
      <c r="B120" s="5" t="str">
        <f>VLOOKUP($A120,[1]!Customer_Names[#Data],3,0)</f>
        <v xml:space="preserve">  Charlie</v>
      </c>
      <c r="C120" s="5">
        <v>46.39</v>
      </c>
      <c r="D120" s="5" t="str" cm="1">
        <f t="array" ref="D120">_xlfn.IFS(Healthcare!$C120&lt;18.5,"under weight",Healthcare!$C120&lt;=24.9,"Normal Weight",Healthcare!$C120&gt;=25,"overweight",Healthcare!$C120&gt;=30,"obese")</f>
        <v>overweight</v>
      </c>
      <c r="E120" s="5">
        <v>5.09</v>
      </c>
      <c r="F120" s="5" t="str" cm="1">
        <f t="array" ref="F120">_xlfn.IFS(Healthcare!$E120&lt;5.7,"normal",Healthcare!$E120&lt;=6.4,"prediabetes",Healthcare!$E120&gt;=6.5,"diabetes")</f>
        <v>normal</v>
      </c>
      <c r="G120" s="5" t="s">
        <v>19</v>
      </c>
      <c r="H120" s="5" t="s">
        <v>19</v>
      </c>
      <c r="I120" s="5" t="s">
        <v>19</v>
      </c>
      <c r="J120" s="5">
        <v>0</v>
      </c>
      <c r="K120" s="5" t="s">
        <v>20</v>
      </c>
      <c r="L120" s="5" t="str">
        <f>VLOOKUP(Healthcare!$A120,hospital_details,2,0)</f>
        <v>17-Dec-1977</v>
      </c>
      <c r="M120" s="5">
        <f t="shared" ref="M120:M183" ca="1" si="707">VLOOKUP(A120,hospital_details,3,0)</f>
        <v>48</v>
      </c>
      <c r="N120" s="5">
        <f t="shared" ref="N120:N183" si="708">VLOOKUP($A120,hospital_details,4,0)</f>
        <v>2</v>
      </c>
      <c r="O120" s="6">
        <f t="shared" ref="O120:O183" si="709">VLOOKUP($A120,hospital_details,5,0)</f>
        <v>39670.44</v>
      </c>
      <c r="P120" s="5" t="str">
        <f t="shared" ref="P120:P183" si="710">VLOOKUP($A120,hospital_details,6,0)</f>
        <v>tier - 2</v>
      </c>
      <c r="Q120" s="5" t="str">
        <f t="shared" ref="Q120:Q183" si="711">VLOOKUP($A120,hospital_details,7,0)</f>
        <v>tier - 1</v>
      </c>
      <c r="R120" s="5" t="str">
        <f t="shared" ref="R120:R183" si="712">VLOOKUP($A120,hospital_details,8,0)</f>
        <v>R1012</v>
      </c>
    </row>
    <row r="121" spans="1:23" ht="14.4" customHeight="1" x14ac:dyDescent="0.3">
      <c r="A121" s="7" t="s">
        <v>140</v>
      </c>
      <c r="B121" s="7" t="str">
        <f>VLOOKUP($A121,[1]!Customer_Names[#Data],3,0)</f>
        <v xml:space="preserve">  Meb</v>
      </c>
      <c r="C121" s="7">
        <v>42.13</v>
      </c>
      <c r="D121" s="7" t="str" cm="1">
        <f t="array" ref="D121">_xlfn.IFS(Healthcare!$C121&lt;18.5,"under weight",Healthcare!$C121&lt;=24.9,"Normal Weight",Healthcare!$C121&gt;=25,"overweight",Healthcare!$C121&gt;=30,"obese")</f>
        <v>overweight</v>
      </c>
      <c r="E121" s="7">
        <v>5.2</v>
      </c>
      <c r="F121" s="7" t="str" cm="1">
        <f t="array" ref="F121">_xlfn.IFS(Healthcare!$E121&lt;5.7,"normal",Healthcare!$E121&lt;=6.4,"prediabetes",Healthcare!$E121&gt;=6.5,"diabetes")</f>
        <v>normal</v>
      </c>
      <c r="G121" s="7" t="s">
        <v>20</v>
      </c>
      <c r="H121" s="7" t="s">
        <v>19</v>
      </c>
      <c r="I121" s="7" t="s">
        <v>19</v>
      </c>
      <c r="J121" s="7">
        <v>1</v>
      </c>
      <c r="K121" s="7" t="s">
        <v>20</v>
      </c>
      <c r="L121" s="7" t="str">
        <f>VLOOKUP(Healthcare!$A121,hospital_details,2,0)</f>
        <v>7-Aug-1995</v>
      </c>
      <c r="M121" s="7">
        <f t="shared" ref="M121:M184" ca="1" si="713">VLOOKUP(A121,hospital_details,3,0)</f>
        <v>31</v>
      </c>
      <c r="N121" s="7">
        <f t="shared" ref="N121:N184" si="714">VLOOKUP($A121,hospital_details,4,0)</f>
        <v>0</v>
      </c>
      <c r="O121" s="8">
        <f t="shared" ref="O121:O184" si="715">VLOOKUP($A121,hospital_details,5,0)</f>
        <v>39611.760000000002</v>
      </c>
      <c r="P121" s="7" t="str">
        <f t="shared" ref="P121:P184" si="716">VLOOKUP($A121,hospital_details,6,0)</f>
        <v>tier - 1</v>
      </c>
      <c r="Q121" s="7" t="str">
        <f t="shared" ref="Q121:Q184" si="717">VLOOKUP($A121,hospital_details,7,0)</f>
        <v>tier - 3</v>
      </c>
      <c r="R121" s="7" t="str">
        <f t="shared" ref="R121:R184" si="718">VLOOKUP($A121,hospital_details,8,0)</f>
        <v>R1013</v>
      </c>
    </row>
    <row r="122" spans="1:23" ht="14.4" customHeight="1" x14ac:dyDescent="0.3">
      <c r="A122" s="5" t="s">
        <v>141</v>
      </c>
      <c r="B122" s="5" t="str">
        <f>VLOOKUP($A122,[1]!Customer_Names[#Data],3,0)</f>
        <v xml:space="preserve">  Aaqib L</v>
      </c>
      <c r="C122" s="5">
        <v>30.78</v>
      </c>
      <c r="D122" s="5" t="str" cm="1">
        <f t="array" ref="D122">_xlfn.IFS(Healthcare!$C122&lt;18.5,"under weight",Healthcare!$C122&lt;=24.9,"Normal Weight",Healthcare!$C122&gt;=25,"overweight",Healthcare!$C122&gt;=30,"obese")</f>
        <v>overweight</v>
      </c>
      <c r="E122" s="5">
        <v>8.4499999999999993</v>
      </c>
      <c r="F122" s="5" t="str" cm="1">
        <f t="array" ref="F122">_xlfn.IFS(Healthcare!$E122&lt;5.7,"normal",Healthcare!$E122&lt;=6.4,"prediabetes",Healthcare!$E122&gt;=6.5,"diabetes")</f>
        <v>diabetes</v>
      </c>
      <c r="G122" s="5" t="s">
        <v>20</v>
      </c>
      <c r="H122" s="5" t="s">
        <v>19</v>
      </c>
      <c r="I122" s="5" t="s">
        <v>19</v>
      </c>
      <c r="J122" s="5">
        <v>0</v>
      </c>
      <c r="K122" s="5" t="s">
        <v>20</v>
      </c>
      <c r="L122" s="5" t="str">
        <f>VLOOKUP(Healthcare!$A122,hospital_details,2,0)</f>
        <v>5-Jul-1981</v>
      </c>
      <c r="M122" s="5">
        <f t="shared" ref="M122:M185" ca="1" si="719">VLOOKUP(A122,hospital_details,3,0)</f>
        <v>45</v>
      </c>
      <c r="N122" s="5">
        <f t="shared" ref="N122:N185" si="720">VLOOKUP($A122,hospital_details,4,0)</f>
        <v>3</v>
      </c>
      <c r="O122" s="6">
        <f t="shared" ref="O122:O185" si="721">VLOOKUP($A122,hospital_details,5,0)</f>
        <v>39597.410000000003</v>
      </c>
      <c r="P122" s="5" t="str">
        <f t="shared" ref="P122:P185" si="722">VLOOKUP($A122,hospital_details,6,0)</f>
        <v>tier - 1</v>
      </c>
      <c r="Q122" s="5" t="str">
        <f t="shared" ref="Q122:Q185" si="723">VLOOKUP($A122,hospital_details,7,0)</f>
        <v>tier - 2</v>
      </c>
      <c r="R122" s="5" t="str">
        <f t="shared" ref="R122:R185" si="724">VLOOKUP($A122,hospital_details,8,0)</f>
        <v>R1017</v>
      </c>
    </row>
    <row r="123" spans="1:23" ht="14.4" customHeight="1" x14ac:dyDescent="0.3">
      <c r="A123" s="7" t="s">
        <v>142</v>
      </c>
      <c r="B123" s="7" t="str">
        <f>VLOOKUP($A123,[1]!Customer_Names[#Data],3,0)</f>
        <v xml:space="preserve">  Craig A</v>
      </c>
      <c r="C123" s="7">
        <v>31.35</v>
      </c>
      <c r="D123" s="7" t="str" cm="1">
        <f t="array" ref="D123">_xlfn.IFS(Healthcare!$C123&lt;18.5,"under weight",Healthcare!$C123&lt;=24.9,"Normal Weight",Healthcare!$C123&gt;=25,"overweight",Healthcare!$C123&gt;=30,"obese")</f>
        <v>overweight</v>
      </c>
      <c r="E123" s="7">
        <v>9.5399999999999991</v>
      </c>
      <c r="F123" s="7" t="str" cm="1">
        <f t="array" ref="F123">_xlfn.IFS(Healthcare!$E123&lt;5.7,"normal",Healthcare!$E123&lt;=6.4,"prediabetes",Healthcare!$E123&gt;=6.5,"diabetes")</f>
        <v>diabetes</v>
      </c>
      <c r="G123" s="7" t="s">
        <v>19</v>
      </c>
      <c r="H123" s="7" t="s">
        <v>19</v>
      </c>
      <c r="I123" s="7" t="s">
        <v>19</v>
      </c>
      <c r="J123" s="7">
        <v>0</v>
      </c>
      <c r="K123" s="7" t="s">
        <v>20</v>
      </c>
      <c r="L123" s="7" t="str">
        <f>VLOOKUP(Healthcare!$A123,hospital_details,2,0)</f>
        <v>12-Jul-1978</v>
      </c>
      <c r="M123" s="7">
        <f t="shared" ref="M123:M186" ca="1" si="725">VLOOKUP(A123,hospital_details,3,0)</f>
        <v>48</v>
      </c>
      <c r="N123" s="7">
        <f t="shared" ref="N123:N186" si="726">VLOOKUP($A123,hospital_details,4,0)</f>
        <v>1</v>
      </c>
      <c r="O123" s="8">
        <f t="shared" ref="O123:O186" si="727">VLOOKUP($A123,hospital_details,5,0)</f>
        <v>39556.49</v>
      </c>
      <c r="P123" s="7" t="str">
        <f t="shared" ref="P123:P186" si="728">VLOOKUP($A123,hospital_details,6,0)</f>
        <v>tier - 1</v>
      </c>
      <c r="Q123" s="7" t="str">
        <f t="shared" ref="Q123:Q186" si="729">VLOOKUP($A123,hospital_details,7,0)</f>
        <v>tier - 2</v>
      </c>
      <c r="R123" s="7" t="str">
        <f t="shared" ref="R123:R186" si="730">VLOOKUP($A123,hospital_details,8,0)</f>
        <v>R1015</v>
      </c>
    </row>
    <row r="124" spans="1:23" ht="14.4" customHeight="1" x14ac:dyDescent="0.3">
      <c r="A124" s="5" t="s">
        <v>143</v>
      </c>
      <c r="B124" s="5" t="str">
        <f>VLOOKUP($A124,[1]!Customer_Names[#Data],3,0)</f>
        <v xml:space="preserve">  Meredith</v>
      </c>
      <c r="C124" s="5">
        <v>41.46</v>
      </c>
      <c r="D124" s="5" t="str" cm="1">
        <f t="array" ref="D124">_xlfn.IFS(Healthcare!$C124&lt;18.5,"under weight",Healthcare!$C124&lt;=24.9,"Normal Weight",Healthcare!$C124&gt;=25,"overweight",Healthcare!$C124&gt;=30,"obese")</f>
        <v>overweight</v>
      </c>
      <c r="E124" s="5">
        <v>4.99</v>
      </c>
      <c r="F124" s="5" t="str" cm="1">
        <f t="array" ref="F124">_xlfn.IFS(Healthcare!$E124&lt;5.7,"normal",Healthcare!$E124&lt;=6.4,"prediabetes",Healthcare!$E124&gt;=6.5,"diabetes")</f>
        <v>normal</v>
      </c>
      <c r="G124" s="5" t="s">
        <v>20</v>
      </c>
      <c r="H124" s="5" t="s">
        <v>19</v>
      </c>
      <c r="I124" s="5" t="s">
        <v>19</v>
      </c>
      <c r="J124" s="5">
        <v>2</v>
      </c>
      <c r="K124" s="5" t="s">
        <v>20</v>
      </c>
      <c r="L124" s="5" t="str">
        <f>VLOOKUP(Healthcare!$A124,hospital_details,2,0)</f>
        <v>24-Jun-1966</v>
      </c>
      <c r="M124" s="5">
        <f t="shared" ref="M124:M187" ca="1" si="731">VLOOKUP(A124,hospital_details,3,0)</f>
        <v>60</v>
      </c>
      <c r="N124" s="5">
        <f t="shared" ref="N124:N187" si="732">VLOOKUP($A124,hospital_details,4,0)</f>
        <v>0</v>
      </c>
      <c r="O124" s="6">
        <f t="shared" ref="O124:O187" si="733">VLOOKUP($A124,hospital_details,5,0)</f>
        <v>39396.86</v>
      </c>
      <c r="P124" s="5" t="str">
        <f t="shared" ref="P124:P187" si="734">VLOOKUP($A124,hospital_details,6,0)</f>
        <v>tier - 2</v>
      </c>
      <c r="Q124" s="5" t="str">
        <f t="shared" ref="Q124:Q187" si="735">VLOOKUP($A124,hospital_details,7,0)</f>
        <v>tier - 2</v>
      </c>
      <c r="R124" s="5" t="str">
        <f t="shared" ref="R124:R187" si="736">VLOOKUP($A124,hospital_details,8,0)</f>
        <v>R1011</v>
      </c>
    </row>
    <row r="125" spans="1:23" ht="14.4" customHeight="1" x14ac:dyDescent="0.3">
      <c r="A125" s="7" t="s">
        <v>144</v>
      </c>
      <c r="B125" s="7" t="str">
        <f>VLOOKUP($A125,[1]!Customer_Names[#Data],3,0)</f>
        <v xml:space="preserve">  Doug</v>
      </c>
      <c r="C125" s="7">
        <v>48</v>
      </c>
      <c r="D125" s="7" t="str" cm="1">
        <f t="array" ref="D125">_xlfn.IFS(Healthcare!$C125&lt;18.5,"under weight",Healthcare!$C125&lt;=24.9,"Normal Weight",Healthcare!$C125&gt;=25,"overweight",Healthcare!$C125&gt;=30,"obese")</f>
        <v>overweight</v>
      </c>
      <c r="E125" s="7">
        <v>10.54</v>
      </c>
      <c r="F125" s="7" t="str" cm="1">
        <f t="array" ref="F125">_xlfn.IFS(Healthcare!$E125&lt;5.7,"normal",Healthcare!$E125&lt;=6.4,"prediabetes",Healthcare!$E125&gt;=6.5,"diabetes")</f>
        <v>diabetes</v>
      </c>
      <c r="G125" s="7" t="s">
        <v>19</v>
      </c>
      <c r="H125" s="7" t="s">
        <v>19</v>
      </c>
      <c r="I125" s="7" t="s">
        <v>19</v>
      </c>
      <c r="J125" s="7">
        <v>0</v>
      </c>
      <c r="K125" s="7" t="s">
        <v>20</v>
      </c>
      <c r="L125" s="7" t="str">
        <f>VLOOKUP(Healthcare!$A125,hospital_details,2,0)</f>
        <v>5-Aug-1978</v>
      </c>
      <c r="M125" s="7">
        <f t="shared" ref="M125:M188" ca="1" si="737">VLOOKUP(A125,hospital_details,3,0)</f>
        <v>48</v>
      </c>
      <c r="N125" s="7">
        <f t="shared" ref="N125:N188" si="738">VLOOKUP($A125,hospital_details,4,0)</f>
        <v>2</v>
      </c>
      <c r="O125" s="8">
        <f t="shared" ref="O125:O188" si="739">VLOOKUP($A125,hospital_details,5,0)</f>
        <v>39352.6</v>
      </c>
      <c r="P125" s="7" t="str">
        <f t="shared" ref="P125:P188" si="740">VLOOKUP($A125,hospital_details,6,0)</f>
        <v>tier - 2</v>
      </c>
      <c r="Q125" s="7" t="str">
        <f t="shared" ref="Q125:Q188" si="741">VLOOKUP($A125,hospital_details,7,0)</f>
        <v>tier - 3</v>
      </c>
      <c r="R125" s="7" t="str">
        <f t="shared" ref="R125:R188" si="742">VLOOKUP($A125,hospital_details,8,0)</f>
        <v>R1011</v>
      </c>
    </row>
    <row r="126" spans="1:23" ht="14.4" customHeight="1" x14ac:dyDescent="0.3">
      <c r="A126" s="5" t="s">
        <v>145</v>
      </c>
      <c r="B126" s="5" t="str">
        <f>VLOOKUP($A126,[1]!Customer_Names[#Data],3,0)</f>
        <v xml:space="preserve">  Elizabeth J</v>
      </c>
      <c r="C126" s="5">
        <v>49.13</v>
      </c>
      <c r="D126" s="5" t="str" cm="1">
        <f t="array" ref="D126">_xlfn.IFS(Healthcare!$C126&lt;18.5,"under weight",Healthcare!$C126&lt;=24.9,"Normal Weight",Healthcare!$C126&gt;=25,"overweight",Healthcare!$C126&gt;=30,"obese")</f>
        <v>overweight</v>
      </c>
      <c r="E126" s="5">
        <v>4.54</v>
      </c>
      <c r="F126" s="5" t="str" cm="1">
        <f t="array" ref="F126">_xlfn.IFS(Healthcare!$E126&lt;5.7,"normal",Healthcare!$E126&lt;=6.4,"prediabetes",Healthcare!$E126&gt;=6.5,"diabetes")</f>
        <v>normal</v>
      </c>
      <c r="G126" s="5" t="s">
        <v>19</v>
      </c>
      <c r="H126" s="5" t="s">
        <v>19</v>
      </c>
      <c r="I126" s="5" t="s">
        <v>19</v>
      </c>
      <c r="J126" s="5">
        <v>0</v>
      </c>
      <c r="K126" s="5" t="s">
        <v>20</v>
      </c>
      <c r="L126" s="5" t="str">
        <f>VLOOKUP(Healthcare!$A126,hospital_details,2,0)</f>
        <v>16-Aug-1982</v>
      </c>
      <c r="M126" s="5">
        <f t="shared" ref="M126:M189" ca="1" si="743">VLOOKUP(A126,hospital_details,3,0)</f>
        <v>44</v>
      </c>
      <c r="N126" s="5">
        <f t="shared" ref="N126:N189" si="744">VLOOKUP($A126,hospital_details,4,0)</f>
        <v>3</v>
      </c>
      <c r="O126" s="6">
        <f t="shared" ref="O126:O189" si="745">VLOOKUP($A126,hospital_details,5,0)</f>
        <v>39315.279999999999</v>
      </c>
      <c r="P126" s="5" t="str">
        <f t="shared" ref="P126:P189" si="746">VLOOKUP($A126,hospital_details,6,0)</f>
        <v>tier - 2</v>
      </c>
      <c r="Q126" s="5" t="str">
        <f t="shared" ref="Q126:Q189" si="747">VLOOKUP($A126,hospital_details,7,0)</f>
        <v>tier - 3</v>
      </c>
      <c r="R126" s="5" t="str">
        <f t="shared" ref="R126:R189" si="748">VLOOKUP($A126,hospital_details,8,0)</f>
        <v>R1011</v>
      </c>
    </row>
    <row r="127" spans="1:23" ht="14.4" customHeight="1" x14ac:dyDescent="0.3">
      <c r="A127" s="7" t="s">
        <v>146</v>
      </c>
      <c r="B127" s="7" t="str">
        <f>VLOOKUP($A127,[1]!Customer_Names[#Data],3,0)</f>
        <v xml:space="preserve">  Matthew P</v>
      </c>
      <c r="C127" s="7">
        <v>37.799999999999997</v>
      </c>
      <c r="D127" s="7" t="str" cm="1">
        <f t="array" ref="D127">_xlfn.IFS(Healthcare!$C127&lt;18.5,"under weight",Healthcare!$C127&lt;=24.9,"Normal Weight",Healthcare!$C127&gt;=25,"overweight",Healthcare!$C127&gt;=30,"obese")</f>
        <v>overweight</v>
      </c>
      <c r="E127" s="7">
        <v>6.29</v>
      </c>
      <c r="F127" s="7" t="str" cm="1">
        <f t="array" ref="F127">_xlfn.IFS(Healthcare!$E127&lt;5.7,"normal",Healthcare!$E127&lt;=6.4,"prediabetes",Healthcare!$E127&gt;=6.5,"diabetes")</f>
        <v>prediabetes</v>
      </c>
      <c r="G127" s="7" t="s">
        <v>19</v>
      </c>
      <c r="H127" s="7" t="s">
        <v>19</v>
      </c>
      <c r="I127" s="7" t="s">
        <v>19</v>
      </c>
      <c r="J127" s="7">
        <v>1</v>
      </c>
      <c r="K127" s="7" t="s">
        <v>20</v>
      </c>
      <c r="L127" s="7" t="str">
        <f>VLOOKUP(Healthcare!$A127,hospital_details,2,0)</f>
        <v>30-Nov-1992</v>
      </c>
      <c r="M127" s="7">
        <f t="shared" ref="M127:M190" ca="1" si="749">VLOOKUP(A127,hospital_details,3,0)</f>
        <v>33</v>
      </c>
      <c r="N127" s="7">
        <f t="shared" ref="N127:N190" si="750">VLOOKUP($A127,hospital_details,4,0)</f>
        <v>2</v>
      </c>
      <c r="O127" s="8">
        <f t="shared" ref="O127:O190" si="751">VLOOKUP($A127,hospital_details,5,0)</f>
        <v>39241.440000000002</v>
      </c>
      <c r="P127" s="7" t="str">
        <f t="shared" ref="P127:P190" si="752">VLOOKUP($A127,hospital_details,6,0)</f>
        <v>tier - 1</v>
      </c>
      <c r="Q127" s="7" t="str">
        <f t="shared" ref="Q127:Q190" si="753">VLOOKUP($A127,hospital_details,7,0)</f>
        <v>tier - 3</v>
      </c>
      <c r="R127" s="7" t="str">
        <f t="shared" ref="R127:R190" si="754">VLOOKUP($A127,hospital_details,8,0)</f>
        <v>R1011</v>
      </c>
    </row>
    <row r="128" spans="1:23" ht="14.4" customHeight="1" x14ac:dyDescent="0.3">
      <c r="A128" s="5" t="s">
        <v>147</v>
      </c>
      <c r="B128" s="5" t="str">
        <f>VLOOKUP($A128,[1]!Customer_Names[#Data],3,0)</f>
        <v xml:space="preserve">  Guillermo Sr</v>
      </c>
      <c r="C128" s="5">
        <v>38.299999999999997</v>
      </c>
      <c r="D128" s="5" t="str" cm="1">
        <f t="array" ref="D128">_xlfn.IFS(Healthcare!$C128&lt;18.5,"under weight",Healthcare!$C128&lt;=24.9,"Normal Weight",Healthcare!$C128&gt;=25,"overweight",Healthcare!$C128&gt;=30,"obese")</f>
        <v>overweight</v>
      </c>
      <c r="E128" s="5">
        <v>9.51</v>
      </c>
      <c r="F128" s="5" t="str" cm="1">
        <f t="array" ref="F128">_xlfn.IFS(Healthcare!$E128&lt;5.7,"normal",Healthcare!$E128&lt;=6.4,"prediabetes",Healthcare!$E128&gt;=6.5,"diabetes")</f>
        <v>diabetes</v>
      </c>
      <c r="G128" s="5" t="s">
        <v>19</v>
      </c>
      <c r="H128" s="5" t="s">
        <v>19</v>
      </c>
      <c r="I128" s="5" t="s">
        <v>19</v>
      </c>
      <c r="J128" s="5">
        <v>0</v>
      </c>
      <c r="K128" s="5" t="s">
        <v>20</v>
      </c>
      <c r="L128" s="5" t="str">
        <f>VLOOKUP(Healthcare!$A128,hospital_details,2,0)</f>
        <v>7-Jul-1962</v>
      </c>
      <c r="M128" s="5">
        <f t="shared" ref="M128:M191" ca="1" si="755">VLOOKUP(A128,hospital_details,3,0)</f>
        <v>64</v>
      </c>
      <c r="N128" s="5">
        <f t="shared" ref="N128:N191" si="756">VLOOKUP($A128,hospital_details,4,0)</f>
        <v>0</v>
      </c>
      <c r="O128" s="6">
        <f t="shared" ref="O128:O191" si="757">VLOOKUP($A128,hospital_details,5,0)</f>
        <v>39221.120000000003</v>
      </c>
      <c r="P128" s="5" t="str">
        <f t="shared" ref="P128:P191" si="758">VLOOKUP($A128,hospital_details,6,0)</f>
        <v>tier - 2</v>
      </c>
      <c r="Q128" s="5" t="str">
        <f t="shared" ref="Q128:Q191" si="759">VLOOKUP($A128,hospital_details,7,0)</f>
        <v>tier - 1</v>
      </c>
      <c r="R128" s="5" t="str">
        <f t="shared" ref="R128:R191" si="760">VLOOKUP($A128,hospital_details,8,0)</f>
        <v>R1011</v>
      </c>
    </row>
    <row r="129" spans="1:18" ht="14.4" customHeight="1" x14ac:dyDescent="0.3">
      <c r="A129" s="7" t="s">
        <v>148</v>
      </c>
      <c r="B129" s="7" t="str">
        <f>VLOOKUP($A129,[1]!Customer_Names[#Data],3,0)</f>
        <v xml:space="preserve">  Ryan C</v>
      </c>
      <c r="C129" s="7">
        <v>32.774999999999999</v>
      </c>
      <c r="D129" s="7" t="str" cm="1">
        <f t="array" ref="D129">_xlfn.IFS(Healthcare!$C129&lt;18.5,"under weight",Healthcare!$C129&lt;=24.9,"Normal Weight",Healthcare!$C129&gt;=25,"overweight",Healthcare!$C129&gt;=30,"obese")</f>
        <v>overweight</v>
      </c>
      <c r="E129" s="7">
        <v>4.72</v>
      </c>
      <c r="F129" s="7" t="str" cm="1">
        <f t="array" ref="F129">_xlfn.IFS(Healthcare!$E129&lt;5.7,"normal",Healthcare!$E129&lt;=6.4,"prediabetes",Healthcare!$E129&gt;=6.5,"diabetes")</f>
        <v>normal</v>
      </c>
      <c r="G129" s="7" t="s">
        <v>19</v>
      </c>
      <c r="H129" s="7" t="s">
        <v>19</v>
      </c>
      <c r="I129" s="7" t="s">
        <v>19</v>
      </c>
      <c r="J129" s="7">
        <v>0</v>
      </c>
      <c r="K129" s="7" t="s">
        <v>20</v>
      </c>
      <c r="L129" s="7" t="str">
        <f>VLOOKUP(Healthcare!$A129,hospital_details,2,0)</f>
        <v>4-Aug-1982</v>
      </c>
      <c r="M129" s="7">
        <f t="shared" ref="M129:M192" ca="1" si="761">VLOOKUP(A129,hospital_details,3,0)</f>
        <v>44</v>
      </c>
      <c r="N129" s="7">
        <f t="shared" ref="N129:N192" si="762">VLOOKUP($A129,hospital_details,4,0)</f>
        <v>1</v>
      </c>
      <c r="O129" s="8">
        <f t="shared" ref="O129:O192" si="763">VLOOKUP($A129,hospital_details,5,0)</f>
        <v>39125.33</v>
      </c>
      <c r="P129" s="7" t="str">
        <f t="shared" ref="P129:P192" si="764">VLOOKUP($A129,hospital_details,6,0)</f>
        <v>tier - 1</v>
      </c>
      <c r="Q129" s="7" t="str">
        <f t="shared" ref="Q129:Q192" si="765">VLOOKUP($A129,hospital_details,7,0)</f>
        <v>tier - 1</v>
      </c>
      <c r="R129" s="7" t="str">
        <f t="shared" ref="R129:R192" si="766">VLOOKUP($A129,hospital_details,8,0)</f>
        <v>R1016</v>
      </c>
    </row>
    <row r="130" spans="1:18" ht="14.4" customHeight="1" x14ac:dyDescent="0.3">
      <c r="A130" s="5" t="s">
        <v>149</v>
      </c>
      <c r="B130" s="5" t="str">
        <f>VLOOKUP($A130,[1]!Customer_Names[#Data],3,0)</f>
        <v xml:space="preserve">  Dane</v>
      </c>
      <c r="C130" s="5">
        <v>34.200000000000003</v>
      </c>
      <c r="D130" s="5" t="str" cm="1">
        <f t="array" ref="D130">_xlfn.IFS(Healthcare!$C130&lt;18.5,"under weight",Healthcare!$C130&lt;=24.9,"Normal Weight",Healthcare!$C130&gt;=25,"overweight",Healthcare!$C130&gt;=30,"obese")</f>
        <v>overweight</v>
      </c>
      <c r="E130" s="5">
        <v>5.91</v>
      </c>
      <c r="F130" s="5" t="str" cm="1">
        <f t="array" ref="F130">_xlfn.IFS(Healthcare!$E130&lt;5.7,"normal",Healthcare!$E130&lt;=6.4,"prediabetes",Healthcare!$E130&gt;=6.5,"diabetes")</f>
        <v>prediabetes</v>
      </c>
      <c r="G130" s="5" t="s">
        <v>20</v>
      </c>
      <c r="H130" s="5" t="s">
        <v>19</v>
      </c>
      <c r="I130" s="5" t="s">
        <v>19</v>
      </c>
      <c r="J130" s="5">
        <v>0</v>
      </c>
      <c r="K130" s="5" t="s">
        <v>20</v>
      </c>
      <c r="L130" s="5" t="str">
        <f>VLOOKUP(Healthcare!$A130,hospital_details,2,0)</f>
        <v>20-Sep-1985</v>
      </c>
      <c r="M130" s="5">
        <f t="shared" ref="M130:M193" ca="1" si="767">VLOOKUP(A130,hospital_details,3,0)</f>
        <v>41</v>
      </c>
      <c r="N130" s="5">
        <f t="shared" ref="N130:N193" si="768">VLOOKUP($A130,hospital_details,4,0)</f>
        <v>1</v>
      </c>
      <c r="O130" s="6">
        <f t="shared" ref="O130:O193" si="769">VLOOKUP($A130,hospital_details,5,0)</f>
        <v>39047.29</v>
      </c>
      <c r="P130" s="5" t="str">
        <f t="shared" ref="P130:P193" si="770">VLOOKUP($A130,hospital_details,6,0)</f>
        <v>tier - 1</v>
      </c>
      <c r="Q130" s="5" t="str">
        <f t="shared" ref="Q130:Q193" si="771">VLOOKUP($A130,hospital_details,7,0)</f>
        <v>tier - 3</v>
      </c>
      <c r="R130" s="5" t="str">
        <f t="shared" ref="R130:R193" si="772">VLOOKUP($A130,hospital_details,8,0)</f>
        <v>R1017</v>
      </c>
    </row>
    <row r="131" spans="1:18" ht="14.4" customHeight="1" x14ac:dyDescent="0.3">
      <c r="A131" s="7" t="s">
        <v>150</v>
      </c>
      <c r="B131" s="7" t="str">
        <f>VLOOKUP($A131,[1]!Customer_Names[#Data],3,0)</f>
        <v xml:space="preserve">  Jonas</v>
      </c>
      <c r="C131" s="7">
        <v>30.2</v>
      </c>
      <c r="D131" s="7" t="str" cm="1">
        <f t="array" ref="D131">_xlfn.IFS(Healthcare!$C131&lt;18.5,"under weight",Healthcare!$C131&lt;=24.9,"Normal Weight",Healthcare!$C131&gt;=25,"overweight",Healthcare!$C131&gt;=30,"obese")</f>
        <v>overweight</v>
      </c>
      <c r="E131" s="7">
        <v>9.58</v>
      </c>
      <c r="F131" s="7" t="str" cm="1">
        <f t="array" ref="F131">_xlfn.IFS(Healthcare!$E131&lt;5.7,"normal",Healthcare!$E131&lt;=6.4,"prediabetes",Healthcare!$E131&gt;=6.5,"diabetes")</f>
        <v>diabetes</v>
      </c>
      <c r="G131" s="7" t="s">
        <v>19</v>
      </c>
      <c r="H131" s="7" t="s">
        <v>19</v>
      </c>
      <c r="I131" s="7" t="s">
        <v>19</v>
      </c>
      <c r="J131" s="7">
        <v>0</v>
      </c>
      <c r="K131" s="7" t="s">
        <v>20</v>
      </c>
      <c r="L131" s="7" t="str">
        <f>VLOOKUP(Healthcare!$A131,hospital_details,2,0)</f>
        <v>12-Oct-1978</v>
      </c>
      <c r="M131" s="7">
        <f t="shared" ref="M131:M194" ca="1" si="773">VLOOKUP(A131,hospital_details,3,0)</f>
        <v>48</v>
      </c>
      <c r="N131" s="7">
        <f t="shared" ref="N131:N194" si="774">VLOOKUP($A131,hospital_details,4,0)</f>
        <v>2</v>
      </c>
      <c r="O131" s="8">
        <f t="shared" ref="O131:O194" si="775">VLOOKUP($A131,hospital_details,5,0)</f>
        <v>38998.550000000003</v>
      </c>
      <c r="P131" s="7" t="str">
        <f t="shared" ref="P131:P194" si="776">VLOOKUP($A131,hospital_details,6,0)</f>
        <v>tier - 1</v>
      </c>
      <c r="Q131" s="7" t="str">
        <f t="shared" ref="Q131:Q194" si="777">VLOOKUP($A131,hospital_details,7,0)</f>
        <v>tier - 1</v>
      </c>
      <c r="R131" s="7" t="str">
        <f t="shared" ref="R131:R194" si="778">VLOOKUP($A131,hospital_details,8,0)</f>
        <v>R1011</v>
      </c>
    </row>
    <row r="132" spans="1:18" ht="14.4" customHeight="1" x14ac:dyDescent="0.3">
      <c r="A132" s="5" t="s">
        <v>151</v>
      </c>
      <c r="B132" s="5" t="str">
        <f>VLOOKUP($A132,[1]!Customer_Names[#Data],3,0)</f>
        <v xml:space="preserve">  George E</v>
      </c>
      <c r="C132" s="5">
        <v>48.32</v>
      </c>
      <c r="D132" s="5" t="str" cm="1">
        <f t="array" ref="D132">_xlfn.IFS(Healthcare!$C132&lt;18.5,"under weight",Healthcare!$C132&lt;=24.9,"Normal Weight",Healthcare!$C132&gt;=25,"overweight",Healthcare!$C132&gt;=30,"obese")</f>
        <v>overweight</v>
      </c>
      <c r="E132" s="5">
        <v>5.77</v>
      </c>
      <c r="F132" s="5" t="str" cm="1">
        <f t="array" ref="F132">_xlfn.IFS(Healthcare!$E132&lt;5.7,"normal",Healthcare!$E132&lt;=6.4,"prediabetes",Healthcare!$E132&gt;=6.5,"diabetes")</f>
        <v>prediabetes</v>
      </c>
      <c r="G132" s="5" t="s">
        <v>19</v>
      </c>
      <c r="H132" s="5" t="s">
        <v>19</v>
      </c>
      <c r="I132" s="5" t="s">
        <v>19</v>
      </c>
      <c r="J132" s="5">
        <v>0</v>
      </c>
      <c r="K132" s="5" t="s">
        <v>20</v>
      </c>
      <c r="L132" s="5" t="str">
        <f>VLOOKUP(Healthcare!$A132,hospital_details,2,0)</f>
        <v>24-Sep-1980</v>
      </c>
      <c r="M132" s="5">
        <f t="shared" ref="M132:M195" ca="1" si="779">VLOOKUP(A132,hospital_details,3,0)</f>
        <v>46</v>
      </c>
      <c r="N132" s="5">
        <f t="shared" ref="N132:N195" si="780">VLOOKUP($A132,hospital_details,4,0)</f>
        <v>2</v>
      </c>
      <c r="O132" s="6">
        <f t="shared" ref="O132:O195" si="781">VLOOKUP($A132,hospital_details,5,0)</f>
        <v>38947.43</v>
      </c>
      <c r="P132" s="5" t="str">
        <f t="shared" ref="P132:P195" si="782">VLOOKUP($A132,hospital_details,6,0)</f>
        <v>tier - 2</v>
      </c>
      <c r="Q132" s="5" t="str">
        <f t="shared" ref="Q132:Q195" si="783">VLOOKUP($A132,hospital_details,7,0)</f>
        <v>tier - 3</v>
      </c>
      <c r="R132" s="5" t="str">
        <f t="shared" ref="R132:R195" si="784">VLOOKUP($A132,hospital_details,8,0)</f>
        <v>R1011</v>
      </c>
    </row>
    <row r="133" spans="1:18" ht="14.4" customHeight="1" x14ac:dyDescent="0.3">
      <c r="A133" s="7" t="s">
        <v>152</v>
      </c>
      <c r="B133" s="7" t="str">
        <f>VLOOKUP($A133,[1]!Customer_Names[#Data],3,0)</f>
        <v xml:space="preserve">  Sara S</v>
      </c>
      <c r="C133" s="7">
        <v>44.86</v>
      </c>
      <c r="D133" s="7" t="str" cm="1">
        <f t="array" ref="D133">_xlfn.IFS(Healthcare!$C133&lt;18.5,"under weight",Healthcare!$C133&lt;=24.9,"Normal Weight",Healthcare!$C133&gt;=25,"overweight",Healthcare!$C133&gt;=30,"obese")</f>
        <v>overweight</v>
      </c>
      <c r="E133" s="7">
        <v>4.38</v>
      </c>
      <c r="F133" s="7" t="str" cm="1">
        <f t="array" ref="F133">_xlfn.IFS(Healthcare!$E133&lt;5.7,"normal",Healthcare!$E133&lt;=6.4,"prediabetes",Healthcare!$E133&gt;=6.5,"diabetes")</f>
        <v>normal</v>
      </c>
      <c r="G133" s="7" t="s">
        <v>20</v>
      </c>
      <c r="H133" s="7" t="s">
        <v>19</v>
      </c>
      <c r="I133" s="7" t="s">
        <v>19</v>
      </c>
      <c r="J133" s="7">
        <v>0</v>
      </c>
      <c r="K133" s="7" t="s">
        <v>20</v>
      </c>
      <c r="L133" s="7" t="str">
        <f>VLOOKUP(Healthcare!$A133,hospital_details,2,0)</f>
        <v>15-Dec-1976</v>
      </c>
      <c r="M133" s="7">
        <f t="shared" ref="M133:M196" ca="1" si="785">VLOOKUP(A133,hospital_details,3,0)</f>
        <v>49</v>
      </c>
      <c r="N133" s="7">
        <f t="shared" ref="N133:N196" si="786">VLOOKUP($A133,hospital_details,4,0)</f>
        <v>2</v>
      </c>
      <c r="O133" s="8">
        <f t="shared" ref="O133:O196" si="787">VLOOKUP($A133,hospital_details,5,0)</f>
        <v>38932.559999999998</v>
      </c>
      <c r="P133" s="7" t="str">
        <f t="shared" ref="P133:P196" si="788">VLOOKUP($A133,hospital_details,6,0)</f>
        <v>tier - 2</v>
      </c>
      <c r="Q133" s="7" t="str">
        <f t="shared" ref="Q133:Q196" si="789">VLOOKUP($A133,hospital_details,7,0)</f>
        <v>tier - 3</v>
      </c>
      <c r="R133" s="7" t="str">
        <f t="shared" ref="R133:R196" si="790">VLOOKUP($A133,hospital_details,8,0)</f>
        <v>R1011</v>
      </c>
    </row>
    <row r="134" spans="1:18" ht="14.4" customHeight="1" x14ac:dyDescent="0.3">
      <c r="A134" s="5" t="s">
        <v>153</v>
      </c>
      <c r="B134" s="5" t="str">
        <f>VLOOKUP($A134,[1]!Customer_Names[#Data],3,0)</f>
        <v xml:space="preserve">  Nick</v>
      </c>
      <c r="C134" s="5">
        <v>52.15</v>
      </c>
      <c r="D134" s="5" t="str" cm="1">
        <f t="array" ref="D134">_xlfn.IFS(Healthcare!$C134&lt;18.5,"under weight",Healthcare!$C134&lt;=24.9,"Normal Weight",Healthcare!$C134&gt;=25,"overweight",Healthcare!$C134&gt;=30,"obese")</f>
        <v>overweight</v>
      </c>
      <c r="E134" s="5">
        <v>5.65</v>
      </c>
      <c r="F134" s="5" t="str" cm="1">
        <f t="array" ref="F134">_xlfn.IFS(Healthcare!$E134&lt;5.7,"normal",Healthcare!$E134&lt;=6.4,"prediabetes",Healthcare!$E134&gt;=6.5,"diabetes")</f>
        <v>normal</v>
      </c>
      <c r="G134" s="5" t="s">
        <v>19</v>
      </c>
      <c r="H134" s="5" t="s">
        <v>19</v>
      </c>
      <c r="I134" s="5" t="s">
        <v>19</v>
      </c>
      <c r="J134" s="5">
        <v>1</v>
      </c>
      <c r="K134" s="5" t="s">
        <v>20</v>
      </c>
      <c r="L134" s="5" t="str">
        <f>VLOOKUP(Healthcare!$A134,hospital_details,2,0)</f>
        <v>16-Jun-1987</v>
      </c>
      <c r="M134" s="5">
        <f t="shared" ref="M134:M197" ca="1" si="791">VLOOKUP(A134,hospital_details,3,0)</f>
        <v>39</v>
      </c>
      <c r="N134" s="5">
        <f t="shared" ref="N134:N197" si="792">VLOOKUP($A134,hospital_details,4,0)</f>
        <v>3</v>
      </c>
      <c r="O134" s="6">
        <f t="shared" ref="O134:O197" si="793">VLOOKUP($A134,hospital_details,5,0)</f>
        <v>38924.04</v>
      </c>
      <c r="P134" s="5" t="str">
        <f t="shared" ref="P134:P197" si="794">VLOOKUP($A134,hospital_details,6,0)</f>
        <v>tier - 2</v>
      </c>
      <c r="Q134" s="5" t="str">
        <f t="shared" ref="Q134:Q197" si="795">VLOOKUP($A134,hospital_details,7,0)</f>
        <v>tier - 2</v>
      </c>
      <c r="R134" s="5" t="str">
        <f t="shared" ref="R134:R197" si="796">VLOOKUP($A134,hospital_details,8,0)</f>
        <v>R1011</v>
      </c>
    </row>
    <row r="135" spans="1:18" ht="14.4" customHeight="1" x14ac:dyDescent="0.3">
      <c r="A135" s="7" t="s">
        <v>154</v>
      </c>
      <c r="B135" s="7" t="str">
        <f>VLOOKUP($A135,[1]!Customer_Names[#Data],3,0)</f>
        <v xml:space="preserve">  Timothy</v>
      </c>
      <c r="C135" s="7">
        <v>41.12</v>
      </c>
      <c r="D135" s="7" t="str" cm="1">
        <f t="array" ref="D135">_xlfn.IFS(Healthcare!$C135&lt;18.5,"under weight",Healthcare!$C135&lt;=24.9,"Normal Weight",Healthcare!$C135&gt;=25,"overweight",Healthcare!$C135&gt;=30,"obese")</f>
        <v>overweight</v>
      </c>
      <c r="E135" s="7">
        <v>7.54</v>
      </c>
      <c r="F135" s="7" t="str" cm="1">
        <f t="array" ref="F135">_xlfn.IFS(Healthcare!$E135&lt;5.7,"normal",Healthcare!$E135&lt;=6.4,"prediabetes",Healthcare!$E135&gt;=6.5,"diabetes")</f>
        <v>diabetes</v>
      </c>
      <c r="G135" s="7" t="s">
        <v>20</v>
      </c>
      <c r="H135" s="7" t="s">
        <v>19</v>
      </c>
      <c r="I135" s="7" t="s">
        <v>19</v>
      </c>
      <c r="J135" s="7">
        <v>0</v>
      </c>
      <c r="K135" s="7" t="s">
        <v>20</v>
      </c>
      <c r="L135" s="7" t="str">
        <f>VLOOKUP(Healthcare!$A135,hospital_details,2,0)</f>
        <v>30-Jul-1967</v>
      </c>
      <c r="M135" s="7">
        <f t="shared" ref="M135:M198" ca="1" si="797">VLOOKUP(A135,hospital_details,3,0)</f>
        <v>59</v>
      </c>
      <c r="N135" s="7">
        <f t="shared" ref="N135:N198" si="798">VLOOKUP($A135,hospital_details,4,0)</f>
        <v>0</v>
      </c>
      <c r="O135" s="8">
        <f t="shared" ref="O135:O198" si="799">VLOOKUP($A135,hospital_details,5,0)</f>
        <v>38893.360000000001</v>
      </c>
      <c r="P135" s="7" t="str">
        <f t="shared" ref="P135:P198" si="800">VLOOKUP($A135,hospital_details,6,0)</f>
        <v>tier - 1</v>
      </c>
      <c r="Q135" s="7" t="str">
        <f t="shared" ref="Q135:Q198" si="801">VLOOKUP($A135,hospital_details,7,0)</f>
        <v>tier - 2</v>
      </c>
      <c r="R135" s="7" t="str">
        <f t="shared" ref="R135:R198" si="802">VLOOKUP($A135,hospital_details,8,0)</f>
        <v>R1011</v>
      </c>
    </row>
    <row r="136" spans="1:18" ht="14.4" customHeight="1" x14ac:dyDescent="0.3">
      <c r="A136" s="5" t="s">
        <v>155</v>
      </c>
      <c r="B136" s="5" t="str">
        <f>VLOOKUP($A136,[1]!Customer_Names[#Data],3,0)</f>
        <v xml:space="preserve">  Becky L</v>
      </c>
      <c r="C136" s="5">
        <v>38.39</v>
      </c>
      <c r="D136" s="5" t="str" cm="1">
        <f t="array" ref="D136">_xlfn.IFS(Healthcare!$C136&lt;18.5,"under weight",Healthcare!$C136&lt;=24.9,"Normal Weight",Healthcare!$C136&gt;=25,"overweight",Healthcare!$C136&gt;=30,"obese")</f>
        <v>overweight</v>
      </c>
      <c r="E136" s="5">
        <v>5.1100000000000003</v>
      </c>
      <c r="F136" s="5" t="str" cm="1">
        <f t="array" ref="F136">_xlfn.IFS(Healthcare!$E136&lt;5.7,"normal",Healthcare!$E136&lt;=6.4,"prediabetes",Healthcare!$E136&gt;=6.5,"diabetes")</f>
        <v>normal</v>
      </c>
      <c r="G136" s="5" t="s">
        <v>20</v>
      </c>
      <c r="H136" s="5" t="s">
        <v>19</v>
      </c>
      <c r="I136" s="5" t="s">
        <v>19</v>
      </c>
      <c r="J136" s="5">
        <v>1</v>
      </c>
      <c r="K136" s="5" t="s">
        <v>20</v>
      </c>
      <c r="L136" s="5" t="str">
        <f>VLOOKUP(Healthcare!$A136,hospital_details,2,0)</f>
        <v>6-Jun-1964</v>
      </c>
      <c r="M136" s="5">
        <f t="shared" ref="M136:M199" ca="1" si="803">VLOOKUP(A136,hospital_details,3,0)</f>
        <v>62</v>
      </c>
      <c r="N136" s="5">
        <f t="shared" ref="N136:N199" si="804">VLOOKUP($A136,hospital_details,4,0)</f>
        <v>0</v>
      </c>
      <c r="O136" s="6">
        <f t="shared" ref="O136:O199" si="805">VLOOKUP($A136,hospital_details,5,0)</f>
        <v>38869.25</v>
      </c>
      <c r="P136" s="5" t="str">
        <f t="shared" ref="P136:P199" si="806">VLOOKUP($A136,hospital_details,6,0)</f>
        <v>tier - 2</v>
      </c>
      <c r="Q136" s="5" t="str">
        <f t="shared" ref="Q136:Q199" si="807">VLOOKUP($A136,hospital_details,7,0)</f>
        <v>tier - 2</v>
      </c>
      <c r="R136" s="5" t="str">
        <f t="shared" ref="R136:R199" si="808">VLOOKUP($A136,hospital_details,8,0)</f>
        <v>R1011</v>
      </c>
    </row>
    <row r="137" spans="1:18" ht="14.4" customHeight="1" x14ac:dyDescent="0.3">
      <c r="A137" s="7" t="s">
        <v>156</v>
      </c>
      <c r="B137" s="7" t="str">
        <f>VLOOKUP($A137,[1]!Customer_Names[#Data],3,0)</f>
        <v xml:space="preserve">  Steph K</v>
      </c>
      <c r="C137" s="7">
        <v>46.85</v>
      </c>
      <c r="D137" s="7" t="str" cm="1">
        <f t="array" ref="D137">_xlfn.IFS(Healthcare!$C137&lt;18.5,"under weight",Healthcare!$C137&lt;=24.9,"Normal Weight",Healthcare!$C137&gt;=25,"overweight",Healthcare!$C137&gt;=30,"obese")</f>
        <v>overweight</v>
      </c>
      <c r="E137" s="7">
        <v>4.25</v>
      </c>
      <c r="F137" s="7" t="str" cm="1">
        <f t="array" ref="F137">_xlfn.IFS(Healthcare!$E137&lt;5.7,"normal",Healthcare!$E137&lt;=6.4,"prediabetes",Healthcare!$E137&gt;=6.5,"diabetes")</f>
        <v>normal</v>
      </c>
      <c r="G137" s="7" t="s">
        <v>19</v>
      </c>
      <c r="H137" s="7" t="s">
        <v>19</v>
      </c>
      <c r="I137" s="7" t="s">
        <v>29</v>
      </c>
      <c r="J137" s="7">
        <v>1</v>
      </c>
      <c r="K137" s="7" t="s">
        <v>20</v>
      </c>
      <c r="L137" s="7" t="str">
        <f>VLOOKUP(Healthcare!$A137,hospital_details,2,0)</f>
        <v>3-Dec-1979</v>
      </c>
      <c r="M137" s="7">
        <f t="shared" ref="M137:M200" ca="1" si="809">VLOOKUP(A137,hospital_details,3,0)</f>
        <v>46</v>
      </c>
      <c r="N137" s="7">
        <f t="shared" ref="N137:N200" si="810">VLOOKUP($A137,hospital_details,4,0)</f>
        <v>2</v>
      </c>
      <c r="O137" s="8">
        <f t="shared" ref="O137:O200" si="811">VLOOKUP($A137,hospital_details,5,0)</f>
        <v>38836.980000000003</v>
      </c>
      <c r="P137" s="7" t="str">
        <f t="shared" ref="P137:P200" si="812">VLOOKUP($A137,hospital_details,6,0)</f>
        <v>tier - 2</v>
      </c>
      <c r="Q137" s="7" t="str">
        <f t="shared" ref="Q137:Q200" si="813">VLOOKUP($A137,hospital_details,7,0)</f>
        <v>tier - 1</v>
      </c>
      <c r="R137" s="7" t="str">
        <f t="shared" ref="R137:R200" si="814">VLOOKUP($A137,hospital_details,8,0)</f>
        <v>R1011</v>
      </c>
    </row>
    <row r="138" spans="1:18" ht="14.4" customHeight="1" x14ac:dyDescent="0.3">
      <c r="A138" s="5" t="s">
        <v>157</v>
      </c>
      <c r="B138" s="5" t="str">
        <f>VLOOKUP($A138,[1]!Customer_Names[#Data],3,0)</f>
        <v xml:space="preserve">  Kristine B</v>
      </c>
      <c r="C138" s="5">
        <v>42.24</v>
      </c>
      <c r="D138" s="5" t="str" cm="1">
        <f t="array" ref="D138">_xlfn.IFS(Healthcare!$C138&lt;18.5,"under weight",Healthcare!$C138&lt;=24.9,"Normal Weight",Healthcare!$C138&gt;=25,"overweight",Healthcare!$C138&gt;=30,"obese")</f>
        <v>overweight</v>
      </c>
      <c r="E138" s="5">
        <v>5.55</v>
      </c>
      <c r="F138" s="5" t="str" cm="1">
        <f t="array" ref="F138">_xlfn.IFS(Healthcare!$E138&lt;5.7,"normal",Healthcare!$E138&lt;=6.4,"prediabetes",Healthcare!$E138&gt;=6.5,"diabetes")</f>
        <v>normal</v>
      </c>
      <c r="G138" s="5" t="s">
        <v>19</v>
      </c>
      <c r="H138" s="5" t="s">
        <v>20</v>
      </c>
      <c r="I138" s="5" t="s">
        <v>19</v>
      </c>
      <c r="J138" s="5">
        <v>1</v>
      </c>
      <c r="K138" s="5" t="s">
        <v>20</v>
      </c>
      <c r="L138" s="5" t="str">
        <f>VLOOKUP(Healthcare!$A138,hospital_details,2,0)</f>
        <v>5-Dec-2004</v>
      </c>
      <c r="M138" s="5">
        <f t="shared" ref="M138:M201" ca="1" si="815">VLOOKUP(A138,hospital_details,3,0)</f>
        <v>21</v>
      </c>
      <c r="N138" s="5">
        <f t="shared" ref="N138:N201" si="816">VLOOKUP($A138,hospital_details,4,0)</f>
        <v>0</v>
      </c>
      <c r="O138" s="6">
        <f t="shared" ref="O138:O201" si="817">VLOOKUP($A138,hospital_details,5,0)</f>
        <v>38792.69</v>
      </c>
      <c r="P138" s="5" t="str">
        <f t="shared" ref="P138:P201" si="818">VLOOKUP($A138,hospital_details,6,0)</f>
        <v>tier - 2</v>
      </c>
      <c r="Q138" s="5" t="str">
        <f t="shared" ref="Q138:Q201" si="819">VLOOKUP($A138,hospital_details,7,0)</f>
        <v>tier - 2</v>
      </c>
      <c r="R138" s="5" t="str">
        <f t="shared" ref="R138:R201" si="820">VLOOKUP($A138,hospital_details,8,0)</f>
        <v>R1013</v>
      </c>
    </row>
    <row r="139" spans="1:18" ht="14.4" customHeight="1" x14ac:dyDescent="0.3">
      <c r="A139" s="7" t="s">
        <v>158</v>
      </c>
      <c r="B139" s="7" t="str">
        <f>VLOOKUP($A139,[1]!Customer_Names[#Data],3,0)</f>
        <v xml:space="preserve">  Taylor B</v>
      </c>
      <c r="C139" s="7">
        <v>34.39</v>
      </c>
      <c r="D139" s="7" t="str" cm="1">
        <f t="array" ref="D139">_xlfn.IFS(Healthcare!$C139&lt;18.5,"under weight",Healthcare!$C139&lt;=24.9,"Normal Weight",Healthcare!$C139&gt;=25,"overweight",Healthcare!$C139&gt;=30,"obese")</f>
        <v>overweight</v>
      </c>
      <c r="E139" s="7">
        <v>5.78</v>
      </c>
      <c r="F139" s="7" t="str" cm="1">
        <f t="array" ref="F139">_xlfn.IFS(Healthcare!$E139&lt;5.7,"normal",Healthcare!$E139&lt;=6.4,"prediabetes",Healthcare!$E139&gt;=6.5,"diabetes")</f>
        <v>prediabetes</v>
      </c>
      <c r="G139" s="7" t="s">
        <v>19</v>
      </c>
      <c r="H139" s="7" t="s">
        <v>19</v>
      </c>
      <c r="I139" s="7" t="s">
        <v>19</v>
      </c>
      <c r="J139" s="7">
        <v>0</v>
      </c>
      <c r="K139" s="7" t="s">
        <v>20</v>
      </c>
      <c r="L139" s="7" t="str">
        <f>VLOOKUP(Healthcare!$A139,hospital_details,2,0)</f>
        <v>8-Nov-1991</v>
      </c>
      <c r="M139" s="7">
        <f t="shared" ref="M139:M202" ca="1" si="821">VLOOKUP(A139,hospital_details,3,0)</f>
        <v>34</v>
      </c>
      <c r="N139" s="7">
        <f t="shared" ref="N139:N202" si="822">VLOOKUP($A139,hospital_details,4,0)</f>
        <v>3</v>
      </c>
      <c r="O139" s="8">
        <f t="shared" ref="O139:O202" si="823">VLOOKUP($A139,hospital_details,5,0)</f>
        <v>38746.36</v>
      </c>
      <c r="P139" s="7" t="str">
        <f t="shared" ref="P139:P202" si="824">VLOOKUP($A139,hospital_details,6,0)</f>
        <v>tier - 1</v>
      </c>
      <c r="Q139" s="7" t="str">
        <f t="shared" ref="Q139:Q202" si="825">VLOOKUP($A139,hospital_details,7,0)</f>
        <v>tier - 2</v>
      </c>
      <c r="R139" s="7" t="str">
        <f t="shared" ref="R139:R202" si="826">VLOOKUP($A139,hospital_details,8,0)</f>
        <v>R1012</v>
      </c>
    </row>
    <row r="140" spans="1:18" ht="14.4" customHeight="1" x14ac:dyDescent="0.3">
      <c r="A140" s="5" t="s">
        <v>159</v>
      </c>
      <c r="B140" s="5" t="str">
        <f>VLOOKUP($A140,[1]!Customer_Names[#Data],3,0)</f>
        <v xml:space="preserve">  William</v>
      </c>
      <c r="C140" s="5">
        <v>42.89</v>
      </c>
      <c r="D140" s="5" t="str" cm="1">
        <f t="array" ref="D140">_xlfn.IFS(Healthcare!$C140&lt;18.5,"under weight",Healthcare!$C140&lt;=24.9,"Normal Weight",Healthcare!$C140&gt;=25,"overweight",Healthcare!$C140&gt;=30,"obese")</f>
        <v>overweight</v>
      </c>
      <c r="E140" s="5">
        <v>5.28</v>
      </c>
      <c r="F140" s="5" t="str" cm="1">
        <f t="array" ref="F140">_xlfn.IFS(Healthcare!$E140&lt;5.7,"normal",Healthcare!$E140&lt;=6.4,"prediabetes",Healthcare!$E140&gt;=6.5,"diabetes")</f>
        <v>normal</v>
      </c>
      <c r="G140" s="5" t="s">
        <v>20</v>
      </c>
      <c r="H140" s="5" t="s">
        <v>19</v>
      </c>
      <c r="I140" s="5" t="s">
        <v>19</v>
      </c>
      <c r="J140" s="5">
        <v>0</v>
      </c>
      <c r="K140" s="5" t="s">
        <v>20</v>
      </c>
      <c r="L140" s="5" t="str">
        <f>VLOOKUP(Healthcare!$A140,hospital_details,2,0)</f>
        <v>15-Jun-1976</v>
      </c>
      <c r="M140" s="5">
        <f t="shared" ref="M140:M203" ca="1" si="827">VLOOKUP(A140,hospital_details,3,0)</f>
        <v>50</v>
      </c>
      <c r="N140" s="5">
        <f t="shared" ref="N140:N203" si="828">VLOOKUP($A140,hospital_details,4,0)</f>
        <v>2</v>
      </c>
      <c r="O140" s="6">
        <f t="shared" ref="O140:O203" si="829">VLOOKUP($A140,hospital_details,5,0)</f>
        <v>38740.120000000003</v>
      </c>
      <c r="P140" s="5" t="str">
        <f t="shared" ref="P140:P203" si="830">VLOOKUP($A140,hospital_details,6,0)</f>
        <v>tier - 2</v>
      </c>
      <c r="Q140" s="5" t="str">
        <f t="shared" ref="Q140:Q203" si="831">VLOOKUP($A140,hospital_details,7,0)</f>
        <v>tier - 2</v>
      </c>
      <c r="R140" s="5" t="str">
        <f t="shared" ref="R140:R203" si="832">VLOOKUP($A140,hospital_details,8,0)</f>
        <v>R1012</v>
      </c>
    </row>
    <row r="141" spans="1:18" ht="14.4" customHeight="1" x14ac:dyDescent="0.3">
      <c r="A141" s="7" t="s">
        <v>160</v>
      </c>
      <c r="B141" s="7" t="str">
        <f>VLOOKUP($A141,[1]!Customer_Names[#Data],3,0)</f>
        <v xml:space="preserve">  Sage</v>
      </c>
      <c r="C141" s="7">
        <v>36.299999999999997</v>
      </c>
      <c r="D141" s="7" t="str" cm="1">
        <f t="array" ref="D141">_xlfn.IFS(Healthcare!$C141&lt;18.5,"under weight",Healthcare!$C141&lt;=24.9,"Normal Weight",Healthcare!$C141&gt;=25,"overweight",Healthcare!$C141&gt;=30,"obese")</f>
        <v>overweight</v>
      </c>
      <c r="E141" s="7">
        <v>5.39</v>
      </c>
      <c r="F141" s="7" t="str" cm="1">
        <f t="array" ref="F141">_xlfn.IFS(Healthcare!$E141&lt;5.7,"normal",Healthcare!$E141&lt;=6.4,"prediabetes",Healthcare!$E141&gt;=6.5,"diabetes")</f>
        <v>normal</v>
      </c>
      <c r="G141" s="7" t="s">
        <v>19</v>
      </c>
      <c r="H141" s="7" t="s">
        <v>19</v>
      </c>
      <c r="I141" s="7" t="s">
        <v>19</v>
      </c>
      <c r="J141" s="7">
        <v>0</v>
      </c>
      <c r="K141" s="7" t="s">
        <v>20</v>
      </c>
      <c r="L141" s="7" t="str">
        <f>VLOOKUP(Healthcare!$A141,hospital_details,2,0)</f>
        <v>2-Nov-1991</v>
      </c>
      <c r="M141" s="7">
        <f t="shared" ref="M141:M204" ca="1" si="833">VLOOKUP(A141,hospital_details,3,0)</f>
        <v>34</v>
      </c>
      <c r="N141" s="7">
        <f t="shared" ref="N141:N204" si="834">VLOOKUP($A141,hospital_details,4,0)</f>
        <v>2</v>
      </c>
      <c r="O141" s="8">
        <f t="shared" ref="O141:O204" si="835">VLOOKUP($A141,hospital_details,5,0)</f>
        <v>38711</v>
      </c>
      <c r="P141" s="7" t="str">
        <f t="shared" ref="P141:P204" si="836">VLOOKUP($A141,hospital_details,6,0)</f>
        <v>tier - 2</v>
      </c>
      <c r="Q141" s="7" t="str">
        <f t="shared" ref="Q141:Q204" si="837">VLOOKUP($A141,hospital_details,7,0)</f>
        <v>tier - 2</v>
      </c>
      <c r="R141" s="7" t="str">
        <f t="shared" ref="R141:R204" si="838">VLOOKUP($A141,hospital_details,8,0)</f>
        <v>R1011</v>
      </c>
    </row>
    <row r="142" spans="1:18" ht="14.4" customHeight="1" x14ac:dyDescent="0.3">
      <c r="A142" s="5" t="s">
        <v>161</v>
      </c>
      <c r="B142" s="5" t="str">
        <f>VLOOKUP($A142,[1]!Customer_Names[#Data],3,0)</f>
        <v xml:space="preserve">  Cole</v>
      </c>
      <c r="C142" s="5">
        <v>35.200000000000003</v>
      </c>
      <c r="D142" s="5" t="str" cm="1">
        <f t="array" ref="D142">_xlfn.IFS(Healthcare!$C142&lt;18.5,"under weight",Healthcare!$C142&lt;=24.9,"Normal Weight",Healthcare!$C142&gt;=25,"overweight",Healthcare!$C142&gt;=30,"obese")</f>
        <v>overweight</v>
      </c>
      <c r="E142" s="5">
        <v>8.01</v>
      </c>
      <c r="F142" s="5" t="str" cm="1">
        <f t="array" ref="F142">_xlfn.IFS(Healthcare!$E142&lt;5.7,"normal",Healthcare!$E142&lt;=6.4,"prediabetes",Healthcare!$E142&gt;=6.5,"diabetes")</f>
        <v>diabetes</v>
      </c>
      <c r="G142" s="5" t="s">
        <v>20</v>
      </c>
      <c r="H142" s="5" t="s">
        <v>19</v>
      </c>
      <c r="I142" s="5" t="s">
        <v>19</v>
      </c>
      <c r="J142" s="5">
        <v>1</v>
      </c>
      <c r="K142" s="5" t="s">
        <v>20</v>
      </c>
      <c r="L142" s="5" t="str">
        <f>VLOOKUP(Healthcare!$A142,hospital_details,2,0)</f>
        <v>20-Jul-1986</v>
      </c>
      <c r="M142" s="5">
        <f t="shared" ref="M142:M205" ca="1" si="839">VLOOKUP(A142,hospital_details,3,0)</f>
        <v>40</v>
      </c>
      <c r="N142" s="5">
        <f t="shared" ref="N142:N205" si="840">VLOOKUP($A142,hospital_details,4,0)</f>
        <v>1</v>
      </c>
      <c r="O142" s="6">
        <f t="shared" ref="O142:O205" si="841">VLOOKUP($A142,hospital_details,5,0)</f>
        <v>38709.18</v>
      </c>
      <c r="P142" s="5" t="str">
        <f t="shared" ref="P142:P205" si="842">VLOOKUP($A142,hospital_details,6,0)</f>
        <v>tier - 1</v>
      </c>
      <c r="Q142" s="5" t="str">
        <f t="shared" ref="Q142:Q205" si="843">VLOOKUP($A142,hospital_details,7,0)</f>
        <v>tier - 3</v>
      </c>
      <c r="R142" s="5" t="str">
        <f t="shared" ref="R142:R205" si="844">VLOOKUP($A142,hospital_details,8,0)</f>
        <v>R1013</v>
      </c>
    </row>
    <row r="143" spans="1:18" ht="14.4" customHeight="1" x14ac:dyDescent="0.3">
      <c r="A143" s="7" t="s">
        <v>162</v>
      </c>
      <c r="B143" s="7" t="str">
        <f>VLOOKUP($A143,[1]!Customer_Names[#Data],3,0)</f>
        <v xml:space="preserve">  Jesse</v>
      </c>
      <c r="C143" s="7">
        <v>53.62</v>
      </c>
      <c r="D143" s="7" t="str" cm="1">
        <f t="array" ref="D143">_xlfn.IFS(Healthcare!$C143&lt;18.5,"under weight",Healthcare!$C143&lt;=24.9,"Normal Weight",Healthcare!$C143&gt;=25,"overweight",Healthcare!$C143&gt;=30,"obese")</f>
        <v>overweight</v>
      </c>
      <c r="E143" s="7">
        <v>5.21</v>
      </c>
      <c r="F143" s="7" t="str" cm="1">
        <f t="array" ref="F143">_xlfn.IFS(Healthcare!$E143&lt;5.7,"normal",Healthcare!$E143&lt;=6.4,"prediabetes",Healthcare!$E143&gt;=6.5,"diabetes")</f>
        <v>normal</v>
      </c>
      <c r="G143" s="7" t="s">
        <v>19</v>
      </c>
      <c r="H143" s="7" t="s">
        <v>19</v>
      </c>
      <c r="I143" s="7" t="s">
        <v>19</v>
      </c>
      <c r="J143" s="7">
        <v>0</v>
      </c>
      <c r="K143" s="7" t="s">
        <v>20</v>
      </c>
      <c r="L143" s="7" t="str">
        <f>VLOOKUP(Healthcare!$A143,hospital_details,2,0)</f>
        <v>13-Jul-1990</v>
      </c>
      <c r="M143" s="7">
        <f t="shared" ref="M143:M206" ca="1" si="845">VLOOKUP(A143,hospital_details,3,0)</f>
        <v>36</v>
      </c>
      <c r="N143" s="7">
        <f t="shared" ref="N143:N206" si="846">VLOOKUP($A143,hospital_details,4,0)</f>
        <v>3</v>
      </c>
      <c r="O143" s="8">
        <f t="shared" ref="O143:O206" si="847">VLOOKUP($A143,hospital_details,5,0)</f>
        <v>38652.089999999997</v>
      </c>
      <c r="P143" s="7" t="str">
        <f t="shared" ref="P143:P206" si="848">VLOOKUP($A143,hospital_details,6,0)</f>
        <v>tier - 2</v>
      </c>
      <c r="Q143" s="7" t="str">
        <f t="shared" ref="Q143:Q206" si="849">VLOOKUP($A143,hospital_details,7,0)</f>
        <v>tier - 2</v>
      </c>
      <c r="R143" s="7" t="str">
        <f t="shared" ref="R143:R206" si="850">VLOOKUP($A143,hospital_details,8,0)</f>
        <v>R1011</v>
      </c>
    </row>
    <row r="144" spans="1:18" ht="14.4" customHeight="1" x14ac:dyDescent="0.3">
      <c r="A144" s="5" t="s">
        <v>163</v>
      </c>
      <c r="B144" s="5" t="str">
        <f>VLOOKUP($A144,[1]!Customer_Names[#Data],3,0)</f>
        <v xml:space="preserve">  Tammi J</v>
      </c>
      <c r="C144" s="5">
        <v>36.67</v>
      </c>
      <c r="D144" s="5" t="str" cm="1">
        <f t="array" ref="D144">_xlfn.IFS(Healthcare!$C144&lt;18.5,"under weight",Healthcare!$C144&lt;=24.9,"Normal Weight",Healthcare!$C144&gt;=25,"overweight",Healthcare!$C144&gt;=30,"obese")</f>
        <v>overweight</v>
      </c>
      <c r="E144" s="5">
        <v>6.27</v>
      </c>
      <c r="F144" s="5" t="str" cm="1">
        <f t="array" ref="F144">_xlfn.IFS(Healthcare!$E144&lt;5.7,"normal",Healthcare!$E144&lt;=6.4,"prediabetes",Healthcare!$E144&gt;=6.5,"diabetes")</f>
        <v>prediabetes</v>
      </c>
      <c r="G144" s="5" t="s">
        <v>19</v>
      </c>
      <c r="H144" s="5" t="s">
        <v>19</v>
      </c>
      <c r="I144" s="5" t="s">
        <v>19</v>
      </c>
      <c r="J144" s="5">
        <v>0</v>
      </c>
      <c r="K144" s="5" t="s">
        <v>20</v>
      </c>
      <c r="L144" s="5" t="str">
        <f>VLOOKUP(Healthcare!$A144,hospital_details,2,0)</f>
        <v>12-Nov-1999</v>
      </c>
      <c r="M144" s="5">
        <f t="shared" ref="M144:M207" ca="1" si="851">VLOOKUP(A144,hospital_details,3,0)</f>
        <v>26</v>
      </c>
      <c r="N144" s="5">
        <f t="shared" ref="N144:N207" si="852">VLOOKUP($A144,hospital_details,4,0)</f>
        <v>2</v>
      </c>
      <c r="O144" s="6">
        <f t="shared" ref="O144:O207" si="853">VLOOKUP($A144,hospital_details,5,0)</f>
        <v>38511.629999999997</v>
      </c>
      <c r="P144" s="5" t="str">
        <f t="shared" ref="P144:P207" si="854">VLOOKUP($A144,hospital_details,6,0)</f>
        <v>tier - 2</v>
      </c>
      <c r="Q144" s="5" t="str">
        <f t="shared" ref="Q144:Q207" si="855">VLOOKUP($A144,hospital_details,7,0)</f>
        <v>tier - 2</v>
      </c>
      <c r="R144" s="5" t="str">
        <f t="shared" ref="R144:R207" si="856">VLOOKUP($A144,hospital_details,8,0)</f>
        <v>R1024</v>
      </c>
    </row>
    <row r="145" spans="1:18" ht="14.4" customHeight="1" x14ac:dyDescent="0.3">
      <c r="A145" s="7" t="s">
        <v>164</v>
      </c>
      <c r="B145" s="7" t="str">
        <f>VLOOKUP($A145,[1]!Customer_Names[#Data],3,0)</f>
        <v xml:space="preserve">  Matthew S</v>
      </c>
      <c r="C145" s="7">
        <v>33.4</v>
      </c>
      <c r="D145" s="7" t="str" cm="1">
        <f t="array" ref="D145">_xlfn.IFS(Healthcare!$C145&lt;18.5,"under weight",Healthcare!$C145&lt;=24.9,"Normal Weight",Healthcare!$C145&gt;=25,"overweight",Healthcare!$C145&gt;=30,"obese")</f>
        <v>overweight</v>
      </c>
      <c r="E145" s="7">
        <v>10.73</v>
      </c>
      <c r="F145" s="7" t="str" cm="1">
        <f t="array" ref="F145">_xlfn.IFS(Healthcare!$E145&lt;5.7,"normal",Healthcare!$E145&lt;=6.4,"prediabetes",Healthcare!$E145&gt;=6.5,"diabetes")</f>
        <v>diabetes</v>
      </c>
      <c r="G145" s="7" t="s">
        <v>20</v>
      </c>
      <c r="H145" s="7" t="s">
        <v>19</v>
      </c>
      <c r="I145" s="7" t="s">
        <v>19</v>
      </c>
      <c r="J145" s="7">
        <v>1</v>
      </c>
      <c r="K145" s="7" t="s">
        <v>20</v>
      </c>
      <c r="L145" s="7" t="str">
        <f>VLOOKUP(Healthcare!$A145,hospital_details,2,0)</f>
        <v>21-Jun-1986</v>
      </c>
      <c r="M145" s="7">
        <f t="shared" ref="M145:M208" ca="1" si="857">VLOOKUP(A145,hospital_details,3,0)</f>
        <v>40</v>
      </c>
      <c r="N145" s="7">
        <f t="shared" ref="N145:N208" si="858">VLOOKUP($A145,hospital_details,4,0)</f>
        <v>2</v>
      </c>
      <c r="O145" s="8">
        <f t="shared" ref="O145:O208" si="859">VLOOKUP($A145,hospital_details,5,0)</f>
        <v>38415.47</v>
      </c>
      <c r="P145" s="7" t="str">
        <f t="shared" ref="P145:P208" si="860">VLOOKUP($A145,hospital_details,6,0)</f>
        <v>tier - 1</v>
      </c>
      <c r="Q145" s="7" t="str">
        <f t="shared" ref="Q145:Q208" si="861">VLOOKUP($A145,hospital_details,7,0)</f>
        <v>tier - 2</v>
      </c>
      <c r="R145" s="7" t="str">
        <f t="shared" ref="R145:R208" si="862">VLOOKUP($A145,hospital_details,8,0)</f>
        <v>R1011</v>
      </c>
    </row>
    <row r="146" spans="1:18" ht="14.4" customHeight="1" x14ac:dyDescent="0.3">
      <c r="A146" s="5" t="s">
        <v>165</v>
      </c>
      <c r="B146" s="5" t="str">
        <f>VLOOKUP($A146,[1]!Customer_Names[#Data],3,0)</f>
        <v xml:space="preserve">  Eric</v>
      </c>
      <c r="C146" s="5">
        <v>42.71</v>
      </c>
      <c r="D146" s="5" t="str" cm="1">
        <f t="array" ref="D146">_xlfn.IFS(Healthcare!$C146&lt;18.5,"under weight",Healthcare!$C146&lt;=24.9,"Normal Weight",Healthcare!$C146&gt;=25,"overweight",Healthcare!$C146&gt;=30,"obese")</f>
        <v>overweight</v>
      </c>
      <c r="E146" s="5">
        <v>10.52</v>
      </c>
      <c r="F146" s="5" t="str" cm="1">
        <f t="array" ref="F146">_xlfn.IFS(Healthcare!$E146&lt;5.7,"normal",Healthcare!$E146&lt;=6.4,"prediabetes",Healthcare!$E146&gt;=6.5,"diabetes")</f>
        <v>diabetes</v>
      </c>
      <c r="G146" s="5" t="s">
        <v>19</v>
      </c>
      <c r="H146" s="5" t="s">
        <v>19</v>
      </c>
      <c r="I146" s="5" t="s">
        <v>19</v>
      </c>
      <c r="J146" s="5">
        <v>0</v>
      </c>
      <c r="K146" s="5" t="s">
        <v>20</v>
      </c>
      <c r="L146" s="5" t="str">
        <f>VLOOKUP(Healthcare!$A146,hospital_details,2,0)</f>
        <v>23-Dec-1971</v>
      </c>
      <c r="M146" s="5">
        <f t="shared" ref="M146:M209" ca="1" si="863">VLOOKUP(A146,hospital_details,3,0)</f>
        <v>54</v>
      </c>
      <c r="N146" s="5">
        <f t="shared" ref="N146:N209" si="864">VLOOKUP($A146,hospital_details,4,0)</f>
        <v>0</v>
      </c>
      <c r="O146" s="6">
        <f t="shared" ref="O146:O209" si="865">VLOOKUP($A146,hospital_details,5,0)</f>
        <v>38405.26</v>
      </c>
      <c r="P146" s="5" t="str">
        <f t="shared" ref="P146:P209" si="866">VLOOKUP($A146,hospital_details,6,0)</f>
        <v>tier - 2</v>
      </c>
      <c r="Q146" s="5" t="str">
        <f t="shared" ref="Q146:Q209" si="867">VLOOKUP($A146,hospital_details,7,0)</f>
        <v>tier - 1</v>
      </c>
      <c r="R146" s="5" t="str">
        <f t="shared" ref="R146:R209" si="868">VLOOKUP($A146,hospital_details,8,0)</f>
        <v>R1011</v>
      </c>
    </row>
    <row r="147" spans="1:18" ht="14.4" customHeight="1" x14ac:dyDescent="0.3">
      <c r="A147" s="7" t="s">
        <v>166</v>
      </c>
      <c r="B147" s="7" t="str">
        <f>VLOOKUP($A147,[1]!Customer_Names[#Data],3,0)</f>
        <v xml:space="preserve">  Valeria R</v>
      </c>
      <c r="C147" s="7">
        <v>41.52</v>
      </c>
      <c r="D147" s="7" t="str" cm="1">
        <f t="array" ref="D147">_xlfn.IFS(Healthcare!$C147&lt;18.5,"under weight",Healthcare!$C147&lt;=24.9,"Normal Weight",Healthcare!$C147&gt;=25,"overweight",Healthcare!$C147&gt;=30,"obese")</f>
        <v>overweight</v>
      </c>
      <c r="E147" s="7">
        <v>11.82</v>
      </c>
      <c r="F147" s="7" t="str" cm="1">
        <f t="array" ref="F147">_xlfn.IFS(Healthcare!$E147&lt;5.7,"normal",Healthcare!$E147&lt;=6.4,"prediabetes",Healthcare!$E147&gt;=6.5,"diabetes")</f>
        <v>diabetes</v>
      </c>
      <c r="G147" s="7" t="s">
        <v>20</v>
      </c>
      <c r="H147" s="7" t="s">
        <v>19</v>
      </c>
      <c r="I147" s="7" t="s">
        <v>19</v>
      </c>
      <c r="J147" s="7">
        <v>2</v>
      </c>
      <c r="K147" s="7" t="s">
        <v>20</v>
      </c>
      <c r="L147" s="7" t="str">
        <f>VLOOKUP(Healthcare!$A147,hospital_details,2,0)</f>
        <v>22-Aug-1970</v>
      </c>
      <c r="M147" s="7">
        <f t="shared" ref="M147:M210" ca="1" si="869">VLOOKUP(A147,hospital_details,3,0)</f>
        <v>56</v>
      </c>
      <c r="N147" s="7">
        <f t="shared" ref="N147:N210" si="870">VLOOKUP($A147,hospital_details,4,0)</f>
        <v>0</v>
      </c>
      <c r="O147" s="8">
        <f t="shared" ref="O147:O210" si="871">VLOOKUP($A147,hospital_details,5,0)</f>
        <v>38389.79</v>
      </c>
      <c r="P147" s="7" t="str">
        <f t="shared" ref="P147:P210" si="872">VLOOKUP($A147,hospital_details,6,0)</f>
        <v>tier - 2</v>
      </c>
      <c r="Q147" s="7" t="str">
        <f t="shared" ref="Q147:Q210" si="873">VLOOKUP($A147,hospital_details,7,0)</f>
        <v>tier - 3</v>
      </c>
      <c r="R147" s="7" t="str">
        <f t="shared" ref="R147:R210" si="874">VLOOKUP($A147,hospital_details,8,0)</f>
        <v>R1011</v>
      </c>
    </row>
    <row r="148" spans="1:18" ht="14.4" customHeight="1" x14ac:dyDescent="0.3">
      <c r="A148" s="5" t="s">
        <v>167</v>
      </c>
      <c r="B148" s="5" t="str">
        <f>VLOOKUP($A148,[1]!Customer_Names[#Data],3,0)</f>
        <v xml:space="preserve">  Michael P</v>
      </c>
      <c r="C148" s="5">
        <v>39.4</v>
      </c>
      <c r="D148" s="5" t="str" cm="1">
        <f t="array" ref="D148">_xlfn.IFS(Healthcare!$C148&lt;18.5,"under weight",Healthcare!$C148&lt;=24.9,"Normal Weight",Healthcare!$C148&gt;=25,"overweight",Healthcare!$C148&gt;=30,"obese")</f>
        <v>overweight</v>
      </c>
      <c r="E148" s="5">
        <v>6.76</v>
      </c>
      <c r="F148" s="5" t="str" cm="1">
        <f t="array" ref="F148">_xlfn.IFS(Healthcare!$E148&lt;5.7,"normal",Healthcare!$E148&lt;=6.4,"prediabetes",Healthcare!$E148&gt;=6.5,"diabetes")</f>
        <v>diabetes</v>
      </c>
      <c r="G148" s="5" t="s">
        <v>19</v>
      </c>
      <c r="H148" s="5" t="s">
        <v>19</v>
      </c>
      <c r="I148" s="5" t="s">
        <v>19</v>
      </c>
      <c r="J148" s="5">
        <v>0</v>
      </c>
      <c r="K148" s="5" t="s">
        <v>20</v>
      </c>
      <c r="L148" s="5" t="str">
        <f>VLOOKUP(Healthcare!$A148,hospital_details,2,0)</f>
        <v>17-Sep-2002</v>
      </c>
      <c r="M148" s="5">
        <f t="shared" ref="M148:M211" ca="1" si="875">VLOOKUP(A148,hospital_details,3,0)</f>
        <v>24</v>
      </c>
      <c r="N148" s="5">
        <f t="shared" ref="N148:N211" si="876">VLOOKUP($A148,hospital_details,4,0)</f>
        <v>2</v>
      </c>
      <c r="O148" s="6">
        <f t="shared" ref="O148:O211" si="877">VLOOKUP($A148,hospital_details,5,0)</f>
        <v>38344.57</v>
      </c>
      <c r="P148" s="5" t="str">
        <f t="shared" ref="P148:P211" si="878">VLOOKUP($A148,hospital_details,6,0)</f>
        <v>tier - 1</v>
      </c>
      <c r="Q148" s="5" t="str">
        <f t="shared" ref="Q148:Q211" si="879">VLOOKUP($A148,hospital_details,7,0)</f>
        <v>tier - 3</v>
      </c>
      <c r="R148" s="5" t="str">
        <f t="shared" ref="R148:R211" si="880">VLOOKUP($A148,hospital_details,8,0)</f>
        <v>R1011</v>
      </c>
    </row>
    <row r="149" spans="1:18" ht="14.4" customHeight="1" x14ac:dyDescent="0.3">
      <c r="A149" s="7" t="s">
        <v>168</v>
      </c>
      <c r="B149" s="7" t="str">
        <f>VLOOKUP($A149,[1]!Customer_Names[#Data],3,0)</f>
        <v xml:space="preserve">  Rami</v>
      </c>
      <c r="C149" s="7">
        <v>46.45</v>
      </c>
      <c r="D149" s="7" t="str" cm="1">
        <f t="array" ref="D149">_xlfn.IFS(Healthcare!$C149&lt;18.5,"under weight",Healthcare!$C149&lt;=24.9,"Normal Weight",Healthcare!$C149&gt;=25,"overweight",Healthcare!$C149&gt;=30,"obese")</f>
        <v>overweight</v>
      </c>
      <c r="E149" s="7">
        <v>5.62</v>
      </c>
      <c r="F149" s="7" t="str" cm="1">
        <f t="array" ref="F149">_xlfn.IFS(Healthcare!$E149&lt;5.7,"normal",Healthcare!$E149&lt;=6.4,"prediabetes",Healthcare!$E149&gt;=6.5,"diabetes")</f>
        <v>normal</v>
      </c>
      <c r="G149" s="7" t="s">
        <v>19</v>
      </c>
      <c r="H149" s="7" t="s">
        <v>19</v>
      </c>
      <c r="I149" s="7" t="s">
        <v>19</v>
      </c>
      <c r="J149" s="7">
        <v>0</v>
      </c>
      <c r="K149" s="7" t="s">
        <v>20</v>
      </c>
      <c r="L149" s="7" t="str">
        <f>VLOOKUP(Healthcare!$A149,hospital_details,2,0)</f>
        <v>12-Jun-1980</v>
      </c>
      <c r="M149" s="7">
        <f t="shared" ref="M149:M212" ca="1" si="881">VLOOKUP(A149,hospital_details,3,0)</f>
        <v>46</v>
      </c>
      <c r="N149" s="7">
        <f t="shared" ref="N149:N212" si="882">VLOOKUP($A149,hospital_details,4,0)</f>
        <v>2</v>
      </c>
      <c r="O149" s="8">
        <f t="shared" ref="O149:O212" si="883">VLOOKUP($A149,hospital_details,5,0)</f>
        <v>38313.129999999997</v>
      </c>
      <c r="P149" s="7" t="str">
        <f t="shared" ref="P149:P212" si="884">VLOOKUP($A149,hospital_details,6,0)</f>
        <v>tier - 1</v>
      </c>
      <c r="Q149" s="7" t="str">
        <f t="shared" ref="Q149:Q212" si="885">VLOOKUP($A149,hospital_details,7,0)</f>
        <v>tier - 3</v>
      </c>
      <c r="R149" s="7" t="str">
        <f t="shared" ref="R149:R212" si="886">VLOOKUP($A149,hospital_details,8,0)</f>
        <v>R1011</v>
      </c>
    </row>
    <row r="150" spans="1:18" ht="14.4" customHeight="1" x14ac:dyDescent="0.3">
      <c r="A150" s="5" t="s">
        <v>169</v>
      </c>
      <c r="B150" s="5" t="str">
        <f>VLOOKUP($A150,[1]!Customer_Names[#Data],3,0)</f>
        <v xml:space="preserve">  Denis</v>
      </c>
      <c r="C150" s="5">
        <v>35.75</v>
      </c>
      <c r="D150" s="5" t="str" cm="1">
        <f t="array" ref="D150">_xlfn.IFS(Healthcare!$C150&lt;18.5,"under weight",Healthcare!$C150&lt;=24.9,"Normal Weight",Healthcare!$C150&gt;=25,"overweight",Healthcare!$C150&gt;=30,"obese")</f>
        <v>overweight</v>
      </c>
      <c r="E150" s="5">
        <v>4.1900000000000004</v>
      </c>
      <c r="F150" s="5" t="str" cm="1">
        <f t="array" ref="F150">_xlfn.IFS(Healthcare!$E150&lt;5.7,"normal",Healthcare!$E150&lt;=6.4,"prediabetes",Healthcare!$E150&gt;=6.5,"diabetes")</f>
        <v>normal</v>
      </c>
      <c r="G150" s="5" t="s">
        <v>19</v>
      </c>
      <c r="H150" s="5" t="s">
        <v>19</v>
      </c>
      <c r="I150" s="5" t="s">
        <v>19</v>
      </c>
      <c r="J150" s="5">
        <v>0</v>
      </c>
      <c r="K150" s="5" t="s">
        <v>20</v>
      </c>
      <c r="L150" s="5" t="str">
        <f>VLOOKUP(Healthcare!$A150,hospital_details,2,0)</f>
        <v>30-Oct-1989</v>
      </c>
      <c r="M150" s="5">
        <f t="shared" ref="M150:M213" ca="1" si="887">VLOOKUP(A150,hospital_details,3,0)</f>
        <v>36</v>
      </c>
      <c r="N150" s="5">
        <f t="shared" ref="N150:N213" si="888">VLOOKUP($A150,hospital_details,4,0)</f>
        <v>1</v>
      </c>
      <c r="O150" s="6">
        <f t="shared" ref="O150:O213" si="889">VLOOKUP($A150,hospital_details,5,0)</f>
        <v>38282.75</v>
      </c>
      <c r="P150" s="5" t="str">
        <f t="shared" ref="P150:P213" si="890">VLOOKUP($A150,hospital_details,6,0)</f>
        <v>tier - 1</v>
      </c>
      <c r="Q150" s="5" t="str">
        <f t="shared" ref="Q150:Q213" si="891">VLOOKUP($A150,hospital_details,7,0)</f>
        <v>tier - 2</v>
      </c>
      <c r="R150" s="5" t="str">
        <f t="shared" ref="R150:R213" si="892">VLOOKUP($A150,hospital_details,8,0)</f>
        <v>R1013</v>
      </c>
    </row>
    <row r="151" spans="1:18" ht="14.4" customHeight="1" x14ac:dyDescent="0.3">
      <c r="A151" s="7" t="s">
        <v>170</v>
      </c>
      <c r="B151" s="7" t="str">
        <f>VLOOKUP($A151,[1]!Customer_Names[#Data],3,0)</f>
        <v xml:space="preserve">  Brian E</v>
      </c>
      <c r="C151" s="7">
        <v>26.07</v>
      </c>
      <c r="D151" s="7" t="str" cm="1">
        <f t="array" ref="D151">_xlfn.IFS(Healthcare!$C151&lt;18.5,"under weight",Healthcare!$C151&lt;=24.9,"Normal Weight",Healthcare!$C151&gt;=25,"overweight",Healthcare!$C151&gt;=30,"obese")</f>
        <v>overweight</v>
      </c>
      <c r="E151" s="7">
        <v>5.32</v>
      </c>
      <c r="F151" s="7" t="str" cm="1">
        <f t="array" ref="F151">_xlfn.IFS(Healthcare!$E151&lt;5.7,"normal",Healthcare!$E151&lt;=6.4,"prediabetes",Healthcare!$E151&gt;=6.5,"diabetes")</f>
        <v>normal</v>
      </c>
      <c r="G151" s="7" t="s">
        <v>19</v>
      </c>
      <c r="H151" s="7" t="s">
        <v>19</v>
      </c>
      <c r="I151" s="7" t="s">
        <v>19</v>
      </c>
      <c r="J151" s="7">
        <v>0</v>
      </c>
      <c r="K151" s="7" t="s">
        <v>20</v>
      </c>
      <c r="L151" s="7" t="str">
        <f>VLOOKUP(Healthcare!$A151,hospital_details,2,0)</f>
        <v>16-Aug-1980</v>
      </c>
      <c r="M151" s="7">
        <f t="shared" ref="M151:M214" ca="1" si="893">VLOOKUP(A151,hospital_details,3,0)</f>
        <v>46</v>
      </c>
      <c r="N151" s="7">
        <f t="shared" ref="N151:N214" si="894">VLOOKUP($A151,hospital_details,4,0)</f>
        <v>1</v>
      </c>
      <c r="O151" s="8">
        <f t="shared" ref="O151:O214" si="895">VLOOKUP($A151,hospital_details,5,0)</f>
        <v>38245.589999999997</v>
      </c>
      <c r="P151" s="7" t="str">
        <f t="shared" ref="P151:P214" si="896">VLOOKUP($A151,hospital_details,6,0)</f>
        <v>tier - 1</v>
      </c>
      <c r="Q151" s="7" t="str">
        <f t="shared" ref="Q151:Q214" si="897">VLOOKUP($A151,hospital_details,7,0)</f>
        <v>tier - 2</v>
      </c>
      <c r="R151" s="7" t="str">
        <f t="shared" ref="R151:R214" si="898">VLOOKUP($A151,hospital_details,8,0)</f>
        <v>R1013</v>
      </c>
    </row>
    <row r="152" spans="1:18" ht="14.4" customHeight="1" x14ac:dyDescent="0.3">
      <c r="A152" s="5" t="s">
        <v>171</v>
      </c>
      <c r="B152" s="5" t="str">
        <f>VLOOKUP($A152,[1]!Customer_Names[#Data],3,0)</f>
        <v xml:space="preserve">  Bonnie</v>
      </c>
      <c r="C152" s="5">
        <v>36.54</v>
      </c>
      <c r="D152" s="5" t="str" cm="1">
        <f t="array" ref="D152">_xlfn.IFS(Healthcare!$C152&lt;18.5,"under weight",Healthcare!$C152&lt;=24.9,"Normal Weight",Healthcare!$C152&gt;=25,"overweight",Healthcare!$C152&gt;=30,"obese")</f>
        <v>overweight</v>
      </c>
      <c r="E152" s="5">
        <v>4.46</v>
      </c>
      <c r="F152" s="5" t="str" cm="1">
        <f t="array" ref="F152">_xlfn.IFS(Healthcare!$E152&lt;5.7,"normal",Healthcare!$E152&lt;=6.4,"prediabetes",Healthcare!$E152&gt;=6.5,"diabetes")</f>
        <v>normal</v>
      </c>
      <c r="G152" s="5" t="s">
        <v>20</v>
      </c>
      <c r="H152" s="5" t="s">
        <v>19</v>
      </c>
      <c r="I152" s="5" t="s">
        <v>19</v>
      </c>
      <c r="J152" s="5">
        <v>1</v>
      </c>
      <c r="K152" s="5" t="s">
        <v>20</v>
      </c>
      <c r="L152" s="5" t="str">
        <f>VLOOKUP(Healthcare!$A152,hospital_details,2,0)</f>
        <v>16-Jun-1964</v>
      </c>
      <c r="M152" s="5">
        <f t="shared" ref="M152:M215" ca="1" si="899">VLOOKUP(A152,hospital_details,3,0)</f>
        <v>62</v>
      </c>
      <c r="N152" s="5">
        <f t="shared" ref="N152:N215" si="900">VLOOKUP($A152,hospital_details,4,0)</f>
        <v>0</v>
      </c>
      <c r="O152" s="6">
        <f t="shared" ref="O152:O215" si="901">VLOOKUP($A152,hospital_details,5,0)</f>
        <v>38241.74</v>
      </c>
      <c r="P152" s="5" t="str">
        <f t="shared" ref="P152:P215" si="902">VLOOKUP($A152,hospital_details,6,0)</f>
        <v>tier - 2</v>
      </c>
      <c r="Q152" s="5" t="str">
        <f t="shared" ref="Q152:Q215" si="903">VLOOKUP($A152,hospital_details,7,0)</f>
        <v>tier - 3</v>
      </c>
      <c r="R152" s="5" t="str">
        <f t="shared" ref="R152:R215" si="904">VLOOKUP($A152,hospital_details,8,0)</f>
        <v>R1011</v>
      </c>
    </row>
    <row r="153" spans="1:18" ht="14.4" customHeight="1" x14ac:dyDescent="0.3">
      <c r="A153" s="7" t="s">
        <v>172</v>
      </c>
      <c r="B153" s="7" t="str">
        <f>VLOOKUP($A153,[1]!Customer_Names[#Data],3,0)</f>
        <v xml:space="preserve">  Michael P</v>
      </c>
      <c r="C153" s="7">
        <v>51.64</v>
      </c>
      <c r="D153" s="7" t="str" cm="1">
        <f t="array" ref="D153">_xlfn.IFS(Healthcare!$C153&lt;18.5,"under weight",Healthcare!$C153&lt;=24.9,"Normal Weight",Healthcare!$C153&gt;=25,"overweight",Healthcare!$C153&gt;=30,"obese")</f>
        <v>overweight</v>
      </c>
      <c r="E153" s="7">
        <v>5.65</v>
      </c>
      <c r="F153" s="7" t="str" cm="1">
        <f t="array" ref="F153">_xlfn.IFS(Healthcare!$E153&lt;5.7,"normal",Healthcare!$E153&lt;=6.4,"prediabetes",Healthcare!$E153&gt;=6.5,"diabetes")</f>
        <v>normal</v>
      </c>
      <c r="G153" s="7" t="s">
        <v>19</v>
      </c>
      <c r="H153" s="7" t="s">
        <v>19</v>
      </c>
      <c r="I153" s="7" t="s">
        <v>19</v>
      </c>
      <c r="J153" s="7">
        <v>0</v>
      </c>
      <c r="K153" s="7" t="s">
        <v>20</v>
      </c>
      <c r="L153" s="7" t="str">
        <f>VLOOKUP(Healthcare!$A153,hospital_details,2,0)</f>
        <v>8-Sep-1989</v>
      </c>
      <c r="M153" s="7">
        <f t="shared" ref="M153:M216" ca="1" si="905">VLOOKUP(A153,hospital_details,3,0)</f>
        <v>37</v>
      </c>
      <c r="N153" s="7">
        <f t="shared" ref="N153:N216" si="906">VLOOKUP($A153,hospital_details,4,0)</f>
        <v>3</v>
      </c>
      <c r="O153" s="8">
        <f t="shared" ref="O153:O216" si="907">VLOOKUP($A153,hospital_details,5,0)</f>
        <v>38237.339999999997</v>
      </c>
      <c r="P153" s="7" t="str">
        <f t="shared" ref="P153:P216" si="908">VLOOKUP($A153,hospital_details,6,0)</f>
        <v>tier - 2</v>
      </c>
      <c r="Q153" s="7" t="str">
        <f t="shared" ref="Q153:Q216" si="909">VLOOKUP($A153,hospital_details,7,0)</f>
        <v>tier - 3</v>
      </c>
      <c r="R153" s="7" t="str">
        <f t="shared" ref="R153:R216" si="910">VLOOKUP($A153,hospital_details,8,0)</f>
        <v>R1011</v>
      </c>
    </row>
    <row r="154" spans="1:18" ht="14.4" customHeight="1" x14ac:dyDescent="0.3">
      <c r="A154" s="5" t="s">
        <v>173</v>
      </c>
      <c r="B154" s="5" t="str">
        <f>VLOOKUP($A154,[1]!Customer_Names[#Data],3,0)</f>
        <v xml:space="preserve">  Paul</v>
      </c>
      <c r="C154" s="5">
        <v>42.83</v>
      </c>
      <c r="D154" s="5" t="str" cm="1">
        <f t="array" ref="D154">_xlfn.IFS(Healthcare!$C154&lt;18.5,"under weight",Healthcare!$C154&lt;=24.9,"Normal Weight",Healthcare!$C154&gt;=25,"overweight",Healthcare!$C154&gt;=30,"obese")</f>
        <v>overweight</v>
      </c>
      <c r="E154" s="5">
        <v>6.04</v>
      </c>
      <c r="F154" s="5" t="str" cm="1">
        <f t="array" ref="F154">_xlfn.IFS(Healthcare!$E154&lt;5.7,"normal",Healthcare!$E154&lt;=6.4,"prediabetes",Healthcare!$E154&gt;=6.5,"diabetes")</f>
        <v>prediabetes</v>
      </c>
      <c r="G154" s="5" t="s">
        <v>19</v>
      </c>
      <c r="H154" s="5" t="s">
        <v>19</v>
      </c>
      <c r="I154" s="5" t="s">
        <v>19</v>
      </c>
      <c r="J154" s="5">
        <v>2</v>
      </c>
      <c r="K154" s="5" t="s">
        <v>20</v>
      </c>
      <c r="L154" s="5" t="str">
        <f>VLOOKUP(Healthcare!$A154,hospital_details,2,0)</f>
        <v>19-Nov-1972</v>
      </c>
      <c r="M154" s="5">
        <f t="shared" ref="M154:M217" ca="1" si="911">VLOOKUP(A154,hospital_details,3,0)</f>
        <v>53</v>
      </c>
      <c r="N154" s="5">
        <f t="shared" ref="N154:N217" si="912">VLOOKUP($A154,hospital_details,4,0)</f>
        <v>0</v>
      </c>
      <c r="O154" s="6">
        <f t="shared" ref="O154:O217" si="913">VLOOKUP($A154,hospital_details,5,0)</f>
        <v>38189.1</v>
      </c>
      <c r="P154" s="5" t="str">
        <f t="shared" ref="P154:P217" si="914">VLOOKUP($A154,hospital_details,6,0)</f>
        <v>tier - 2</v>
      </c>
      <c r="Q154" s="5" t="str">
        <f t="shared" ref="Q154:Q217" si="915">VLOOKUP($A154,hospital_details,7,0)</f>
        <v>tier - 2</v>
      </c>
      <c r="R154" s="5" t="str">
        <f t="shared" ref="R154:R217" si="916">VLOOKUP($A154,hospital_details,8,0)</f>
        <v>R1011</v>
      </c>
    </row>
    <row r="155" spans="1:18" ht="14.4" customHeight="1" x14ac:dyDescent="0.3">
      <c r="A155" s="7" t="s">
        <v>174</v>
      </c>
      <c r="B155" s="7" t="str">
        <f>VLOOKUP($A155,[1]!Customer_Names[#Data],3,0)</f>
        <v xml:space="preserve">  Michael</v>
      </c>
      <c r="C155" s="7">
        <v>40.15</v>
      </c>
      <c r="D155" s="7" t="str" cm="1">
        <f t="array" ref="D155">_xlfn.IFS(Healthcare!$C155&lt;18.5,"under weight",Healthcare!$C155&lt;=24.9,"Normal Weight",Healthcare!$C155&gt;=25,"overweight",Healthcare!$C155&gt;=30,"obese")</f>
        <v>overweight</v>
      </c>
      <c r="E155" s="7">
        <v>5.76</v>
      </c>
      <c r="F155" s="7" t="str" cm="1">
        <f t="array" ref="F155">_xlfn.IFS(Healthcare!$E155&lt;5.7,"normal",Healthcare!$E155&lt;=6.4,"prediabetes",Healthcare!$E155&gt;=6.5,"diabetes")</f>
        <v>prediabetes</v>
      </c>
      <c r="G155" s="7" t="s">
        <v>19</v>
      </c>
      <c r="H155" s="7" t="s">
        <v>19</v>
      </c>
      <c r="I155" s="7" t="s">
        <v>19</v>
      </c>
      <c r="J155" s="7">
        <v>1</v>
      </c>
      <c r="K155" s="7" t="s">
        <v>20</v>
      </c>
      <c r="L155" s="7" t="str">
        <f>VLOOKUP(Healthcare!$A155,hospital_details,2,0)</f>
        <v>29-Jul-1998</v>
      </c>
      <c r="M155" s="7">
        <f t="shared" ref="M155:M218" ca="1" si="917">VLOOKUP(A155,hospital_details,3,0)</f>
        <v>28</v>
      </c>
      <c r="N155" s="7">
        <f t="shared" ref="N155:N218" si="918">VLOOKUP($A155,hospital_details,4,0)</f>
        <v>0</v>
      </c>
      <c r="O155" s="8">
        <f t="shared" ref="O155:O218" si="919">VLOOKUP($A155,hospital_details,5,0)</f>
        <v>38126.25</v>
      </c>
      <c r="P155" s="7" t="str">
        <f t="shared" ref="P155:P218" si="920">VLOOKUP($A155,hospital_details,6,0)</f>
        <v>tier - 1</v>
      </c>
      <c r="Q155" s="7" t="str">
        <f t="shared" ref="Q155:Q218" si="921">VLOOKUP($A155,hospital_details,7,0)</f>
        <v>tier - 3</v>
      </c>
      <c r="R155" s="7" t="str">
        <f t="shared" ref="R155:R218" si="922">VLOOKUP($A155,hospital_details,8,0)</f>
        <v>R1013</v>
      </c>
    </row>
    <row r="156" spans="1:18" ht="14.4" customHeight="1" x14ac:dyDescent="0.3">
      <c r="A156" s="5" t="s">
        <v>175</v>
      </c>
      <c r="B156" s="5" t="str">
        <f>VLOOKUP($A156,[1]!Customer_Names[#Data],3,0)</f>
        <v xml:space="preserve">  Samuel</v>
      </c>
      <c r="C156" s="5">
        <v>27.8</v>
      </c>
      <c r="D156" s="5" t="str" cm="1">
        <f t="array" ref="D156">_xlfn.IFS(Healthcare!$C156&lt;18.5,"under weight",Healthcare!$C156&lt;=24.9,"Normal Weight",Healthcare!$C156&gt;=25,"overweight",Healthcare!$C156&gt;=30,"obese")</f>
        <v>overweight</v>
      </c>
      <c r="E156" s="5">
        <v>4.3600000000000003</v>
      </c>
      <c r="F156" s="5" t="str" cm="1">
        <f t="array" ref="F156">_xlfn.IFS(Healthcare!$E156&lt;5.7,"normal",Healthcare!$E156&lt;=6.4,"prediabetes",Healthcare!$E156&gt;=6.5,"diabetes")</f>
        <v>normal</v>
      </c>
      <c r="G156" s="5" t="s">
        <v>19</v>
      </c>
      <c r="H156" s="5" t="s">
        <v>19</v>
      </c>
      <c r="I156" s="5" t="s">
        <v>29</v>
      </c>
      <c r="J156" s="5">
        <v>1</v>
      </c>
      <c r="K156" s="5" t="s">
        <v>20</v>
      </c>
      <c r="L156" s="5" t="str">
        <f>VLOOKUP(Healthcare!$A156,hospital_details,2,0)</f>
        <v>9-Sep-1979</v>
      </c>
      <c r="M156" s="5">
        <f t="shared" ref="M156:M219" ca="1" si="923">VLOOKUP(A156,hospital_details,3,0)</f>
        <v>47</v>
      </c>
      <c r="N156" s="5">
        <f t="shared" ref="N156:N219" si="924">VLOOKUP($A156,hospital_details,4,0)</f>
        <v>0</v>
      </c>
      <c r="O156" s="6">
        <f t="shared" ref="O156:O219" si="925">VLOOKUP($A156,hospital_details,5,0)</f>
        <v>37829.72</v>
      </c>
      <c r="P156" s="5" t="str">
        <f t="shared" ref="P156:P219" si="926">VLOOKUP($A156,hospital_details,6,0)</f>
        <v>tier - 1</v>
      </c>
      <c r="Q156" s="5" t="str">
        <f t="shared" ref="Q156:Q219" si="927">VLOOKUP($A156,hospital_details,7,0)</f>
        <v>tier - 2</v>
      </c>
      <c r="R156" s="5" t="str">
        <f t="shared" ref="R156:R219" si="928">VLOOKUP($A156,hospital_details,8,0)</f>
        <v>R1011</v>
      </c>
    </row>
    <row r="157" spans="1:18" ht="14.4" customHeight="1" x14ac:dyDescent="0.3">
      <c r="A157" s="7" t="s">
        <v>176</v>
      </c>
      <c r="B157" s="7" t="str">
        <f>VLOOKUP($A157,[1]!Customer_Names[#Data],3,0)</f>
        <v xml:space="preserve">  Matthew</v>
      </c>
      <c r="C157" s="7">
        <v>45.81</v>
      </c>
      <c r="D157" s="7" t="str" cm="1">
        <f t="array" ref="D157">_xlfn.IFS(Healthcare!$C157&lt;18.5,"under weight",Healthcare!$C157&lt;=24.9,"Normal Weight",Healthcare!$C157&gt;=25,"overweight",Healthcare!$C157&gt;=30,"obese")</f>
        <v>overweight</v>
      </c>
      <c r="E157" s="7">
        <v>4.76</v>
      </c>
      <c r="F157" s="7" t="str" cm="1">
        <f t="array" ref="F157">_xlfn.IFS(Healthcare!$E157&lt;5.7,"normal",Healthcare!$E157&lt;=6.4,"prediabetes",Healthcare!$E157&gt;=6.5,"diabetes")</f>
        <v>normal</v>
      </c>
      <c r="G157" s="7" t="s">
        <v>20</v>
      </c>
      <c r="H157" s="7" t="s">
        <v>19</v>
      </c>
      <c r="I157" s="7" t="s">
        <v>29</v>
      </c>
      <c r="J157" s="7">
        <v>1</v>
      </c>
      <c r="K157" s="7" t="s">
        <v>20</v>
      </c>
      <c r="L157" s="7" t="str">
        <f>VLOOKUP(Healthcare!$A157,hospital_details,2,0)</f>
        <v>26-Jul-1983</v>
      </c>
      <c r="M157" s="7">
        <f t="shared" ref="M157:M220" ca="1" si="929">VLOOKUP(A157,hospital_details,3,0)</f>
        <v>43</v>
      </c>
      <c r="N157" s="7">
        <f t="shared" ref="N157:N220" si="930">VLOOKUP($A157,hospital_details,4,0)</f>
        <v>3</v>
      </c>
      <c r="O157" s="8">
        <f t="shared" ref="O157:O220" si="931">VLOOKUP($A157,hospital_details,5,0)</f>
        <v>37800.980000000003</v>
      </c>
      <c r="P157" s="7" t="str">
        <f t="shared" ref="P157:P220" si="932">VLOOKUP($A157,hospital_details,6,0)</f>
        <v>tier - 2</v>
      </c>
      <c r="Q157" s="7" t="str">
        <f t="shared" ref="Q157:Q220" si="933">VLOOKUP($A157,hospital_details,7,0)</f>
        <v>tier - 2</v>
      </c>
      <c r="R157" s="7" t="str">
        <f t="shared" ref="R157:R220" si="934">VLOOKUP($A157,hospital_details,8,0)</f>
        <v>R1011</v>
      </c>
    </row>
    <row r="158" spans="1:18" ht="14.4" customHeight="1" x14ac:dyDescent="0.3">
      <c r="A158" s="5" t="s">
        <v>177</v>
      </c>
      <c r="B158" s="5" t="str">
        <f>VLOOKUP($A158,[1]!Customer_Names[#Data],3,0)</f>
        <v xml:space="preserve">  Daniel</v>
      </c>
      <c r="C158" s="5">
        <v>34.43</v>
      </c>
      <c r="D158" s="5" t="str" cm="1">
        <f t="array" ref="D158">_xlfn.IFS(Healthcare!$C158&lt;18.5,"under weight",Healthcare!$C158&lt;=24.9,"Normal Weight",Healthcare!$C158&gt;=25,"overweight",Healthcare!$C158&gt;=30,"obese")</f>
        <v>overweight</v>
      </c>
      <c r="E158" s="5">
        <v>10.82</v>
      </c>
      <c r="F158" s="5" t="str" cm="1">
        <f t="array" ref="F158">_xlfn.IFS(Healthcare!$E158&lt;5.7,"normal",Healthcare!$E158&lt;=6.4,"prediabetes",Healthcare!$E158&gt;=6.5,"diabetes")</f>
        <v>diabetes</v>
      </c>
      <c r="G158" s="5" t="s">
        <v>20</v>
      </c>
      <c r="H158" s="5" t="s">
        <v>19</v>
      </c>
      <c r="I158" s="5" t="s">
        <v>19</v>
      </c>
      <c r="J158" s="5">
        <v>1</v>
      </c>
      <c r="K158" s="5" t="s">
        <v>20</v>
      </c>
      <c r="L158" s="5" t="str">
        <f>VLOOKUP(Healthcare!$A158,hospital_details,2,0)</f>
        <v>15-Aug-1986</v>
      </c>
      <c r="M158" s="5">
        <f t="shared" ref="M158:M221" ca="1" si="935">VLOOKUP(A158,hospital_details,3,0)</f>
        <v>40</v>
      </c>
      <c r="N158" s="5">
        <f t="shared" ref="N158:N221" si="936">VLOOKUP($A158,hospital_details,4,0)</f>
        <v>0</v>
      </c>
      <c r="O158" s="6">
        <f t="shared" ref="O158:O221" si="937">VLOOKUP($A158,hospital_details,5,0)</f>
        <v>37742.58</v>
      </c>
      <c r="P158" s="5" t="str">
        <f t="shared" ref="P158:P221" si="938">VLOOKUP($A158,hospital_details,6,0)</f>
        <v>tier - 1</v>
      </c>
      <c r="Q158" s="5" t="str">
        <f t="shared" ref="Q158:Q221" si="939">VLOOKUP($A158,hospital_details,7,0)</f>
        <v>tier - 1</v>
      </c>
      <c r="R158" s="5" t="str">
        <f t="shared" ref="R158:R221" si="940">VLOOKUP($A158,hospital_details,8,0)</f>
        <v>R1013</v>
      </c>
    </row>
    <row r="159" spans="1:18" ht="14.4" customHeight="1" x14ac:dyDescent="0.3">
      <c r="A159" s="7" t="s">
        <v>178</v>
      </c>
      <c r="B159" s="7" t="str">
        <f>VLOOKUP($A159,[1]!Customer_Names[#Data],3,0)</f>
        <v xml:space="preserve">  Syndy</v>
      </c>
      <c r="C159" s="7">
        <v>41.33</v>
      </c>
      <c r="D159" s="7" t="str" cm="1">
        <f t="array" ref="D159">_xlfn.IFS(Healthcare!$C159&lt;18.5,"under weight",Healthcare!$C159&lt;=24.9,"Normal Weight",Healthcare!$C159&gt;=25,"overweight",Healthcare!$C159&gt;=30,"obese")</f>
        <v>overweight</v>
      </c>
      <c r="E159" s="7">
        <v>4.01</v>
      </c>
      <c r="F159" s="7" t="str" cm="1">
        <f t="array" ref="F159">_xlfn.IFS(Healthcare!$E159&lt;5.7,"normal",Healthcare!$E159&lt;=6.4,"prediabetes",Healthcare!$E159&gt;=6.5,"diabetes")</f>
        <v>normal</v>
      </c>
      <c r="G159" s="7" t="s">
        <v>20</v>
      </c>
      <c r="H159" s="7" t="s">
        <v>19</v>
      </c>
      <c r="I159" s="7" t="s">
        <v>19</v>
      </c>
      <c r="J159" s="7">
        <v>0</v>
      </c>
      <c r="K159" s="7" t="s">
        <v>20</v>
      </c>
      <c r="L159" s="7" t="str">
        <f>VLOOKUP(Healthcare!$A159,hospital_details,2,0)</f>
        <v>18-Sep-1976</v>
      </c>
      <c r="M159" s="7">
        <f t="shared" ref="M159:M222" ca="1" si="941">VLOOKUP(A159,hospital_details,3,0)</f>
        <v>50</v>
      </c>
      <c r="N159" s="7">
        <f t="shared" ref="N159:N222" si="942">VLOOKUP($A159,hospital_details,4,0)</f>
        <v>2</v>
      </c>
      <c r="O159" s="8">
        <f t="shared" ref="O159:O222" si="943">VLOOKUP($A159,hospital_details,5,0)</f>
        <v>37735.199999999997</v>
      </c>
      <c r="P159" s="7" t="str">
        <f t="shared" ref="P159:P222" si="944">VLOOKUP($A159,hospital_details,6,0)</f>
        <v>tier - 2</v>
      </c>
      <c r="Q159" s="7" t="str">
        <f t="shared" ref="Q159:Q222" si="945">VLOOKUP($A159,hospital_details,7,0)</f>
        <v>tier - 2</v>
      </c>
      <c r="R159" s="7" t="str">
        <f t="shared" ref="R159:R222" si="946">VLOOKUP($A159,hospital_details,8,0)</f>
        <v>R1011</v>
      </c>
    </row>
    <row r="160" spans="1:18" ht="14.4" customHeight="1" x14ac:dyDescent="0.3">
      <c r="A160" s="5" t="s">
        <v>179</v>
      </c>
      <c r="B160" s="5" t="str">
        <f>VLOOKUP($A160,[1]!Customer_Names[#Data],3,0)</f>
        <v xml:space="preserve">  Aleksandra</v>
      </c>
      <c r="C160" s="5">
        <v>31.92</v>
      </c>
      <c r="D160" s="5" t="str" cm="1">
        <f t="array" ref="D160">_xlfn.IFS(Healthcare!$C160&lt;18.5,"under weight",Healthcare!$C160&lt;=24.9,"Normal Weight",Healthcare!$C160&gt;=25,"overweight",Healthcare!$C160&gt;=30,"obese")</f>
        <v>overweight</v>
      </c>
      <c r="E160" s="5">
        <v>5.12</v>
      </c>
      <c r="F160" s="5" t="str" cm="1">
        <f t="array" ref="F160">_xlfn.IFS(Healthcare!$E160&lt;5.7,"normal",Healthcare!$E160&lt;=6.4,"prediabetes",Healthcare!$E160&gt;=6.5,"diabetes")</f>
        <v>normal</v>
      </c>
      <c r="G160" s="5" t="s">
        <v>20</v>
      </c>
      <c r="H160" s="5" t="s">
        <v>19</v>
      </c>
      <c r="I160" s="5" t="s">
        <v>19</v>
      </c>
      <c r="J160" s="5">
        <v>1</v>
      </c>
      <c r="K160" s="5" t="s">
        <v>20</v>
      </c>
      <c r="L160" s="5" t="str">
        <f>VLOOKUP(Healthcare!$A160,hospital_details,2,0)</f>
        <v>10-Oct-1988</v>
      </c>
      <c r="M160" s="5">
        <f t="shared" ref="M160:M223" ca="1" si="947">VLOOKUP(A160,hospital_details,3,0)</f>
        <v>38</v>
      </c>
      <c r="N160" s="5">
        <f t="shared" ref="N160:N223" si="948">VLOOKUP($A160,hospital_details,4,0)</f>
        <v>1</v>
      </c>
      <c r="O160" s="6">
        <f t="shared" ref="O160:O223" si="949">VLOOKUP($A160,hospital_details,5,0)</f>
        <v>37701.879999999997</v>
      </c>
      <c r="P160" s="5" t="str">
        <f t="shared" ref="P160:P223" si="950">VLOOKUP($A160,hospital_details,6,0)</f>
        <v>tier - 2</v>
      </c>
      <c r="Q160" s="5" t="str">
        <f t="shared" ref="Q160:Q223" si="951">VLOOKUP($A160,hospital_details,7,0)</f>
        <v>tier - 3</v>
      </c>
      <c r="R160" s="5" t="str">
        <f t="shared" ref="R160:R223" si="952">VLOOKUP($A160,hospital_details,8,0)</f>
        <v>R1023</v>
      </c>
    </row>
    <row r="161" spans="1:18" ht="14.4" customHeight="1" x14ac:dyDescent="0.3">
      <c r="A161" s="7" t="s">
        <v>180</v>
      </c>
      <c r="B161" s="7" t="str">
        <f>VLOOKUP($A161,[1]!Customer_Names[#Data],3,0)</f>
        <v xml:space="preserve">  Steeve T Sr</v>
      </c>
      <c r="C161" s="7">
        <v>39.799999999999997</v>
      </c>
      <c r="D161" s="7" t="str" cm="1">
        <f t="array" ref="D161">_xlfn.IFS(Healthcare!$C161&lt;18.5,"under weight",Healthcare!$C161&lt;=24.9,"Normal Weight",Healthcare!$C161&gt;=25,"overweight",Healthcare!$C161&gt;=30,"obese")</f>
        <v>overweight</v>
      </c>
      <c r="E161" s="7">
        <v>10.54</v>
      </c>
      <c r="F161" s="7" t="str" cm="1">
        <f t="array" ref="F161">_xlfn.IFS(Healthcare!$E161&lt;5.7,"normal",Healthcare!$E161&lt;=6.4,"prediabetes",Healthcare!$E161&gt;=6.5,"diabetes")</f>
        <v>diabetes</v>
      </c>
      <c r="G161" s="7" t="s">
        <v>20</v>
      </c>
      <c r="H161" s="7" t="s">
        <v>19</v>
      </c>
      <c r="I161" s="7" t="s">
        <v>19</v>
      </c>
      <c r="J161" s="7">
        <v>2</v>
      </c>
      <c r="K161" s="7" t="s">
        <v>20</v>
      </c>
      <c r="L161" s="7" t="str">
        <f>VLOOKUP(Healthcare!$A161,hospital_details,2,0)</f>
        <v>28-Oct-1970</v>
      </c>
      <c r="M161" s="7">
        <f t="shared" ref="M161:M224" ca="1" si="953">VLOOKUP(A161,hospital_details,3,0)</f>
        <v>55</v>
      </c>
      <c r="N161" s="7">
        <f t="shared" ref="N161:N224" si="954">VLOOKUP($A161,hospital_details,4,0)</f>
        <v>0</v>
      </c>
      <c r="O161" s="8">
        <f t="shared" ref="O161:O224" si="955">VLOOKUP($A161,hospital_details,5,0)</f>
        <v>37675.06</v>
      </c>
      <c r="P161" s="7" t="str">
        <f t="shared" ref="P161:P224" si="956">VLOOKUP($A161,hospital_details,6,0)</f>
        <v>tier - 2</v>
      </c>
      <c r="Q161" s="7" t="str">
        <f t="shared" ref="Q161:Q224" si="957">VLOOKUP($A161,hospital_details,7,0)</f>
        <v>tier - 3</v>
      </c>
      <c r="R161" s="7" t="str">
        <f t="shared" ref="R161:R224" si="958">VLOOKUP($A161,hospital_details,8,0)</f>
        <v>R1011</v>
      </c>
    </row>
    <row r="162" spans="1:18" ht="14.4" customHeight="1" x14ac:dyDescent="0.3">
      <c r="A162" s="5" t="s">
        <v>181</v>
      </c>
      <c r="B162" s="5" t="str">
        <f>VLOOKUP($A162,[1]!Customer_Names[#Data],3,0)</f>
        <v xml:space="preserve">  Richard</v>
      </c>
      <c r="C162" s="5">
        <v>42.82</v>
      </c>
      <c r="D162" s="5" t="str" cm="1">
        <f t="array" ref="D162">_xlfn.IFS(Healthcare!$C162&lt;18.5,"under weight",Healthcare!$C162&lt;=24.9,"Normal Weight",Healthcare!$C162&gt;=25,"overweight",Healthcare!$C162&gt;=30,"obese")</f>
        <v>overweight</v>
      </c>
      <c r="E162" s="5">
        <v>4.21</v>
      </c>
      <c r="F162" s="5" t="str" cm="1">
        <f t="array" ref="F162">_xlfn.IFS(Healthcare!$E162&lt;5.7,"normal",Healthcare!$E162&lt;=6.4,"prediabetes",Healthcare!$E162&gt;=6.5,"diabetes")</f>
        <v>normal</v>
      </c>
      <c r="G162" s="5" t="s">
        <v>19</v>
      </c>
      <c r="H162" s="5" t="s">
        <v>19</v>
      </c>
      <c r="I162" s="5" t="s">
        <v>19</v>
      </c>
      <c r="J162" s="5">
        <v>0</v>
      </c>
      <c r="K162" s="5" t="s">
        <v>20</v>
      </c>
      <c r="L162" s="5" t="str">
        <f>VLOOKUP(Healthcare!$A162,hospital_details,2,0)</f>
        <v>20-Jun-1982</v>
      </c>
      <c r="M162" s="5">
        <f t="shared" ref="M162:M225" ca="1" si="959">VLOOKUP(A162,hospital_details,3,0)</f>
        <v>44</v>
      </c>
      <c r="N162" s="5">
        <f t="shared" ref="N162:N225" si="960">VLOOKUP($A162,hospital_details,4,0)</f>
        <v>3</v>
      </c>
      <c r="O162" s="6">
        <f t="shared" ref="O162:O225" si="961">VLOOKUP($A162,hospital_details,5,0)</f>
        <v>37650.74</v>
      </c>
      <c r="P162" s="5" t="str">
        <f t="shared" ref="P162:P225" si="962">VLOOKUP($A162,hospital_details,6,0)</f>
        <v>tier - 2</v>
      </c>
      <c r="Q162" s="5" t="str">
        <f t="shared" ref="Q162:Q225" si="963">VLOOKUP($A162,hospital_details,7,0)</f>
        <v>tier - 2</v>
      </c>
      <c r="R162" s="5" t="str">
        <f t="shared" ref="R162:R225" si="964">VLOOKUP($A162,hospital_details,8,0)</f>
        <v>R1012</v>
      </c>
    </row>
    <row r="163" spans="1:18" ht="14.4" customHeight="1" x14ac:dyDescent="0.3">
      <c r="A163" s="7" t="s">
        <v>182</v>
      </c>
      <c r="B163" s="7" t="str">
        <f>VLOOKUP($A163,[1]!Customer_Names[#Data],3,0)</f>
        <v xml:space="preserve">  Aaron T</v>
      </c>
      <c r="C163" s="7">
        <v>33.630000000000003</v>
      </c>
      <c r="D163" s="7" t="str" cm="1">
        <f t="array" ref="D163">_xlfn.IFS(Healthcare!$C163&lt;18.5,"under weight",Healthcare!$C163&lt;=24.9,"Normal Weight",Healthcare!$C163&gt;=25,"overweight",Healthcare!$C163&gt;=30,"obese")</f>
        <v>overweight</v>
      </c>
      <c r="E163" s="7">
        <v>5.42</v>
      </c>
      <c r="F163" s="7" t="str" cm="1">
        <f t="array" ref="F163">_xlfn.IFS(Healthcare!$E163&lt;5.7,"normal",Healthcare!$E163&lt;=6.4,"prediabetes",Healthcare!$E163&gt;=6.5,"diabetes")</f>
        <v>normal</v>
      </c>
      <c r="G163" s="7" t="s">
        <v>19</v>
      </c>
      <c r="H163" s="7" t="s">
        <v>19</v>
      </c>
      <c r="I163" s="7" t="s">
        <v>19</v>
      </c>
      <c r="J163" s="7">
        <v>0</v>
      </c>
      <c r="K163" s="7" t="s">
        <v>20</v>
      </c>
      <c r="L163" s="7" t="str">
        <f>VLOOKUP(Healthcare!$A163,hospital_details,2,0)</f>
        <v>16-Nov-1990</v>
      </c>
      <c r="M163" s="7">
        <f t="shared" ref="M163:M226" ca="1" si="965">VLOOKUP(A163,hospital_details,3,0)</f>
        <v>35</v>
      </c>
      <c r="N163" s="7">
        <f t="shared" ref="N163:N226" si="966">VLOOKUP($A163,hospital_details,4,0)</f>
        <v>1</v>
      </c>
      <c r="O163" s="8">
        <f t="shared" ref="O163:O226" si="967">VLOOKUP($A163,hospital_details,5,0)</f>
        <v>37607.53</v>
      </c>
      <c r="P163" s="7" t="str">
        <f t="shared" ref="P163:P226" si="968">VLOOKUP($A163,hospital_details,6,0)</f>
        <v>tier - 1</v>
      </c>
      <c r="Q163" s="7" t="str">
        <f t="shared" ref="Q163:Q226" si="969">VLOOKUP($A163,hospital_details,7,0)</f>
        <v>tier - 2</v>
      </c>
      <c r="R163" s="7" t="str">
        <f t="shared" ref="R163:R226" si="970">VLOOKUP($A163,hospital_details,8,0)</f>
        <v>R1019</v>
      </c>
    </row>
    <row r="164" spans="1:18" ht="14.4" customHeight="1" x14ac:dyDescent="0.3">
      <c r="A164" s="5" t="s">
        <v>183</v>
      </c>
      <c r="B164" s="5" t="str">
        <f>VLOOKUP($A164,[1]!Customer_Names[#Data],3,0)</f>
        <v xml:space="preserve">  Akira</v>
      </c>
      <c r="C164" s="5">
        <v>37.07</v>
      </c>
      <c r="D164" s="5" t="str" cm="1">
        <f t="array" ref="D164">_xlfn.IFS(Healthcare!$C164&lt;18.5,"under weight",Healthcare!$C164&lt;=24.9,"Normal Weight",Healthcare!$C164&gt;=25,"overweight",Healthcare!$C164&gt;=30,"obese")</f>
        <v>overweight</v>
      </c>
      <c r="E164" s="5">
        <v>4.28</v>
      </c>
      <c r="F164" s="5" t="str" cm="1">
        <f t="array" ref="F164">_xlfn.IFS(Healthcare!$E164&lt;5.7,"normal",Healthcare!$E164&lt;=6.4,"prediabetes",Healthcare!$E164&gt;=6.5,"diabetes")</f>
        <v>normal</v>
      </c>
      <c r="G164" s="5" t="s">
        <v>19</v>
      </c>
      <c r="H164" s="5" t="s">
        <v>20</v>
      </c>
      <c r="I164" s="5" t="s">
        <v>19</v>
      </c>
      <c r="J164" s="5">
        <v>1</v>
      </c>
      <c r="K164" s="5" t="s">
        <v>20</v>
      </c>
      <c r="L164" s="5" t="str">
        <f>VLOOKUP(Healthcare!$A164,hospital_details,2,0)</f>
        <v>12-Oct-2000</v>
      </c>
      <c r="M164" s="5">
        <f t="shared" ref="M164:M227" ca="1" si="971">VLOOKUP(A164,hospital_details,3,0)</f>
        <v>26</v>
      </c>
      <c r="N164" s="5">
        <f t="shared" ref="N164:N227" si="972">VLOOKUP($A164,hospital_details,4,0)</f>
        <v>2</v>
      </c>
      <c r="O164" s="6">
        <f t="shared" ref="O164:O227" si="973">VLOOKUP($A164,hospital_details,5,0)</f>
        <v>37484.449999999997</v>
      </c>
      <c r="P164" s="5" t="str">
        <f t="shared" ref="P164:P227" si="974">VLOOKUP($A164,hospital_details,6,0)</f>
        <v>tier - 1</v>
      </c>
      <c r="Q164" s="5" t="str">
        <f t="shared" ref="Q164:Q227" si="975">VLOOKUP($A164,hospital_details,7,0)</f>
        <v>tier - 1</v>
      </c>
      <c r="R164" s="5" t="str">
        <f t="shared" ref="R164:R227" si="976">VLOOKUP($A164,hospital_details,8,0)</f>
        <v>R1013</v>
      </c>
    </row>
    <row r="165" spans="1:18" ht="14.4" customHeight="1" x14ac:dyDescent="0.3">
      <c r="A165" s="7" t="s">
        <v>184</v>
      </c>
      <c r="B165" s="7" t="str">
        <f>VLOOKUP($A165,[1]!Customer_Names[#Data],3,0)</f>
        <v xml:space="preserve">  Ben</v>
      </c>
      <c r="C165" s="7">
        <v>35.625</v>
      </c>
      <c r="D165" s="7" t="str" cm="1">
        <f t="array" ref="D165">_xlfn.IFS(Healthcare!$C165&lt;18.5,"under weight",Healthcare!$C165&lt;=24.9,"Normal Weight",Healthcare!$C165&gt;=25,"overweight",Healthcare!$C165&gt;=30,"obese")</f>
        <v>overweight</v>
      </c>
      <c r="E165" s="7">
        <v>8.9</v>
      </c>
      <c r="F165" s="7" t="str" cm="1">
        <f t="array" ref="F165">_xlfn.IFS(Healthcare!$E165&lt;5.7,"normal",Healthcare!$E165&lt;=6.4,"prediabetes",Healthcare!$E165&gt;=6.5,"diabetes")</f>
        <v>diabetes</v>
      </c>
      <c r="G165" s="7" t="s">
        <v>19</v>
      </c>
      <c r="H165" s="7" t="s">
        <v>19</v>
      </c>
      <c r="I165" s="7" t="s">
        <v>19</v>
      </c>
      <c r="J165" s="7">
        <v>0</v>
      </c>
      <c r="K165" s="7" t="s">
        <v>20</v>
      </c>
      <c r="L165" s="7" t="str">
        <f>VLOOKUP(Healthcare!$A165,hospital_details,2,0)</f>
        <v>27-Sep-2002</v>
      </c>
      <c r="M165" s="7">
        <f t="shared" ref="M165:M228" ca="1" si="977">VLOOKUP(A165,hospital_details,3,0)</f>
        <v>24</v>
      </c>
      <c r="N165" s="7">
        <f t="shared" ref="N165:N228" si="978">VLOOKUP($A165,hospital_details,4,0)</f>
        <v>3</v>
      </c>
      <c r="O165" s="8">
        <f t="shared" ref="O165:O228" si="979">VLOOKUP($A165,hospital_details,5,0)</f>
        <v>37465.339999999997</v>
      </c>
      <c r="P165" s="7" t="str">
        <f t="shared" ref="P165:P228" si="980">VLOOKUP($A165,hospital_details,6,0)</f>
        <v>tier - 1</v>
      </c>
      <c r="Q165" s="7" t="str">
        <f t="shared" ref="Q165:Q228" si="981">VLOOKUP($A165,hospital_details,7,0)</f>
        <v>tier - 2</v>
      </c>
      <c r="R165" s="7" t="str">
        <f t="shared" ref="R165:R228" si="982">VLOOKUP($A165,hospital_details,8,0)</f>
        <v>R1012</v>
      </c>
    </row>
    <row r="166" spans="1:18" ht="14.4" customHeight="1" x14ac:dyDescent="0.3">
      <c r="A166" s="5" t="s">
        <v>185</v>
      </c>
      <c r="B166" s="5" t="str">
        <f>VLOOKUP($A166,[1]!Customer_Names[#Data],3,0)</f>
        <v xml:space="preserve">  Jana</v>
      </c>
      <c r="C166" s="5">
        <v>42.69</v>
      </c>
      <c r="D166" s="5" t="str" cm="1">
        <f t="array" ref="D166">_xlfn.IFS(Healthcare!$C166&lt;18.5,"under weight",Healthcare!$C166&lt;=24.9,"Normal Weight",Healthcare!$C166&gt;=25,"overweight",Healthcare!$C166&gt;=30,"obese")</f>
        <v>overweight</v>
      </c>
      <c r="E166" s="5">
        <v>4.8899999999999997</v>
      </c>
      <c r="F166" s="5" t="str" cm="1">
        <f t="array" ref="F166">_xlfn.IFS(Healthcare!$E166&lt;5.7,"normal",Healthcare!$E166&lt;=6.4,"prediabetes",Healthcare!$E166&gt;=6.5,"diabetes")</f>
        <v>normal</v>
      </c>
      <c r="G166" s="5" t="s">
        <v>19</v>
      </c>
      <c r="H166" s="5" t="s">
        <v>19</v>
      </c>
      <c r="I166" s="5" t="s">
        <v>29</v>
      </c>
      <c r="J166" s="5">
        <v>1</v>
      </c>
      <c r="K166" s="5" t="s">
        <v>20</v>
      </c>
      <c r="L166" s="5" t="str">
        <f>VLOOKUP(Healthcare!$A166,hospital_details,2,0)</f>
        <v>3-Aug-1979</v>
      </c>
      <c r="M166" s="5">
        <f t="shared" ref="M166:M229" ca="1" si="983">VLOOKUP(A166,hospital_details,3,0)</f>
        <v>47</v>
      </c>
      <c r="N166" s="5">
        <f t="shared" ref="N166:N229" si="984">VLOOKUP($A166,hospital_details,4,0)</f>
        <v>2</v>
      </c>
      <c r="O166" s="6">
        <f t="shared" ref="O166:O229" si="985">VLOOKUP($A166,hospital_details,5,0)</f>
        <v>37425.94</v>
      </c>
      <c r="P166" s="5" t="str">
        <f t="shared" ref="P166:P229" si="986">VLOOKUP($A166,hospital_details,6,0)</f>
        <v>tier - 2</v>
      </c>
      <c r="Q166" s="5" t="str">
        <f t="shared" ref="Q166:Q229" si="987">VLOOKUP($A166,hospital_details,7,0)</f>
        <v>tier - 1</v>
      </c>
      <c r="R166" s="5" t="str">
        <f t="shared" ref="R166:R229" si="988">VLOOKUP($A166,hospital_details,8,0)</f>
        <v>R1011</v>
      </c>
    </row>
    <row r="167" spans="1:18" ht="14.4" customHeight="1" x14ac:dyDescent="0.3">
      <c r="A167" s="7" t="s">
        <v>186</v>
      </c>
      <c r="B167" s="7" t="str">
        <f>VLOOKUP($A167,[1]!Customer_Names[#Data],3,0)</f>
        <v xml:space="preserve">  Jay T</v>
      </c>
      <c r="C167" s="7">
        <v>37.869999999999997</v>
      </c>
      <c r="D167" s="7" t="str" cm="1">
        <f t="array" ref="D167">_xlfn.IFS(Healthcare!$C167&lt;18.5,"under weight",Healthcare!$C167&lt;=24.9,"Normal Weight",Healthcare!$C167&gt;=25,"overweight",Healthcare!$C167&gt;=30,"obese")</f>
        <v>overweight</v>
      </c>
      <c r="E167" s="7">
        <v>4.29</v>
      </c>
      <c r="F167" s="7" t="str" cm="1">
        <f t="array" ref="F167">_xlfn.IFS(Healthcare!$E167&lt;5.7,"normal",Healthcare!$E167&lt;=6.4,"prediabetes",Healthcare!$E167&gt;=6.5,"diabetes")</f>
        <v>normal</v>
      </c>
      <c r="G167" s="7" t="s">
        <v>20</v>
      </c>
      <c r="H167" s="7" t="s">
        <v>19</v>
      </c>
      <c r="I167" s="7" t="s">
        <v>29</v>
      </c>
      <c r="J167" s="7">
        <v>1</v>
      </c>
      <c r="K167" s="7" t="s">
        <v>20</v>
      </c>
      <c r="L167" s="7" t="str">
        <f>VLOOKUP(Healthcare!$A167,hospital_details,2,0)</f>
        <v>30-Oct-1969</v>
      </c>
      <c r="M167" s="7">
        <f t="shared" ref="M167:M230" ca="1" si="989">VLOOKUP(A167,hospital_details,3,0)</f>
        <v>56</v>
      </c>
      <c r="N167" s="7">
        <f t="shared" ref="N167:N230" si="990">VLOOKUP($A167,hospital_details,4,0)</f>
        <v>0</v>
      </c>
      <c r="O167" s="8">
        <f t="shared" ref="O167:O230" si="991">VLOOKUP($A167,hospital_details,5,0)</f>
        <v>37277.269999999997</v>
      </c>
      <c r="P167" s="7" t="str">
        <f t="shared" ref="P167:P230" si="992">VLOOKUP($A167,hospital_details,6,0)</f>
        <v>tier - 1</v>
      </c>
      <c r="Q167" s="7" t="str">
        <f t="shared" ref="Q167:Q230" si="993">VLOOKUP($A167,hospital_details,7,0)</f>
        <v>tier - 3</v>
      </c>
      <c r="R167" s="7" t="str">
        <f t="shared" ref="R167:R230" si="994">VLOOKUP($A167,hospital_details,8,0)</f>
        <v>R1011</v>
      </c>
    </row>
    <row r="168" spans="1:18" ht="14.4" customHeight="1" x14ac:dyDescent="0.3">
      <c r="A168" s="5" t="s">
        <v>187</v>
      </c>
      <c r="B168" s="5" t="str">
        <f>VLOOKUP($A168,[1]!Customer_Names[#Data],3,0)</f>
        <v xml:space="preserve">  Marie-Helene</v>
      </c>
      <c r="C168" s="5">
        <v>40.61</v>
      </c>
      <c r="D168" s="5" t="str" cm="1">
        <f t="array" ref="D168">_xlfn.IFS(Healthcare!$C168&lt;18.5,"under weight",Healthcare!$C168&lt;=24.9,"Normal Weight",Healthcare!$C168&gt;=25,"overweight",Healthcare!$C168&gt;=30,"obese")</f>
        <v>overweight</v>
      </c>
      <c r="E168" s="5">
        <v>8</v>
      </c>
      <c r="F168" s="5" t="str" cm="1">
        <f t="array" ref="F168">_xlfn.IFS(Healthcare!$E168&lt;5.7,"normal",Healthcare!$E168&lt;=6.4,"prediabetes",Healthcare!$E168&gt;=6.5,"diabetes")</f>
        <v>diabetes</v>
      </c>
      <c r="G168" s="5" t="s">
        <v>20</v>
      </c>
      <c r="H168" s="5" t="s">
        <v>19</v>
      </c>
      <c r="I168" s="5" t="s">
        <v>19</v>
      </c>
      <c r="J168" s="5">
        <v>1</v>
      </c>
      <c r="K168" s="5" t="s">
        <v>20</v>
      </c>
      <c r="L168" s="5" t="str">
        <f>VLOOKUP(Healthcare!$A168,hospital_details,2,0)</f>
        <v>9-Nov-1975</v>
      </c>
      <c r="M168" s="5">
        <f t="shared" ref="M168:M231" ca="1" si="995">VLOOKUP(A168,hospital_details,3,0)</f>
        <v>50</v>
      </c>
      <c r="N168" s="5">
        <f t="shared" ref="N168:N231" si="996">VLOOKUP($A168,hospital_details,4,0)</f>
        <v>1</v>
      </c>
      <c r="O168" s="6">
        <f t="shared" ref="O168:O231" si="997">VLOOKUP($A168,hospital_details,5,0)</f>
        <v>37272.339999999997</v>
      </c>
      <c r="P168" s="5" t="str">
        <f t="shared" ref="P168:P231" si="998">VLOOKUP($A168,hospital_details,6,0)</f>
        <v>tier - 2</v>
      </c>
      <c r="Q168" s="5" t="str">
        <f t="shared" ref="Q168:Q231" si="999">VLOOKUP($A168,hospital_details,7,0)</f>
        <v>tier - 3</v>
      </c>
      <c r="R168" s="5" t="str">
        <f t="shared" ref="R168:R231" si="1000">VLOOKUP($A168,hospital_details,8,0)</f>
        <v>R1011</v>
      </c>
    </row>
    <row r="169" spans="1:18" ht="14.4" customHeight="1" x14ac:dyDescent="0.3">
      <c r="A169" s="7" t="s">
        <v>188</v>
      </c>
      <c r="B169" s="7" t="str">
        <f>VLOOKUP($A169,[1]!Customer_Names[#Data],3,0)</f>
        <v xml:space="preserve">  Bret R</v>
      </c>
      <c r="C169" s="7">
        <v>30.78</v>
      </c>
      <c r="D169" s="7" t="str" cm="1">
        <f t="array" ref="D169">_xlfn.IFS(Healthcare!$C169&lt;18.5,"under weight",Healthcare!$C169&lt;=24.9,"Normal Weight",Healthcare!$C169&gt;=25,"overweight",Healthcare!$C169&gt;=30,"obese")</f>
        <v>overweight</v>
      </c>
      <c r="E169" s="7">
        <v>4.67</v>
      </c>
      <c r="F169" s="7" t="str" cm="1">
        <f t="array" ref="F169">_xlfn.IFS(Healthcare!$E169&lt;5.7,"normal",Healthcare!$E169&lt;=6.4,"prediabetes",Healthcare!$E169&gt;=6.5,"diabetes")</f>
        <v>normal</v>
      </c>
      <c r="G169" s="7" t="s">
        <v>20</v>
      </c>
      <c r="H169" s="7" t="s">
        <v>19</v>
      </c>
      <c r="I169" s="7" t="s">
        <v>19</v>
      </c>
      <c r="J169" s="7">
        <v>0</v>
      </c>
      <c r="K169" s="7" t="s">
        <v>20</v>
      </c>
      <c r="L169" s="7" t="str">
        <f>VLOOKUP(Healthcare!$A169,hospital_details,2,0)</f>
        <v>17-Nov-1985</v>
      </c>
      <c r="M169" s="7">
        <f t="shared" ref="M169:M232" ca="1" si="1001">VLOOKUP(A169,hospital_details,3,0)</f>
        <v>40</v>
      </c>
      <c r="N169" s="7">
        <f t="shared" ref="N169:N232" si="1002">VLOOKUP($A169,hospital_details,4,0)</f>
        <v>0</v>
      </c>
      <c r="O169" s="8">
        <f t="shared" ref="O169:O232" si="1003">VLOOKUP($A169,hospital_details,5,0)</f>
        <v>37270.15</v>
      </c>
      <c r="P169" s="7" t="str">
        <f t="shared" ref="P169:P232" si="1004">VLOOKUP($A169,hospital_details,6,0)</f>
        <v>tier - 2</v>
      </c>
      <c r="Q169" s="7" t="str">
        <f t="shared" ref="Q169:Q232" si="1005">VLOOKUP($A169,hospital_details,7,0)</f>
        <v>tier - 1</v>
      </c>
      <c r="R169" s="7" t="str">
        <f t="shared" ref="R169:R232" si="1006">VLOOKUP($A169,hospital_details,8,0)</f>
        <v>R1024</v>
      </c>
    </row>
    <row r="170" spans="1:18" ht="14.4" customHeight="1" x14ac:dyDescent="0.3">
      <c r="A170" s="5" t="s">
        <v>189</v>
      </c>
      <c r="B170" s="5" t="str">
        <f>VLOOKUP($A170,[1]!Customer_Names[#Data],3,0)</f>
        <v xml:space="preserve">  Gardner L</v>
      </c>
      <c r="C170" s="5">
        <v>49.49</v>
      </c>
      <c r="D170" s="5" t="str" cm="1">
        <f t="array" ref="D170">_xlfn.IFS(Healthcare!$C170&lt;18.5,"under weight",Healthcare!$C170&lt;=24.9,"Normal Weight",Healthcare!$C170&gt;=25,"overweight",Healthcare!$C170&gt;=30,"obese")</f>
        <v>overweight</v>
      </c>
      <c r="E170" s="5">
        <v>4.5</v>
      </c>
      <c r="F170" s="5" t="str" cm="1">
        <f t="array" ref="F170">_xlfn.IFS(Healthcare!$E170&lt;5.7,"normal",Healthcare!$E170&lt;=6.4,"prediabetes",Healthcare!$E170&gt;=6.5,"diabetes")</f>
        <v>normal</v>
      </c>
      <c r="G170" s="5" t="s">
        <v>19</v>
      </c>
      <c r="H170" s="5" t="s">
        <v>19</v>
      </c>
      <c r="I170" s="5" t="s">
        <v>19</v>
      </c>
      <c r="J170" s="5">
        <v>0</v>
      </c>
      <c r="K170" s="5" t="s">
        <v>20</v>
      </c>
      <c r="L170" s="5" t="str">
        <f>VLOOKUP(Healthcare!$A170,hospital_details,2,0)</f>
        <v>17-Oct-1990</v>
      </c>
      <c r="M170" s="5">
        <f t="shared" ref="M170:M233" ca="1" si="1007">VLOOKUP(A170,hospital_details,3,0)</f>
        <v>36</v>
      </c>
      <c r="N170" s="5">
        <f t="shared" ref="N170:N233" si="1008">VLOOKUP($A170,hospital_details,4,0)</f>
        <v>3</v>
      </c>
      <c r="O170" s="6">
        <f t="shared" ref="O170:O233" si="1009">VLOOKUP($A170,hospital_details,5,0)</f>
        <v>37251.22</v>
      </c>
      <c r="P170" s="5" t="str">
        <f t="shared" ref="P170:P233" si="1010">VLOOKUP($A170,hospital_details,6,0)</f>
        <v>tier - 2</v>
      </c>
      <c r="Q170" s="5" t="str">
        <f t="shared" ref="Q170:Q233" si="1011">VLOOKUP($A170,hospital_details,7,0)</f>
        <v>tier - 2</v>
      </c>
      <c r="R170" s="5" t="str">
        <f t="shared" ref="R170:R233" si="1012">VLOOKUP($A170,hospital_details,8,0)</f>
        <v>R1011</v>
      </c>
    </row>
    <row r="171" spans="1:18" ht="14.4" customHeight="1" x14ac:dyDescent="0.3">
      <c r="A171" s="7" t="s">
        <v>190</v>
      </c>
      <c r="B171" s="7" t="str">
        <f>VLOOKUP($A171,[1]!Customer_Names[#Data],3,0)</f>
        <v xml:space="preserve">  Bobby</v>
      </c>
      <c r="C171" s="7">
        <v>37.619999999999997</v>
      </c>
      <c r="D171" s="7" t="str" cm="1">
        <f t="array" ref="D171">_xlfn.IFS(Healthcare!$C171&lt;18.5,"under weight",Healthcare!$C171&lt;=24.9,"Normal Weight",Healthcare!$C171&gt;=25,"overweight",Healthcare!$C171&gt;=30,"obese")</f>
        <v>overweight</v>
      </c>
      <c r="E171" s="7">
        <v>6.32</v>
      </c>
      <c r="F171" s="7" t="str" cm="1">
        <f t="array" ref="F171">_xlfn.IFS(Healthcare!$E171&lt;5.7,"normal",Healthcare!$E171&lt;=6.4,"prediabetes",Healthcare!$E171&gt;=6.5,"diabetes")</f>
        <v>prediabetes</v>
      </c>
      <c r="G171" s="7" t="s">
        <v>20</v>
      </c>
      <c r="H171" s="7" t="s">
        <v>20</v>
      </c>
      <c r="I171" s="7" t="s">
        <v>19</v>
      </c>
      <c r="J171" s="7">
        <v>2</v>
      </c>
      <c r="K171" s="7" t="s">
        <v>20</v>
      </c>
      <c r="L171" s="7" t="str">
        <f>VLOOKUP(Healthcare!$A171,hospital_details,2,0)</f>
        <v>5-Sep-2000</v>
      </c>
      <c r="M171" s="7">
        <f t="shared" ref="M171:M234" ca="1" si="1013">VLOOKUP(A171,hospital_details,3,0)</f>
        <v>26</v>
      </c>
      <c r="N171" s="7">
        <f t="shared" ref="N171:N234" si="1014">VLOOKUP($A171,hospital_details,4,0)</f>
        <v>1</v>
      </c>
      <c r="O171" s="8">
        <f t="shared" ref="O171:O234" si="1015">VLOOKUP($A171,hospital_details,5,0)</f>
        <v>37165.160000000003</v>
      </c>
      <c r="P171" s="7" t="str">
        <f t="shared" ref="P171:P234" si="1016">VLOOKUP($A171,hospital_details,6,0)</f>
        <v>tier - 1</v>
      </c>
      <c r="Q171" s="7" t="str">
        <f t="shared" ref="Q171:Q234" si="1017">VLOOKUP($A171,hospital_details,7,0)</f>
        <v>tier - 3</v>
      </c>
      <c r="R171" s="7" t="str">
        <f t="shared" ref="R171:R234" si="1018">VLOOKUP($A171,hospital_details,8,0)</f>
        <v>unknown</v>
      </c>
    </row>
    <row r="172" spans="1:18" ht="14.4" customHeight="1" x14ac:dyDescent="0.3">
      <c r="A172" s="5" t="s">
        <v>191</v>
      </c>
      <c r="B172" s="5" t="str">
        <f>VLOOKUP($A172,[1]!Customer_Names[#Data],3,0)</f>
        <v xml:space="preserve">  Natalie</v>
      </c>
      <c r="C172" s="5">
        <v>36.08</v>
      </c>
      <c r="D172" s="5" t="str" cm="1">
        <f t="array" ref="D172">_xlfn.IFS(Healthcare!$C172&lt;18.5,"under weight",Healthcare!$C172&lt;=24.9,"Normal Weight",Healthcare!$C172&gt;=25,"overweight",Healthcare!$C172&gt;=30,"obese")</f>
        <v>overweight</v>
      </c>
      <c r="E172" s="5">
        <v>6.1</v>
      </c>
      <c r="F172" s="5" t="str" cm="1">
        <f t="array" ref="F172">_xlfn.IFS(Healthcare!$E172&lt;5.7,"normal",Healthcare!$E172&lt;=6.4,"prediabetes",Healthcare!$E172&gt;=6.5,"diabetes")</f>
        <v>prediabetes</v>
      </c>
      <c r="G172" s="5" t="s">
        <v>20</v>
      </c>
      <c r="H172" s="5" t="s">
        <v>19</v>
      </c>
      <c r="I172" s="5" t="s">
        <v>19</v>
      </c>
      <c r="J172" s="5">
        <v>1</v>
      </c>
      <c r="K172" s="5" t="s">
        <v>20</v>
      </c>
      <c r="L172" s="5" t="str">
        <f>VLOOKUP(Healthcare!$A172,hospital_details,2,0)</f>
        <v>30-Oct-1995</v>
      </c>
      <c r="M172" s="5">
        <f t="shared" ref="M172:M235" ca="1" si="1019">VLOOKUP(A172,hospital_details,3,0)</f>
        <v>30</v>
      </c>
      <c r="N172" s="5">
        <f t="shared" ref="N172:N235" si="1020">VLOOKUP($A172,hospital_details,4,0)</f>
        <v>0</v>
      </c>
      <c r="O172" s="6">
        <f t="shared" ref="O172:O235" si="1021">VLOOKUP($A172,hospital_details,5,0)</f>
        <v>37133.9</v>
      </c>
      <c r="P172" s="5" t="str">
        <f t="shared" ref="P172:P235" si="1022">VLOOKUP($A172,hospital_details,6,0)</f>
        <v>tier - 2</v>
      </c>
      <c r="Q172" s="5" t="str">
        <f t="shared" ref="Q172:Q235" si="1023">VLOOKUP($A172,hospital_details,7,0)</f>
        <v>tier - 2</v>
      </c>
      <c r="R172" s="5" t="str">
        <f t="shared" ref="R172:R235" si="1024">VLOOKUP($A172,hospital_details,8,0)</f>
        <v>R1013</v>
      </c>
    </row>
    <row r="173" spans="1:18" ht="14.4" customHeight="1" x14ac:dyDescent="0.3">
      <c r="A173" s="7" t="s">
        <v>192</v>
      </c>
      <c r="B173" s="7" t="str">
        <f>VLOOKUP($A173,[1]!Customer_Names[#Data],3,0)</f>
        <v xml:space="preserve">  Lina</v>
      </c>
      <c r="C173" s="7">
        <v>33.5</v>
      </c>
      <c r="D173" s="7" t="str" cm="1">
        <f t="array" ref="D173">_xlfn.IFS(Healthcare!$C173&lt;18.5,"under weight",Healthcare!$C173&lt;=24.9,"Normal Weight",Healthcare!$C173&gt;=25,"overweight",Healthcare!$C173&gt;=30,"obese")</f>
        <v>overweight</v>
      </c>
      <c r="E173" s="7">
        <v>5.4</v>
      </c>
      <c r="F173" s="7" t="str" cm="1">
        <f t="array" ref="F173">_xlfn.IFS(Healthcare!$E173&lt;5.7,"normal",Healthcare!$E173&lt;=6.4,"prediabetes",Healthcare!$E173&gt;=6.5,"diabetes")</f>
        <v>normal</v>
      </c>
      <c r="G173" s="7" t="s">
        <v>19</v>
      </c>
      <c r="H173" s="7" t="s">
        <v>19</v>
      </c>
      <c r="I173" s="7" t="s">
        <v>19</v>
      </c>
      <c r="J173" s="7">
        <v>0</v>
      </c>
      <c r="K173" s="7" t="s">
        <v>20</v>
      </c>
      <c r="L173" s="7" t="str">
        <f>VLOOKUP(Healthcare!$A173,hospital_details,2,0)</f>
        <v>10-Jun-1989</v>
      </c>
      <c r="M173" s="7">
        <f t="shared" ref="M173:M236" ca="1" si="1025">VLOOKUP(A173,hospital_details,3,0)</f>
        <v>37</v>
      </c>
      <c r="N173" s="7">
        <f t="shared" ref="N173:N236" si="1026">VLOOKUP($A173,hospital_details,4,0)</f>
        <v>0</v>
      </c>
      <c r="O173" s="8">
        <f t="shared" ref="O173:O236" si="1027">VLOOKUP($A173,hospital_details,5,0)</f>
        <v>37079.370000000003</v>
      </c>
      <c r="P173" s="7" t="str">
        <f t="shared" ref="P173:P236" si="1028">VLOOKUP($A173,hospital_details,6,0)</f>
        <v>tier - 2</v>
      </c>
      <c r="Q173" s="7" t="str">
        <f t="shared" ref="Q173:Q236" si="1029">VLOOKUP($A173,hospital_details,7,0)</f>
        <v>tier - 3</v>
      </c>
      <c r="R173" s="7" t="str">
        <f t="shared" ref="R173:R236" si="1030">VLOOKUP($A173,hospital_details,8,0)</f>
        <v>R1011</v>
      </c>
    </row>
    <row r="174" spans="1:18" ht="14.4" customHeight="1" x14ac:dyDescent="0.3">
      <c r="A174" s="5" t="s">
        <v>193</v>
      </c>
      <c r="B174" s="5" t="str">
        <f>VLOOKUP($A174,[1]!Customer_Names[#Data],3,0)</f>
        <v xml:space="preserve">  Zebulon</v>
      </c>
      <c r="C174" s="5">
        <v>47.46</v>
      </c>
      <c r="D174" s="5" t="str" cm="1">
        <f t="array" ref="D174">_xlfn.IFS(Healthcare!$C174&lt;18.5,"under weight",Healthcare!$C174&lt;=24.9,"Normal Weight",Healthcare!$C174&gt;=25,"overweight",Healthcare!$C174&gt;=30,"obese")</f>
        <v>overweight</v>
      </c>
      <c r="E174" s="5">
        <v>6.24</v>
      </c>
      <c r="F174" s="5" t="str" cm="1">
        <f t="array" ref="F174">_xlfn.IFS(Healthcare!$E174&lt;5.7,"normal",Healthcare!$E174&lt;=6.4,"prediabetes",Healthcare!$E174&gt;=6.5,"diabetes")</f>
        <v>prediabetes</v>
      </c>
      <c r="G174" s="5" t="s">
        <v>20</v>
      </c>
      <c r="H174" s="5" t="s">
        <v>19</v>
      </c>
      <c r="I174" s="5" t="s">
        <v>19</v>
      </c>
      <c r="J174" s="5">
        <v>1</v>
      </c>
      <c r="K174" s="5" t="s">
        <v>20</v>
      </c>
      <c r="L174" s="5" t="str">
        <f>VLOOKUP(Healthcare!$A174,hospital_details,2,0)</f>
        <v>17-Dec-1988</v>
      </c>
      <c r="M174" s="5">
        <f t="shared" ref="M174:M237" ca="1" si="1031">VLOOKUP(A174,hospital_details,3,0)</f>
        <v>37</v>
      </c>
      <c r="N174" s="5">
        <f t="shared" ref="N174:N237" si="1032">VLOOKUP($A174,hospital_details,4,0)</f>
        <v>3</v>
      </c>
      <c r="O174" s="6">
        <f t="shared" ref="O174:O237" si="1033">VLOOKUP($A174,hospital_details,5,0)</f>
        <v>37076.370000000003</v>
      </c>
      <c r="P174" s="5" t="str">
        <f t="shared" ref="P174:P237" si="1034">VLOOKUP($A174,hospital_details,6,0)</f>
        <v>tier - 2</v>
      </c>
      <c r="Q174" s="5" t="str">
        <f t="shared" ref="Q174:Q237" si="1035">VLOOKUP($A174,hospital_details,7,0)</f>
        <v>tier - 1</v>
      </c>
      <c r="R174" s="5" t="str">
        <f t="shared" ref="R174:R237" si="1036">VLOOKUP($A174,hospital_details,8,0)</f>
        <v>R1011</v>
      </c>
    </row>
    <row r="175" spans="1:18" ht="14.4" customHeight="1" x14ac:dyDescent="0.3">
      <c r="A175" s="7" t="s">
        <v>194</v>
      </c>
      <c r="B175" s="7" t="str">
        <f>VLOOKUP($A175,[1]!Customer_Names[#Data],3,0)</f>
        <v xml:space="preserve">  Amanda</v>
      </c>
      <c r="C175" s="7">
        <v>49.24</v>
      </c>
      <c r="D175" s="7" t="str" cm="1">
        <f t="array" ref="D175">_xlfn.IFS(Healthcare!$C175&lt;18.5,"under weight",Healthcare!$C175&lt;=24.9,"Normal Weight",Healthcare!$C175&gt;=25,"overweight",Healthcare!$C175&gt;=30,"obese")</f>
        <v>overweight</v>
      </c>
      <c r="E175" s="7">
        <v>4.45</v>
      </c>
      <c r="F175" s="7" t="str" cm="1">
        <f t="array" ref="F175">_xlfn.IFS(Healthcare!$E175&lt;5.7,"normal",Healthcare!$E175&lt;=6.4,"prediabetes",Healthcare!$E175&gt;=6.5,"diabetes")</f>
        <v>normal</v>
      </c>
      <c r="G175" s="7" t="s">
        <v>19</v>
      </c>
      <c r="H175" s="7" t="s">
        <v>19</v>
      </c>
      <c r="I175" s="7" t="s">
        <v>19</v>
      </c>
      <c r="J175" s="7">
        <v>0</v>
      </c>
      <c r="K175" s="7" t="s">
        <v>20</v>
      </c>
      <c r="L175" s="7" t="str">
        <f>VLOOKUP(Healthcare!$A175,hospital_details,2,0)</f>
        <v>1-Nov-1991</v>
      </c>
      <c r="M175" s="7">
        <f t="shared" ref="M175:M238" ca="1" si="1037">VLOOKUP(A175,hospital_details,3,0)</f>
        <v>34</v>
      </c>
      <c r="N175" s="7">
        <f t="shared" ref="N175:N238" si="1038">VLOOKUP($A175,hospital_details,4,0)</f>
        <v>3</v>
      </c>
      <c r="O175" s="8">
        <f t="shared" ref="O175:O238" si="1039">VLOOKUP($A175,hospital_details,5,0)</f>
        <v>37040.879999999997</v>
      </c>
      <c r="P175" s="7" t="str">
        <f t="shared" ref="P175:P238" si="1040">VLOOKUP($A175,hospital_details,6,0)</f>
        <v>tier - 2</v>
      </c>
      <c r="Q175" s="7" t="str">
        <f t="shared" ref="Q175:Q238" si="1041">VLOOKUP($A175,hospital_details,7,0)</f>
        <v>tier - 2</v>
      </c>
      <c r="R175" s="7" t="str">
        <f t="shared" ref="R175:R238" si="1042">VLOOKUP($A175,hospital_details,8,0)</f>
        <v>R1011</v>
      </c>
    </row>
    <row r="176" spans="1:18" ht="14.4" customHeight="1" x14ac:dyDescent="0.3">
      <c r="A176" s="5" t="s">
        <v>195</v>
      </c>
      <c r="B176" s="5" t="str">
        <f>VLOOKUP($A176,[1]!Customer_Names[#Data],3,0)</f>
        <v xml:space="preserve">  Greg</v>
      </c>
      <c r="C176" s="5">
        <v>54.4</v>
      </c>
      <c r="D176" s="5" t="str" cm="1">
        <f t="array" ref="D176">_xlfn.IFS(Healthcare!$C176&lt;18.5,"under weight",Healthcare!$C176&lt;=24.9,"Normal Weight",Healthcare!$C176&gt;=25,"overweight",Healthcare!$C176&gt;=30,"obese")</f>
        <v>overweight</v>
      </c>
      <c r="E176" s="5">
        <v>5.22</v>
      </c>
      <c r="F176" s="5" t="str" cm="1">
        <f t="array" ref="F176">_xlfn.IFS(Healthcare!$E176&lt;5.7,"normal",Healthcare!$E176&lt;=6.4,"prediabetes",Healthcare!$E176&gt;=6.5,"diabetes")</f>
        <v>normal</v>
      </c>
      <c r="G176" s="5" t="s">
        <v>19</v>
      </c>
      <c r="H176" s="5" t="s">
        <v>19</v>
      </c>
      <c r="I176" s="5" t="s">
        <v>19</v>
      </c>
      <c r="J176" s="5">
        <v>1</v>
      </c>
      <c r="K176" s="5" t="s">
        <v>20</v>
      </c>
      <c r="L176" s="5" t="str">
        <f>VLOOKUP(Healthcare!$A176,hospital_details,2,0)</f>
        <v>13-Sep-1992</v>
      </c>
      <c r="M176" s="5">
        <f t="shared" ref="M176:M239" ca="1" si="1043">VLOOKUP(A176,hospital_details,3,0)</f>
        <v>34</v>
      </c>
      <c r="N176" s="5">
        <f t="shared" ref="N176:N239" si="1044">VLOOKUP($A176,hospital_details,4,0)</f>
        <v>0</v>
      </c>
      <c r="O176" s="6">
        <f t="shared" ref="O176:O239" si="1045">VLOOKUP($A176,hospital_details,5,0)</f>
        <v>36976.449999999997</v>
      </c>
      <c r="P176" s="5" t="str">
        <f t="shared" ref="P176:P239" si="1046">VLOOKUP($A176,hospital_details,6,0)</f>
        <v>tier - 2</v>
      </c>
      <c r="Q176" s="5" t="str">
        <f t="shared" ref="Q176:Q239" si="1047">VLOOKUP($A176,hospital_details,7,0)</f>
        <v>tier - 3</v>
      </c>
      <c r="R176" s="5" t="str">
        <f t="shared" ref="R176:R239" si="1048">VLOOKUP($A176,hospital_details,8,0)</f>
        <v>R1011</v>
      </c>
    </row>
    <row r="177" spans="1:18" ht="14.4" customHeight="1" x14ac:dyDescent="0.3">
      <c r="A177" s="7" t="s">
        <v>196</v>
      </c>
      <c r="B177" s="7" t="str">
        <f>VLOOKUP($A177,[1]!Customer_Names[#Data],3,0)</f>
        <v xml:space="preserve">  John</v>
      </c>
      <c r="C177" s="7">
        <v>35.53</v>
      </c>
      <c r="D177" s="7" t="str" cm="1">
        <f t="array" ref="D177">_xlfn.IFS(Healthcare!$C177&lt;18.5,"under weight",Healthcare!$C177&lt;=24.9,"Normal Weight",Healthcare!$C177&gt;=25,"overweight",Healthcare!$C177&gt;=30,"obese")</f>
        <v>overweight</v>
      </c>
      <c r="E177" s="7">
        <v>4.6100000000000003</v>
      </c>
      <c r="F177" s="7" t="str" cm="1">
        <f t="array" ref="F177">_xlfn.IFS(Healthcare!$E177&lt;5.7,"normal",Healthcare!$E177&lt;=6.4,"prediabetes",Healthcare!$E177&gt;=6.5,"diabetes")</f>
        <v>normal</v>
      </c>
      <c r="G177" s="7" t="s">
        <v>19</v>
      </c>
      <c r="H177" s="7" t="s">
        <v>19</v>
      </c>
      <c r="I177" s="7" t="s">
        <v>19</v>
      </c>
      <c r="J177" s="7">
        <v>1</v>
      </c>
      <c r="K177" s="7" t="s">
        <v>20</v>
      </c>
      <c r="L177" s="7" t="str">
        <f>VLOOKUP(Healthcare!$A177,hospital_details,2,0)</f>
        <v>25-Aug-1992</v>
      </c>
      <c r="M177" s="7">
        <f t="shared" ref="M177:M240" ca="1" si="1049">VLOOKUP(A177,hospital_details,3,0)</f>
        <v>34</v>
      </c>
      <c r="N177" s="7">
        <f t="shared" ref="N177:N240" si="1050">VLOOKUP($A177,hospital_details,4,0)</f>
        <v>0</v>
      </c>
      <c r="O177" s="8">
        <f t="shared" ref="O177:O240" si="1051">VLOOKUP($A177,hospital_details,5,0)</f>
        <v>36950.26</v>
      </c>
      <c r="P177" s="7" t="str">
        <f t="shared" ref="P177:P240" si="1052">VLOOKUP($A177,hospital_details,6,0)</f>
        <v>tier - 1</v>
      </c>
      <c r="Q177" s="7" t="str">
        <f t="shared" ref="Q177:Q240" si="1053">VLOOKUP($A177,hospital_details,7,0)</f>
        <v>tier - 1</v>
      </c>
      <c r="R177" s="7" t="str">
        <f t="shared" ref="R177:R240" si="1054">VLOOKUP($A177,hospital_details,8,0)</f>
        <v>R1013</v>
      </c>
    </row>
    <row r="178" spans="1:18" ht="14.4" customHeight="1" x14ac:dyDescent="0.3">
      <c r="A178" s="5" t="s">
        <v>197</v>
      </c>
      <c r="B178" s="5" t="str">
        <f>VLOOKUP($A178,[1]!Customer_Names[#Data],3,0)</f>
        <v xml:space="preserve">  Kelsey A</v>
      </c>
      <c r="C178" s="5">
        <v>39.729999999999997</v>
      </c>
      <c r="D178" s="5" t="str" cm="1">
        <f t="array" ref="D178">_xlfn.IFS(Healthcare!$C178&lt;18.5,"under weight",Healthcare!$C178&lt;=24.9,"Normal Weight",Healthcare!$C178&gt;=25,"overweight",Healthcare!$C178&gt;=30,"obese")</f>
        <v>overweight</v>
      </c>
      <c r="E178" s="5">
        <v>6.24</v>
      </c>
      <c r="F178" s="5" t="str" cm="1">
        <f t="array" ref="F178">_xlfn.IFS(Healthcare!$E178&lt;5.7,"normal",Healthcare!$E178&lt;=6.4,"prediabetes",Healthcare!$E178&gt;=6.5,"diabetes")</f>
        <v>prediabetes</v>
      </c>
      <c r="G178" s="5" t="s">
        <v>19</v>
      </c>
      <c r="H178" s="5" t="s">
        <v>19</v>
      </c>
      <c r="I178" s="5" t="s">
        <v>19</v>
      </c>
      <c r="J178" s="5">
        <v>0</v>
      </c>
      <c r="K178" s="5" t="s">
        <v>20</v>
      </c>
      <c r="L178" s="5" t="str">
        <f>VLOOKUP(Healthcare!$A178,hospital_details,2,0)</f>
        <v>13-Aug-1977</v>
      </c>
      <c r="M178" s="5">
        <f t="shared" ref="M178:M241" ca="1" si="1055">VLOOKUP(A178,hospital_details,3,0)</f>
        <v>49</v>
      </c>
      <c r="N178" s="5">
        <f t="shared" ref="N178:N241" si="1056">VLOOKUP($A178,hospital_details,4,0)</f>
        <v>2</v>
      </c>
      <c r="O178" s="6">
        <f t="shared" ref="O178:O241" si="1057">VLOOKUP($A178,hospital_details,5,0)</f>
        <v>36935.64</v>
      </c>
      <c r="P178" s="5" t="str">
        <f t="shared" ref="P178:P241" si="1058">VLOOKUP($A178,hospital_details,6,0)</f>
        <v>tier - 2</v>
      </c>
      <c r="Q178" s="5" t="str">
        <f t="shared" ref="Q178:Q241" si="1059">VLOOKUP($A178,hospital_details,7,0)</f>
        <v>tier - 1</v>
      </c>
      <c r="R178" s="5" t="str">
        <f t="shared" ref="R178:R241" si="1060">VLOOKUP($A178,hospital_details,8,0)</f>
        <v>R1011</v>
      </c>
    </row>
    <row r="179" spans="1:18" ht="14.4" customHeight="1" x14ac:dyDescent="0.3">
      <c r="A179" s="7" t="s">
        <v>198</v>
      </c>
      <c r="B179" s="7" t="str">
        <f>VLOOKUP($A179,[1]!Customer_Names[#Data],3,0)</f>
        <v xml:space="preserve">  Bronwen L</v>
      </c>
      <c r="C179" s="7">
        <v>35.68</v>
      </c>
      <c r="D179" s="7" t="str" cm="1">
        <f t="array" ref="D179">_xlfn.IFS(Healthcare!$C179&lt;18.5,"under weight",Healthcare!$C179&lt;=24.9,"Normal Weight",Healthcare!$C179&gt;=25,"overweight",Healthcare!$C179&gt;=30,"obese")</f>
        <v>overweight</v>
      </c>
      <c r="E179" s="7">
        <v>10.039999999999999</v>
      </c>
      <c r="F179" s="7" t="str" cm="1">
        <f t="array" ref="F179">_xlfn.IFS(Healthcare!$E179&lt;5.7,"normal",Healthcare!$E179&lt;=6.4,"prediabetes",Healthcare!$E179&gt;=6.5,"diabetes")</f>
        <v>diabetes</v>
      </c>
      <c r="G179" s="7" t="s">
        <v>19</v>
      </c>
      <c r="H179" s="7" t="s">
        <v>19</v>
      </c>
      <c r="I179" s="7" t="s">
        <v>19</v>
      </c>
      <c r="J179" s="7">
        <v>0</v>
      </c>
      <c r="K179" s="7" t="s">
        <v>20</v>
      </c>
      <c r="L179" s="7" t="str">
        <f>VLOOKUP(Healthcare!$A179,hospital_details,2,0)</f>
        <v>22-Oct-1968</v>
      </c>
      <c r="M179" s="7">
        <f t="shared" ref="M179:M242" ca="1" si="1061">VLOOKUP(A179,hospital_details,3,0)</f>
        <v>57</v>
      </c>
      <c r="N179" s="7">
        <f t="shared" ref="N179:N242" si="1062">VLOOKUP($A179,hospital_details,4,0)</f>
        <v>0</v>
      </c>
      <c r="O179" s="8">
        <f t="shared" ref="O179:O242" si="1063">VLOOKUP($A179,hospital_details,5,0)</f>
        <v>36922.61</v>
      </c>
      <c r="P179" s="7" t="str">
        <f t="shared" ref="P179:P242" si="1064">VLOOKUP($A179,hospital_details,6,0)</f>
        <v>tier - 2</v>
      </c>
      <c r="Q179" s="7" t="str">
        <f t="shared" ref="Q179:Q242" si="1065">VLOOKUP($A179,hospital_details,7,0)</f>
        <v>tier - 1</v>
      </c>
      <c r="R179" s="7" t="str">
        <f t="shared" ref="R179:R242" si="1066">VLOOKUP($A179,hospital_details,8,0)</f>
        <v>R1011</v>
      </c>
    </row>
    <row r="180" spans="1:18" ht="14.4" customHeight="1" x14ac:dyDescent="0.3">
      <c r="A180" s="5" t="s">
        <v>199</v>
      </c>
      <c r="B180" s="5" t="str">
        <f>VLOOKUP($A180,[1]!Customer_Names[#Data],3,0)</f>
        <v xml:space="preserve">  Manuela</v>
      </c>
      <c r="C180" s="5">
        <v>48.86</v>
      </c>
      <c r="D180" s="5" t="str" cm="1">
        <f t="array" ref="D180">_xlfn.IFS(Healthcare!$C180&lt;18.5,"under weight",Healthcare!$C180&lt;=24.9,"Normal Weight",Healthcare!$C180&gt;=25,"overweight",Healthcare!$C180&gt;=30,"obese")</f>
        <v>overweight</v>
      </c>
      <c r="E180" s="5">
        <v>6.09</v>
      </c>
      <c r="F180" s="5" t="str" cm="1">
        <f t="array" ref="F180">_xlfn.IFS(Healthcare!$E180&lt;5.7,"normal",Healthcare!$E180&lt;=6.4,"prediabetes",Healthcare!$E180&gt;=6.5,"diabetes")</f>
        <v>prediabetes</v>
      </c>
      <c r="G180" s="5" t="s">
        <v>19</v>
      </c>
      <c r="H180" s="5" t="s">
        <v>19</v>
      </c>
      <c r="I180" s="5" t="s">
        <v>19</v>
      </c>
      <c r="J180" s="5">
        <v>0</v>
      </c>
      <c r="K180" s="5" t="s">
        <v>20</v>
      </c>
      <c r="L180" s="5" t="str">
        <f>VLOOKUP(Healthcare!$A180,hospital_details,2,0)</f>
        <v>10-Jun-1991</v>
      </c>
      <c r="M180" s="5">
        <f t="shared" ref="M180:M243" ca="1" si="1067">VLOOKUP(A180,hospital_details,3,0)</f>
        <v>35</v>
      </c>
      <c r="N180" s="5">
        <f t="shared" ref="N180:N243" si="1068">VLOOKUP($A180,hospital_details,4,0)</f>
        <v>3</v>
      </c>
      <c r="O180" s="6">
        <f t="shared" ref="O180:O243" si="1069">VLOOKUP($A180,hospital_details,5,0)</f>
        <v>36911.99</v>
      </c>
      <c r="P180" s="5" t="str">
        <f t="shared" ref="P180:P243" si="1070">VLOOKUP($A180,hospital_details,6,0)</f>
        <v>tier - 2</v>
      </c>
      <c r="Q180" s="5" t="str">
        <f t="shared" ref="Q180:Q243" si="1071">VLOOKUP($A180,hospital_details,7,0)</f>
        <v>tier - 2</v>
      </c>
      <c r="R180" s="5" t="str">
        <f t="shared" ref="R180:R243" si="1072">VLOOKUP($A180,hospital_details,8,0)</f>
        <v>R1011</v>
      </c>
    </row>
    <row r="181" spans="1:18" ht="14.4" customHeight="1" x14ac:dyDescent="0.3">
      <c r="A181" s="7" t="s">
        <v>200</v>
      </c>
      <c r="B181" s="7" t="str">
        <f>VLOOKUP($A181,[1]!Customer_Names[#Data],3,0)</f>
        <v xml:space="preserve">  Jennifer L</v>
      </c>
      <c r="C181" s="7">
        <v>34.799999999999997</v>
      </c>
      <c r="D181" s="7" t="str" cm="1">
        <f t="array" ref="D181">_xlfn.IFS(Healthcare!$C181&lt;18.5,"under weight",Healthcare!$C181&lt;=24.9,"Normal Weight",Healthcare!$C181&gt;=25,"overweight",Healthcare!$C181&gt;=30,"obese")</f>
        <v>overweight</v>
      </c>
      <c r="E181" s="7">
        <v>11.4</v>
      </c>
      <c r="F181" s="7" t="str" cm="1">
        <f t="array" ref="F181">_xlfn.IFS(Healthcare!$E181&lt;5.7,"normal",Healthcare!$E181&lt;=6.4,"prediabetes",Healthcare!$E181&gt;=6.5,"diabetes")</f>
        <v>diabetes</v>
      </c>
      <c r="G181" s="7" t="s">
        <v>20</v>
      </c>
      <c r="H181" s="7" t="s">
        <v>19</v>
      </c>
      <c r="I181" s="7" t="s">
        <v>29</v>
      </c>
      <c r="J181" s="7">
        <v>1</v>
      </c>
      <c r="K181" s="7" t="s">
        <v>19</v>
      </c>
      <c r="L181" s="7" t="str">
        <f>VLOOKUP(Healthcare!$A181,hospital_details,2,0)</f>
        <v>24-Jul-1963</v>
      </c>
      <c r="M181" s="7">
        <f t="shared" ref="M181:M244" ca="1" si="1073">VLOOKUP(A181,hospital_details,3,0)</f>
        <v>63</v>
      </c>
      <c r="N181" s="7">
        <f t="shared" ref="N181:N244" si="1074">VLOOKUP($A181,hospital_details,4,0)</f>
        <v>2</v>
      </c>
      <c r="O181" s="8">
        <f t="shared" ref="O181:O244" si="1075">VLOOKUP($A181,hospital_details,5,0)</f>
        <v>36910.61</v>
      </c>
      <c r="P181" s="7" t="str">
        <f t="shared" ref="P181:P244" si="1076">VLOOKUP($A181,hospital_details,6,0)</f>
        <v>tier - 2</v>
      </c>
      <c r="Q181" s="7" t="str">
        <f t="shared" ref="Q181:Q244" si="1077">VLOOKUP($A181,hospital_details,7,0)</f>
        <v>tier - 2</v>
      </c>
      <c r="R181" s="7" t="str">
        <f t="shared" ref="R181:R244" si="1078">VLOOKUP($A181,hospital_details,8,0)</f>
        <v>R1011</v>
      </c>
    </row>
    <row r="182" spans="1:18" ht="14.4" customHeight="1" x14ac:dyDescent="0.3">
      <c r="A182" s="5" t="s">
        <v>201</v>
      </c>
      <c r="B182" s="5" t="str">
        <f>VLOOKUP($A182,[1]!Customer_Names[#Data],3,0)</f>
        <v xml:space="preserve">  Abby W</v>
      </c>
      <c r="C182" s="5">
        <v>32.49</v>
      </c>
      <c r="D182" s="5" t="str" cm="1">
        <f t="array" ref="D182">_xlfn.IFS(Healthcare!$C182&lt;18.5,"under weight",Healthcare!$C182&lt;=24.9,"Normal Weight",Healthcare!$C182&gt;=25,"overweight",Healthcare!$C182&gt;=30,"obese")</f>
        <v>overweight</v>
      </c>
      <c r="E182" s="5">
        <v>4.29</v>
      </c>
      <c r="F182" s="5" t="str" cm="1">
        <f t="array" ref="F182">_xlfn.IFS(Healthcare!$E182&lt;5.7,"normal",Healthcare!$E182&lt;=6.4,"prediabetes",Healthcare!$E182&gt;=6.5,"diabetes")</f>
        <v>normal</v>
      </c>
      <c r="G182" s="5" t="s">
        <v>19</v>
      </c>
      <c r="H182" s="5" t="s">
        <v>19</v>
      </c>
      <c r="I182" s="5" t="s">
        <v>29</v>
      </c>
      <c r="J182" s="5">
        <v>1</v>
      </c>
      <c r="K182" s="5" t="s">
        <v>20</v>
      </c>
      <c r="L182" s="5" t="str">
        <f>VLOOKUP(Healthcare!$A182,hospital_details,2,0)</f>
        <v>21-Jun-2003</v>
      </c>
      <c r="M182" s="5">
        <f t="shared" ref="M182:M245" ca="1" si="1079">VLOOKUP(A182,hospital_details,3,0)</f>
        <v>23</v>
      </c>
      <c r="N182" s="5">
        <f t="shared" ref="N182:N245" si="1080">VLOOKUP($A182,hospital_details,4,0)</f>
        <v>0</v>
      </c>
      <c r="O182" s="6">
        <f t="shared" ref="O182:O245" si="1081">VLOOKUP($A182,hospital_details,5,0)</f>
        <v>36898.730000000003</v>
      </c>
      <c r="P182" s="5" t="str">
        <f t="shared" ref="P182:P245" si="1082">VLOOKUP($A182,hospital_details,6,0)</f>
        <v>tier - 2</v>
      </c>
      <c r="Q182" s="5" t="str">
        <f t="shared" ref="Q182:Q245" si="1083">VLOOKUP($A182,hospital_details,7,0)</f>
        <v>tier - 1</v>
      </c>
      <c r="R182" s="5" t="str">
        <f t="shared" ref="R182:R245" si="1084">VLOOKUP($A182,hospital_details,8,0)</f>
        <v>R1012</v>
      </c>
    </row>
    <row r="183" spans="1:18" ht="14.4" customHeight="1" x14ac:dyDescent="0.3">
      <c r="A183" s="7" t="s">
        <v>202</v>
      </c>
      <c r="B183" s="7" t="str">
        <f>VLOOKUP($A183,[1]!Customer_Names[#Data],3,0)</f>
        <v xml:space="preserve">  Tyler</v>
      </c>
      <c r="C183" s="7">
        <v>39</v>
      </c>
      <c r="D183" s="7" t="str" cm="1">
        <f t="array" ref="D183">_xlfn.IFS(Healthcare!$C183&lt;18.5,"under weight",Healthcare!$C183&lt;=24.9,"Normal Weight",Healthcare!$C183&gt;=25,"overweight",Healthcare!$C183&gt;=30,"obese")</f>
        <v>overweight</v>
      </c>
      <c r="E183" s="7">
        <v>5.7</v>
      </c>
      <c r="F183" s="7" t="str" cm="1">
        <f t="array" ref="F183">_xlfn.IFS(Healthcare!$E183&lt;5.7,"normal",Healthcare!$E183&lt;=6.4,"prediabetes",Healthcare!$E183&gt;=6.5,"diabetes")</f>
        <v>prediabetes</v>
      </c>
      <c r="G183" s="7" t="s">
        <v>19</v>
      </c>
      <c r="H183" s="7" t="s">
        <v>19</v>
      </c>
      <c r="I183" s="7" t="s">
        <v>19</v>
      </c>
      <c r="J183" s="7">
        <v>2</v>
      </c>
      <c r="K183" s="7" t="s">
        <v>20</v>
      </c>
      <c r="L183" s="7" t="str">
        <f>VLOOKUP(Healthcare!$A183,hospital_details,2,0)</f>
        <v>5-Dec-1972</v>
      </c>
      <c r="M183" s="7">
        <f t="shared" ref="M183:M246" ca="1" si="1085">VLOOKUP(A183,hospital_details,3,0)</f>
        <v>53</v>
      </c>
      <c r="N183" s="7">
        <f t="shared" ref="N183:N246" si="1086">VLOOKUP($A183,hospital_details,4,0)</f>
        <v>0</v>
      </c>
      <c r="O183" s="8">
        <f t="shared" ref="O183:O246" si="1087">VLOOKUP($A183,hospital_details,5,0)</f>
        <v>36889.99</v>
      </c>
      <c r="P183" s="7" t="str">
        <f t="shared" ref="P183:P246" si="1088">VLOOKUP($A183,hospital_details,6,0)</f>
        <v>tier - 1</v>
      </c>
      <c r="Q183" s="7" t="str">
        <f t="shared" ref="Q183:Q246" si="1089">VLOOKUP($A183,hospital_details,7,0)</f>
        <v>tier - 3</v>
      </c>
      <c r="R183" s="7" t="str">
        <f t="shared" ref="R183:R246" si="1090">VLOOKUP($A183,hospital_details,8,0)</f>
        <v>R1011</v>
      </c>
    </row>
    <row r="184" spans="1:18" ht="14.4" customHeight="1" x14ac:dyDescent="0.3">
      <c r="A184" s="5" t="s">
        <v>203</v>
      </c>
      <c r="B184" s="5" t="str">
        <f>VLOOKUP($A184,[1]!Customer_Names[#Data],3,0)</f>
        <v xml:space="preserve">  Jeffrey</v>
      </c>
      <c r="C184" s="5">
        <v>35.299999999999997</v>
      </c>
      <c r="D184" s="5" t="str" cm="1">
        <f t="array" ref="D184">_xlfn.IFS(Healthcare!$C184&lt;18.5,"under weight",Healthcare!$C184&lt;=24.9,"Normal Weight",Healthcare!$C184&gt;=25,"overweight",Healthcare!$C184&gt;=30,"obese")</f>
        <v>overweight</v>
      </c>
      <c r="E184" s="5">
        <v>6.09</v>
      </c>
      <c r="F184" s="5" t="str" cm="1">
        <f t="array" ref="F184">_xlfn.IFS(Healthcare!$E184&lt;5.7,"normal",Healthcare!$E184&lt;=6.4,"prediabetes",Healthcare!$E184&gt;=6.5,"diabetes")</f>
        <v>prediabetes</v>
      </c>
      <c r="G184" s="5" t="s">
        <v>19</v>
      </c>
      <c r="H184" s="5" t="s">
        <v>19</v>
      </c>
      <c r="I184" s="5" t="s">
        <v>19</v>
      </c>
      <c r="J184" s="5">
        <v>1</v>
      </c>
      <c r="K184" s="5" t="s">
        <v>20</v>
      </c>
      <c r="L184" s="5" t="str">
        <f>VLOOKUP(Healthcare!$A184,hospital_details,2,0)</f>
        <v>4-Jul-1992</v>
      </c>
      <c r="M184" s="5">
        <f t="shared" ref="M184:M247" ca="1" si="1091">VLOOKUP(A184,hospital_details,3,0)</f>
        <v>34</v>
      </c>
      <c r="N184" s="5">
        <f t="shared" ref="N184:N247" si="1092">VLOOKUP($A184,hospital_details,4,0)</f>
        <v>0</v>
      </c>
      <c r="O184" s="6">
        <f t="shared" ref="O184:O247" si="1093">VLOOKUP($A184,hospital_details,5,0)</f>
        <v>36837.47</v>
      </c>
      <c r="P184" s="5" t="str">
        <f t="shared" ref="P184:P247" si="1094">VLOOKUP($A184,hospital_details,6,0)</f>
        <v>tier - 2</v>
      </c>
      <c r="Q184" s="5" t="str">
        <f t="shared" ref="Q184:Q247" si="1095">VLOOKUP($A184,hospital_details,7,0)</f>
        <v>tier - 3</v>
      </c>
      <c r="R184" s="5" t="str">
        <f t="shared" ref="R184:R247" si="1096">VLOOKUP($A184,hospital_details,8,0)</f>
        <v>R1011</v>
      </c>
    </row>
    <row r="185" spans="1:18" ht="14.4" customHeight="1" x14ac:dyDescent="0.3">
      <c r="A185" s="7" t="s">
        <v>204</v>
      </c>
      <c r="B185" s="7" t="str">
        <f>VLOOKUP($A185,[1]!Customer_Names[#Data],3,0)</f>
        <v xml:space="preserve">  Matthew F</v>
      </c>
      <c r="C185" s="7">
        <v>33.42</v>
      </c>
      <c r="D185" s="7" t="str" cm="1">
        <f t="array" ref="D185">_xlfn.IFS(Healthcare!$C185&lt;18.5,"under weight",Healthcare!$C185&lt;=24.9,"Normal Weight",Healthcare!$C185&gt;=25,"overweight",Healthcare!$C185&gt;=30,"obese")</f>
        <v>overweight</v>
      </c>
      <c r="E185" s="7">
        <v>10.67</v>
      </c>
      <c r="F185" s="7" t="str" cm="1">
        <f t="array" ref="F185">_xlfn.IFS(Healthcare!$E185&lt;5.7,"normal",Healthcare!$E185&lt;=6.4,"prediabetes",Healthcare!$E185&gt;=6.5,"diabetes")</f>
        <v>diabetes</v>
      </c>
      <c r="G185" s="7" t="s">
        <v>19</v>
      </c>
      <c r="H185" s="7" t="s">
        <v>19</v>
      </c>
      <c r="I185" s="7" t="s">
        <v>19</v>
      </c>
      <c r="J185" s="7">
        <v>0</v>
      </c>
      <c r="K185" s="7" t="s">
        <v>20</v>
      </c>
      <c r="L185" s="7" t="str">
        <f>VLOOKUP(Healthcare!$A185,hospital_details,2,0)</f>
        <v>28-Dec-1965</v>
      </c>
      <c r="M185" s="7">
        <f t="shared" ref="M185:M248" ca="1" si="1097">VLOOKUP(A185,hospital_details,3,0)</f>
        <v>60</v>
      </c>
      <c r="N185" s="7">
        <f t="shared" ref="N185:N248" si="1098">VLOOKUP($A185,hospital_details,4,0)</f>
        <v>0</v>
      </c>
      <c r="O185" s="8">
        <f t="shared" ref="O185:O248" si="1099">VLOOKUP($A185,hospital_details,5,0)</f>
        <v>36795.29</v>
      </c>
      <c r="P185" s="7" t="str">
        <f t="shared" ref="P185:P248" si="1100">VLOOKUP($A185,hospital_details,6,0)</f>
        <v>tier - 2</v>
      </c>
      <c r="Q185" s="7" t="str">
        <f t="shared" ref="Q185:Q248" si="1101">VLOOKUP($A185,hospital_details,7,0)</f>
        <v>tier - 1</v>
      </c>
      <c r="R185" s="7" t="str">
        <f t="shared" ref="R185:R248" si="1102">VLOOKUP($A185,hospital_details,8,0)</f>
        <v>R1011</v>
      </c>
    </row>
    <row r="186" spans="1:18" ht="14.4" customHeight="1" x14ac:dyDescent="0.3">
      <c r="A186" s="5" t="s">
        <v>205</v>
      </c>
      <c r="B186" s="5" t="str">
        <f>VLOOKUP($A186,[1]!Customer_Names[#Data],3,0)</f>
        <v xml:space="preserve">  Ryan J</v>
      </c>
      <c r="C186" s="5">
        <v>37.18</v>
      </c>
      <c r="D186" s="5" t="str" cm="1">
        <f t="array" ref="D186">_xlfn.IFS(Healthcare!$C186&lt;18.5,"under weight",Healthcare!$C186&lt;=24.9,"Normal Weight",Healthcare!$C186&gt;=25,"overweight",Healthcare!$C186&gt;=30,"obese")</f>
        <v>overweight</v>
      </c>
      <c r="E186" s="5">
        <v>6.75</v>
      </c>
      <c r="F186" s="5" t="str" cm="1">
        <f t="array" ref="F186">_xlfn.IFS(Healthcare!$E186&lt;5.7,"normal",Healthcare!$E186&lt;=6.4,"prediabetes",Healthcare!$E186&gt;=6.5,"diabetes")</f>
        <v>diabetes</v>
      </c>
      <c r="G186" s="5" t="s">
        <v>20</v>
      </c>
      <c r="H186" s="5" t="s">
        <v>19</v>
      </c>
      <c r="I186" s="5" t="s">
        <v>19</v>
      </c>
      <c r="J186" s="5">
        <v>2</v>
      </c>
      <c r="K186" s="5" t="s">
        <v>20</v>
      </c>
      <c r="L186" s="5" t="str">
        <f>VLOOKUP(Healthcare!$A186,hospital_details,2,0)</f>
        <v>14-Jul-1970</v>
      </c>
      <c r="M186" s="5">
        <f t="shared" ref="M186:M249" ca="1" si="1103">VLOOKUP(A186,hospital_details,3,0)</f>
        <v>56</v>
      </c>
      <c r="N186" s="5">
        <f t="shared" ref="N186:N249" si="1104">VLOOKUP($A186,hospital_details,4,0)</f>
        <v>0</v>
      </c>
      <c r="O186" s="6">
        <f t="shared" ref="O186:O249" si="1105">VLOOKUP($A186,hospital_details,5,0)</f>
        <v>36786.370000000003</v>
      </c>
      <c r="P186" s="5" t="str">
        <f t="shared" ref="P186:P249" si="1106">VLOOKUP($A186,hospital_details,6,0)</f>
        <v>tier - 1</v>
      </c>
      <c r="Q186" s="5" t="str">
        <f t="shared" ref="Q186:Q249" si="1107">VLOOKUP($A186,hospital_details,7,0)</f>
        <v>tier - 1</v>
      </c>
      <c r="R186" s="5" t="str">
        <f t="shared" ref="R186:R249" si="1108">VLOOKUP($A186,hospital_details,8,0)</f>
        <v>R1011</v>
      </c>
    </row>
    <row r="187" spans="1:18" ht="14.4" customHeight="1" x14ac:dyDescent="0.3">
      <c r="A187" s="7" t="s">
        <v>206</v>
      </c>
      <c r="B187" s="7" t="str">
        <f>VLOOKUP($A187,[1]!Customer_Names[#Data],3,0)</f>
        <v xml:space="preserve">  Amy</v>
      </c>
      <c r="C187" s="7">
        <v>33.33</v>
      </c>
      <c r="D187" s="7" t="str" cm="1">
        <f t="array" ref="D187">_xlfn.IFS(Healthcare!$C187&lt;18.5,"under weight",Healthcare!$C187&lt;=24.9,"Normal Weight",Healthcare!$C187&gt;=25,"overweight",Healthcare!$C187&gt;=30,"obese")</f>
        <v>overweight</v>
      </c>
      <c r="E187" s="7">
        <v>9.26</v>
      </c>
      <c r="F187" s="7" t="str" cm="1">
        <f t="array" ref="F187">_xlfn.IFS(Healthcare!$E187&lt;5.7,"normal",Healthcare!$E187&lt;=6.4,"prediabetes",Healthcare!$E187&gt;=6.5,"diabetes")</f>
        <v>diabetes</v>
      </c>
      <c r="G187" s="7" t="s">
        <v>20</v>
      </c>
      <c r="H187" s="7" t="s">
        <v>19</v>
      </c>
      <c r="I187" s="7" t="s">
        <v>19</v>
      </c>
      <c r="J187" s="7">
        <v>2</v>
      </c>
      <c r="K187" s="7" t="s">
        <v>19</v>
      </c>
      <c r="L187" s="7" t="str">
        <f>VLOOKUP(Healthcare!$A187,hospital_details,2,0)</f>
        <v>29-Jul-1961</v>
      </c>
      <c r="M187" s="7">
        <f t="shared" ref="M187:M250" ca="1" si="1109">VLOOKUP(A187,hospital_details,3,0)</f>
        <v>65</v>
      </c>
      <c r="N187" s="7">
        <f t="shared" ref="N187:N250" si="1110">VLOOKUP($A187,hospital_details,4,0)</f>
        <v>4</v>
      </c>
      <c r="O187" s="8">
        <f t="shared" ref="O187:O250" si="1111">VLOOKUP($A187,hospital_details,5,0)</f>
        <v>36580.28</v>
      </c>
      <c r="P187" s="7" t="str">
        <f t="shared" ref="P187:P250" si="1112">VLOOKUP($A187,hospital_details,6,0)</f>
        <v>tier - 2</v>
      </c>
      <c r="Q187" s="7" t="str">
        <f t="shared" ref="Q187:Q250" si="1113">VLOOKUP($A187,hospital_details,7,0)</f>
        <v>tier - 2</v>
      </c>
      <c r="R187" s="7" t="str">
        <f t="shared" ref="R187:R250" si="1114">VLOOKUP($A187,hospital_details,8,0)</f>
        <v>R1013</v>
      </c>
    </row>
    <row r="188" spans="1:18" ht="14.4" customHeight="1" x14ac:dyDescent="0.3">
      <c r="A188" s="5" t="s">
        <v>207</v>
      </c>
      <c r="B188" s="5" t="str">
        <f>VLOOKUP($A188,[1]!Customer_Names[#Data],3,0)</f>
        <v xml:space="preserve">  Andrew P</v>
      </c>
      <c r="C188" s="5">
        <v>53.21</v>
      </c>
      <c r="D188" s="5" t="str" cm="1">
        <f t="array" ref="D188">_xlfn.IFS(Healthcare!$C188&lt;18.5,"under weight",Healthcare!$C188&lt;=24.9,"Normal Weight",Healthcare!$C188&gt;=25,"overweight",Healthcare!$C188&gt;=30,"obese")</f>
        <v>overweight</v>
      </c>
      <c r="E188" s="5">
        <v>4.2699999999999996</v>
      </c>
      <c r="F188" s="5" t="str" cm="1">
        <f t="array" ref="F188">_xlfn.IFS(Healthcare!$E188&lt;5.7,"normal",Healthcare!$E188&lt;=6.4,"prediabetes",Healthcare!$E188&gt;=6.5,"diabetes")</f>
        <v>normal</v>
      </c>
      <c r="G188" s="5" t="s">
        <v>19</v>
      </c>
      <c r="H188" s="5" t="s">
        <v>19</v>
      </c>
      <c r="I188" s="5" t="s">
        <v>19</v>
      </c>
      <c r="J188" s="5">
        <v>1</v>
      </c>
      <c r="K188" s="5" t="s">
        <v>20</v>
      </c>
      <c r="L188" s="5" t="str">
        <f>VLOOKUP(Healthcare!$A188,hospital_details,2,0)</f>
        <v>9-Oct-1992</v>
      </c>
      <c r="M188" s="5">
        <f t="shared" ref="M188:M251" ca="1" si="1115">VLOOKUP(A188,hospital_details,3,0)</f>
        <v>34</v>
      </c>
      <c r="N188" s="5">
        <f t="shared" ref="N188:N251" si="1116">VLOOKUP($A188,hospital_details,4,0)</f>
        <v>0</v>
      </c>
      <c r="O188" s="6">
        <f t="shared" ref="O188:O251" si="1117">VLOOKUP($A188,hospital_details,5,0)</f>
        <v>36572.800000000003</v>
      </c>
      <c r="P188" s="5" t="str">
        <f t="shared" ref="P188:P251" si="1118">VLOOKUP($A188,hospital_details,6,0)</f>
        <v>tier - 1</v>
      </c>
      <c r="Q188" s="5" t="str">
        <f t="shared" ref="Q188:Q251" si="1119">VLOOKUP($A188,hospital_details,7,0)</f>
        <v>tier - 2</v>
      </c>
      <c r="R188" s="5" t="str">
        <f t="shared" ref="R188:R251" si="1120">VLOOKUP($A188,hospital_details,8,0)</f>
        <v>R1011</v>
      </c>
    </row>
    <row r="189" spans="1:18" ht="14.4" customHeight="1" x14ac:dyDescent="0.3">
      <c r="A189" s="7" t="s">
        <v>208</v>
      </c>
      <c r="B189" s="7" t="str">
        <f>VLOOKUP($A189,[1]!Customer_Names[#Data],3,0)</f>
        <v xml:space="preserve">  George M</v>
      </c>
      <c r="C189" s="7">
        <v>38.729999999999997</v>
      </c>
      <c r="D189" s="7" t="str" cm="1">
        <f t="array" ref="D189">_xlfn.IFS(Healthcare!$C189&lt;18.5,"under weight",Healthcare!$C189&lt;=24.9,"Normal Weight",Healthcare!$C189&gt;=25,"overweight",Healthcare!$C189&gt;=30,"obese")</f>
        <v>overweight</v>
      </c>
      <c r="E189" s="7">
        <v>11.51</v>
      </c>
      <c r="F189" s="7" t="str" cm="1">
        <f t="array" ref="F189">_xlfn.IFS(Healthcare!$E189&lt;5.7,"normal",Healthcare!$E189&lt;=6.4,"prediabetes",Healthcare!$E189&gt;=6.5,"diabetes")</f>
        <v>diabetes</v>
      </c>
      <c r="G189" s="7" t="s">
        <v>19</v>
      </c>
      <c r="H189" s="7" t="s">
        <v>19</v>
      </c>
      <c r="I189" s="7" t="s">
        <v>19</v>
      </c>
      <c r="J189" s="7">
        <v>2</v>
      </c>
      <c r="K189" s="7" t="s">
        <v>20</v>
      </c>
      <c r="L189" s="7" t="str">
        <f>VLOOKUP(Healthcare!$A189,hospital_details,2,0)</f>
        <v>9-Aug-1973</v>
      </c>
      <c r="M189" s="7">
        <f t="shared" ref="M189:M252" ca="1" si="1121">VLOOKUP(A189,hospital_details,3,0)</f>
        <v>53</v>
      </c>
      <c r="N189" s="7">
        <f t="shared" ref="N189:N252" si="1122">VLOOKUP($A189,hospital_details,4,0)</f>
        <v>0</v>
      </c>
      <c r="O189" s="8">
        <f t="shared" ref="O189:O252" si="1123">VLOOKUP($A189,hospital_details,5,0)</f>
        <v>36541.550000000003</v>
      </c>
      <c r="P189" s="7" t="str">
        <f t="shared" ref="P189:P252" si="1124">VLOOKUP($A189,hospital_details,6,0)</f>
        <v>tier - 2</v>
      </c>
      <c r="Q189" s="7" t="str">
        <f t="shared" ref="Q189:Q252" si="1125">VLOOKUP($A189,hospital_details,7,0)</f>
        <v>tier - 3</v>
      </c>
      <c r="R189" s="7" t="str">
        <f t="shared" ref="R189:R252" si="1126">VLOOKUP($A189,hospital_details,8,0)</f>
        <v>R1011</v>
      </c>
    </row>
    <row r="190" spans="1:18" ht="14.4" customHeight="1" x14ac:dyDescent="0.3">
      <c r="A190" s="5" t="s">
        <v>209</v>
      </c>
      <c r="B190" s="5" t="str">
        <f>VLOOKUP($A190,[1]!Customer_Names[#Data],3,0)</f>
        <v xml:space="preserve">  Sarah</v>
      </c>
      <c r="C190" s="5">
        <v>29.73</v>
      </c>
      <c r="D190" s="5" t="str" cm="1">
        <f t="array" ref="D190">_xlfn.IFS(Healthcare!$C190&lt;18.5,"under weight",Healthcare!$C190&lt;=24.9,"Normal Weight",Healthcare!$C190&gt;=25,"overweight",Healthcare!$C190&gt;=30,"obese")</f>
        <v>overweight</v>
      </c>
      <c r="E190" s="5">
        <v>7.22</v>
      </c>
      <c r="F190" s="5" t="str" cm="1">
        <f t="array" ref="F190">_xlfn.IFS(Healthcare!$E190&lt;5.7,"normal",Healthcare!$E190&lt;=6.4,"prediabetes",Healthcare!$E190&gt;=6.5,"diabetes")</f>
        <v>diabetes</v>
      </c>
      <c r="G190" s="5" t="s">
        <v>19</v>
      </c>
      <c r="H190" s="5" t="s">
        <v>19</v>
      </c>
      <c r="I190" s="5" t="s">
        <v>19</v>
      </c>
      <c r="J190" s="5">
        <v>0</v>
      </c>
      <c r="K190" s="5" t="s">
        <v>20</v>
      </c>
      <c r="L190" s="5" t="str">
        <f>VLOOKUP(Healthcare!$A190,hospital_details,2,0)</f>
        <v>19-Nov-1962</v>
      </c>
      <c r="M190" s="5">
        <f t="shared" ref="M190:M253" ca="1" si="1127">VLOOKUP(A190,hospital_details,3,0)</f>
        <v>63</v>
      </c>
      <c r="N190" s="5">
        <f t="shared" ref="N190:N253" si="1128">VLOOKUP($A190,hospital_details,4,0)</f>
        <v>0</v>
      </c>
      <c r="O190" s="6">
        <f t="shared" ref="O190:O253" si="1129">VLOOKUP($A190,hospital_details,5,0)</f>
        <v>36445.550000000003</v>
      </c>
      <c r="P190" s="5" t="str">
        <f t="shared" ref="P190:P253" si="1130">VLOOKUP($A190,hospital_details,6,0)</f>
        <v>tier - 2</v>
      </c>
      <c r="Q190" s="5" t="str">
        <f t="shared" ref="Q190:Q253" si="1131">VLOOKUP($A190,hospital_details,7,0)</f>
        <v>tier - 2</v>
      </c>
      <c r="R190" s="5" t="str">
        <f t="shared" ref="R190:R253" si="1132">VLOOKUP($A190,hospital_details,8,0)</f>
        <v>R1011</v>
      </c>
    </row>
    <row r="191" spans="1:18" ht="14.4" customHeight="1" x14ac:dyDescent="0.3">
      <c r="A191" s="7" t="s">
        <v>210</v>
      </c>
      <c r="B191" s="7" t="str">
        <f>VLOOKUP($A191,[1]!Customer_Names[#Data],3,0)</f>
        <v xml:space="preserve">  Lara</v>
      </c>
      <c r="C191" s="7">
        <v>34.700000000000003</v>
      </c>
      <c r="D191" s="7" t="str" cm="1">
        <f t="array" ref="D191">_xlfn.IFS(Healthcare!$C191&lt;18.5,"under weight",Healthcare!$C191&lt;=24.9,"Normal Weight",Healthcare!$C191&gt;=25,"overweight",Healthcare!$C191&gt;=30,"obese")</f>
        <v>overweight</v>
      </c>
      <c r="E191" s="7">
        <v>4.37</v>
      </c>
      <c r="F191" s="7" t="str" cm="1">
        <f t="array" ref="F191">_xlfn.IFS(Healthcare!$E191&lt;5.7,"normal",Healthcare!$E191&lt;=6.4,"prediabetes",Healthcare!$E191&gt;=6.5,"diabetes")</f>
        <v>normal</v>
      </c>
      <c r="G191" s="7" t="s">
        <v>19</v>
      </c>
      <c r="H191" s="7" t="s">
        <v>19</v>
      </c>
      <c r="I191" s="7" t="s">
        <v>29</v>
      </c>
      <c r="J191" s="7">
        <v>1</v>
      </c>
      <c r="K191" s="7" t="s">
        <v>20</v>
      </c>
      <c r="L191" s="7" t="str">
        <f>VLOOKUP(Healthcare!$A191,hospital_details,2,0)</f>
        <v>9-Dec-2003</v>
      </c>
      <c r="M191" s="7">
        <f t="shared" ref="M191:M254" ca="1" si="1133">VLOOKUP(A191,hospital_details,3,0)</f>
        <v>22</v>
      </c>
      <c r="N191" s="7">
        <f t="shared" ref="N191:N254" si="1134">VLOOKUP($A191,hospital_details,4,0)</f>
        <v>2</v>
      </c>
      <c r="O191" s="8">
        <f t="shared" ref="O191:O254" si="1135">VLOOKUP($A191,hospital_details,5,0)</f>
        <v>36397.58</v>
      </c>
      <c r="P191" s="7" t="str">
        <f t="shared" ref="P191:P254" si="1136">VLOOKUP($A191,hospital_details,6,0)</f>
        <v>tier - 2</v>
      </c>
      <c r="Q191" s="7" t="str">
        <f t="shared" ref="Q191:Q254" si="1137">VLOOKUP($A191,hospital_details,7,0)</f>
        <v>tier - 3</v>
      </c>
      <c r="R191" s="7" t="str">
        <f t="shared" ref="R191:R254" si="1138">VLOOKUP($A191,hospital_details,8,0)</f>
        <v>R1011</v>
      </c>
    </row>
    <row r="192" spans="1:18" ht="14.4" customHeight="1" x14ac:dyDescent="0.3">
      <c r="A192" s="5" t="s">
        <v>211</v>
      </c>
      <c r="B192" s="5" t="str">
        <f>VLOOKUP($A192,[1]!Customer_Names[#Data],3,0)</f>
        <v xml:space="preserve">  Sebastien</v>
      </c>
      <c r="C192" s="5">
        <v>38.28</v>
      </c>
      <c r="D192" s="5" t="str" cm="1">
        <f t="array" ref="D192">_xlfn.IFS(Healthcare!$C192&lt;18.5,"under weight",Healthcare!$C192&lt;=24.9,"Normal Weight",Healthcare!$C192&gt;=25,"overweight",Healthcare!$C192&gt;=30,"obese")</f>
        <v>overweight</v>
      </c>
      <c r="E192" s="5">
        <v>11.56</v>
      </c>
      <c r="F192" s="5" t="str" cm="1">
        <f t="array" ref="F192">_xlfn.IFS(Healthcare!$E192&lt;5.7,"normal",Healthcare!$E192&lt;=6.4,"prediabetes",Healthcare!$E192&gt;=6.5,"diabetes")</f>
        <v>diabetes</v>
      </c>
      <c r="G192" s="5" t="s">
        <v>20</v>
      </c>
      <c r="H192" s="5" t="s">
        <v>19</v>
      </c>
      <c r="I192" s="5" t="s">
        <v>19</v>
      </c>
      <c r="J192" s="5">
        <v>1</v>
      </c>
      <c r="K192" s="5" t="s">
        <v>20</v>
      </c>
      <c r="L192" s="5" t="str">
        <f>VLOOKUP(Healthcare!$A192,hospital_details,2,0)</f>
        <v>5-Jun-1975</v>
      </c>
      <c r="M192" s="5">
        <f t="shared" ref="M192:M255" ca="1" si="1139">VLOOKUP(A192,hospital_details,3,0)</f>
        <v>51</v>
      </c>
      <c r="N192" s="5">
        <f t="shared" ref="N192:N255" si="1140">VLOOKUP($A192,hospital_details,4,0)</f>
        <v>1</v>
      </c>
      <c r="O192" s="6">
        <f t="shared" ref="O192:O255" si="1141">VLOOKUP($A192,hospital_details,5,0)</f>
        <v>36350.71</v>
      </c>
      <c r="P192" s="5" t="str">
        <f t="shared" ref="P192:P255" si="1142">VLOOKUP($A192,hospital_details,6,0)</f>
        <v>tier - 1</v>
      </c>
      <c r="Q192" s="5" t="str">
        <f t="shared" ref="Q192:Q255" si="1143">VLOOKUP($A192,hospital_details,7,0)</f>
        <v>tier - 2</v>
      </c>
      <c r="R192" s="5" t="str">
        <f t="shared" ref="R192:R255" si="1144">VLOOKUP($A192,hospital_details,8,0)</f>
        <v>R1011</v>
      </c>
    </row>
    <row r="193" spans="1:18" ht="14.4" customHeight="1" x14ac:dyDescent="0.3">
      <c r="A193" s="7" t="s">
        <v>212</v>
      </c>
      <c r="B193" s="7" t="str">
        <f>VLOOKUP($A193,[1]!Customer_Names[#Data],3,0)</f>
        <v xml:space="preserve">  Padraig</v>
      </c>
      <c r="C193" s="7">
        <v>33.57</v>
      </c>
      <c r="D193" s="7" t="str" cm="1">
        <f t="array" ref="D193">_xlfn.IFS(Healthcare!$C193&lt;18.5,"under weight",Healthcare!$C193&lt;=24.9,"Normal Weight",Healthcare!$C193&gt;=25,"overweight",Healthcare!$C193&gt;=30,"obese")</f>
        <v>overweight</v>
      </c>
      <c r="E193" s="7">
        <v>8.82</v>
      </c>
      <c r="F193" s="7" t="str" cm="1">
        <f t="array" ref="F193">_xlfn.IFS(Healthcare!$E193&lt;5.7,"normal",Healthcare!$E193&lt;=6.4,"prediabetes",Healthcare!$E193&gt;=6.5,"diabetes")</f>
        <v>diabetes</v>
      </c>
      <c r="G193" s="7" t="s">
        <v>20</v>
      </c>
      <c r="H193" s="7" t="s">
        <v>19</v>
      </c>
      <c r="I193" s="7" t="s">
        <v>19</v>
      </c>
      <c r="J193" s="7">
        <v>0</v>
      </c>
      <c r="K193" s="7" t="s">
        <v>20</v>
      </c>
      <c r="L193" s="7" t="str">
        <f>VLOOKUP(Healthcare!$A193,hospital_details,2,0)</f>
        <v>18-Oct-1967</v>
      </c>
      <c r="M193" s="7">
        <f t="shared" ref="M193:M256" ca="1" si="1145">VLOOKUP(A193,hospital_details,3,0)</f>
        <v>59</v>
      </c>
      <c r="N193" s="7">
        <f t="shared" ref="N193:N256" si="1146">VLOOKUP($A193,hospital_details,4,0)</f>
        <v>0</v>
      </c>
      <c r="O193" s="8">
        <f t="shared" ref="O193:O256" si="1147">VLOOKUP($A193,hospital_details,5,0)</f>
        <v>36332.449999999997</v>
      </c>
      <c r="P193" s="7" t="str">
        <f t="shared" ref="P193:P256" si="1148">VLOOKUP($A193,hospital_details,6,0)</f>
        <v>tier - 1</v>
      </c>
      <c r="Q193" s="7" t="str">
        <f t="shared" ref="Q193:Q256" si="1149">VLOOKUP($A193,hospital_details,7,0)</f>
        <v>tier - 3</v>
      </c>
      <c r="R193" s="7" t="str">
        <f t="shared" ref="R193:R256" si="1150">VLOOKUP($A193,hospital_details,8,0)</f>
        <v>R1011</v>
      </c>
    </row>
    <row r="194" spans="1:18" ht="14.4" customHeight="1" x14ac:dyDescent="0.3">
      <c r="A194" s="5" t="s">
        <v>213</v>
      </c>
      <c r="B194" s="5" t="str">
        <f>VLOOKUP($A194,[1]!Customer_Names[#Data],3,0)</f>
        <v xml:space="preserve">  Heather</v>
      </c>
      <c r="C194" s="5">
        <v>52.06</v>
      </c>
      <c r="D194" s="5" t="str" cm="1">
        <f t="array" ref="D194">_xlfn.IFS(Healthcare!$C194&lt;18.5,"under weight",Healthcare!$C194&lt;=24.9,"Normal Weight",Healthcare!$C194&gt;=25,"overweight",Healthcare!$C194&gt;=30,"obese")</f>
        <v>overweight</v>
      </c>
      <c r="E194" s="5">
        <v>4.6900000000000004</v>
      </c>
      <c r="F194" s="5" t="str" cm="1">
        <f t="array" ref="F194">_xlfn.IFS(Healthcare!$E194&lt;5.7,"normal",Healthcare!$E194&lt;=6.4,"prediabetes",Healthcare!$E194&gt;=6.5,"diabetes")</f>
        <v>normal</v>
      </c>
      <c r="G194" s="5" t="s">
        <v>19</v>
      </c>
      <c r="H194" s="5" t="s">
        <v>19</v>
      </c>
      <c r="I194" s="5" t="s">
        <v>19</v>
      </c>
      <c r="J194" s="5">
        <v>1</v>
      </c>
      <c r="K194" s="5" t="s">
        <v>20</v>
      </c>
      <c r="L194" s="5" t="str">
        <f>VLOOKUP(Healthcare!$A194,hospital_details,2,0)</f>
        <v>16-Jun-1992</v>
      </c>
      <c r="M194" s="5">
        <f t="shared" ref="M194:M257" ca="1" si="1151">VLOOKUP(A194,hospital_details,3,0)</f>
        <v>34</v>
      </c>
      <c r="N194" s="5">
        <f t="shared" ref="N194:N257" si="1152">VLOOKUP($A194,hospital_details,4,0)</f>
        <v>0</v>
      </c>
      <c r="O194" s="6">
        <f t="shared" ref="O194:O257" si="1153">VLOOKUP($A194,hospital_details,5,0)</f>
        <v>36314.050000000003</v>
      </c>
      <c r="P194" s="5" t="str">
        <f t="shared" ref="P194:P257" si="1154">VLOOKUP($A194,hospital_details,6,0)</f>
        <v>tier - 2</v>
      </c>
      <c r="Q194" s="5" t="str">
        <f t="shared" ref="Q194:Q257" si="1155">VLOOKUP($A194,hospital_details,7,0)</f>
        <v>tier - 2</v>
      </c>
      <c r="R194" s="5" t="str">
        <f t="shared" ref="R194:R257" si="1156">VLOOKUP($A194,hospital_details,8,0)</f>
        <v>R1011</v>
      </c>
    </row>
    <row r="195" spans="1:18" ht="14.4" customHeight="1" x14ac:dyDescent="0.3">
      <c r="A195" s="7" t="s">
        <v>214</v>
      </c>
      <c r="B195" s="7" t="str">
        <f>VLOOKUP($A195,[1]!Customer_Names[#Data],3,0)</f>
        <v xml:space="preserve">  Jorge</v>
      </c>
      <c r="C195" s="7">
        <v>38.17</v>
      </c>
      <c r="D195" s="7" t="str" cm="1">
        <f t="array" ref="D195">_xlfn.IFS(Healthcare!$C195&lt;18.5,"under weight",Healthcare!$C195&lt;=24.9,"Normal Weight",Healthcare!$C195&gt;=25,"overweight",Healthcare!$C195&gt;=30,"obese")</f>
        <v>overweight</v>
      </c>
      <c r="E195" s="7">
        <v>4.53</v>
      </c>
      <c r="F195" s="7" t="str" cm="1">
        <f t="array" ref="F195">_xlfn.IFS(Healthcare!$E195&lt;5.7,"normal",Healthcare!$E195&lt;=6.4,"prediabetes",Healthcare!$E195&gt;=6.5,"diabetes")</f>
        <v>normal</v>
      </c>
      <c r="G195" s="7" t="s">
        <v>19</v>
      </c>
      <c r="H195" s="7" t="s">
        <v>20</v>
      </c>
      <c r="I195" s="7" t="s">
        <v>19</v>
      </c>
      <c r="J195" s="7">
        <v>1</v>
      </c>
      <c r="K195" s="7" t="s">
        <v>20</v>
      </c>
      <c r="L195" s="7" t="str">
        <f>VLOOKUP(Healthcare!$A195,hospital_details,2,0)</f>
        <v>25-Dec-2004</v>
      </c>
      <c r="M195" s="7">
        <f t="shared" ref="M195:M258" ca="1" si="1157">VLOOKUP(A195,hospital_details,3,0)</f>
        <v>21</v>
      </c>
      <c r="N195" s="7">
        <f t="shared" ref="N195:N258" si="1158">VLOOKUP($A195,hospital_details,4,0)</f>
        <v>0</v>
      </c>
      <c r="O195" s="8">
        <f t="shared" ref="O195:O258" si="1159">VLOOKUP($A195,hospital_details,5,0)</f>
        <v>36307.800000000003</v>
      </c>
      <c r="P195" s="7" t="str">
        <f t="shared" ref="P195:P258" si="1160">VLOOKUP($A195,hospital_details,6,0)</f>
        <v>tier - 1</v>
      </c>
      <c r="Q195" s="7" t="str">
        <f t="shared" ref="Q195:Q258" si="1161">VLOOKUP($A195,hospital_details,7,0)</f>
        <v>tier - 2</v>
      </c>
      <c r="R195" s="7" t="str">
        <f t="shared" ref="R195:R258" si="1162">VLOOKUP($A195,hospital_details,8,0)</f>
        <v>R1013</v>
      </c>
    </row>
    <row r="196" spans="1:18" ht="14.4" customHeight="1" x14ac:dyDescent="0.3">
      <c r="A196" s="5" t="s">
        <v>215</v>
      </c>
      <c r="B196" s="5" t="str">
        <f>VLOOKUP($A196,[1]!Customer_Names[#Data],3,0)</f>
        <v xml:space="preserve">  Jack R</v>
      </c>
      <c r="C196" s="5">
        <v>36.954999999999998</v>
      </c>
      <c r="D196" s="5" t="str" cm="1">
        <f t="array" ref="D196">_xlfn.IFS(Healthcare!$C196&lt;18.5,"under weight",Healthcare!$C196&lt;=24.9,"Normal Weight",Healthcare!$C196&gt;=25,"overweight",Healthcare!$C196&gt;=30,"obese")</f>
        <v>overweight</v>
      </c>
      <c r="E196" s="5">
        <v>5.84</v>
      </c>
      <c r="F196" s="5" t="str" cm="1">
        <f t="array" ref="F196">_xlfn.IFS(Healthcare!$E196&lt;5.7,"normal",Healthcare!$E196&lt;=6.4,"prediabetes",Healthcare!$E196&gt;=6.5,"diabetes")</f>
        <v>prediabetes</v>
      </c>
      <c r="G196" s="5" t="s">
        <v>19</v>
      </c>
      <c r="H196" s="5" t="s">
        <v>19</v>
      </c>
      <c r="I196" s="5" t="s">
        <v>29</v>
      </c>
      <c r="J196" s="5">
        <v>1</v>
      </c>
      <c r="K196" s="5" t="s">
        <v>20</v>
      </c>
      <c r="L196" s="5" t="str">
        <f>VLOOKUP(Healthcare!$A196,hospital_details,2,0)</f>
        <v>5-Sep-2003</v>
      </c>
      <c r="M196" s="5">
        <f t="shared" ref="M196:M259" ca="1" si="1163">VLOOKUP(A196,hospital_details,3,0)</f>
        <v>23</v>
      </c>
      <c r="N196" s="5">
        <f t="shared" ref="N196:N259" si="1164">VLOOKUP($A196,hospital_details,4,0)</f>
        <v>0</v>
      </c>
      <c r="O196" s="6">
        <f t="shared" ref="O196:O259" si="1165">VLOOKUP($A196,hospital_details,5,0)</f>
        <v>36219.410000000003</v>
      </c>
      <c r="P196" s="5" t="str">
        <f t="shared" ref="P196:P259" si="1166">VLOOKUP($A196,hospital_details,6,0)</f>
        <v>tier - 1</v>
      </c>
      <c r="Q196" s="5" t="str">
        <f t="shared" ref="Q196:Q259" si="1167">VLOOKUP($A196,hospital_details,7,0)</f>
        <v>tier - 1</v>
      </c>
      <c r="R196" s="5" t="str">
        <f t="shared" ref="R196:R259" si="1168">VLOOKUP($A196,hospital_details,8,0)</f>
        <v>R1012</v>
      </c>
    </row>
    <row r="197" spans="1:18" ht="14.4" customHeight="1" x14ac:dyDescent="0.3">
      <c r="A197" s="7" t="s">
        <v>216</v>
      </c>
      <c r="B197" s="7" t="str">
        <f>VLOOKUP($A197,[1]!Customer_Names[#Data],3,0)</f>
        <v xml:space="preserve">  Felix</v>
      </c>
      <c r="C197" s="7">
        <v>34.4</v>
      </c>
      <c r="D197" s="7" t="str" cm="1">
        <f t="array" ref="D197">_xlfn.IFS(Healthcare!$C197&lt;18.5,"under weight",Healthcare!$C197&lt;=24.9,"Normal Weight",Healthcare!$C197&gt;=25,"overweight",Healthcare!$C197&gt;=30,"obese")</f>
        <v>overweight</v>
      </c>
      <c r="E197" s="7">
        <v>4.9000000000000004</v>
      </c>
      <c r="F197" s="7" t="str" cm="1">
        <f t="array" ref="F197">_xlfn.IFS(Healthcare!$E197&lt;5.7,"normal",Healthcare!$E197&lt;=6.4,"prediabetes",Healthcare!$E197&gt;=6.5,"diabetes")</f>
        <v>normal</v>
      </c>
      <c r="G197" s="7" t="s">
        <v>19</v>
      </c>
      <c r="H197" s="7" t="s">
        <v>19</v>
      </c>
      <c r="I197" s="7" t="s">
        <v>29</v>
      </c>
      <c r="J197" s="7">
        <v>1</v>
      </c>
      <c r="K197" s="7" t="s">
        <v>20</v>
      </c>
      <c r="L197" s="7" t="str">
        <f>VLOOKUP(Healthcare!$A197,hospital_details,2,0)</f>
        <v>28-Dec-1993</v>
      </c>
      <c r="M197" s="7">
        <f t="shared" ref="M197:M260" ca="1" si="1169">VLOOKUP(A197,hospital_details,3,0)</f>
        <v>32</v>
      </c>
      <c r="N197" s="7">
        <f t="shared" ref="N197:N260" si="1170">VLOOKUP($A197,hospital_details,4,0)</f>
        <v>0</v>
      </c>
      <c r="O197" s="8">
        <f t="shared" ref="O197:O260" si="1171">VLOOKUP($A197,hospital_details,5,0)</f>
        <v>36197.699999999997</v>
      </c>
      <c r="P197" s="7" t="str">
        <f t="shared" ref="P197:P260" si="1172">VLOOKUP($A197,hospital_details,6,0)</f>
        <v>tier - 1</v>
      </c>
      <c r="Q197" s="7" t="str">
        <f t="shared" ref="Q197:Q260" si="1173">VLOOKUP($A197,hospital_details,7,0)</f>
        <v>tier - 3</v>
      </c>
      <c r="R197" s="7" t="str">
        <f t="shared" ref="R197:R260" si="1174">VLOOKUP($A197,hospital_details,8,0)</f>
        <v>R1011</v>
      </c>
    </row>
    <row r="198" spans="1:18" ht="14.4" customHeight="1" x14ac:dyDescent="0.3">
      <c r="A198" s="5" t="s">
        <v>217</v>
      </c>
      <c r="B198" s="5" t="str">
        <f>VLOOKUP($A198,[1]!Customer_Names[#Data],3,0)</f>
        <v xml:space="preserve">  Christopher C</v>
      </c>
      <c r="C198" s="5">
        <v>31.73</v>
      </c>
      <c r="D198" s="5" t="str" cm="1">
        <f t="array" ref="D198">_xlfn.IFS(Healthcare!$C198&lt;18.5,"under weight",Healthcare!$C198&lt;=24.9,"Normal Weight",Healthcare!$C198&gt;=25,"overweight",Healthcare!$C198&gt;=30,"obese")</f>
        <v>overweight</v>
      </c>
      <c r="E198" s="5">
        <v>4.3</v>
      </c>
      <c r="F198" s="5" t="str" cm="1">
        <f t="array" ref="F198">_xlfn.IFS(Healthcare!$E198&lt;5.7,"normal",Healthcare!$E198&lt;=6.4,"prediabetes",Healthcare!$E198&gt;=6.5,"diabetes")</f>
        <v>normal</v>
      </c>
      <c r="G198" s="5" t="s">
        <v>19</v>
      </c>
      <c r="H198" s="5" t="s">
        <v>19</v>
      </c>
      <c r="I198" s="5" t="s">
        <v>19</v>
      </c>
      <c r="J198" s="5">
        <v>0</v>
      </c>
      <c r="K198" s="5" t="s">
        <v>20</v>
      </c>
      <c r="L198" s="5" t="str">
        <f>VLOOKUP(Healthcare!$A198,hospital_details,2,0)</f>
        <v>1-Oct-1999</v>
      </c>
      <c r="M198" s="5">
        <f t="shared" ref="M198:M261" ca="1" si="1175">VLOOKUP(A198,hospital_details,3,0)</f>
        <v>27</v>
      </c>
      <c r="N198" s="5">
        <f t="shared" ref="N198:N261" si="1176">VLOOKUP($A198,hospital_details,4,0)</f>
        <v>3</v>
      </c>
      <c r="O198" s="6">
        <f t="shared" ref="O198:O261" si="1177">VLOOKUP($A198,hospital_details,5,0)</f>
        <v>36189.1</v>
      </c>
      <c r="P198" s="5" t="str">
        <f t="shared" ref="P198:P261" si="1178">VLOOKUP($A198,hospital_details,6,0)</f>
        <v>tier - 1</v>
      </c>
      <c r="Q198" s="5" t="str">
        <f t="shared" ref="Q198:Q261" si="1179">VLOOKUP($A198,hospital_details,7,0)</f>
        <v>tier - 3</v>
      </c>
      <c r="R198" s="5" t="str">
        <f t="shared" ref="R198:R261" si="1180">VLOOKUP($A198,hospital_details,8,0)</f>
        <v>R1016</v>
      </c>
    </row>
    <row r="199" spans="1:18" ht="14.4" customHeight="1" x14ac:dyDescent="0.3">
      <c r="A199" s="7" t="s">
        <v>218</v>
      </c>
      <c r="B199" s="7" t="str">
        <f>VLOOKUP($A199,[1]!Customer_Names[#Data],3,0)</f>
        <v xml:space="preserve">  Jesse</v>
      </c>
      <c r="C199" s="7">
        <v>36.64</v>
      </c>
      <c r="D199" s="7" t="str" cm="1">
        <f t="array" ref="D199">_xlfn.IFS(Healthcare!$C199&lt;18.5,"under weight",Healthcare!$C199&lt;=24.9,"Normal Weight",Healthcare!$C199&gt;=25,"overweight",Healthcare!$C199&gt;=30,"obese")</f>
        <v>overweight</v>
      </c>
      <c r="E199" s="7">
        <v>11.34</v>
      </c>
      <c r="F199" s="7" t="str" cm="1">
        <f t="array" ref="F199">_xlfn.IFS(Healthcare!$E199&lt;5.7,"normal",Healthcare!$E199&lt;=6.4,"prediabetes",Healthcare!$E199&gt;=6.5,"diabetes")</f>
        <v>diabetes</v>
      </c>
      <c r="G199" s="7" t="s">
        <v>19</v>
      </c>
      <c r="H199" s="7" t="s">
        <v>19</v>
      </c>
      <c r="I199" s="7" t="s">
        <v>19</v>
      </c>
      <c r="J199" s="7">
        <v>0</v>
      </c>
      <c r="K199" s="7" t="s">
        <v>20</v>
      </c>
      <c r="L199" s="7" t="str">
        <f>VLOOKUP(Healthcare!$A199,hospital_details,2,0)</f>
        <v>6-Dec-1974</v>
      </c>
      <c r="M199" s="7">
        <f t="shared" ref="M199:M262" ca="1" si="1181">VLOOKUP(A199,hospital_details,3,0)</f>
        <v>51</v>
      </c>
      <c r="N199" s="7">
        <f t="shared" ref="N199:N262" si="1182">VLOOKUP($A199,hospital_details,4,0)</f>
        <v>0</v>
      </c>
      <c r="O199" s="8">
        <f t="shared" ref="O199:O262" si="1183">VLOOKUP($A199,hospital_details,5,0)</f>
        <v>36182.870000000003</v>
      </c>
      <c r="P199" s="7" t="str">
        <f t="shared" ref="P199:P262" si="1184">VLOOKUP($A199,hospital_details,6,0)</f>
        <v>tier - 2</v>
      </c>
      <c r="Q199" s="7" t="str">
        <f t="shared" ref="Q199:Q262" si="1185">VLOOKUP($A199,hospital_details,7,0)</f>
        <v>tier - 3</v>
      </c>
      <c r="R199" s="7" t="str">
        <f t="shared" ref="R199:R262" si="1186">VLOOKUP($A199,hospital_details,8,0)</f>
        <v>R1012</v>
      </c>
    </row>
    <row r="200" spans="1:18" ht="14.4" customHeight="1" x14ac:dyDescent="0.3">
      <c r="A200" s="5" t="s">
        <v>219</v>
      </c>
      <c r="B200" s="5" t="str">
        <f>VLOOKUP($A200,[1]!Customer_Names[#Data],3,0)</f>
        <v xml:space="preserve">  Jill</v>
      </c>
      <c r="C200" s="5">
        <v>36.85</v>
      </c>
      <c r="D200" s="5" t="str" cm="1">
        <f t="array" ref="D200">_xlfn.IFS(Healthcare!$C200&lt;18.5,"under weight",Healthcare!$C200&lt;=24.9,"Normal Weight",Healthcare!$C200&gt;=25,"overweight",Healthcare!$C200&gt;=30,"obese")</f>
        <v>overweight</v>
      </c>
      <c r="E200" s="5">
        <v>5.88</v>
      </c>
      <c r="F200" s="5" t="str" cm="1">
        <f t="array" ref="F200">_xlfn.IFS(Healthcare!$E200&lt;5.7,"normal",Healthcare!$E200&lt;=6.4,"prediabetes",Healthcare!$E200&gt;=6.5,"diabetes")</f>
        <v>prediabetes</v>
      </c>
      <c r="G200" s="5" t="s">
        <v>19</v>
      </c>
      <c r="H200" s="5" t="s">
        <v>20</v>
      </c>
      <c r="I200" s="5" t="s">
        <v>19</v>
      </c>
      <c r="J200" s="5">
        <v>1</v>
      </c>
      <c r="K200" s="5" t="s">
        <v>20</v>
      </c>
      <c r="L200" s="5" t="str">
        <f>VLOOKUP(Healthcare!$A200,hospital_details,2,0)</f>
        <v>30-Aug-2004</v>
      </c>
      <c r="M200" s="5">
        <f t="shared" ref="M200:M263" ca="1" si="1187">VLOOKUP(A200,hospital_details,3,0)</f>
        <v>22</v>
      </c>
      <c r="N200" s="5">
        <f t="shared" ref="N200:N263" si="1188">VLOOKUP($A200,hospital_details,4,0)</f>
        <v>0</v>
      </c>
      <c r="O200" s="6">
        <f t="shared" ref="O200:O263" si="1189">VLOOKUP($A200,hospital_details,5,0)</f>
        <v>36149.480000000003</v>
      </c>
      <c r="P200" s="5" t="str">
        <f t="shared" ref="P200:P263" si="1190">VLOOKUP($A200,hospital_details,6,0)</f>
        <v>tier - 2</v>
      </c>
      <c r="Q200" s="5" t="str">
        <f t="shared" ref="Q200:Q263" si="1191">VLOOKUP($A200,hospital_details,7,0)</f>
        <v>tier - 2</v>
      </c>
      <c r="R200" s="5" t="str">
        <f t="shared" ref="R200:R263" si="1192">VLOOKUP($A200,hospital_details,8,0)</f>
        <v>R1013</v>
      </c>
    </row>
    <row r="201" spans="1:18" ht="14.4" customHeight="1" x14ac:dyDescent="0.3">
      <c r="A201" s="7" t="s">
        <v>220</v>
      </c>
      <c r="B201" s="7" t="str">
        <f>VLOOKUP($A201,[1]!Customer_Names[#Data],3,0)</f>
        <v xml:space="preserve">  William</v>
      </c>
      <c r="C201" s="7">
        <v>33.33</v>
      </c>
      <c r="D201" s="7" t="str" cm="1">
        <f t="array" ref="D201">_xlfn.IFS(Healthcare!$C201&lt;18.5,"under weight",Healthcare!$C201&lt;=24.9,"Normal Weight",Healthcare!$C201&gt;=25,"overweight",Healthcare!$C201&gt;=30,"obese")</f>
        <v>overweight</v>
      </c>
      <c r="E201" s="7">
        <v>5.01</v>
      </c>
      <c r="F201" s="7" t="str" cm="1">
        <f t="array" ref="F201">_xlfn.IFS(Healthcare!$E201&lt;5.7,"normal",Healthcare!$E201&lt;=6.4,"prediabetes",Healthcare!$E201&gt;=6.5,"diabetes")</f>
        <v>normal</v>
      </c>
      <c r="G201" s="7" t="s">
        <v>20</v>
      </c>
      <c r="H201" s="7" t="s">
        <v>19</v>
      </c>
      <c r="I201" s="7" t="s">
        <v>29</v>
      </c>
      <c r="J201" s="7">
        <v>1</v>
      </c>
      <c r="K201" s="7" t="s">
        <v>20</v>
      </c>
      <c r="L201" s="7" t="str">
        <f>VLOOKUP(Healthcare!$A201,hospital_details,2,0)</f>
        <v>12-Jun-1997</v>
      </c>
      <c r="M201" s="7">
        <f t="shared" ref="M201:M264" ca="1" si="1193">VLOOKUP(A201,hospital_details,3,0)</f>
        <v>29</v>
      </c>
      <c r="N201" s="7">
        <f t="shared" ref="N201:N264" si="1194">VLOOKUP($A201,hospital_details,4,0)</f>
        <v>2</v>
      </c>
      <c r="O201" s="8">
        <f t="shared" ref="O201:O264" si="1195">VLOOKUP($A201,hospital_details,5,0)</f>
        <v>36124.57</v>
      </c>
      <c r="P201" s="7" t="str">
        <f t="shared" ref="P201:P264" si="1196">VLOOKUP($A201,hospital_details,6,0)</f>
        <v>tier - 1</v>
      </c>
      <c r="Q201" s="7" t="str">
        <f t="shared" ref="Q201:Q264" si="1197">VLOOKUP($A201,hospital_details,7,0)</f>
        <v>tier - 3</v>
      </c>
      <c r="R201" s="7" t="str">
        <f t="shared" ref="R201:R264" si="1198">VLOOKUP($A201,hospital_details,8,0)</f>
        <v>R1013</v>
      </c>
    </row>
    <row r="202" spans="1:18" ht="14.4" customHeight="1" x14ac:dyDescent="0.3">
      <c r="A202" s="5" t="s">
        <v>221</v>
      </c>
      <c r="B202" s="5" t="str">
        <f>VLOOKUP($A202,[1]!Customer_Names[#Data],3,0)</f>
        <v xml:space="preserve">  Alejandro</v>
      </c>
      <c r="C202" s="5">
        <v>39.14</v>
      </c>
      <c r="D202" s="5" t="str" cm="1">
        <f t="array" ref="D202">_xlfn.IFS(Healthcare!$C202&lt;18.5,"under weight",Healthcare!$C202&lt;=24.9,"Normal Weight",Healthcare!$C202&gt;=25,"overweight",Healthcare!$C202&gt;=30,"obese")</f>
        <v>overweight</v>
      </c>
      <c r="E202" s="5">
        <v>4.4000000000000004</v>
      </c>
      <c r="F202" s="5" t="str" cm="1">
        <f t="array" ref="F202">_xlfn.IFS(Healthcare!$E202&lt;5.7,"normal",Healthcare!$E202&lt;=6.4,"prediabetes",Healthcare!$E202&gt;=6.5,"diabetes")</f>
        <v>normal</v>
      </c>
      <c r="G202" s="5" t="s">
        <v>19</v>
      </c>
      <c r="H202" s="5" t="s">
        <v>19</v>
      </c>
      <c r="I202" s="5" t="s">
        <v>29</v>
      </c>
      <c r="J202" s="5">
        <v>1</v>
      </c>
      <c r="K202" s="5" t="s">
        <v>20</v>
      </c>
      <c r="L202" s="5" t="str">
        <f>VLOOKUP(Healthcare!$A202,hospital_details,2,0)</f>
        <v>4-Nov-1979</v>
      </c>
      <c r="M202" s="5">
        <f t="shared" ref="M202:M265" ca="1" si="1199">VLOOKUP(A202,hospital_details,3,0)</f>
        <v>46</v>
      </c>
      <c r="N202" s="5">
        <f t="shared" ref="N202:N265" si="1200">VLOOKUP($A202,hospital_details,4,0)</f>
        <v>2</v>
      </c>
      <c r="O202" s="6">
        <f t="shared" ref="O202:O265" si="1201">VLOOKUP($A202,hospital_details,5,0)</f>
        <v>36090.49</v>
      </c>
      <c r="P202" s="5" t="str">
        <f t="shared" ref="P202:P265" si="1202">VLOOKUP($A202,hospital_details,6,0)</f>
        <v>tier - 2</v>
      </c>
      <c r="Q202" s="5" t="str">
        <f t="shared" ref="Q202:Q265" si="1203">VLOOKUP($A202,hospital_details,7,0)</f>
        <v>tier - 2</v>
      </c>
      <c r="R202" s="5" t="str">
        <f t="shared" ref="R202:R265" si="1204">VLOOKUP($A202,hospital_details,8,0)</f>
        <v>R1011</v>
      </c>
    </row>
    <row r="203" spans="1:18" ht="14.4" customHeight="1" x14ac:dyDescent="0.3">
      <c r="A203" s="7" t="s">
        <v>222</v>
      </c>
      <c r="B203" s="7" t="str">
        <f>VLOOKUP($A203,[1]!Customer_Names[#Data],3,0)</f>
        <v xml:space="preserve">  Ian E</v>
      </c>
      <c r="C203" s="7">
        <v>32.9</v>
      </c>
      <c r="D203" s="7" t="str" cm="1">
        <f t="array" ref="D203">_xlfn.IFS(Healthcare!$C203&lt;18.5,"under weight",Healthcare!$C203&lt;=24.9,"Normal Weight",Healthcare!$C203&gt;=25,"overweight",Healthcare!$C203&gt;=30,"obese")</f>
        <v>overweight</v>
      </c>
      <c r="E203" s="7">
        <v>6.26</v>
      </c>
      <c r="F203" s="7" t="str" cm="1">
        <f t="array" ref="F203">_xlfn.IFS(Healthcare!$E203&lt;5.7,"normal",Healthcare!$E203&lt;=6.4,"prediabetes",Healthcare!$E203&gt;=6.5,"diabetes")</f>
        <v>prediabetes</v>
      </c>
      <c r="G203" s="7" t="s">
        <v>20</v>
      </c>
      <c r="H203" s="7" t="s">
        <v>19</v>
      </c>
      <c r="I203" s="7" t="s">
        <v>19</v>
      </c>
      <c r="J203" s="7">
        <v>0</v>
      </c>
      <c r="K203" s="7" t="s">
        <v>20</v>
      </c>
      <c r="L203" s="7" t="str">
        <f>VLOOKUP(Healthcare!$A203,hospital_details,2,0)</f>
        <v>20-Aug-1996</v>
      </c>
      <c r="M203" s="7">
        <f t="shared" ref="M203:M266" ca="1" si="1205">VLOOKUP(A203,hospital_details,3,0)</f>
        <v>30</v>
      </c>
      <c r="N203" s="7">
        <f t="shared" ref="N203:N266" si="1206">VLOOKUP($A203,hospital_details,4,0)</f>
        <v>2</v>
      </c>
      <c r="O203" s="8">
        <f t="shared" ref="O203:O266" si="1207">VLOOKUP($A203,hospital_details,5,0)</f>
        <v>36085.22</v>
      </c>
      <c r="P203" s="7" t="str">
        <f t="shared" ref="P203:P266" si="1208">VLOOKUP($A203,hospital_details,6,0)</f>
        <v>tier - 1</v>
      </c>
      <c r="Q203" s="7" t="str">
        <f t="shared" ref="Q203:Q266" si="1209">VLOOKUP($A203,hospital_details,7,0)</f>
        <v>tier - 1</v>
      </c>
      <c r="R203" s="7" t="str">
        <f t="shared" ref="R203:R266" si="1210">VLOOKUP($A203,hospital_details,8,0)</f>
        <v>R1011</v>
      </c>
    </row>
    <row r="204" spans="1:18" ht="14.4" customHeight="1" x14ac:dyDescent="0.3">
      <c r="A204" s="5" t="s">
        <v>223</v>
      </c>
      <c r="B204" s="5" t="str">
        <f>VLOOKUP($A204,[1]!Customer_Names[#Data],3,0)</f>
        <v xml:space="preserve">  Hector Sr</v>
      </c>
      <c r="C204" s="5">
        <v>29.78</v>
      </c>
      <c r="D204" s="5" t="str" cm="1">
        <f t="array" ref="D204">_xlfn.IFS(Healthcare!$C204&lt;18.5,"under weight",Healthcare!$C204&lt;=24.9,"Normal Weight",Healthcare!$C204&gt;=25,"overweight",Healthcare!$C204&gt;=30,"obese")</f>
        <v>overweight</v>
      </c>
      <c r="E204" s="5">
        <v>10.27</v>
      </c>
      <c r="F204" s="5" t="str" cm="1">
        <f t="array" ref="F204">_xlfn.IFS(Healthcare!$E204&lt;5.7,"normal",Healthcare!$E204&lt;=6.4,"prediabetes",Healthcare!$E204&gt;=6.5,"diabetes")</f>
        <v>diabetes</v>
      </c>
      <c r="G204" s="5" t="s">
        <v>20</v>
      </c>
      <c r="H204" s="5" t="s">
        <v>19</v>
      </c>
      <c r="I204" s="5" t="s">
        <v>29</v>
      </c>
      <c r="J204" s="5">
        <v>1</v>
      </c>
      <c r="K204" s="5" t="s">
        <v>20</v>
      </c>
      <c r="L204" s="5" t="str">
        <f>VLOOKUP(Healthcare!$A204,hospital_details,2,0)</f>
        <v>22-Jul-1963</v>
      </c>
      <c r="M204" s="5">
        <f t="shared" ref="M204:M267" ca="1" si="1211">VLOOKUP(A204,hospital_details,3,0)</f>
        <v>63</v>
      </c>
      <c r="N204" s="5">
        <f t="shared" ref="N204:N267" si="1212">VLOOKUP($A204,hospital_details,4,0)</f>
        <v>0</v>
      </c>
      <c r="O204" s="6">
        <f t="shared" ref="O204:O267" si="1213">VLOOKUP($A204,hospital_details,5,0)</f>
        <v>36074.339999999997</v>
      </c>
      <c r="P204" s="5" t="str">
        <f t="shared" ref="P204:P267" si="1214">VLOOKUP($A204,hospital_details,6,0)</f>
        <v>tier - 2</v>
      </c>
      <c r="Q204" s="5" t="str">
        <f t="shared" ref="Q204:Q267" si="1215">VLOOKUP($A204,hospital_details,7,0)</f>
        <v>tier - 1</v>
      </c>
      <c r="R204" s="5" t="str">
        <f t="shared" ref="R204:R267" si="1216">VLOOKUP($A204,hospital_details,8,0)</f>
        <v>R1011</v>
      </c>
    </row>
    <row r="205" spans="1:18" ht="14.4" customHeight="1" x14ac:dyDescent="0.3">
      <c r="A205" s="7" t="s">
        <v>224</v>
      </c>
      <c r="B205" s="7" t="str">
        <f>VLOOKUP($A205,[1]!Customer_Names[#Data],3,0)</f>
        <v xml:space="preserve">  Rebecca</v>
      </c>
      <c r="C205" s="7">
        <v>32.78</v>
      </c>
      <c r="D205" s="7" t="str" cm="1">
        <f t="array" ref="D205">_xlfn.IFS(Healthcare!$C205&lt;18.5,"under weight",Healthcare!$C205&lt;=24.9,"Normal Weight",Healthcare!$C205&gt;=25,"overweight",Healthcare!$C205&gt;=30,"obese")</f>
        <v>overweight</v>
      </c>
      <c r="E205" s="7">
        <v>5.27</v>
      </c>
      <c r="F205" s="7" t="str" cm="1">
        <f t="array" ref="F205">_xlfn.IFS(Healthcare!$E205&lt;5.7,"normal",Healthcare!$E205&lt;=6.4,"prediabetes",Healthcare!$E205&gt;=6.5,"diabetes")</f>
        <v>normal</v>
      </c>
      <c r="G205" s="7" t="s">
        <v>19</v>
      </c>
      <c r="H205" s="7" t="s">
        <v>19</v>
      </c>
      <c r="I205" s="7" t="s">
        <v>19</v>
      </c>
      <c r="J205" s="7">
        <v>0</v>
      </c>
      <c r="K205" s="7" t="s">
        <v>20</v>
      </c>
      <c r="L205" s="7" t="str">
        <f>VLOOKUP(Healthcare!$A205,hospital_details,2,0)</f>
        <v>4-Sep-1999</v>
      </c>
      <c r="M205" s="7">
        <f t="shared" ref="M205:M268" ca="1" si="1217">VLOOKUP(A205,hospital_details,3,0)</f>
        <v>27</v>
      </c>
      <c r="N205" s="7">
        <f t="shared" ref="N205:N268" si="1218">VLOOKUP($A205,hospital_details,4,0)</f>
        <v>2</v>
      </c>
      <c r="O205" s="8">
        <f t="shared" ref="O205:O268" si="1219">VLOOKUP($A205,hospital_details,5,0)</f>
        <v>36021.01</v>
      </c>
      <c r="P205" s="7" t="str">
        <f t="shared" ref="P205:P268" si="1220">VLOOKUP($A205,hospital_details,6,0)</f>
        <v>tier - 2</v>
      </c>
      <c r="Q205" s="7" t="str">
        <f t="shared" ref="Q205:Q268" si="1221">VLOOKUP($A205,hospital_details,7,0)</f>
        <v>tier - 3</v>
      </c>
      <c r="R205" s="7" t="str">
        <f t="shared" ref="R205:R268" si="1222">VLOOKUP($A205,hospital_details,8,0)</f>
        <v>R1013</v>
      </c>
    </row>
    <row r="206" spans="1:18" ht="14.4" customHeight="1" x14ac:dyDescent="0.3">
      <c r="A206" s="5" t="s">
        <v>225</v>
      </c>
      <c r="B206" s="5" t="str">
        <f>VLOOKUP($A206,[1]!Customer_Names[#Data],3,0)</f>
        <v xml:space="preserve">  Matt</v>
      </c>
      <c r="C206" s="5">
        <v>41.65</v>
      </c>
      <c r="D206" s="5" t="str" cm="1">
        <f t="array" ref="D206">_xlfn.IFS(Healthcare!$C206&lt;18.5,"under weight",Healthcare!$C206&lt;=24.9,"Normal Weight",Healthcare!$C206&gt;=25,"overweight",Healthcare!$C206&gt;=30,"obese")</f>
        <v>overweight</v>
      </c>
      <c r="E206" s="5">
        <v>10.73</v>
      </c>
      <c r="F206" s="5" t="str" cm="1">
        <f t="array" ref="F206">_xlfn.IFS(Healthcare!$E206&lt;5.7,"normal",Healthcare!$E206&lt;=6.4,"prediabetes",Healthcare!$E206&gt;=6.5,"diabetes")</f>
        <v>diabetes</v>
      </c>
      <c r="G206" s="5" t="s">
        <v>20</v>
      </c>
      <c r="H206" s="5" t="s">
        <v>19</v>
      </c>
      <c r="I206" s="5" t="s">
        <v>19</v>
      </c>
      <c r="J206" s="5">
        <v>0</v>
      </c>
      <c r="K206" s="5" t="s">
        <v>20</v>
      </c>
      <c r="L206" s="5" t="str">
        <f>VLOOKUP(Healthcare!$A206,hospital_details,2,0)</f>
        <v>22-Nov-1981</v>
      </c>
      <c r="M206" s="5">
        <f t="shared" ref="M206:M269" ca="1" si="1223">VLOOKUP(A206,hospital_details,3,0)</f>
        <v>44</v>
      </c>
      <c r="N206" s="5">
        <f t="shared" ref="N206:N269" si="1224">VLOOKUP($A206,hospital_details,4,0)</f>
        <v>1</v>
      </c>
      <c r="O206" s="6">
        <f t="shared" ref="O206:O269" si="1225">VLOOKUP($A206,hospital_details,5,0)</f>
        <v>35952.65</v>
      </c>
      <c r="P206" s="5" t="str">
        <f t="shared" ref="P206:P269" si="1226">VLOOKUP($A206,hospital_details,6,0)</f>
        <v>tier - 1</v>
      </c>
      <c r="Q206" s="5" t="str">
        <f t="shared" ref="Q206:Q269" si="1227">VLOOKUP($A206,hospital_details,7,0)</f>
        <v>tier - 3</v>
      </c>
      <c r="R206" s="5" t="str">
        <f t="shared" ref="R206:R269" si="1228">VLOOKUP($A206,hospital_details,8,0)</f>
        <v>R1011</v>
      </c>
    </row>
    <row r="207" spans="1:18" ht="14.4" customHeight="1" x14ac:dyDescent="0.3">
      <c r="A207" s="7" t="s">
        <v>226</v>
      </c>
      <c r="B207" s="7" t="str">
        <f>VLOOKUP($A207,[1]!Customer_Names[#Data],3,0)</f>
        <v xml:space="preserve">  Elizabeth H</v>
      </c>
      <c r="C207" s="7">
        <v>50.79</v>
      </c>
      <c r="D207" s="7" t="str" cm="1">
        <f t="array" ref="D207">_xlfn.IFS(Healthcare!$C207&lt;18.5,"under weight",Healthcare!$C207&lt;=24.9,"Normal Weight",Healthcare!$C207&gt;=25,"overweight",Healthcare!$C207&gt;=30,"obese")</f>
        <v>overweight</v>
      </c>
      <c r="E207" s="7">
        <v>4.45</v>
      </c>
      <c r="F207" s="7" t="str" cm="1">
        <f t="array" ref="F207">_xlfn.IFS(Healthcare!$E207&lt;5.7,"normal",Healthcare!$E207&lt;=6.4,"prediabetes",Healthcare!$E207&gt;=6.5,"diabetes")</f>
        <v>normal</v>
      </c>
      <c r="G207" s="7" t="s">
        <v>19</v>
      </c>
      <c r="H207" s="7" t="s">
        <v>19</v>
      </c>
      <c r="I207" s="7" t="s">
        <v>19</v>
      </c>
      <c r="J207" s="7">
        <v>1</v>
      </c>
      <c r="K207" s="7" t="s">
        <v>20</v>
      </c>
      <c r="L207" s="7" t="str">
        <f>VLOOKUP(Healthcare!$A207,hospital_details,2,0)</f>
        <v>18-Jun-1992</v>
      </c>
      <c r="M207" s="7">
        <f t="shared" ref="M207:M270" ca="1" si="1229">VLOOKUP(A207,hospital_details,3,0)</f>
        <v>34</v>
      </c>
      <c r="N207" s="7">
        <f t="shared" ref="N207:N270" si="1230">VLOOKUP($A207,hospital_details,4,0)</f>
        <v>0</v>
      </c>
      <c r="O207" s="8">
        <f t="shared" ref="O207:O270" si="1231">VLOOKUP($A207,hospital_details,5,0)</f>
        <v>35883.269999999997</v>
      </c>
      <c r="P207" s="7" t="str">
        <f t="shared" ref="P207:P270" si="1232">VLOOKUP($A207,hospital_details,6,0)</f>
        <v>tier - 2</v>
      </c>
      <c r="Q207" s="7" t="str">
        <f t="shared" ref="Q207:Q270" si="1233">VLOOKUP($A207,hospital_details,7,0)</f>
        <v>tier - 1</v>
      </c>
      <c r="R207" s="7" t="str">
        <f t="shared" ref="R207:R270" si="1234">VLOOKUP($A207,hospital_details,8,0)</f>
        <v>R1011</v>
      </c>
    </row>
    <row r="208" spans="1:18" ht="14.4" customHeight="1" x14ac:dyDescent="0.3">
      <c r="A208" s="5" t="s">
        <v>227</v>
      </c>
      <c r="B208" s="5" t="str">
        <f>VLOOKUP($A208,[1]!Customer_Names[#Data],3,0)</f>
        <v xml:space="preserve">  Grace</v>
      </c>
      <c r="C208" s="5">
        <v>35.43</v>
      </c>
      <c r="D208" s="5" t="str" cm="1">
        <f t="array" ref="D208">_xlfn.IFS(Healthcare!$C208&lt;18.5,"under weight",Healthcare!$C208&lt;=24.9,"Normal Weight",Healthcare!$C208&gt;=25,"overweight",Healthcare!$C208&gt;=30,"obese")</f>
        <v>overweight</v>
      </c>
      <c r="E208" s="5">
        <v>5.25</v>
      </c>
      <c r="F208" s="5" t="str" cm="1">
        <f t="array" ref="F208">_xlfn.IFS(Healthcare!$E208&lt;5.7,"normal",Healthcare!$E208&lt;=6.4,"prediabetes",Healthcare!$E208&gt;=6.5,"diabetes")</f>
        <v>normal</v>
      </c>
      <c r="G208" s="5" t="s">
        <v>20</v>
      </c>
      <c r="H208" s="5" t="s">
        <v>19</v>
      </c>
      <c r="I208" s="5" t="s">
        <v>19</v>
      </c>
      <c r="J208" s="5">
        <v>0</v>
      </c>
      <c r="K208" s="5" t="s">
        <v>20</v>
      </c>
      <c r="L208" s="5" t="str">
        <f>VLOOKUP(Healthcare!$A208,hospital_details,2,0)</f>
        <v>4-Oct-1976</v>
      </c>
      <c r="M208" s="5">
        <f t="shared" ref="M208:M271" ca="1" si="1235">VLOOKUP(A208,hospital_details,3,0)</f>
        <v>50</v>
      </c>
      <c r="N208" s="5">
        <f t="shared" ref="N208:N271" si="1236">VLOOKUP($A208,hospital_details,4,0)</f>
        <v>2</v>
      </c>
      <c r="O208" s="6">
        <f t="shared" ref="O208:O271" si="1237">VLOOKUP($A208,hospital_details,5,0)</f>
        <v>35733.96</v>
      </c>
      <c r="P208" s="5" t="str">
        <f t="shared" ref="P208:P271" si="1238">VLOOKUP($A208,hospital_details,6,0)</f>
        <v>tier - 2</v>
      </c>
      <c r="Q208" s="5" t="str">
        <f t="shared" ref="Q208:Q271" si="1239">VLOOKUP($A208,hospital_details,7,0)</f>
        <v>tier - 2</v>
      </c>
      <c r="R208" s="5" t="str">
        <f t="shared" ref="R208:R271" si="1240">VLOOKUP($A208,hospital_details,8,0)</f>
        <v>R1011</v>
      </c>
    </row>
    <row r="209" spans="1:18" ht="14.4" customHeight="1" x14ac:dyDescent="0.3">
      <c r="A209" s="7" t="s">
        <v>228</v>
      </c>
      <c r="B209" s="7" t="str">
        <f>VLOOKUP($A209,[1]!Customer_Names[#Data],3,0)</f>
        <v xml:space="preserve">  Jaime</v>
      </c>
      <c r="C209" s="7">
        <v>35.25</v>
      </c>
      <c r="D209" s="7" t="str" cm="1">
        <f t="array" ref="D209">_xlfn.IFS(Healthcare!$C209&lt;18.5,"under weight",Healthcare!$C209&lt;=24.9,"Normal Weight",Healthcare!$C209&gt;=25,"overweight",Healthcare!$C209&gt;=30,"obese")</f>
        <v>overweight</v>
      </c>
      <c r="E209" s="7">
        <v>9.51</v>
      </c>
      <c r="F209" s="7" t="str" cm="1">
        <f t="array" ref="F209">_xlfn.IFS(Healthcare!$E209&lt;5.7,"normal",Healthcare!$E209&lt;=6.4,"prediabetes",Healthcare!$E209&gt;=6.5,"diabetes")</f>
        <v>diabetes</v>
      </c>
      <c r="G209" s="7" t="s">
        <v>19</v>
      </c>
      <c r="H209" s="7" t="s">
        <v>19</v>
      </c>
      <c r="I209" s="7" t="s">
        <v>19</v>
      </c>
      <c r="J209" s="7">
        <v>0</v>
      </c>
      <c r="K209" s="7" t="s">
        <v>20</v>
      </c>
      <c r="L209" s="7" t="str">
        <f>VLOOKUP(Healthcare!$A209,hospital_details,2,0)</f>
        <v>15-Jul-1974</v>
      </c>
      <c r="M209" s="7">
        <f t="shared" ref="M209:M272" ca="1" si="1241">VLOOKUP(A209,hospital_details,3,0)</f>
        <v>52</v>
      </c>
      <c r="N209" s="7">
        <f t="shared" ref="N209:N272" si="1242">VLOOKUP($A209,hospital_details,4,0)</f>
        <v>0</v>
      </c>
      <c r="O209" s="8">
        <f t="shared" ref="O209:O272" si="1243">VLOOKUP($A209,hospital_details,5,0)</f>
        <v>35711.39</v>
      </c>
      <c r="P209" s="7" t="str">
        <f t="shared" ref="P209:P272" si="1244">VLOOKUP($A209,hospital_details,6,0)</f>
        <v>tier - 2</v>
      </c>
      <c r="Q209" s="7" t="str">
        <f t="shared" ref="Q209:Q272" si="1245">VLOOKUP($A209,hospital_details,7,0)</f>
        <v>tier - 3</v>
      </c>
      <c r="R209" s="7" t="str">
        <f t="shared" ref="R209:R272" si="1246">VLOOKUP($A209,hospital_details,8,0)</f>
        <v>R1012</v>
      </c>
    </row>
    <row r="210" spans="1:18" ht="14.4" customHeight="1" x14ac:dyDescent="0.3">
      <c r="A210" s="5" t="s">
        <v>229</v>
      </c>
      <c r="B210" s="5" t="str">
        <f>VLOOKUP($A210,[1]!Customer_Names[#Data],3,0)</f>
        <v xml:space="preserve">  Calesse</v>
      </c>
      <c r="C210" s="5">
        <v>36.85</v>
      </c>
      <c r="D210" s="5" t="str" cm="1">
        <f t="array" ref="D210">_xlfn.IFS(Healthcare!$C210&lt;18.5,"under weight",Healthcare!$C210&lt;=24.9,"Normal Weight",Healthcare!$C210&gt;=25,"overweight",Healthcare!$C210&gt;=30,"obese")</f>
        <v>overweight</v>
      </c>
      <c r="E210" s="5">
        <v>11.12</v>
      </c>
      <c r="F210" s="5" t="str" cm="1">
        <f t="array" ref="F210">_xlfn.IFS(Healthcare!$E210&lt;5.7,"normal",Healthcare!$E210&lt;=6.4,"prediabetes",Healthcare!$E210&gt;=6.5,"diabetes")</f>
        <v>diabetes</v>
      </c>
      <c r="G210" s="5" t="s">
        <v>19</v>
      </c>
      <c r="H210" s="5" t="s">
        <v>19</v>
      </c>
      <c r="I210" s="5" t="s">
        <v>19</v>
      </c>
      <c r="J210" s="5">
        <v>0</v>
      </c>
      <c r="K210" s="5" t="s">
        <v>20</v>
      </c>
      <c r="L210" s="5" t="str">
        <f>VLOOKUP(Healthcare!$A210,hospital_details,2,0)</f>
        <v>19-Dec-1978</v>
      </c>
      <c r="M210" s="5">
        <f t="shared" ref="M210:M273" ca="1" si="1247">VLOOKUP(A210,hospital_details,3,0)</f>
        <v>47</v>
      </c>
      <c r="N210" s="5">
        <f t="shared" ref="N210:N273" si="1248">VLOOKUP($A210,hospital_details,4,0)</f>
        <v>2</v>
      </c>
      <c r="O210" s="6">
        <f t="shared" ref="O210:O273" si="1249">VLOOKUP($A210,hospital_details,5,0)</f>
        <v>35701.9</v>
      </c>
      <c r="P210" s="5" t="str">
        <f t="shared" ref="P210:P273" si="1250">VLOOKUP($A210,hospital_details,6,0)</f>
        <v>tier - 2</v>
      </c>
      <c r="Q210" s="5" t="str">
        <f t="shared" ref="Q210:Q273" si="1251">VLOOKUP($A210,hospital_details,7,0)</f>
        <v>tier - 1</v>
      </c>
      <c r="R210" s="5" t="str">
        <f t="shared" ref="R210:R273" si="1252">VLOOKUP($A210,hospital_details,8,0)</f>
        <v>R1011</v>
      </c>
    </row>
    <row r="211" spans="1:18" ht="14.4" customHeight="1" x14ac:dyDescent="0.3">
      <c r="A211" s="7" t="s">
        <v>230</v>
      </c>
      <c r="B211" s="7" t="str">
        <f>VLOOKUP($A211,[1]!Customer_Names[#Data],3,0)</f>
        <v xml:space="preserve">  Kate L</v>
      </c>
      <c r="C211" s="7">
        <v>31.02</v>
      </c>
      <c r="D211" s="7" t="str" cm="1">
        <f t="array" ref="D211">_xlfn.IFS(Healthcare!$C211&lt;18.5,"under weight",Healthcare!$C211&lt;=24.9,"Normal Weight",Healthcare!$C211&gt;=25,"overweight",Healthcare!$C211&gt;=30,"obese")</f>
        <v>overweight</v>
      </c>
      <c r="E211" s="7">
        <v>4.5599999999999996</v>
      </c>
      <c r="F211" s="7" t="str" cm="1">
        <f t="array" ref="F211">_xlfn.IFS(Healthcare!$E211&lt;5.7,"normal",Healthcare!$E211&lt;=6.4,"prediabetes",Healthcare!$E211&gt;=6.5,"diabetes")</f>
        <v>normal</v>
      </c>
      <c r="G211" s="7" t="s">
        <v>19</v>
      </c>
      <c r="H211" s="7" t="s">
        <v>20</v>
      </c>
      <c r="I211" s="7" t="s">
        <v>19</v>
      </c>
      <c r="J211" s="7">
        <v>1</v>
      </c>
      <c r="K211" s="7" t="s">
        <v>20</v>
      </c>
      <c r="L211" s="7" t="str">
        <f>VLOOKUP(Healthcare!$A211,hospital_details,2,0)</f>
        <v>17-Dec-2000</v>
      </c>
      <c r="M211" s="7">
        <f t="shared" ref="M211:M274" ca="1" si="1253">VLOOKUP(A211,hospital_details,3,0)</f>
        <v>25</v>
      </c>
      <c r="N211" s="7">
        <f t="shared" ref="N211:N274" si="1254">VLOOKUP($A211,hospital_details,4,0)</f>
        <v>3</v>
      </c>
      <c r="O211" s="8">
        <f t="shared" ref="O211:O274" si="1255">VLOOKUP($A211,hospital_details,5,0)</f>
        <v>35595.589999999997</v>
      </c>
      <c r="P211" s="7" t="str">
        <f t="shared" ref="P211:P274" si="1256">VLOOKUP($A211,hospital_details,6,0)</f>
        <v>tier - 2</v>
      </c>
      <c r="Q211" s="7" t="str">
        <f t="shared" ref="Q211:Q274" si="1257">VLOOKUP($A211,hospital_details,7,0)</f>
        <v>tier - 3</v>
      </c>
      <c r="R211" s="7" t="str">
        <f t="shared" ref="R211:R274" si="1258">VLOOKUP($A211,hospital_details,8,0)</f>
        <v>R1013</v>
      </c>
    </row>
    <row r="212" spans="1:18" ht="14.4" customHeight="1" x14ac:dyDescent="0.3">
      <c r="A212" s="5" t="s">
        <v>231</v>
      </c>
      <c r="B212" s="5" t="str">
        <f>VLOOKUP($A212,[1]!Customer_Names[#Data],3,0)</f>
        <v xml:space="preserve">  Sergey</v>
      </c>
      <c r="C212" s="5">
        <v>35.6</v>
      </c>
      <c r="D212" s="5" t="str" cm="1">
        <f t="array" ref="D212">_xlfn.IFS(Healthcare!$C212&lt;18.5,"under weight",Healthcare!$C212&lt;=24.9,"Normal Weight",Healthcare!$C212&gt;=25,"overweight",Healthcare!$C212&gt;=30,"obese")</f>
        <v>overweight</v>
      </c>
      <c r="E212" s="5">
        <v>4.0199999999999996</v>
      </c>
      <c r="F212" s="5" t="str" cm="1">
        <f t="array" ref="F212">_xlfn.IFS(Healthcare!$E212&lt;5.7,"normal",Healthcare!$E212&lt;=6.4,"prediabetes",Healthcare!$E212&gt;=6.5,"diabetes")</f>
        <v>normal</v>
      </c>
      <c r="G212" s="5" t="s">
        <v>20</v>
      </c>
      <c r="H212" s="5" t="s">
        <v>20</v>
      </c>
      <c r="I212" s="5" t="s">
        <v>19</v>
      </c>
      <c r="J212" s="5">
        <v>2</v>
      </c>
      <c r="K212" s="5" t="s">
        <v>20</v>
      </c>
      <c r="L212" s="5" t="str">
        <f>VLOOKUP(Healthcare!$A212,hospital_details,2,0)</f>
        <v>19-Nov-2000</v>
      </c>
      <c r="M212" s="5">
        <f t="shared" ref="M212:M275" ca="1" si="1259">VLOOKUP(A212,hospital_details,3,0)</f>
        <v>25</v>
      </c>
      <c r="N212" s="5">
        <f t="shared" ref="N212:N275" si="1260">VLOOKUP($A212,hospital_details,4,0)</f>
        <v>0</v>
      </c>
      <c r="O212" s="6">
        <f t="shared" ref="O212:O275" si="1261">VLOOKUP($A212,hospital_details,5,0)</f>
        <v>35585.58</v>
      </c>
      <c r="P212" s="5" t="str">
        <f t="shared" ref="P212:P275" si="1262">VLOOKUP($A212,hospital_details,6,0)</f>
        <v>tier - 2</v>
      </c>
      <c r="Q212" s="5" t="str">
        <f t="shared" ref="Q212:Q275" si="1263">VLOOKUP($A212,hospital_details,7,0)</f>
        <v>tier - 3</v>
      </c>
      <c r="R212" s="5" t="str">
        <f t="shared" ref="R212:R275" si="1264">VLOOKUP($A212,hospital_details,8,0)</f>
        <v>R1011</v>
      </c>
    </row>
    <row r="213" spans="1:18" ht="14.4" customHeight="1" x14ac:dyDescent="0.3">
      <c r="A213" s="7" t="s">
        <v>232</v>
      </c>
      <c r="B213" s="7" t="str">
        <f>VLOOKUP($A213,[1]!Customer_Names[#Data],3,0)</f>
        <v xml:space="preserve">  Timothy V</v>
      </c>
      <c r="C213" s="7">
        <v>34.39</v>
      </c>
      <c r="D213" s="7" t="str" cm="1">
        <f t="array" ref="D213">_xlfn.IFS(Healthcare!$C213&lt;18.5,"under weight",Healthcare!$C213&lt;=24.9,"Normal Weight",Healthcare!$C213&gt;=25,"overweight",Healthcare!$C213&gt;=30,"obese")</f>
        <v>overweight</v>
      </c>
      <c r="E213" s="7">
        <v>8.7200000000000006</v>
      </c>
      <c r="F213" s="7" t="str" cm="1">
        <f t="array" ref="F213">_xlfn.IFS(Healthcare!$E213&lt;5.7,"normal",Healthcare!$E213&lt;=6.4,"prediabetes",Healthcare!$E213&gt;=6.5,"diabetes")</f>
        <v>diabetes</v>
      </c>
      <c r="G213" s="7" t="s">
        <v>19</v>
      </c>
      <c r="H213" s="7" t="s">
        <v>19</v>
      </c>
      <c r="I213" s="7" t="s">
        <v>19</v>
      </c>
      <c r="J213" s="7">
        <v>0</v>
      </c>
      <c r="K213" s="7" t="s">
        <v>20</v>
      </c>
      <c r="L213" s="7" t="str">
        <f>VLOOKUP(Healthcare!$A213,hospital_details,2,0)</f>
        <v>10-Aug-1971</v>
      </c>
      <c r="M213" s="7">
        <f t="shared" ref="M213:M276" ca="1" si="1265">VLOOKUP(A213,hospital_details,3,0)</f>
        <v>55</v>
      </c>
      <c r="N213" s="7">
        <f t="shared" ref="N213:N276" si="1266">VLOOKUP($A213,hospital_details,4,0)</f>
        <v>0</v>
      </c>
      <c r="O213" s="8">
        <f t="shared" ref="O213:O276" si="1267">VLOOKUP($A213,hospital_details,5,0)</f>
        <v>35583.17</v>
      </c>
      <c r="P213" s="7" t="str">
        <f t="shared" ref="P213:P276" si="1268">VLOOKUP($A213,hospital_details,6,0)</f>
        <v>tier - 1</v>
      </c>
      <c r="Q213" s="7" t="str">
        <f t="shared" ref="Q213:Q276" si="1269">VLOOKUP($A213,hospital_details,7,0)</f>
        <v>tier - 3</v>
      </c>
      <c r="R213" s="7" t="str">
        <f t="shared" ref="R213:R276" si="1270">VLOOKUP($A213,hospital_details,8,0)</f>
        <v>R1011</v>
      </c>
    </row>
    <row r="214" spans="1:18" ht="14.4" customHeight="1" x14ac:dyDescent="0.3">
      <c r="A214" s="5" t="s">
        <v>233</v>
      </c>
      <c r="B214" s="5" t="str">
        <f>VLOOKUP($A214,[1]!Customer_Names[#Data],3,0)</f>
        <v xml:space="preserve">  Andrew S</v>
      </c>
      <c r="C214" s="5">
        <v>29.06</v>
      </c>
      <c r="D214" s="5" t="str" cm="1">
        <f t="array" ref="D214">_xlfn.IFS(Healthcare!$C214&lt;18.5,"under weight",Healthcare!$C214&lt;=24.9,"Normal Weight",Healthcare!$C214&gt;=25,"overweight",Healthcare!$C214&gt;=30,"obese")</f>
        <v>overweight</v>
      </c>
      <c r="E214" s="5">
        <v>6.25</v>
      </c>
      <c r="F214" s="5" t="str" cm="1">
        <f t="array" ref="F214">_xlfn.IFS(Healthcare!$E214&lt;5.7,"normal",Healthcare!$E214&lt;=6.4,"prediabetes",Healthcare!$E214&gt;=6.5,"diabetes")</f>
        <v>prediabetes</v>
      </c>
      <c r="G214" s="5" t="s">
        <v>20</v>
      </c>
      <c r="H214" s="5" t="s">
        <v>19</v>
      </c>
      <c r="I214" s="5" t="s">
        <v>19</v>
      </c>
      <c r="J214" s="5">
        <v>1</v>
      </c>
      <c r="K214" s="5" t="s">
        <v>20</v>
      </c>
      <c r="L214" s="5" t="str">
        <f>VLOOKUP(Healthcare!$A214,hospital_details,2,0)</f>
        <v>29-Aug-1964</v>
      </c>
      <c r="M214" s="5">
        <f t="shared" ref="M214:M277" ca="1" si="1271">VLOOKUP(A214,hospital_details,3,0)</f>
        <v>62</v>
      </c>
      <c r="N214" s="5">
        <f t="shared" ref="N214:N277" si="1272">VLOOKUP($A214,hospital_details,4,0)</f>
        <v>0</v>
      </c>
      <c r="O214" s="6">
        <f t="shared" ref="O214:O277" si="1273">VLOOKUP($A214,hospital_details,5,0)</f>
        <v>35573.26</v>
      </c>
      <c r="P214" s="5" t="str">
        <f t="shared" ref="P214:P277" si="1274">VLOOKUP($A214,hospital_details,6,0)</f>
        <v>tier - 2</v>
      </c>
      <c r="Q214" s="5" t="str">
        <f t="shared" ref="Q214:Q277" si="1275">VLOOKUP($A214,hospital_details,7,0)</f>
        <v>tier - 1</v>
      </c>
      <c r="R214" s="5" t="str">
        <f t="shared" ref="R214:R277" si="1276">VLOOKUP($A214,hospital_details,8,0)</f>
        <v>R1011</v>
      </c>
    </row>
    <row r="215" spans="1:18" ht="14.4" customHeight="1" x14ac:dyDescent="0.3">
      <c r="A215" s="7" t="s">
        <v>234</v>
      </c>
      <c r="B215" s="7" t="str">
        <f>VLOOKUP($A215,[1]!Customer_Names[#Data],3,0)</f>
        <v xml:space="preserve">  Matthew D</v>
      </c>
      <c r="C215" s="7">
        <v>35.799999999999997</v>
      </c>
      <c r="D215" s="7" t="str" cm="1">
        <f t="array" ref="D215">_xlfn.IFS(Healthcare!$C215&lt;18.5,"under weight",Healthcare!$C215&lt;=24.9,"Normal Weight",Healthcare!$C215&gt;=25,"overweight",Healthcare!$C215&gt;=30,"obese")</f>
        <v>overweight</v>
      </c>
      <c r="E215" s="7">
        <v>7.32</v>
      </c>
      <c r="F215" s="7" t="str" cm="1">
        <f t="array" ref="F215">_xlfn.IFS(Healthcare!$E215&lt;5.7,"normal",Healthcare!$E215&lt;=6.4,"prediabetes",Healthcare!$E215&gt;=6.5,"diabetes")</f>
        <v>diabetes</v>
      </c>
      <c r="G215" s="7" t="s">
        <v>19</v>
      </c>
      <c r="H215" s="7" t="s">
        <v>19</v>
      </c>
      <c r="I215" s="7" t="s">
        <v>19</v>
      </c>
      <c r="J215" s="7">
        <v>2</v>
      </c>
      <c r="K215" s="7" t="s">
        <v>20</v>
      </c>
      <c r="L215" s="7" t="str">
        <f>VLOOKUP(Healthcare!$A215,hospital_details,2,0)</f>
        <v>27-Oct-1973</v>
      </c>
      <c r="M215" s="7">
        <f t="shared" ref="M215:M278" ca="1" si="1277">VLOOKUP(A215,hospital_details,3,0)</f>
        <v>52</v>
      </c>
      <c r="N215" s="7">
        <f t="shared" ref="N215:N278" si="1278">VLOOKUP($A215,hospital_details,4,0)</f>
        <v>0</v>
      </c>
      <c r="O215" s="8">
        <f t="shared" ref="O215:O278" si="1279">VLOOKUP($A215,hospital_details,5,0)</f>
        <v>35547.72</v>
      </c>
      <c r="P215" s="7" t="str">
        <f t="shared" ref="P215:P278" si="1280">VLOOKUP($A215,hospital_details,6,0)</f>
        <v>tier - 1</v>
      </c>
      <c r="Q215" s="7" t="str">
        <f t="shared" ref="Q215:Q278" si="1281">VLOOKUP($A215,hospital_details,7,0)</f>
        <v>tier - 1</v>
      </c>
      <c r="R215" s="7" t="str">
        <f t="shared" ref="R215:R278" si="1282">VLOOKUP($A215,hospital_details,8,0)</f>
        <v>R1011</v>
      </c>
    </row>
    <row r="216" spans="1:18" ht="14.4" customHeight="1" x14ac:dyDescent="0.3">
      <c r="A216" s="5" t="s">
        <v>235</v>
      </c>
      <c r="B216" s="5" t="str">
        <f>VLOOKUP($A216,[1]!Customer_Names[#Data],3,0)</f>
        <v xml:space="preserve">  Jessica</v>
      </c>
      <c r="C216" s="5">
        <v>49.8</v>
      </c>
      <c r="D216" s="5" t="str" cm="1">
        <f t="array" ref="D216">_xlfn.IFS(Healthcare!$C216&lt;18.5,"under weight",Healthcare!$C216&lt;=24.9,"Normal Weight",Healthcare!$C216&gt;=25,"overweight",Healthcare!$C216&gt;=30,"obese")</f>
        <v>overweight</v>
      </c>
      <c r="E216" s="5">
        <v>4.24</v>
      </c>
      <c r="F216" s="5" t="str" cm="1">
        <f t="array" ref="F216">_xlfn.IFS(Healthcare!$E216&lt;5.7,"normal",Healthcare!$E216&lt;=6.4,"prediabetes",Healthcare!$E216&gt;=6.5,"diabetes")</f>
        <v>normal</v>
      </c>
      <c r="G216" s="5" t="s">
        <v>19</v>
      </c>
      <c r="H216" s="5" t="s">
        <v>19</v>
      </c>
      <c r="I216" s="5" t="s">
        <v>19</v>
      </c>
      <c r="J216" s="5">
        <v>1</v>
      </c>
      <c r="K216" s="5" t="s">
        <v>20</v>
      </c>
      <c r="L216" s="5" t="str">
        <f>VLOOKUP(Healthcare!$A216,hospital_details,2,0)</f>
        <v>13-Sep-1992</v>
      </c>
      <c r="M216" s="5">
        <f t="shared" ref="M216:M279" ca="1" si="1283">VLOOKUP(A216,hospital_details,3,0)</f>
        <v>34</v>
      </c>
      <c r="N216" s="5">
        <f t="shared" ref="N216:N279" si="1284">VLOOKUP($A216,hospital_details,4,0)</f>
        <v>0</v>
      </c>
      <c r="O216" s="6">
        <f t="shared" ref="O216:O279" si="1285">VLOOKUP($A216,hospital_details,5,0)</f>
        <v>35547.47</v>
      </c>
      <c r="P216" s="5" t="str">
        <f t="shared" ref="P216:P279" si="1286">VLOOKUP($A216,hospital_details,6,0)</f>
        <v>tier - 2</v>
      </c>
      <c r="Q216" s="5" t="str">
        <f t="shared" ref="Q216:Q279" si="1287">VLOOKUP($A216,hospital_details,7,0)</f>
        <v>tier - 3</v>
      </c>
      <c r="R216" s="5" t="str">
        <f t="shared" ref="R216:R279" si="1288">VLOOKUP($A216,hospital_details,8,0)</f>
        <v>R1011</v>
      </c>
    </row>
    <row r="217" spans="1:18" ht="14.4" customHeight="1" x14ac:dyDescent="0.3">
      <c r="A217" s="7" t="s">
        <v>236</v>
      </c>
      <c r="B217" s="7" t="str">
        <f>VLOOKUP($A217,[1]!Customer_Names[#Data],3,0)</f>
        <v xml:space="preserve">  Lawrence</v>
      </c>
      <c r="C217" s="7">
        <v>35.71</v>
      </c>
      <c r="D217" s="7" t="str" cm="1">
        <f t="array" ref="D217">_xlfn.IFS(Healthcare!$C217&lt;18.5,"under weight",Healthcare!$C217&lt;=24.9,"Normal Weight",Healthcare!$C217&gt;=25,"overweight",Healthcare!$C217&gt;=30,"obese")</f>
        <v>overweight</v>
      </c>
      <c r="E217" s="7">
        <v>6.84</v>
      </c>
      <c r="F217" s="7" t="str" cm="1">
        <f t="array" ref="F217">_xlfn.IFS(Healthcare!$E217&lt;5.7,"normal",Healthcare!$E217&lt;=6.4,"prediabetes",Healthcare!$E217&gt;=6.5,"diabetes")</f>
        <v>diabetes</v>
      </c>
      <c r="G217" s="7" t="s">
        <v>19</v>
      </c>
      <c r="H217" s="7" t="s">
        <v>19</v>
      </c>
      <c r="I217" s="7" t="s">
        <v>19</v>
      </c>
      <c r="J217" s="7">
        <v>2</v>
      </c>
      <c r="K217" s="7" t="s">
        <v>20</v>
      </c>
      <c r="L217" s="7" t="str">
        <f>VLOOKUP(Healthcare!$A217,hospital_details,2,0)</f>
        <v>16-Dec-1973</v>
      </c>
      <c r="M217" s="7">
        <f t="shared" ref="M217:M280" ca="1" si="1289">VLOOKUP(A217,hospital_details,3,0)</f>
        <v>52</v>
      </c>
      <c r="N217" s="7">
        <f t="shared" ref="N217:N280" si="1290">VLOOKUP($A217,hospital_details,4,0)</f>
        <v>0</v>
      </c>
      <c r="O217" s="8">
        <f t="shared" ref="O217:O280" si="1291">VLOOKUP($A217,hospital_details,5,0)</f>
        <v>35517.19</v>
      </c>
      <c r="P217" s="7" t="str">
        <f t="shared" ref="P217:P280" si="1292">VLOOKUP($A217,hospital_details,6,0)</f>
        <v>tier - 2</v>
      </c>
      <c r="Q217" s="7" t="str">
        <f t="shared" ref="Q217:Q280" si="1293">VLOOKUP($A217,hospital_details,7,0)</f>
        <v>tier - 2</v>
      </c>
      <c r="R217" s="7" t="str">
        <f t="shared" ref="R217:R280" si="1294">VLOOKUP($A217,hospital_details,8,0)</f>
        <v>R1011</v>
      </c>
    </row>
    <row r="218" spans="1:18" ht="14.4" customHeight="1" x14ac:dyDescent="0.3">
      <c r="A218" s="5" t="s">
        <v>237</v>
      </c>
      <c r="B218" s="5" t="str">
        <f>VLOOKUP($A218,[1]!Customer_Names[#Data],3,0)</f>
        <v xml:space="preserve">  Alex</v>
      </c>
      <c r="C218" s="5">
        <v>30.8</v>
      </c>
      <c r="D218" s="5" t="str" cm="1">
        <f t="array" ref="D218">_xlfn.IFS(Healthcare!$C218&lt;18.5,"under weight",Healthcare!$C218&lt;=24.9,"Normal Weight",Healthcare!$C218&gt;=25,"overweight",Healthcare!$C218&gt;=30,"obese")</f>
        <v>overweight</v>
      </c>
      <c r="E218" s="5">
        <v>5.23</v>
      </c>
      <c r="F218" s="5" t="str" cm="1">
        <f t="array" ref="F218">_xlfn.IFS(Healthcare!$E218&lt;5.7,"normal",Healthcare!$E218&lt;=6.4,"prediabetes",Healthcare!$E218&gt;=6.5,"diabetes")</f>
        <v>normal</v>
      </c>
      <c r="G218" s="5" t="s">
        <v>20</v>
      </c>
      <c r="H218" s="5" t="s">
        <v>19</v>
      </c>
      <c r="I218" s="5" t="s">
        <v>19</v>
      </c>
      <c r="J218" s="5">
        <v>1</v>
      </c>
      <c r="K218" s="5" t="s">
        <v>20</v>
      </c>
      <c r="L218" s="5" t="str">
        <f>VLOOKUP(Healthcare!$A218,hospital_details,2,0)</f>
        <v>20-Nov-1988</v>
      </c>
      <c r="M218" s="5">
        <f t="shared" ref="M218:M281" ca="1" si="1295">VLOOKUP(A218,hospital_details,3,0)</f>
        <v>37</v>
      </c>
      <c r="N218" s="5">
        <f t="shared" ref="N218:N281" si="1296">VLOOKUP($A218,hospital_details,4,0)</f>
        <v>0</v>
      </c>
      <c r="O218" s="6">
        <f t="shared" ref="O218:O281" si="1297">VLOOKUP($A218,hospital_details,5,0)</f>
        <v>35491.64</v>
      </c>
      <c r="P218" s="5" t="str">
        <f t="shared" ref="P218:P281" si="1298">VLOOKUP($A218,hospital_details,6,0)</f>
        <v>tier - 1</v>
      </c>
      <c r="Q218" s="5" t="str">
        <f t="shared" ref="Q218:Q281" si="1299">VLOOKUP($A218,hospital_details,7,0)</f>
        <v>tier - 2</v>
      </c>
      <c r="R218" s="5" t="str">
        <f t="shared" ref="R218:R281" si="1300">VLOOKUP($A218,hospital_details,8,0)</f>
        <v>R1011</v>
      </c>
    </row>
    <row r="219" spans="1:18" ht="14.4" customHeight="1" x14ac:dyDescent="0.3">
      <c r="A219" s="7" t="s">
        <v>238</v>
      </c>
      <c r="B219" s="7" t="str">
        <f>VLOOKUP($A219,[1]!Customer_Names[#Data],3,0)</f>
        <v xml:space="preserve">  Kevin</v>
      </c>
      <c r="C219" s="7">
        <v>33.69</v>
      </c>
      <c r="D219" s="7" t="str" cm="1">
        <f t="array" ref="D219">_xlfn.IFS(Healthcare!$C219&lt;18.5,"under weight",Healthcare!$C219&lt;=24.9,"Normal Weight",Healthcare!$C219&gt;=25,"overweight",Healthcare!$C219&gt;=30,"obese")</f>
        <v>overweight</v>
      </c>
      <c r="E219" s="7">
        <v>9.68</v>
      </c>
      <c r="F219" s="7" t="str" cm="1">
        <f t="array" ref="F219">_xlfn.IFS(Healthcare!$E219&lt;5.7,"normal",Healthcare!$E219&lt;=6.4,"prediabetes",Healthcare!$E219&gt;=6.5,"diabetes")</f>
        <v>diabetes</v>
      </c>
      <c r="G219" s="7" t="s">
        <v>19</v>
      </c>
      <c r="H219" s="7" t="s">
        <v>19</v>
      </c>
      <c r="I219" s="7" t="s">
        <v>19</v>
      </c>
      <c r="J219" s="7">
        <v>0</v>
      </c>
      <c r="K219" s="7" t="s">
        <v>20</v>
      </c>
      <c r="L219" s="7" t="str">
        <f>VLOOKUP(Healthcare!$A219,hospital_details,2,0)</f>
        <v>22-Sep-1971</v>
      </c>
      <c r="M219" s="7">
        <f t="shared" ref="M219:M282" ca="1" si="1301">VLOOKUP(A219,hospital_details,3,0)</f>
        <v>55</v>
      </c>
      <c r="N219" s="7">
        <f t="shared" ref="N219:N282" si="1302">VLOOKUP($A219,hospital_details,4,0)</f>
        <v>0</v>
      </c>
      <c r="O219" s="8">
        <f t="shared" ref="O219:O282" si="1303">VLOOKUP($A219,hospital_details,5,0)</f>
        <v>35345.730000000003</v>
      </c>
      <c r="P219" s="7" t="str">
        <f t="shared" ref="P219:P282" si="1304">VLOOKUP($A219,hospital_details,6,0)</f>
        <v>tier - 2</v>
      </c>
      <c r="Q219" s="7" t="str">
        <f t="shared" ref="Q219:Q282" si="1305">VLOOKUP($A219,hospital_details,7,0)</f>
        <v>tier - 3</v>
      </c>
      <c r="R219" s="7" t="str">
        <f t="shared" ref="R219:R282" si="1306">VLOOKUP($A219,hospital_details,8,0)</f>
        <v>R1011</v>
      </c>
    </row>
    <row r="220" spans="1:18" ht="14.4" customHeight="1" x14ac:dyDescent="0.3">
      <c r="A220" s="5" t="s">
        <v>239</v>
      </c>
      <c r="B220" s="5" t="str">
        <f>VLOOKUP($A220,[1]!Customer_Names[#Data],3,0)</f>
        <v xml:space="preserve">  Gavin M</v>
      </c>
      <c r="C220" s="5">
        <v>42.27</v>
      </c>
      <c r="D220" s="5" t="str" cm="1">
        <f t="array" ref="D220">_xlfn.IFS(Healthcare!$C220&lt;18.5,"under weight",Healthcare!$C220&lt;=24.9,"Normal Weight",Healthcare!$C220&gt;=25,"overweight",Healthcare!$C220&gt;=30,"obese")</f>
        <v>overweight</v>
      </c>
      <c r="E220" s="5">
        <v>6.05</v>
      </c>
      <c r="F220" s="5" t="str" cm="1">
        <f t="array" ref="F220">_xlfn.IFS(Healthcare!$E220&lt;5.7,"normal",Healthcare!$E220&lt;=6.4,"prediabetes",Healthcare!$E220&gt;=6.5,"diabetes")</f>
        <v>prediabetes</v>
      </c>
      <c r="G220" s="5" t="s">
        <v>20</v>
      </c>
      <c r="H220" s="5" t="s">
        <v>19</v>
      </c>
      <c r="I220" s="5" t="s">
        <v>19</v>
      </c>
      <c r="J220" s="5">
        <v>1</v>
      </c>
      <c r="K220" s="5" t="s">
        <v>20</v>
      </c>
      <c r="L220" s="5" t="str">
        <f>VLOOKUP(Healthcare!$A220,hospital_details,2,0)</f>
        <v>19-Sep-1988</v>
      </c>
      <c r="M220" s="5">
        <f t="shared" ref="M220:M283" ca="1" si="1307">VLOOKUP(A220,hospital_details,3,0)</f>
        <v>38</v>
      </c>
      <c r="N220" s="5">
        <f t="shared" ref="N220:N283" si="1308">VLOOKUP($A220,hospital_details,4,0)</f>
        <v>3</v>
      </c>
      <c r="O220" s="6">
        <f t="shared" ref="O220:O283" si="1309">VLOOKUP($A220,hospital_details,5,0)</f>
        <v>35315.96</v>
      </c>
      <c r="P220" s="5" t="str">
        <f t="shared" ref="P220:P283" si="1310">VLOOKUP($A220,hospital_details,6,0)</f>
        <v>tier - 2</v>
      </c>
      <c r="Q220" s="5" t="str">
        <f t="shared" ref="Q220:Q283" si="1311">VLOOKUP($A220,hospital_details,7,0)</f>
        <v>tier - 1</v>
      </c>
      <c r="R220" s="5" t="str">
        <f t="shared" ref="R220:R283" si="1312">VLOOKUP($A220,hospital_details,8,0)</f>
        <v>R1011</v>
      </c>
    </row>
    <row r="221" spans="1:18" ht="14.4" customHeight="1" x14ac:dyDescent="0.3">
      <c r="A221" s="7" t="s">
        <v>240</v>
      </c>
      <c r="B221" s="7" t="str">
        <f>VLOOKUP($A221,[1]!Customer_Names[#Data],3,0)</f>
        <v xml:space="preserve">  Rick E</v>
      </c>
      <c r="C221" s="7">
        <v>53.25</v>
      </c>
      <c r="D221" s="7" t="str" cm="1">
        <f t="array" ref="D221">_xlfn.IFS(Healthcare!$C221&lt;18.5,"under weight",Healthcare!$C221&lt;=24.9,"Normal Weight",Healthcare!$C221&gt;=25,"overweight",Healthcare!$C221&gt;=30,"obese")</f>
        <v>overweight</v>
      </c>
      <c r="E221" s="7">
        <v>6.11</v>
      </c>
      <c r="F221" s="7" t="str" cm="1">
        <f t="array" ref="F221">_xlfn.IFS(Healthcare!$E221&lt;5.7,"normal",Healthcare!$E221&lt;=6.4,"prediabetes",Healthcare!$E221&gt;=6.5,"diabetes")</f>
        <v>prediabetes</v>
      </c>
      <c r="G221" s="7" t="s">
        <v>20</v>
      </c>
      <c r="H221" s="7" t="s">
        <v>19</v>
      </c>
      <c r="I221" s="7" t="s">
        <v>29</v>
      </c>
      <c r="J221" s="7">
        <v>1</v>
      </c>
      <c r="K221" s="7" t="s">
        <v>20</v>
      </c>
      <c r="L221" s="7" t="str">
        <f>VLOOKUP(Healthcare!$A221,hospital_details,2,0)</f>
        <v>9-Jul-1997</v>
      </c>
      <c r="M221" s="7">
        <f t="shared" ref="M221:M284" ca="1" si="1313">VLOOKUP(A221,hospital_details,3,0)</f>
        <v>29</v>
      </c>
      <c r="N221" s="7">
        <f t="shared" ref="N221:N284" si="1314">VLOOKUP($A221,hospital_details,4,0)</f>
        <v>0</v>
      </c>
      <c r="O221" s="8">
        <f t="shared" ref="O221:O284" si="1315">VLOOKUP($A221,hospital_details,5,0)</f>
        <v>35302.089999999997</v>
      </c>
      <c r="P221" s="7" t="str">
        <f t="shared" ref="P221:P284" si="1316">VLOOKUP($A221,hospital_details,6,0)</f>
        <v>tier - 1</v>
      </c>
      <c r="Q221" s="7" t="str">
        <f t="shared" ref="Q221:Q284" si="1317">VLOOKUP($A221,hospital_details,7,0)</f>
        <v>tier - 2</v>
      </c>
      <c r="R221" s="7" t="str">
        <f t="shared" ref="R221:R284" si="1318">VLOOKUP($A221,hospital_details,8,0)</f>
        <v>R1011</v>
      </c>
    </row>
    <row r="222" spans="1:18" ht="14.4" customHeight="1" x14ac:dyDescent="0.3">
      <c r="A222" s="5" t="s">
        <v>241</v>
      </c>
      <c r="B222" s="5" t="str">
        <f>VLOOKUP($A222,[1]!Customer_Names[#Data],3,0)</f>
        <v xml:space="preserve">  Andrea H</v>
      </c>
      <c r="C222" s="5">
        <v>26.8</v>
      </c>
      <c r="D222" s="5" t="str" cm="1">
        <f t="array" ref="D222">_xlfn.IFS(Healthcare!$C222&lt;18.5,"under weight",Healthcare!$C222&lt;=24.9,"Normal Weight",Healthcare!$C222&gt;=25,"overweight",Healthcare!$C222&gt;=30,"obese")</f>
        <v>overweight</v>
      </c>
      <c r="E222" s="5">
        <v>10.93</v>
      </c>
      <c r="F222" s="5" t="str" cm="1">
        <f t="array" ref="F222">_xlfn.IFS(Healthcare!$E222&lt;5.7,"normal",Healthcare!$E222&lt;=6.4,"prediabetes",Healthcare!$E222&gt;=6.5,"diabetes")</f>
        <v>diabetes</v>
      </c>
      <c r="G222" s="5" t="s">
        <v>20</v>
      </c>
      <c r="H222" s="5" t="s">
        <v>19</v>
      </c>
      <c r="I222" s="5" t="s">
        <v>19</v>
      </c>
      <c r="J222" s="5">
        <v>0</v>
      </c>
      <c r="K222" s="5" t="s">
        <v>19</v>
      </c>
      <c r="L222" s="5" t="str">
        <f>VLOOKUP(Healthcare!$A222,hospital_details,2,0)</f>
        <v>30-Dec-1967</v>
      </c>
      <c r="M222" s="5">
        <f t="shared" ref="M222:M285" ca="1" si="1319">VLOOKUP(A222,hospital_details,3,0)</f>
        <v>58</v>
      </c>
      <c r="N222" s="5">
        <f t="shared" ref="N222:N285" si="1320">VLOOKUP($A222,hospital_details,4,0)</f>
        <v>1</v>
      </c>
      <c r="O222" s="6">
        <f t="shared" ref="O222:O285" si="1321">VLOOKUP($A222,hospital_details,5,0)</f>
        <v>35160.129999999997</v>
      </c>
      <c r="P222" s="5" t="str">
        <f t="shared" ref="P222:P285" si="1322">VLOOKUP($A222,hospital_details,6,0)</f>
        <v>tier - 2</v>
      </c>
      <c r="Q222" s="5" t="str">
        <f t="shared" ref="Q222:Q285" si="1323">VLOOKUP($A222,hospital_details,7,0)</f>
        <v>tier - 2</v>
      </c>
      <c r="R222" s="5" t="str">
        <f t="shared" ref="R222:R285" si="1324">VLOOKUP($A222,hospital_details,8,0)</f>
        <v>R1011</v>
      </c>
    </row>
    <row r="223" spans="1:18" ht="14.4" customHeight="1" x14ac:dyDescent="0.3">
      <c r="A223" s="7" t="s">
        <v>242</v>
      </c>
      <c r="B223" s="7" t="str">
        <f>VLOOKUP($A223,[1]!Customer_Names[#Data],3,0)</f>
        <v xml:space="preserve">  Anthony S</v>
      </c>
      <c r="C223" s="7">
        <v>28.5</v>
      </c>
      <c r="D223" s="7" t="str" cm="1">
        <f t="array" ref="D223">_xlfn.IFS(Healthcare!$C223&lt;18.5,"under weight",Healthcare!$C223&lt;=24.9,"Normal Weight",Healthcare!$C223&gt;=25,"overweight",Healthcare!$C223&gt;=30,"obese")</f>
        <v>overweight</v>
      </c>
      <c r="E223" s="7">
        <v>5.12</v>
      </c>
      <c r="F223" s="7" t="str" cm="1">
        <f t="array" ref="F223">_xlfn.IFS(Healthcare!$E223&lt;5.7,"normal",Healthcare!$E223&lt;=6.4,"prediabetes",Healthcare!$E223&gt;=6.5,"diabetes")</f>
        <v>normal</v>
      </c>
      <c r="G223" s="7" t="s">
        <v>19</v>
      </c>
      <c r="H223" s="7" t="s">
        <v>19</v>
      </c>
      <c r="I223" s="7" t="s">
        <v>19</v>
      </c>
      <c r="J223" s="7">
        <v>1</v>
      </c>
      <c r="K223" s="7" t="s">
        <v>20</v>
      </c>
      <c r="L223" s="7" t="str">
        <f>VLOOKUP(Healthcare!$A223,hospital_details,2,0)</f>
        <v>22-Dec-1998</v>
      </c>
      <c r="M223" s="7">
        <f t="shared" ref="M223:M286" ca="1" si="1325">VLOOKUP(A223,hospital_details,3,0)</f>
        <v>27</v>
      </c>
      <c r="N223" s="7">
        <f t="shared" ref="N223:N286" si="1326">VLOOKUP($A223,hospital_details,4,0)</f>
        <v>0</v>
      </c>
      <c r="O223" s="8">
        <f t="shared" ref="O223:O286" si="1327">VLOOKUP($A223,hospital_details,5,0)</f>
        <v>35147.53</v>
      </c>
      <c r="P223" s="7" t="str">
        <f t="shared" ref="P223:P286" si="1328">VLOOKUP($A223,hospital_details,6,0)</f>
        <v>tier - 1</v>
      </c>
      <c r="Q223" s="7" t="str">
        <f t="shared" ref="Q223:Q286" si="1329">VLOOKUP($A223,hospital_details,7,0)</f>
        <v>tier - 1</v>
      </c>
      <c r="R223" s="7" t="str">
        <f t="shared" ref="R223:R286" si="1330">VLOOKUP($A223,hospital_details,8,0)</f>
        <v>R1016</v>
      </c>
    </row>
    <row r="224" spans="1:18" ht="14.4" customHeight="1" x14ac:dyDescent="0.3">
      <c r="A224" s="5" t="s">
        <v>243</v>
      </c>
      <c r="B224" s="5" t="str">
        <f>VLOOKUP($A224,[1]!Customer_Names[#Data],3,0)</f>
        <v xml:space="preserve">  Erik</v>
      </c>
      <c r="C224" s="5">
        <v>22.895</v>
      </c>
      <c r="D224" s="5" t="str" cm="1">
        <f t="array" ref="D224">_xlfn.IFS(Healthcare!$C224&lt;18.5,"under weight",Healthcare!$C224&lt;=24.9,"Normal Weight",Healthcare!$C224&gt;=25,"overweight",Healthcare!$C224&gt;=30,"obese")</f>
        <v>Normal Weight</v>
      </c>
      <c r="E224" s="5">
        <v>5.72</v>
      </c>
      <c r="F224" s="5" t="str" cm="1">
        <f t="array" ref="F224">_xlfn.IFS(Healthcare!$E224&lt;5.7,"normal",Healthcare!$E224&lt;=6.4,"prediabetes",Healthcare!$E224&gt;=6.5,"diabetes")</f>
        <v>prediabetes</v>
      </c>
      <c r="G224" s="5" t="s">
        <v>19</v>
      </c>
      <c r="H224" s="5" t="s">
        <v>19</v>
      </c>
      <c r="I224" s="5" t="s">
        <v>19</v>
      </c>
      <c r="J224" s="5">
        <v>0</v>
      </c>
      <c r="K224" s="5" t="s">
        <v>20</v>
      </c>
      <c r="L224" s="5" t="str">
        <f>VLOOKUP(Healthcare!$A224,hospital_details,2,0)</f>
        <v>29-Jun-1977</v>
      </c>
      <c r="M224" s="5">
        <f t="shared" ref="M224:M287" ca="1" si="1331">VLOOKUP(A224,hospital_details,3,0)</f>
        <v>49</v>
      </c>
      <c r="N224" s="5">
        <f t="shared" ref="N224:N287" si="1332">VLOOKUP($A224,hospital_details,4,0)</f>
        <v>0</v>
      </c>
      <c r="O224" s="6">
        <f t="shared" ref="O224:O287" si="1333">VLOOKUP($A224,hospital_details,5,0)</f>
        <v>35069.370000000003</v>
      </c>
      <c r="P224" s="5" t="str">
        <f t="shared" ref="P224:P287" si="1334">VLOOKUP($A224,hospital_details,6,0)</f>
        <v>tier - 1</v>
      </c>
      <c r="Q224" s="5" t="str">
        <f t="shared" ref="Q224:Q287" si="1335">VLOOKUP($A224,hospital_details,7,0)</f>
        <v>tier - 1</v>
      </c>
      <c r="R224" s="5" t="str">
        <f t="shared" ref="R224:R287" si="1336">VLOOKUP($A224,hospital_details,8,0)</f>
        <v>R1017</v>
      </c>
    </row>
    <row r="225" spans="1:18" ht="14.4" customHeight="1" x14ac:dyDescent="0.3">
      <c r="A225" s="7" t="s">
        <v>244</v>
      </c>
      <c r="B225" s="7" t="str">
        <f>VLOOKUP($A225,[1]!Customer_Names[#Data],3,0)</f>
        <v xml:space="preserve">  Kiley D</v>
      </c>
      <c r="C225" s="7">
        <v>34.06</v>
      </c>
      <c r="D225" s="7" t="str" cm="1">
        <f t="array" ref="D225">_xlfn.IFS(Healthcare!$C225&lt;18.5,"under weight",Healthcare!$C225&lt;=24.9,"Normal Weight",Healthcare!$C225&gt;=25,"overweight",Healthcare!$C225&gt;=30,"obese")</f>
        <v>overweight</v>
      </c>
      <c r="E225" s="7">
        <v>11.83</v>
      </c>
      <c r="F225" s="7" t="str" cm="1">
        <f t="array" ref="F225">_xlfn.IFS(Healthcare!$E225&lt;5.7,"normal",Healthcare!$E225&lt;=6.4,"prediabetes",Healthcare!$E225&gt;=6.5,"diabetes")</f>
        <v>diabetes</v>
      </c>
      <c r="G225" s="7" t="s">
        <v>20</v>
      </c>
      <c r="H225" s="7" t="s">
        <v>19</v>
      </c>
      <c r="I225" s="7" t="s">
        <v>19</v>
      </c>
      <c r="J225" s="7">
        <v>1</v>
      </c>
      <c r="K225" s="7" t="s">
        <v>20</v>
      </c>
      <c r="L225" s="7" t="str">
        <f>VLOOKUP(Healthcare!$A225,hospital_details,2,0)</f>
        <v>29-Aug-1975</v>
      </c>
      <c r="M225" s="7">
        <f t="shared" ref="M225:M288" ca="1" si="1337">VLOOKUP(A225,hospital_details,3,0)</f>
        <v>51</v>
      </c>
      <c r="N225" s="7">
        <f t="shared" ref="N225:N288" si="1338">VLOOKUP($A225,hospital_details,4,0)</f>
        <v>1</v>
      </c>
      <c r="O225" s="8">
        <f t="shared" ref="O225:O288" si="1339">VLOOKUP($A225,hospital_details,5,0)</f>
        <v>35050.620000000003</v>
      </c>
      <c r="P225" s="7" t="str">
        <f t="shared" ref="P225:P288" si="1340">VLOOKUP($A225,hospital_details,6,0)</f>
        <v>tier - 2</v>
      </c>
      <c r="Q225" s="7" t="str">
        <f t="shared" ref="Q225:Q288" si="1341">VLOOKUP($A225,hospital_details,7,0)</f>
        <v>tier - 1</v>
      </c>
      <c r="R225" s="7" t="str">
        <f t="shared" ref="R225:R288" si="1342">VLOOKUP($A225,hospital_details,8,0)</f>
        <v>R1011</v>
      </c>
    </row>
    <row r="226" spans="1:18" ht="14.4" customHeight="1" x14ac:dyDescent="0.3">
      <c r="A226" s="5" t="s">
        <v>245</v>
      </c>
      <c r="B226" s="5" t="str">
        <f>VLOOKUP($A226,[1]!Customer_Names[#Data],3,0)</f>
        <v xml:space="preserve">  Jennifer</v>
      </c>
      <c r="C226" s="5">
        <v>36.409999999999997</v>
      </c>
      <c r="D226" s="5" t="str" cm="1">
        <f t="array" ref="D226">_xlfn.IFS(Healthcare!$C226&lt;18.5,"under weight",Healthcare!$C226&lt;=24.9,"Normal Weight",Healthcare!$C226&gt;=25,"overweight",Healthcare!$C226&gt;=30,"obese")</f>
        <v>overweight</v>
      </c>
      <c r="E226" s="5">
        <v>4.55</v>
      </c>
      <c r="F226" s="5" t="str" cm="1">
        <f t="array" ref="F226">_xlfn.IFS(Healthcare!$E226&lt;5.7,"normal",Healthcare!$E226&lt;=6.4,"prediabetes",Healthcare!$E226&gt;=6.5,"diabetes")</f>
        <v>normal</v>
      </c>
      <c r="G226" s="5" t="s">
        <v>19</v>
      </c>
      <c r="H226" s="5" t="s">
        <v>19</v>
      </c>
      <c r="I226" s="5" t="s">
        <v>19</v>
      </c>
      <c r="J226" s="5">
        <v>0</v>
      </c>
      <c r="K226" s="5" t="s">
        <v>20</v>
      </c>
      <c r="L226" s="5" t="str">
        <f>VLOOKUP(Healthcare!$A226,hospital_details,2,0)</f>
        <v>5-Jul-1982</v>
      </c>
      <c r="M226" s="5">
        <f t="shared" ref="M226:M289" ca="1" si="1343">VLOOKUP(A226,hospital_details,3,0)</f>
        <v>44</v>
      </c>
      <c r="N226" s="5">
        <f t="shared" ref="N226:N289" si="1344">VLOOKUP($A226,hospital_details,4,0)</f>
        <v>3</v>
      </c>
      <c r="O226" s="6">
        <f t="shared" ref="O226:O289" si="1345">VLOOKUP($A226,hospital_details,5,0)</f>
        <v>35000.730000000003</v>
      </c>
      <c r="P226" s="5" t="str">
        <f t="shared" ref="P226:P289" si="1346">VLOOKUP($A226,hospital_details,6,0)</f>
        <v>tier - 2</v>
      </c>
      <c r="Q226" s="5" t="str">
        <f t="shared" ref="Q226:Q289" si="1347">VLOOKUP($A226,hospital_details,7,0)</f>
        <v>tier - 3</v>
      </c>
      <c r="R226" s="5" t="str">
        <f t="shared" ref="R226:R289" si="1348">VLOOKUP($A226,hospital_details,8,0)</f>
        <v>R1011</v>
      </c>
    </row>
    <row r="227" spans="1:18" ht="14.4" customHeight="1" x14ac:dyDescent="0.3">
      <c r="A227" s="7" t="s">
        <v>246</v>
      </c>
      <c r="B227" s="7" t="str">
        <f>VLOOKUP($A227,[1]!Customer_Names[#Data],3,0)</f>
        <v xml:space="preserve">  Chris</v>
      </c>
      <c r="C227" s="7">
        <v>52.3</v>
      </c>
      <c r="D227" s="7" t="str" cm="1">
        <f t="array" ref="D227">_xlfn.IFS(Healthcare!$C227&lt;18.5,"under weight",Healthcare!$C227&lt;=24.9,"Normal Weight",Healthcare!$C227&gt;=25,"overweight",Healthcare!$C227&gt;=30,"obese")</f>
        <v>overweight</v>
      </c>
      <c r="E227" s="7">
        <v>4.87</v>
      </c>
      <c r="F227" s="7" t="str" cm="1">
        <f t="array" ref="F227">_xlfn.IFS(Healthcare!$E227&lt;5.7,"normal",Healthcare!$E227&lt;=6.4,"prediabetes",Healthcare!$E227&gt;=6.5,"diabetes")</f>
        <v>normal</v>
      </c>
      <c r="G227" s="7" t="s">
        <v>20</v>
      </c>
      <c r="H227" s="7" t="s">
        <v>19</v>
      </c>
      <c r="I227" s="7" t="s">
        <v>29</v>
      </c>
      <c r="J227" s="7">
        <v>1</v>
      </c>
      <c r="K227" s="7" t="s">
        <v>20</v>
      </c>
      <c r="L227" s="7" t="str">
        <f>VLOOKUP(Healthcare!$A227,hospital_details,2,0)</f>
        <v>22-Aug-1997</v>
      </c>
      <c r="M227" s="7">
        <f t="shared" ref="M227:M290" ca="1" si="1349">VLOOKUP(A227,hospital_details,3,0)</f>
        <v>29</v>
      </c>
      <c r="N227" s="7">
        <f t="shared" ref="N227:N290" si="1350">VLOOKUP($A227,hospital_details,4,0)</f>
        <v>0</v>
      </c>
      <c r="O227" s="8">
        <f t="shared" ref="O227:O290" si="1351">VLOOKUP($A227,hospital_details,5,0)</f>
        <v>34979.86</v>
      </c>
      <c r="P227" s="7" t="str">
        <f t="shared" ref="P227:P290" si="1352">VLOOKUP($A227,hospital_details,6,0)</f>
        <v>tier - 2</v>
      </c>
      <c r="Q227" s="7" t="str">
        <f t="shared" ref="Q227:Q290" si="1353">VLOOKUP($A227,hospital_details,7,0)</f>
        <v>tier - 2</v>
      </c>
      <c r="R227" s="7" t="str">
        <f t="shared" ref="R227:R290" si="1354">VLOOKUP($A227,hospital_details,8,0)</f>
        <v>R1011</v>
      </c>
    </row>
    <row r="228" spans="1:18" ht="14.4" customHeight="1" x14ac:dyDescent="0.3">
      <c r="A228" s="5" t="s">
        <v>247</v>
      </c>
      <c r="B228" s="5" t="str">
        <f>VLOOKUP($A228,[1]!Customer_Names[#Data],3,0)</f>
        <v xml:space="preserve">  Marian M</v>
      </c>
      <c r="C228" s="5">
        <v>52.66</v>
      </c>
      <c r="D228" s="5" t="str" cm="1">
        <f t="array" ref="D228">_xlfn.IFS(Healthcare!$C228&lt;18.5,"under weight",Healthcare!$C228&lt;=24.9,"Normal Weight",Healthcare!$C228&gt;=25,"overweight",Healthcare!$C228&gt;=30,"obese")</f>
        <v>overweight</v>
      </c>
      <c r="E228" s="5">
        <v>4.45</v>
      </c>
      <c r="F228" s="5" t="str" cm="1">
        <f t="array" ref="F228">_xlfn.IFS(Healthcare!$E228&lt;5.7,"normal",Healthcare!$E228&lt;=6.4,"prediabetes",Healthcare!$E228&gt;=6.5,"diabetes")</f>
        <v>normal</v>
      </c>
      <c r="G228" s="5" t="s">
        <v>19</v>
      </c>
      <c r="H228" s="5" t="s">
        <v>19</v>
      </c>
      <c r="I228" s="5" t="s">
        <v>19</v>
      </c>
      <c r="J228" s="5">
        <v>1</v>
      </c>
      <c r="K228" s="5" t="s">
        <v>20</v>
      </c>
      <c r="L228" s="5" t="str">
        <f>VLOOKUP(Healthcare!$A228,hospital_details,2,0)</f>
        <v>22-Aug-1998</v>
      </c>
      <c r="M228" s="5">
        <f t="shared" ref="M228:M291" ca="1" si="1355">VLOOKUP(A228,hospital_details,3,0)</f>
        <v>28</v>
      </c>
      <c r="N228" s="5">
        <f t="shared" ref="N228:N291" si="1356">VLOOKUP($A228,hospital_details,4,0)</f>
        <v>0</v>
      </c>
      <c r="O228" s="6">
        <f t="shared" ref="O228:O291" si="1357">VLOOKUP($A228,hospital_details,5,0)</f>
        <v>34976.42</v>
      </c>
      <c r="P228" s="5" t="str">
        <f t="shared" ref="P228:P291" si="1358">VLOOKUP($A228,hospital_details,6,0)</f>
        <v>tier - 2</v>
      </c>
      <c r="Q228" s="5" t="str">
        <f t="shared" ref="Q228:Q291" si="1359">VLOOKUP($A228,hospital_details,7,0)</f>
        <v>tier - 1</v>
      </c>
      <c r="R228" s="5" t="str">
        <f t="shared" ref="R228:R291" si="1360">VLOOKUP($A228,hospital_details,8,0)</f>
        <v>R1011</v>
      </c>
    </row>
    <row r="229" spans="1:18" ht="14.4" customHeight="1" x14ac:dyDescent="0.3">
      <c r="A229" s="7" t="s">
        <v>248</v>
      </c>
      <c r="B229" s="7" t="str">
        <f>VLOOKUP($A229,[1]!Customer_Names[#Data],3,0)</f>
        <v xml:space="preserve">  Jeremy</v>
      </c>
      <c r="C229" s="7">
        <v>29.57</v>
      </c>
      <c r="D229" s="7" t="str" cm="1">
        <f t="array" ref="D229">_xlfn.IFS(Healthcare!$C229&lt;18.5,"under weight",Healthcare!$C229&lt;=24.9,"Normal Weight",Healthcare!$C229&gt;=25,"overweight",Healthcare!$C229&gt;=30,"obese")</f>
        <v>overweight</v>
      </c>
      <c r="E229" s="7">
        <v>9.42</v>
      </c>
      <c r="F229" s="7" t="str" cm="1">
        <f t="array" ref="F229">_xlfn.IFS(Healthcare!$E229&lt;5.7,"normal",Healthcare!$E229&lt;=6.4,"prediabetes",Healthcare!$E229&gt;=6.5,"diabetes")</f>
        <v>diabetes</v>
      </c>
      <c r="G229" s="7" t="s">
        <v>20</v>
      </c>
      <c r="H229" s="7" t="s">
        <v>19</v>
      </c>
      <c r="I229" s="7" t="s">
        <v>19</v>
      </c>
      <c r="J229" s="7">
        <v>0</v>
      </c>
      <c r="K229" s="7" t="s">
        <v>20</v>
      </c>
      <c r="L229" s="7" t="str">
        <f>VLOOKUP(Healthcare!$A229,hospital_details,2,0)</f>
        <v>7-Oct-1967</v>
      </c>
      <c r="M229" s="7">
        <f t="shared" ref="M229:M292" ca="1" si="1361">VLOOKUP(A229,hospital_details,3,0)</f>
        <v>59</v>
      </c>
      <c r="N229" s="7">
        <f t="shared" ref="N229:N292" si="1362">VLOOKUP($A229,hospital_details,4,0)</f>
        <v>0</v>
      </c>
      <c r="O229" s="8">
        <f t="shared" ref="O229:O292" si="1363">VLOOKUP($A229,hospital_details,5,0)</f>
        <v>34975.68</v>
      </c>
      <c r="P229" s="7" t="str">
        <f t="shared" ref="P229:P292" si="1364">VLOOKUP($A229,hospital_details,6,0)</f>
        <v>tier - 2</v>
      </c>
      <c r="Q229" s="7" t="str">
        <f t="shared" ref="Q229:Q292" si="1365">VLOOKUP($A229,hospital_details,7,0)</f>
        <v>tier - 2</v>
      </c>
      <c r="R229" s="7" t="str">
        <f t="shared" ref="R229:R292" si="1366">VLOOKUP($A229,hospital_details,8,0)</f>
        <v>R1011</v>
      </c>
    </row>
    <row r="230" spans="1:18" ht="14.4" customHeight="1" x14ac:dyDescent="0.3">
      <c r="A230" s="5" t="s">
        <v>249</v>
      </c>
      <c r="B230" s="5" t="str">
        <f>VLOOKUP($A230,[1]!Customer_Names[#Data],3,0)</f>
        <v xml:space="preserve">  Allison H</v>
      </c>
      <c r="C230" s="5">
        <v>36.99</v>
      </c>
      <c r="D230" s="5" t="str" cm="1">
        <f t="array" ref="D230">_xlfn.IFS(Healthcare!$C230&lt;18.5,"under weight",Healthcare!$C230&lt;=24.9,"Normal Weight",Healthcare!$C230&gt;=25,"overweight",Healthcare!$C230&gt;=30,"obese")</f>
        <v>overweight</v>
      </c>
      <c r="E230" s="5">
        <v>5.37</v>
      </c>
      <c r="F230" s="5" t="str" cm="1">
        <f t="array" ref="F230">_xlfn.IFS(Healthcare!$E230&lt;5.7,"normal",Healthcare!$E230&lt;=6.4,"prediabetes",Healthcare!$E230&gt;=6.5,"diabetes")</f>
        <v>normal</v>
      </c>
      <c r="G230" s="5" t="s">
        <v>20</v>
      </c>
      <c r="H230" s="5" t="s">
        <v>19</v>
      </c>
      <c r="I230" s="5" t="s">
        <v>29</v>
      </c>
      <c r="J230" s="5">
        <v>1</v>
      </c>
      <c r="K230" s="5" t="s">
        <v>20</v>
      </c>
      <c r="L230" s="5" t="str">
        <f>VLOOKUP(Healthcare!$A230,hospital_details,2,0)</f>
        <v>29-Jul-1983</v>
      </c>
      <c r="M230" s="5">
        <f t="shared" ref="M230:M293" ca="1" si="1367">VLOOKUP(A230,hospital_details,3,0)</f>
        <v>43</v>
      </c>
      <c r="N230" s="5">
        <f t="shared" ref="N230:N293" si="1368">VLOOKUP($A230,hospital_details,4,0)</f>
        <v>3</v>
      </c>
      <c r="O230" s="6">
        <f t="shared" ref="O230:O293" si="1369">VLOOKUP($A230,hospital_details,5,0)</f>
        <v>34940.61</v>
      </c>
      <c r="P230" s="5" t="str">
        <f t="shared" ref="P230:P293" si="1370">VLOOKUP($A230,hospital_details,6,0)</f>
        <v>tier - 2</v>
      </c>
      <c r="Q230" s="5" t="str">
        <f t="shared" ref="Q230:Q293" si="1371">VLOOKUP($A230,hospital_details,7,0)</f>
        <v>tier - 3</v>
      </c>
      <c r="R230" s="5" t="str">
        <f t="shared" ref="R230:R293" si="1372">VLOOKUP($A230,hospital_details,8,0)</f>
        <v>R1011</v>
      </c>
    </row>
    <row r="231" spans="1:18" ht="14.4" customHeight="1" x14ac:dyDescent="0.3">
      <c r="A231" s="7" t="s">
        <v>250</v>
      </c>
      <c r="B231" s="7" t="str">
        <f>VLOOKUP($A231,[1]!Customer_Names[#Data],3,0)</f>
        <v xml:space="preserve">  Elizabeth</v>
      </c>
      <c r="C231" s="7">
        <v>31.4</v>
      </c>
      <c r="D231" s="7" t="str" cm="1">
        <f t="array" ref="D231">_xlfn.IFS(Healthcare!$C231&lt;18.5,"under weight",Healthcare!$C231&lt;=24.9,"Normal Weight",Healthcare!$C231&gt;=25,"overweight",Healthcare!$C231&gt;=30,"obese")</f>
        <v>overweight</v>
      </c>
      <c r="E231" s="7">
        <v>4.5999999999999996</v>
      </c>
      <c r="F231" s="7" t="str" cm="1">
        <f t="array" ref="F231">_xlfn.IFS(Healthcare!$E231&lt;5.7,"normal",Healthcare!$E231&lt;=6.4,"prediabetes",Healthcare!$E231&gt;=6.5,"diabetes")</f>
        <v>normal</v>
      </c>
      <c r="G231" s="7" t="s">
        <v>20</v>
      </c>
      <c r="H231" s="7" t="s">
        <v>19</v>
      </c>
      <c r="I231" s="7" t="s">
        <v>19</v>
      </c>
      <c r="J231" s="7">
        <v>1</v>
      </c>
      <c r="K231" s="7" t="s">
        <v>20</v>
      </c>
      <c r="L231" s="7" t="str">
        <f>VLOOKUP(Healthcare!$A231,hospital_details,2,0)</f>
        <v>17-Oct-1995</v>
      </c>
      <c r="M231" s="7">
        <f t="shared" ref="M231:M294" ca="1" si="1373">VLOOKUP(A231,hospital_details,3,0)</f>
        <v>31</v>
      </c>
      <c r="N231" s="7">
        <f t="shared" ref="N231:N294" si="1374">VLOOKUP($A231,hospital_details,4,0)</f>
        <v>0</v>
      </c>
      <c r="O231" s="8">
        <f t="shared" ref="O231:O294" si="1375">VLOOKUP($A231,hospital_details,5,0)</f>
        <v>34838.870000000003</v>
      </c>
      <c r="P231" s="7" t="str">
        <f t="shared" ref="P231:P294" si="1376">VLOOKUP($A231,hospital_details,6,0)</f>
        <v>tier - 2</v>
      </c>
      <c r="Q231" s="7" t="str">
        <f t="shared" ref="Q231:Q294" si="1377">VLOOKUP($A231,hospital_details,7,0)</f>
        <v>tier - 3</v>
      </c>
      <c r="R231" s="7" t="str">
        <f t="shared" ref="R231:R294" si="1378">VLOOKUP($A231,hospital_details,8,0)</f>
        <v>R1011</v>
      </c>
    </row>
    <row r="232" spans="1:18" ht="14.4" customHeight="1" x14ac:dyDescent="0.3">
      <c r="A232" s="5" t="s">
        <v>251</v>
      </c>
      <c r="B232" s="5" t="str">
        <f>VLOOKUP($A232,[1]!Customer_Names[#Data],3,0)</f>
        <v xml:space="preserve">  Andrew</v>
      </c>
      <c r="C232" s="5">
        <v>34.9</v>
      </c>
      <c r="D232" s="5" t="str" cm="1">
        <f t="array" ref="D232">_xlfn.IFS(Healthcare!$C232&lt;18.5,"under weight",Healthcare!$C232&lt;=24.9,"Normal Weight",Healthcare!$C232&gt;=25,"overweight",Healthcare!$C232&gt;=30,"obese")</f>
        <v>overweight</v>
      </c>
      <c r="E232" s="5">
        <v>6.22</v>
      </c>
      <c r="F232" s="5" t="str" cm="1">
        <f t="array" ref="F232">_xlfn.IFS(Healthcare!$E232&lt;5.7,"normal",Healthcare!$E232&lt;=6.4,"prediabetes",Healthcare!$E232&gt;=6.5,"diabetes")</f>
        <v>prediabetes</v>
      </c>
      <c r="G232" s="5" t="s">
        <v>19</v>
      </c>
      <c r="H232" s="5" t="s">
        <v>19</v>
      </c>
      <c r="I232" s="5" t="s">
        <v>29</v>
      </c>
      <c r="J232" s="5">
        <v>1</v>
      </c>
      <c r="K232" s="5" t="s">
        <v>20</v>
      </c>
      <c r="L232" s="5" t="str">
        <f>VLOOKUP(Healthcare!$A232,hospital_details,2,0)</f>
        <v>17-Sep-2003</v>
      </c>
      <c r="M232" s="5">
        <f t="shared" ref="M232:M295" ca="1" si="1379">VLOOKUP(A232,hospital_details,3,0)</f>
        <v>23</v>
      </c>
      <c r="N232" s="5">
        <f t="shared" ref="N232:N295" si="1380">VLOOKUP($A232,hospital_details,4,0)</f>
        <v>0</v>
      </c>
      <c r="O232" s="6">
        <f t="shared" ref="O232:O295" si="1381">VLOOKUP($A232,hospital_details,5,0)</f>
        <v>34828.65</v>
      </c>
      <c r="P232" s="5" t="str">
        <f t="shared" ref="P232:P295" si="1382">VLOOKUP($A232,hospital_details,6,0)</f>
        <v>tier - 1</v>
      </c>
      <c r="Q232" s="5" t="str">
        <f t="shared" ref="Q232:Q295" si="1383">VLOOKUP($A232,hospital_details,7,0)</f>
        <v>tier - 3</v>
      </c>
      <c r="R232" s="5" t="str">
        <f t="shared" ref="R232:R295" si="1384">VLOOKUP($A232,hospital_details,8,0)</f>
        <v>R1011</v>
      </c>
    </row>
    <row r="233" spans="1:18" ht="14.4" customHeight="1" x14ac:dyDescent="0.3">
      <c r="A233" s="7" t="s">
        <v>252</v>
      </c>
      <c r="B233" s="7" t="str">
        <f>VLOOKUP($A233,[1]!Customer_Names[#Data],3,0)</f>
        <v xml:space="preserve">  Anders J</v>
      </c>
      <c r="C233" s="7">
        <v>31.13</v>
      </c>
      <c r="D233" s="7" t="str" cm="1">
        <f t="array" ref="D233">_xlfn.IFS(Healthcare!$C233&lt;18.5,"under weight",Healthcare!$C233&lt;=24.9,"Normal Weight",Healthcare!$C233&gt;=25,"overweight",Healthcare!$C233&gt;=30,"obese")</f>
        <v>overweight</v>
      </c>
      <c r="E233" s="7">
        <v>4.5199999999999996</v>
      </c>
      <c r="F233" s="7" t="str" cm="1">
        <f t="array" ref="F233">_xlfn.IFS(Healthcare!$E233&lt;5.7,"normal",Healthcare!$E233&lt;=6.4,"prediabetes",Healthcare!$E233&gt;=6.5,"diabetes")</f>
        <v>normal</v>
      </c>
      <c r="G233" s="7" t="s">
        <v>20</v>
      </c>
      <c r="H233" s="7" t="s">
        <v>19</v>
      </c>
      <c r="I233" s="7" t="s">
        <v>19</v>
      </c>
      <c r="J233" s="7">
        <v>1</v>
      </c>
      <c r="K233" s="7" t="s">
        <v>20</v>
      </c>
      <c r="L233" s="7" t="str">
        <f>VLOOKUP(Healthcare!$A233,hospital_details,2,0)</f>
        <v>27-Dec-1995</v>
      </c>
      <c r="M233" s="7">
        <f t="shared" ref="M233:M296" ca="1" si="1385">VLOOKUP(A233,hospital_details,3,0)</f>
        <v>30</v>
      </c>
      <c r="N233" s="7">
        <f t="shared" ref="N233:N296" si="1386">VLOOKUP($A233,hospital_details,4,0)</f>
        <v>1</v>
      </c>
      <c r="O233" s="8">
        <f t="shared" ref="O233:O296" si="1387">VLOOKUP($A233,hospital_details,5,0)</f>
        <v>34806.47</v>
      </c>
      <c r="P233" s="7" t="str">
        <f t="shared" ref="P233:P296" si="1388">VLOOKUP($A233,hospital_details,6,0)</f>
        <v>tier - 1</v>
      </c>
      <c r="Q233" s="7" t="str">
        <f t="shared" ref="Q233:Q296" si="1389">VLOOKUP($A233,hospital_details,7,0)</f>
        <v>tier - 2</v>
      </c>
      <c r="R233" s="7" t="str">
        <f t="shared" ref="R233:R296" si="1390">VLOOKUP($A233,hospital_details,8,0)</f>
        <v>R1013</v>
      </c>
    </row>
    <row r="234" spans="1:18" ht="14.4" customHeight="1" x14ac:dyDescent="0.3">
      <c r="A234" s="5" t="s">
        <v>253</v>
      </c>
      <c r="B234" s="5" t="str">
        <f>VLOOKUP($A234,[1]!Customer_Names[#Data],3,0)</f>
        <v xml:space="preserve">  Sean</v>
      </c>
      <c r="C234" s="5">
        <v>34.799999999999997</v>
      </c>
      <c r="D234" s="5" t="str" cm="1">
        <f t="array" ref="D234">_xlfn.IFS(Healthcare!$C234&lt;18.5,"under weight",Healthcare!$C234&lt;=24.9,"Normal Weight",Healthcare!$C234&gt;=25,"overweight",Healthcare!$C234&gt;=30,"obese")</f>
        <v>overweight</v>
      </c>
      <c r="E234" s="5">
        <v>6.18</v>
      </c>
      <c r="F234" s="5" t="str" cm="1">
        <f t="array" ref="F234">_xlfn.IFS(Healthcare!$E234&lt;5.7,"normal",Healthcare!$E234&lt;=6.4,"prediabetes",Healthcare!$E234&gt;=6.5,"diabetes")</f>
        <v>prediabetes</v>
      </c>
      <c r="G234" s="5" t="s">
        <v>19</v>
      </c>
      <c r="H234" s="5" t="s">
        <v>19</v>
      </c>
      <c r="I234" s="5" t="s">
        <v>29</v>
      </c>
      <c r="J234" s="5">
        <v>1</v>
      </c>
      <c r="K234" s="5" t="s">
        <v>20</v>
      </c>
      <c r="L234" s="5" t="str">
        <f>VLOOKUP(Healthcare!$A234,hospital_details,2,0)</f>
        <v>3-Jul-2003</v>
      </c>
      <c r="M234" s="5">
        <f t="shared" ref="M234:M297" ca="1" si="1391">VLOOKUP(A234,hospital_details,3,0)</f>
        <v>23</v>
      </c>
      <c r="N234" s="5">
        <f t="shared" ref="N234:N297" si="1392">VLOOKUP($A234,hospital_details,4,0)</f>
        <v>0</v>
      </c>
      <c r="O234" s="6">
        <f t="shared" ref="O234:O297" si="1393">VLOOKUP($A234,hospital_details,5,0)</f>
        <v>34779.620000000003</v>
      </c>
      <c r="P234" s="5" t="str">
        <f t="shared" ref="P234:P297" si="1394">VLOOKUP($A234,hospital_details,6,0)</f>
        <v>tier - 1</v>
      </c>
      <c r="Q234" s="5" t="str">
        <f t="shared" ref="Q234:Q297" si="1395">VLOOKUP($A234,hospital_details,7,0)</f>
        <v>tier - 2</v>
      </c>
      <c r="R234" s="5" t="str">
        <f t="shared" ref="R234:R297" si="1396">VLOOKUP($A234,hospital_details,8,0)</f>
        <v>R1011</v>
      </c>
    </row>
    <row r="235" spans="1:18" ht="14.4" customHeight="1" x14ac:dyDescent="0.3">
      <c r="A235" s="7" t="s">
        <v>254</v>
      </c>
      <c r="B235" s="7" t="str">
        <f>VLOOKUP($A235,[1]!Customer_Names[#Data],3,0)</f>
        <v xml:space="preserve">  Brian M</v>
      </c>
      <c r="C235" s="7">
        <v>31.68</v>
      </c>
      <c r="D235" s="7" t="str" cm="1">
        <f t="array" ref="D235">_xlfn.IFS(Healthcare!$C235&lt;18.5,"under weight",Healthcare!$C235&lt;=24.9,"Normal Weight",Healthcare!$C235&gt;=25,"overweight",Healthcare!$C235&gt;=30,"obese")</f>
        <v>overweight</v>
      </c>
      <c r="E235" s="7">
        <v>4.4000000000000004</v>
      </c>
      <c r="F235" s="7" t="str" cm="1">
        <f t="array" ref="F235">_xlfn.IFS(Healthcare!$E235&lt;5.7,"normal",Healthcare!$E235&lt;=6.4,"prediabetes",Healthcare!$E235&gt;=6.5,"diabetes")</f>
        <v>normal</v>
      </c>
      <c r="G235" s="7" t="s">
        <v>19</v>
      </c>
      <c r="H235" s="7" t="s">
        <v>19</v>
      </c>
      <c r="I235" s="7" t="s">
        <v>19</v>
      </c>
      <c r="J235" s="7">
        <v>0</v>
      </c>
      <c r="K235" s="7" t="s">
        <v>20</v>
      </c>
      <c r="L235" s="7" t="str">
        <f>VLOOKUP(Healthcare!$A235,hospital_details,2,0)</f>
        <v>7-Jul-1994</v>
      </c>
      <c r="M235" s="7">
        <f t="shared" ref="M235:M298" ca="1" si="1397">VLOOKUP(A235,hospital_details,3,0)</f>
        <v>32</v>
      </c>
      <c r="N235" s="7">
        <f t="shared" ref="N235:N298" si="1398">VLOOKUP($A235,hospital_details,4,0)</f>
        <v>0</v>
      </c>
      <c r="O235" s="8">
        <f t="shared" ref="O235:O298" si="1399">VLOOKUP($A235,hospital_details,5,0)</f>
        <v>34672.15</v>
      </c>
      <c r="P235" s="7" t="str">
        <f t="shared" ref="P235:P298" si="1400">VLOOKUP($A235,hospital_details,6,0)</f>
        <v>tier - 1</v>
      </c>
      <c r="Q235" s="7" t="str">
        <f t="shared" ref="Q235:Q298" si="1401">VLOOKUP($A235,hospital_details,7,0)</f>
        <v>tier - 3</v>
      </c>
      <c r="R235" s="7" t="str">
        <f t="shared" ref="R235:R298" si="1402">VLOOKUP($A235,hospital_details,8,0)</f>
        <v>R1013</v>
      </c>
    </row>
    <row r="236" spans="1:18" ht="14.4" customHeight="1" x14ac:dyDescent="0.3">
      <c r="A236" s="5" t="s">
        <v>255</v>
      </c>
      <c r="B236" s="5" t="str">
        <f>VLOOKUP($A236,[1]!Customer_Names[#Data],3,0)</f>
        <v xml:space="preserve">  Jeremy</v>
      </c>
      <c r="C236" s="5">
        <v>33.534999999999997</v>
      </c>
      <c r="D236" s="5" t="str" cm="1">
        <f t="array" ref="D236">_xlfn.IFS(Healthcare!$C236&lt;18.5,"under weight",Healthcare!$C236&lt;=24.9,"Normal Weight",Healthcare!$C236&gt;=25,"overweight",Healthcare!$C236&gt;=30,"obese")</f>
        <v>overweight</v>
      </c>
      <c r="E236" s="5">
        <v>6.23</v>
      </c>
      <c r="F236" s="5" t="str" cm="1">
        <f t="array" ref="F236">_xlfn.IFS(Healthcare!$E236&lt;5.7,"normal",Healthcare!$E236&lt;=6.4,"prediabetes",Healthcare!$E236&gt;=6.5,"diabetes")</f>
        <v>prediabetes</v>
      </c>
      <c r="G236" s="5" t="s">
        <v>19</v>
      </c>
      <c r="H236" s="5" t="s">
        <v>20</v>
      </c>
      <c r="I236" s="5" t="s">
        <v>19</v>
      </c>
      <c r="J236" s="5">
        <v>1</v>
      </c>
      <c r="K236" s="5" t="s">
        <v>20</v>
      </c>
      <c r="L236" s="5" t="str">
        <f>VLOOKUP(Healthcare!$A236,hospital_details,2,0)</f>
        <v>9-Oct-2004</v>
      </c>
      <c r="M236" s="5">
        <f t="shared" ref="M236:M299" ca="1" si="1403">VLOOKUP(A236,hospital_details,3,0)</f>
        <v>22</v>
      </c>
      <c r="N236" s="5">
        <f t="shared" ref="N236:N299" si="1404">VLOOKUP($A236,hospital_details,4,0)</f>
        <v>0</v>
      </c>
      <c r="O236" s="6">
        <f t="shared" ref="O236:O299" si="1405">VLOOKUP($A236,hospital_details,5,0)</f>
        <v>34617.839999999997</v>
      </c>
      <c r="P236" s="5" t="str">
        <f t="shared" ref="P236:P299" si="1406">VLOOKUP($A236,hospital_details,6,0)</f>
        <v>tier - 1</v>
      </c>
      <c r="Q236" s="5" t="str">
        <f t="shared" ref="Q236:Q299" si="1407">VLOOKUP($A236,hospital_details,7,0)</f>
        <v>tier - 3</v>
      </c>
      <c r="R236" s="5" t="str">
        <f t="shared" ref="R236:R299" si="1408">VLOOKUP($A236,hospital_details,8,0)</f>
        <v>R1016</v>
      </c>
    </row>
    <row r="237" spans="1:18" ht="14.4" customHeight="1" x14ac:dyDescent="0.3">
      <c r="A237" s="7" t="s">
        <v>256</v>
      </c>
      <c r="B237" s="7" t="str">
        <f>VLOOKUP($A237,[1]!Customer_Names[#Data],3,0)</f>
        <v xml:space="preserve">  Susannah</v>
      </c>
      <c r="C237" s="7">
        <v>31.92</v>
      </c>
      <c r="D237" s="7" t="str" cm="1">
        <f t="array" ref="D237">_xlfn.IFS(Healthcare!$C237&lt;18.5,"under weight",Healthcare!$C237&lt;=24.9,"Normal Weight",Healthcare!$C237&gt;=25,"overweight",Healthcare!$C237&gt;=30,"obese")</f>
        <v>overweight</v>
      </c>
      <c r="E237" s="7">
        <v>5.33</v>
      </c>
      <c r="F237" s="7" t="str" cm="1">
        <f t="array" ref="F237">_xlfn.IFS(Healthcare!$E237&lt;5.7,"normal",Healthcare!$E237&lt;=6.4,"prediabetes",Healthcare!$E237&gt;=6.5,"diabetes")</f>
        <v>normal</v>
      </c>
      <c r="G237" s="7" t="s">
        <v>20</v>
      </c>
      <c r="H237" s="7" t="s">
        <v>19</v>
      </c>
      <c r="I237" s="7" t="s">
        <v>19</v>
      </c>
      <c r="J237" s="7">
        <v>0</v>
      </c>
      <c r="K237" s="7" t="s">
        <v>20</v>
      </c>
      <c r="L237" s="7" t="str">
        <f>VLOOKUP(Healthcare!$A237,hospital_details,2,0)</f>
        <v>25-Nov-1976</v>
      </c>
      <c r="M237" s="7">
        <f t="shared" ref="M237:M300" ca="1" si="1409">VLOOKUP(A237,hospital_details,3,0)</f>
        <v>49</v>
      </c>
      <c r="N237" s="7">
        <f t="shared" ref="N237:N300" si="1410">VLOOKUP($A237,hospital_details,4,0)</f>
        <v>2</v>
      </c>
      <c r="O237" s="8">
        <f t="shared" ref="O237:O300" si="1411">VLOOKUP($A237,hospital_details,5,0)</f>
        <v>34543.39</v>
      </c>
      <c r="P237" s="7" t="str">
        <f t="shared" ref="P237:P300" si="1412">VLOOKUP($A237,hospital_details,6,0)</f>
        <v>tier - 2</v>
      </c>
      <c r="Q237" s="7" t="str">
        <f t="shared" ref="Q237:Q300" si="1413">VLOOKUP($A237,hospital_details,7,0)</f>
        <v>tier - 3</v>
      </c>
      <c r="R237" s="7" t="str">
        <f t="shared" ref="R237:R300" si="1414">VLOOKUP($A237,hospital_details,8,0)</f>
        <v>R1011</v>
      </c>
    </row>
    <row r="238" spans="1:18" ht="14.4" customHeight="1" x14ac:dyDescent="0.3">
      <c r="A238" s="5" t="s">
        <v>257</v>
      </c>
      <c r="B238" s="5" t="str">
        <f>VLOOKUP($A238,[1]!Customer_Names[#Data],3,0)</f>
        <v xml:space="preserve">  Randy</v>
      </c>
      <c r="C238" s="5">
        <v>32.700000000000003</v>
      </c>
      <c r="D238" s="5" t="str" cm="1">
        <f t="array" ref="D238">_xlfn.IFS(Healthcare!$C238&lt;18.5,"under weight",Healthcare!$C238&lt;=24.9,"Normal Weight",Healthcare!$C238&gt;=25,"overweight",Healthcare!$C238&gt;=30,"obese")</f>
        <v>overweight</v>
      </c>
      <c r="E238" s="5">
        <v>4.09</v>
      </c>
      <c r="F238" s="5" t="str" cm="1">
        <f t="array" ref="F238">_xlfn.IFS(Healthcare!$E238&lt;5.7,"normal",Healthcare!$E238&lt;=6.4,"prediabetes",Healthcare!$E238&gt;=6.5,"diabetes")</f>
        <v>normal</v>
      </c>
      <c r="G238" s="5" t="s">
        <v>19</v>
      </c>
      <c r="H238" s="5" t="s">
        <v>19</v>
      </c>
      <c r="I238" s="5" t="s">
        <v>19</v>
      </c>
      <c r="J238" s="5">
        <v>1</v>
      </c>
      <c r="K238" s="5" t="s">
        <v>20</v>
      </c>
      <c r="L238" s="5" t="str">
        <f>VLOOKUP(Healthcare!$A238,hospital_details,2,0)</f>
        <v>24-Jun-1998</v>
      </c>
      <c r="M238" s="5">
        <f t="shared" ref="M238:M301" ca="1" si="1415">VLOOKUP(A238,hospital_details,3,0)</f>
        <v>28</v>
      </c>
      <c r="N238" s="5">
        <f t="shared" ref="N238:N301" si="1416">VLOOKUP($A238,hospital_details,4,0)</f>
        <v>0</v>
      </c>
      <c r="O238" s="6">
        <f t="shared" ref="O238:O301" si="1417">VLOOKUP($A238,hospital_details,5,0)</f>
        <v>34472.839999999997</v>
      </c>
      <c r="P238" s="5" t="str">
        <f t="shared" ref="P238:P301" si="1418">VLOOKUP($A238,hospital_details,6,0)</f>
        <v>tier - 1</v>
      </c>
      <c r="Q238" s="5" t="str">
        <f t="shared" ref="Q238:Q301" si="1419">VLOOKUP($A238,hospital_details,7,0)</f>
        <v>tier - 3</v>
      </c>
      <c r="R238" s="5" t="str">
        <f t="shared" ref="R238:R301" si="1420">VLOOKUP($A238,hospital_details,8,0)</f>
        <v>R1011</v>
      </c>
    </row>
    <row r="239" spans="1:18" ht="14.4" customHeight="1" x14ac:dyDescent="0.3">
      <c r="A239" s="7" t="s">
        <v>258</v>
      </c>
      <c r="B239" s="7" t="str">
        <f>VLOOKUP($A239,[1]!Customer_Names[#Data],3,0)</f>
        <v xml:space="preserve">  Leslie</v>
      </c>
      <c r="C239" s="7">
        <v>41.25</v>
      </c>
      <c r="D239" s="7" t="str" cm="1">
        <f t="array" ref="D239">_xlfn.IFS(Healthcare!$C239&lt;18.5,"under weight",Healthcare!$C239&lt;=24.9,"Normal Weight",Healthcare!$C239&gt;=25,"overweight",Healthcare!$C239&gt;=30,"obese")</f>
        <v>overweight</v>
      </c>
      <c r="E239" s="7">
        <v>5.19</v>
      </c>
      <c r="F239" s="7" t="str" cm="1">
        <f t="array" ref="F239">_xlfn.IFS(Healthcare!$E239&lt;5.7,"normal",Healthcare!$E239&lt;=6.4,"prediabetes",Healthcare!$E239&gt;=6.5,"diabetes")</f>
        <v>normal</v>
      </c>
      <c r="G239" s="7" t="s">
        <v>19</v>
      </c>
      <c r="H239" s="7" t="s">
        <v>19</v>
      </c>
      <c r="I239" s="7" t="s">
        <v>19</v>
      </c>
      <c r="J239" s="7">
        <v>0</v>
      </c>
      <c r="K239" s="7" t="s">
        <v>20</v>
      </c>
      <c r="L239" s="7" t="str">
        <f>VLOOKUP(Healthcare!$A239,hospital_details,2,0)</f>
        <v>24-Sep-1990</v>
      </c>
      <c r="M239" s="7">
        <f t="shared" ref="M239:M302" ca="1" si="1421">VLOOKUP(A239,hospital_details,3,0)</f>
        <v>36</v>
      </c>
      <c r="N239" s="7">
        <f t="shared" ref="N239:N302" si="1422">VLOOKUP($A239,hospital_details,4,0)</f>
        <v>3</v>
      </c>
      <c r="O239" s="8">
        <f t="shared" ref="O239:O302" si="1423">VLOOKUP($A239,hospital_details,5,0)</f>
        <v>34456.269999999997</v>
      </c>
      <c r="P239" s="7" t="str">
        <f t="shared" ref="P239:P302" si="1424">VLOOKUP($A239,hospital_details,6,0)</f>
        <v>tier - 1</v>
      </c>
      <c r="Q239" s="7" t="str">
        <f t="shared" ref="Q239:Q302" si="1425">VLOOKUP($A239,hospital_details,7,0)</f>
        <v>tier - 2</v>
      </c>
      <c r="R239" s="7" t="str">
        <f t="shared" ref="R239:R302" si="1426">VLOOKUP($A239,hospital_details,8,0)</f>
        <v>R1011</v>
      </c>
    </row>
    <row r="240" spans="1:18" ht="14.4" customHeight="1" x14ac:dyDescent="0.3">
      <c r="A240" s="5" t="s">
        <v>259</v>
      </c>
      <c r="B240" s="5" t="str">
        <f>VLOOKUP($A240,[1]!Customer_Names[#Data],3,0)</f>
        <v xml:space="preserve">  Brittany L</v>
      </c>
      <c r="C240" s="5">
        <v>33.11</v>
      </c>
      <c r="D240" s="5" t="str" cm="1">
        <f t="array" ref="D240">_xlfn.IFS(Healthcare!$C240&lt;18.5,"under weight",Healthcare!$C240&lt;=24.9,"Normal Weight",Healthcare!$C240&gt;=25,"overweight",Healthcare!$C240&gt;=30,"obese")</f>
        <v>overweight</v>
      </c>
      <c r="E240" s="5">
        <v>4.12</v>
      </c>
      <c r="F240" s="5" t="str" cm="1">
        <f t="array" ref="F240">_xlfn.IFS(Healthcare!$E240&lt;5.7,"normal",Healthcare!$E240&lt;=6.4,"prediabetes",Healthcare!$E240&gt;=6.5,"diabetes")</f>
        <v>normal</v>
      </c>
      <c r="G240" s="5" t="s">
        <v>19</v>
      </c>
      <c r="H240" s="5" t="s">
        <v>19</v>
      </c>
      <c r="I240" s="5" t="s">
        <v>29</v>
      </c>
      <c r="J240" s="5">
        <v>1</v>
      </c>
      <c r="K240" s="5" t="s">
        <v>20</v>
      </c>
      <c r="L240" s="5" t="str">
        <f>VLOOKUP(Healthcare!$A240,hospital_details,2,0)</f>
        <v>5-Oct-2003</v>
      </c>
      <c r="M240" s="5">
        <f t="shared" ref="M240:M303" ca="1" si="1427">VLOOKUP(A240,hospital_details,3,0)</f>
        <v>23</v>
      </c>
      <c r="N240" s="5">
        <f t="shared" ref="N240:N303" si="1428">VLOOKUP($A240,hospital_details,4,0)</f>
        <v>0</v>
      </c>
      <c r="O240" s="6">
        <f t="shared" ref="O240:O303" si="1429">VLOOKUP($A240,hospital_details,5,0)</f>
        <v>34439.86</v>
      </c>
      <c r="P240" s="5" t="str">
        <f t="shared" ref="P240:P303" si="1430">VLOOKUP($A240,hospital_details,6,0)</f>
        <v>tier - 2</v>
      </c>
      <c r="Q240" s="5" t="str">
        <f t="shared" ref="Q240:Q303" si="1431">VLOOKUP($A240,hospital_details,7,0)</f>
        <v>tier - 1</v>
      </c>
      <c r="R240" s="5" t="str">
        <f t="shared" ref="R240:R303" si="1432">VLOOKUP($A240,hospital_details,8,0)</f>
        <v>R1013</v>
      </c>
    </row>
    <row r="241" spans="1:18" ht="14.4" customHeight="1" x14ac:dyDescent="0.3">
      <c r="A241" s="7" t="s">
        <v>260</v>
      </c>
      <c r="B241" s="7" t="str">
        <f>VLOOKUP($A241,[1]!Customer_Names[#Data],3,0)</f>
        <v xml:space="preserve">  Cassie J</v>
      </c>
      <c r="C241" s="7">
        <v>36.159999999999997</v>
      </c>
      <c r="D241" s="7" t="str" cm="1">
        <f t="array" ref="D241">_xlfn.IFS(Healthcare!$C241&lt;18.5,"under weight",Healthcare!$C241&lt;=24.9,"Normal Weight",Healthcare!$C241&gt;=25,"overweight",Healthcare!$C241&gt;=30,"obese")</f>
        <v>overweight</v>
      </c>
      <c r="E241" s="7">
        <v>5.0999999999999996</v>
      </c>
      <c r="F241" s="7" t="str" cm="1">
        <f t="array" ref="F241">_xlfn.IFS(Healthcare!$E241&lt;5.7,"normal",Healthcare!$E241&lt;=6.4,"prediabetes",Healthcare!$E241&gt;=6.5,"diabetes")</f>
        <v>normal</v>
      </c>
      <c r="G241" s="7" t="s">
        <v>19</v>
      </c>
      <c r="H241" s="7" t="s">
        <v>19</v>
      </c>
      <c r="I241" s="7" t="s">
        <v>19</v>
      </c>
      <c r="J241" s="7">
        <v>1</v>
      </c>
      <c r="K241" s="7" t="s">
        <v>20</v>
      </c>
      <c r="L241" s="7" t="str">
        <f>VLOOKUP(Healthcare!$A241,hospital_details,2,0)</f>
        <v>1-Oct-1984</v>
      </c>
      <c r="M241" s="7">
        <f t="shared" ref="M241:M304" ca="1" si="1433">VLOOKUP(A241,hospital_details,3,0)</f>
        <v>42</v>
      </c>
      <c r="N241" s="7">
        <f t="shared" ref="N241:N304" si="1434">VLOOKUP($A241,hospital_details,4,0)</f>
        <v>3</v>
      </c>
      <c r="O241" s="8">
        <f t="shared" ref="O241:O304" si="1435">VLOOKUP($A241,hospital_details,5,0)</f>
        <v>34402.22</v>
      </c>
      <c r="P241" s="7" t="str">
        <f t="shared" ref="P241:P304" si="1436">VLOOKUP($A241,hospital_details,6,0)</f>
        <v>tier - 2</v>
      </c>
      <c r="Q241" s="7" t="str">
        <f t="shared" ref="Q241:Q304" si="1437">VLOOKUP($A241,hospital_details,7,0)</f>
        <v>tier - 3</v>
      </c>
      <c r="R241" s="7" t="str">
        <f t="shared" ref="R241:R304" si="1438">VLOOKUP($A241,hospital_details,8,0)</f>
        <v>R1011</v>
      </c>
    </row>
    <row r="242" spans="1:18" ht="14.4" customHeight="1" x14ac:dyDescent="0.3">
      <c r="A242" s="5" t="s">
        <v>261</v>
      </c>
      <c r="B242" s="5" t="str">
        <f>VLOOKUP($A242,[1]!Customer_Names[#Data],3,0)</f>
        <v xml:space="preserve">  Peter W</v>
      </c>
      <c r="C242" s="5">
        <v>33.72</v>
      </c>
      <c r="D242" s="5" t="str" cm="1">
        <f t="array" ref="D242">_xlfn.IFS(Healthcare!$C242&lt;18.5,"under weight",Healthcare!$C242&lt;=24.9,"Normal Weight",Healthcare!$C242&gt;=25,"overweight",Healthcare!$C242&gt;=30,"obese")</f>
        <v>overweight</v>
      </c>
      <c r="E242" s="5">
        <v>6.21</v>
      </c>
      <c r="F242" s="5" t="str" cm="1">
        <f t="array" ref="F242">_xlfn.IFS(Healthcare!$E242&lt;5.7,"normal",Healthcare!$E242&lt;=6.4,"prediabetes",Healthcare!$E242&gt;=6.5,"diabetes")</f>
        <v>prediabetes</v>
      </c>
      <c r="G242" s="5" t="s">
        <v>20</v>
      </c>
      <c r="H242" s="5" t="s">
        <v>19</v>
      </c>
      <c r="I242" s="5" t="s">
        <v>29</v>
      </c>
      <c r="J242" s="5">
        <v>1</v>
      </c>
      <c r="K242" s="5" t="s">
        <v>20</v>
      </c>
      <c r="L242" s="5" t="str">
        <f>VLOOKUP(Healthcare!$A242,hospital_details,2,0)</f>
        <v>2-Oct-1983</v>
      </c>
      <c r="M242" s="5">
        <f t="shared" ref="M242:M305" ca="1" si="1439">VLOOKUP(A242,hospital_details,3,0)</f>
        <v>43</v>
      </c>
      <c r="N242" s="5">
        <f t="shared" ref="N242:N305" si="1440">VLOOKUP($A242,hospital_details,4,0)</f>
        <v>3</v>
      </c>
      <c r="O242" s="6">
        <f t="shared" ref="O242:O305" si="1441">VLOOKUP($A242,hospital_details,5,0)</f>
        <v>34307.22</v>
      </c>
      <c r="P242" s="5" t="str">
        <f t="shared" ref="P242:P305" si="1442">VLOOKUP($A242,hospital_details,6,0)</f>
        <v>tier - 2</v>
      </c>
      <c r="Q242" s="5" t="str">
        <f t="shared" ref="Q242:Q305" si="1443">VLOOKUP($A242,hospital_details,7,0)</f>
        <v>tier - 2</v>
      </c>
      <c r="R242" s="5" t="str">
        <f t="shared" ref="R242:R305" si="1444">VLOOKUP($A242,hospital_details,8,0)</f>
        <v>R1012</v>
      </c>
    </row>
    <row r="243" spans="1:18" ht="14.4" customHeight="1" x14ac:dyDescent="0.3">
      <c r="A243" s="7" t="s">
        <v>262</v>
      </c>
      <c r="B243" s="7" t="str">
        <f>VLOOKUP($A243,[1]!Customer_Names[#Data],3,0)</f>
        <v xml:space="preserve">  Douglas</v>
      </c>
      <c r="C243" s="7">
        <v>37.74</v>
      </c>
      <c r="D243" s="7" t="str" cm="1">
        <f t="array" ref="D243">_xlfn.IFS(Healthcare!$C243&lt;18.5,"under weight",Healthcare!$C243&lt;=24.9,"Normal Weight",Healthcare!$C243&gt;=25,"overweight",Healthcare!$C243&gt;=30,"obese")</f>
        <v>overweight</v>
      </c>
      <c r="E243" s="7">
        <v>9.5299999999999994</v>
      </c>
      <c r="F243" s="7" t="str" cm="1">
        <f t="array" ref="F243">_xlfn.IFS(Healthcare!$E243&lt;5.7,"normal",Healthcare!$E243&lt;=6.4,"prediabetes",Healthcare!$E243&gt;=6.5,"diabetes")</f>
        <v>diabetes</v>
      </c>
      <c r="G243" s="7" t="s">
        <v>20</v>
      </c>
      <c r="H243" s="7" t="s">
        <v>19</v>
      </c>
      <c r="I243" s="7" t="s">
        <v>19</v>
      </c>
      <c r="J243" s="7">
        <v>1</v>
      </c>
      <c r="K243" s="7" t="s">
        <v>20</v>
      </c>
      <c r="L243" s="7" t="str">
        <f>VLOOKUP(Healthcare!$A243,hospital_details,2,0)</f>
        <v>11-Oct-1986</v>
      </c>
      <c r="M243" s="7">
        <f t="shared" ref="M243:M306" ca="1" si="1445">VLOOKUP(A243,hospital_details,3,0)</f>
        <v>40</v>
      </c>
      <c r="N243" s="7">
        <f t="shared" ref="N243:N306" si="1446">VLOOKUP($A243,hospital_details,4,0)</f>
        <v>3</v>
      </c>
      <c r="O243" s="8">
        <f t="shared" ref="O243:O306" si="1447">VLOOKUP($A243,hospital_details,5,0)</f>
        <v>34293.120000000003</v>
      </c>
      <c r="P243" s="7" t="str">
        <f t="shared" ref="P243:P306" si="1448">VLOOKUP($A243,hospital_details,6,0)</f>
        <v>tier - 1</v>
      </c>
      <c r="Q243" s="7" t="str">
        <f t="shared" ref="Q243:Q306" si="1449">VLOOKUP($A243,hospital_details,7,0)</f>
        <v>tier - 2</v>
      </c>
      <c r="R243" s="7" t="str">
        <f t="shared" ref="R243:R306" si="1450">VLOOKUP($A243,hospital_details,8,0)</f>
        <v>R1011</v>
      </c>
    </row>
    <row r="244" spans="1:18" ht="14.4" customHeight="1" x14ac:dyDescent="0.3">
      <c r="A244" s="5" t="s">
        <v>263</v>
      </c>
      <c r="B244" s="5" t="str">
        <f>VLOOKUP($A244,[1]!Customer_Names[#Data],3,0)</f>
        <v xml:space="preserve">  Dan</v>
      </c>
      <c r="C244" s="5">
        <v>48.75</v>
      </c>
      <c r="D244" s="5" t="str" cm="1">
        <f t="array" ref="D244">_xlfn.IFS(Healthcare!$C244&lt;18.5,"under weight",Healthcare!$C244&lt;=24.9,"Normal Weight",Healthcare!$C244&gt;=25,"overweight",Healthcare!$C244&gt;=30,"obese")</f>
        <v>overweight</v>
      </c>
      <c r="E244" s="5">
        <v>4.6399999999999997</v>
      </c>
      <c r="F244" s="5" t="str" cm="1">
        <f t="array" ref="F244">_xlfn.IFS(Healthcare!$E244&lt;5.7,"normal",Healthcare!$E244&lt;=6.4,"prediabetes",Healthcare!$E244&gt;=6.5,"diabetes")</f>
        <v>normal</v>
      </c>
      <c r="G244" s="5" t="s">
        <v>20</v>
      </c>
      <c r="H244" s="5" t="s">
        <v>19</v>
      </c>
      <c r="I244" s="5" t="s">
        <v>19</v>
      </c>
      <c r="J244" s="5">
        <v>1</v>
      </c>
      <c r="K244" s="5" t="s">
        <v>20</v>
      </c>
      <c r="L244" s="5" t="str">
        <f>VLOOKUP(Healthcare!$A244,hospital_details,2,0)</f>
        <v>30-Oct-1995</v>
      </c>
      <c r="M244" s="5">
        <f t="shared" ref="M244:M307" ca="1" si="1451">VLOOKUP(A244,hospital_details,3,0)</f>
        <v>30</v>
      </c>
      <c r="N244" s="5">
        <f t="shared" ref="N244:N307" si="1452">VLOOKUP($A244,hospital_details,4,0)</f>
        <v>0</v>
      </c>
      <c r="O244" s="6">
        <f t="shared" ref="O244:O307" si="1453">VLOOKUP($A244,hospital_details,5,0)</f>
        <v>34289.43</v>
      </c>
      <c r="P244" s="5" t="str">
        <f t="shared" ref="P244:P307" si="1454">VLOOKUP($A244,hospital_details,6,0)</f>
        <v>tier - 1</v>
      </c>
      <c r="Q244" s="5" t="str">
        <f t="shared" ref="Q244:Q307" si="1455">VLOOKUP($A244,hospital_details,7,0)</f>
        <v>tier - 1</v>
      </c>
      <c r="R244" s="5" t="str">
        <f t="shared" ref="R244:R307" si="1456">VLOOKUP($A244,hospital_details,8,0)</f>
        <v>R1011</v>
      </c>
    </row>
    <row r="245" spans="1:18" ht="14.4" customHeight="1" x14ac:dyDescent="0.3">
      <c r="A245" s="7" t="s">
        <v>264</v>
      </c>
      <c r="B245" s="7" t="str">
        <f>VLOOKUP($A245,[1]!Customer_Names[#Data],3,0)</f>
        <v xml:space="preserve">  Dan M</v>
      </c>
      <c r="C245" s="7">
        <v>31.065000000000001</v>
      </c>
      <c r="D245" s="7" t="str" cm="1">
        <f t="array" ref="D245">_xlfn.IFS(Healthcare!$C245&lt;18.5,"under weight",Healthcare!$C245&lt;=24.9,"Normal Weight",Healthcare!$C245&gt;=25,"overweight",Healthcare!$C245&gt;=30,"obese")</f>
        <v>overweight</v>
      </c>
      <c r="E245" s="7">
        <v>5.05</v>
      </c>
      <c r="F245" s="7" t="str" cm="1">
        <f t="array" ref="F245">_xlfn.IFS(Healthcare!$E245&lt;5.7,"normal",Healthcare!$E245&lt;=6.4,"prediabetes",Healthcare!$E245&gt;=6.5,"diabetes")</f>
        <v>normal</v>
      </c>
      <c r="G245" s="7" t="s">
        <v>19</v>
      </c>
      <c r="H245" s="7" t="s">
        <v>19</v>
      </c>
      <c r="I245" s="7" t="s">
        <v>19</v>
      </c>
      <c r="J245" s="7">
        <v>1</v>
      </c>
      <c r="K245" s="7" t="s">
        <v>20</v>
      </c>
      <c r="L245" s="7" t="str">
        <f>VLOOKUP(Healthcare!$A245,hospital_details,2,0)</f>
        <v>11-Jun-1998</v>
      </c>
      <c r="M245" s="7">
        <f t="shared" ref="M245:M308" ca="1" si="1457">VLOOKUP(A245,hospital_details,3,0)</f>
        <v>28</v>
      </c>
      <c r="N245" s="7">
        <f t="shared" ref="N245:N308" si="1458">VLOOKUP($A245,hospital_details,4,0)</f>
        <v>0</v>
      </c>
      <c r="O245" s="8">
        <f t="shared" ref="O245:O308" si="1459">VLOOKUP($A245,hospital_details,5,0)</f>
        <v>34254.050000000003</v>
      </c>
      <c r="P245" s="7" t="str">
        <f t="shared" ref="P245:P308" si="1460">VLOOKUP($A245,hospital_details,6,0)</f>
        <v>tier - 1</v>
      </c>
      <c r="Q245" s="7" t="str">
        <f t="shared" ref="Q245:Q308" si="1461">VLOOKUP($A245,hospital_details,7,0)</f>
        <v>tier - 3</v>
      </c>
      <c r="R245" s="7" t="str">
        <f t="shared" ref="R245:R308" si="1462">VLOOKUP($A245,hospital_details,8,0)</f>
        <v>R1019</v>
      </c>
    </row>
    <row r="246" spans="1:18" ht="14.4" customHeight="1" x14ac:dyDescent="0.3">
      <c r="A246" s="5" t="s">
        <v>265</v>
      </c>
      <c r="B246" s="5" t="str">
        <f>VLOOKUP($A246,[1]!Customer_Names[#Data],3,0)</f>
        <v xml:space="preserve">  Eric L</v>
      </c>
      <c r="C246" s="5">
        <v>23.55</v>
      </c>
      <c r="D246" s="5" t="str" cm="1">
        <f t="array" ref="D246">_xlfn.IFS(Healthcare!$C246&lt;18.5,"under weight",Healthcare!$C246&lt;=24.9,"Normal Weight",Healthcare!$C246&gt;=25,"overweight",Healthcare!$C246&gt;=30,"obese")</f>
        <v>Normal Weight</v>
      </c>
      <c r="E246" s="5">
        <v>10.38</v>
      </c>
      <c r="F246" s="5" t="str" cm="1">
        <f t="array" ref="F246">_xlfn.IFS(Healthcare!$E246&lt;5.7,"normal",Healthcare!$E246&lt;=6.4,"prediabetes",Healthcare!$E246&gt;=6.5,"diabetes")</f>
        <v>diabetes</v>
      </c>
      <c r="G246" s="5" t="s">
        <v>19</v>
      </c>
      <c r="H246" s="5" t="s">
        <v>19</v>
      </c>
      <c r="I246" s="5" t="s">
        <v>19</v>
      </c>
      <c r="J246" s="5">
        <v>0</v>
      </c>
      <c r="K246" s="5" t="s">
        <v>20</v>
      </c>
      <c r="L246" s="5" t="str">
        <f>VLOOKUP(Healthcare!$A246,hospital_details,2,0)</f>
        <v>5-Jul-1962</v>
      </c>
      <c r="M246" s="5">
        <f t="shared" ref="M246:M309" ca="1" si="1463">VLOOKUP(A246,hospital_details,3,0)</f>
        <v>64</v>
      </c>
      <c r="N246" s="5">
        <f t="shared" ref="N246:N309" si="1464">VLOOKUP($A246,hospital_details,4,0)</f>
        <v>0</v>
      </c>
      <c r="O246" s="6">
        <f t="shared" ref="O246:O309" si="1465">VLOOKUP($A246,hospital_details,5,0)</f>
        <v>34218.019999999997</v>
      </c>
      <c r="P246" s="5" t="str">
        <f t="shared" ref="P246:P309" si="1466">VLOOKUP($A246,hospital_details,6,0)</f>
        <v>tier - 1</v>
      </c>
      <c r="Q246" s="5" t="str">
        <f t="shared" ref="Q246:Q309" si="1467">VLOOKUP($A246,hospital_details,7,0)</f>
        <v>tier - 1</v>
      </c>
      <c r="R246" s="5" t="str">
        <f t="shared" ref="R246:R309" si="1468">VLOOKUP($A246,hospital_details,8,0)</f>
        <v>R1011</v>
      </c>
    </row>
    <row r="247" spans="1:18" ht="14.4" customHeight="1" x14ac:dyDescent="0.3">
      <c r="A247" s="7" t="s">
        <v>266</v>
      </c>
      <c r="B247" s="7" t="str">
        <f>VLOOKUP($A247,[1]!Customer_Names[#Data],3,0)</f>
        <v xml:space="preserve">  Les J</v>
      </c>
      <c r="C247" s="7">
        <v>30.18</v>
      </c>
      <c r="D247" s="7" t="str" cm="1">
        <f t="array" ref="D247">_xlfn.IFS(Healthcare!$C247&lt;18.5,"under weight",Healthcare!$C247&lt;=24.9,"Normal Weight",Healthcare!$C247&gt;=25,"overweight",Healthcare!$C247&gt;=30,"obese")</f>
        <v>overweight</v>
      </c>
      <c r="E247" s="7">
        <v>8.31</v>
      </c>
      <c r="F247" s="7" t="str" cm="1">
        <f t="array" ref="F247">_xlfn.IFS(Healthcare!$E247&lt;5.7,"normal",Healthcare!$E247&lt;=6.4,"prediabetes",Healthcare!$E247&gt;=6.5,"diabetes")</f>
        <v>diabetes</v>
      </c>
      <c r="G247" s="7" t="s">
        <v>20</v>
      </c>
      <c r="H247" s="7" t="s">
        <v>19</v>
      </c>
      <c r="I247" s="7" t="s">
        <v>19</v>
      </c>
      <c r="J247" s="7">
        <v>1</v>
      </c>
      <c r="K247" s="7" t="s">
        <v>20</v>
      </c>
      <c r="L247" s="7" t="str">
        <f>VLOOKUP(Healthcare!$A247,hospital_details,2,0)</f>
        <v>21-Jul-1975</v>
      </c>
      <c r="M247" s="7">
        <f t="shared" ref="M247:M310" ca="1" si="1469">VLOOKUP(A247,hospital_details,3,0)</f>
        <v>51</v>
      </c>
      <c r="N247" s="7">
        <f t="shared" ref="N247:N310" si="1470">VLOOKUP($A247,hospital_details,4,0)</f>
        <v>1</v>
      </c>
      <c r="O247" s="8">
        <f t="shared" ref="O247:O310" si="1471">VLOOKUP($A247,hospital_details,5,0)</f>
        <v>34210.33</v>
      </c>
      <c r="P247" s="7" t="str">
        <f t="shared" ref="P247:P310" si="1472">VLOOKUP($A247,hospital_details,6,0)</f>
        <v>tier - 2</v>
      </c>
      <c r="Q247" s="7" t="str">
        <f t="shared" ref="Q247:Q310" si="1473">VLOOKUP($A247,hospital_details,7,0)</f>
        <v>tier - 1</v>
      </c>
      <c r="R247" s="7" t="str">
        <f t="shared" ref="R247:R310" si="1474">VLOOKUP($A247,hospital_details,8,0)</f>
        <v>R1012</v>
      </c>
    </row>
    <row r="248" spans="1:18" ht="14.4" customHeight="1" x14ac:dyDescent="0.3">
      <c r="A248" s="5" t="s">
        <v>267</v>
      </c>
      <c r="B248" s="5" t="str">
        <f>VLOOKUP($A248,[1]!Customer_Names[#Data],3,0)</f>
        <v xml:space="preserve">  Stephanie</v>
      </c>
      <c r="C248" s="5">
        <v>29.94</v>
      </c>
      <c r="D248" s="5" t="str" cm="1">
        <f t="array" ref="D248">_xlfn.IFS(Healthcare!$C248&lt;18.5,"under weight",Healthcare!$C248&lt;=24.9,"Normal Weight",Healthcare!$C248&gt;=25,"overweight",Healthcare!$C248&gt;=30,"obese")</f>
        <v>overweight</v>
      </c>
      <c r="E248" s="5">
        <v>7.59</v>
      </c>
      <c r="F248" s="5" t="str" cm="1">
        <f t="array" ref="F248">_xlfn.IFS(Healthcare!$E248&lt;5.7,"normal",Healthcare!$E248&lt;=6.4,"prediabetes",Healthcare!$E248&gt;=6.5,"diabetes")</f>
        <v>diabetes</v>
      </c>
      <c r="G248" s="5" t="s">
        <v>19</v>
      </c>
      <c r="H248" s="5" t="s">
        <v>19</v>
      </c>
      <c r="I248" s="5" t="s">
        <v>19</v>
      </c>
      <c r="J248" s="5">
        <v>0</v>
      </c>
      <c r="K248" s="5" t="s">
        <v>20</v>
      </c>
      <c r="L248" s="5" t="str">
        <f>VLOOKUP(Healthcare!$A248,hospital_details,2,0)</f>
        <v>25-Aug-1971</v>
      </c>
      <c r="M248" s="5">
        <f t="shared" ref="M248:M311" ca="1" si="1475">VLOOKUP(A248,hospital_details,3,0)</f>
        <v>55</v>
      </c>
      <c r="N248" s="5">
        <f t="shared" ref="N248:N311" si="1476">VLOOKUP($A248,hospital_details,4,0)</f>
        <v>0</v>
      </c>
      <c r="O248" s="6">
        <f t="shared" ref="O248:O311" si="1477">VLOOKUP($A248,hospital_details,5,0)</f>
        <v>34205.07</v>
      </c>
      <c r="P248" s="5" t="str">
        <f t="shared" ref="P248:P311" si="1478">VLOOKUP($A248,hospital_details,6,0)</f>
        <v>tier - 2</v>
      </c>
      <c r="Q248" s="5" t="str">
        <f t="shared" ref="Q248:Q311" si="1479">VLOOKUP($A248,hospital_details,7,0)</f>
        <v>tier - 2</v>
      </c>
      <c r="R248" s="5" t="str">
        <f t="shared" ref="R248:R311" si="1480">VLOOKUP($A248,hospital_details,8,0)</f>
        <v>R1011</v>
      </c>
    </row>
    <row r="249" spans="1:18" ht="14.4" customHeight="1" x14ac:dyDescent="0.3">
      <c r="A249" s="7" t="s">
        <v>268</v>
      </c>
      <c r="B249" s="7" t="str">
        <f>VLOOKUP($A249,[1]!Customer_Names[#Data],3,0)</f>
        <v xml:space="preserve">  Melissa Y</v>
      </c>
      <c r="C249" s="7">
        <v>31.4</v>
      </c>
      <c r="D249" s="7" t="str" cm="1">
        <f t="array" ref="D249">_xlfn.IFS(Healthcare!$C249&lt;18.5,"under weight",Healthcare!$C249&lt;=24.9,"Normal Weight",Healthcare!$C249&gt;=25,"overweight",Healthcare!$C249&gt;=30,"obese")</f>
        <v>overweight</v>
      </c>
      <c r="E249" s="7">
        <v>5.49</v>
      </c>
      <c r="F249" s="7" t="str" cm="1">
        <f t="array" ref="F249">_xlfn.IFS(Healthcare!$E249&lt;5.7,"normal",Healthcare!$E249&lt;=6.4,"prediabetes",Healthcare!$E249&gt;=6.5,"diabetes")</f>
        <v>normal</v>
      </c>
      <c r="G249" s="7" t="s">
        <v>19</v>
      </c>
      <c r="H249" s="7" t="s">
        <v>19</v>
      </c>
      <c r="I249" s="7" t="s">
        <v>19</v>
      </c>
      <c r="J249" s="7">
        <v>0</v>
      </c>
      <c r="K249" s="7" t="s">
        <v>20</v>
      </c>
      <c r="L249" s="7" t="str">
        <f>VLOOKUP(Healthcare!$A249,hospital_details,2,0)</f>
        <v>6-Nov-1999</v>
      </c>
      <c r="M249" s="7">
        <f t="shared" ref="M249:M312" ca="1" si="1481">VLOOKUP(A249,hospital_details,3,0)</f>
        <v>26</v>
      </c>
      <c r="N249" s="7">
        <f t="shared" ref="N249:N312" si="1482">VLOOKUP($A249,hospital_details,4,0)</f>
        <v>0</v>
      </c>
      <c r="O249" s="8">
        <f t="shared" ref="O249:O312" si="1483">VLOOKUP($A249,hospital_details,5,0)</f>
        <v>34166.269999999997</v>
      </c>
      <c r="P249" s="7" t="str">
        <f t="shared" ref="P249:P312" si="1484">VLOOKUP($A249,hospital_details,6,0)</f>
        <v>tier - 2</v>
      </c>
      <c r="Q249" s="7" t="str">
        <f t="shared" ref="Q249:Q312" si="1485">VLOOKUP($A249,hospital_details,7,0)</f>
        <v>tier - 3</v>
      </c>
      <c r="R249" s="7" t="str">
        <f t="shared" ref="R249:R312" si="1486">VLOOKUP($A249,hospital_details,8,0)</f>
        <v>R1011</v>
      </c>
    </row>
    <row r="250" spans="1:18" ht="14.4" customHeight="1" x14ac:dyDescent="0.3">
      <c r="A250" s="5" t="s">
        <v>269</v>
      </c>
      <c r="B250" s="5" t="str">
        <f>VLOOKUP($A250,[1]!Customer_Names[#Data],3,0)</f>
        <v xml:space="preserve">  Ashley</v>
      </c>
      <c r="C250" s="5">
        <v>53.06</v>
      </c>
      <c r="D250" s="5" t="str" cm="1">
        <f t="array" ref="D250">_xlfn.IFS(Healthcare!$C250&lt;18.5,"under weight",Healthcare!$C250&lt;=24.9,"Normal Weight",Healthcare!$C250&gt;=25,"overweight",Healthcare!$C250&gt;=30,"obese")</f>
        <v>overweight</v>
      </c>
      <c r="E250" s="5">
        <v>11.68</v>
      </c>
      <c r="F250" s="5" t="str" cm="1">
        <f t="array" ref="F250">_xlfn.IFS(Healthcare!$E250&lt;5.7,"normal",Healthcare!$E250&lt;=6.4,"prediabetes",Healthcare!$E250&gt;=6.5,"diabetes")</f>
        <v>diabetes</v>
      </c>
      <c r="G250" s="5" t="s">
        <v>19</v>
      </c>
      <c r="H250" s="5" t="s">
        <v>19</v>
      </c>
      <c r="I250" s="5" t="s">
        <v>19</v>
      </c>
      <c r="J250" s="5">
        <v>0</v>
      </c>
      <c r="K250" s="5" t="s">
        <v>20</v>
      </c>
      <c r="L250" s="5" t="str">
        <f>VLOOKUP(Healthcare!$A250,hospital_details,2,0)</f>
        <v>26-Dec-2002</v>
      </c>
      <c r="M250" s="5">
        <f t="shared" ref="M250:M313" ca="1" si="1487">VLOOKUP(A250,hospital_details,3,0)</f>
        <v>23</v>
      </c>
      <c r="N250" s="5">
        <f t="shared" ref="N250:N313" si="1488">VLOOKUP($A250,hospital_details,4,0)</f>
        <v>0</v>
      </c>
      <c r="O250" s="6">
        <f t="shared" ref="O250:O313" si="1489">VLOOKUP($A250,hospital_details,5,0)</f>
        <v>34084.68</v>
      </c>
      <c r="P250" s="5" t="str">
        <f t="shared" ref="P250:P313" si="1490">VLOOKUP($A250,hospital_details,6,0)</f>
        <v>tier - 2</v>
      </c>
      <c r="Q250" s="5" t="str">
        <f t="shared" ref="Q250:Q313" si="1491">VLOOKUP($A250,hospital_details,7,0)</f>
        <v>tier - 3</v>
      </c>
      <c r="R250" s="5" t="str">
        <f t="shared" ref="R250:R313" si="1492">VLOOKUP($A250,hospital_details,8,0)</f>
        <v>R1011</v>
      </c>
    </row>
    <row r="251" spans="1:18" ht="14.4" customHeight="1" x14ac:dyDescent="0.3">
      <c r="A251" s="7" t="s">
        <v>270</v>
      </c>
      <c r="B251" s="7" t="str">
        <f>VLOOKUP($A251,[1]!Customer_Names[#Data],3,0)</f>
        <v xml:space="preserve">  Stephanie M</v>
      </c>
      <c r="C251" s="7">
        <v>30.25</v>
      </c>
      <c r="D251" s="7" t="str" cm="1">
        <f t="array" ref="D251">_xlfn.IFS(Healthcare!$C251&lt;18.5,"under weight",Healthcare!$C251&lt;=24.9,"Normal Weight",Healthcare!$C251&gt;=25,"overweight",Healthcare!$C251&gt;=30,"obese")</f>
        <v>overweight</v>
      </c>
      <c r="E251" s="7">
        <v>4.1900000000000004</v>
      </c>
      <c r="F251" s="7" t="str" cm="1">
        <f t="array" ref="F251">_xlfn.IFS(Healthcare!$E251&lt;5.7,"normal",Healthcare!$E251&lt;=6.4,"prediabetes",Healthcare!$E251&gt;=6.5,"diabetes")</f>
        <v>normal</v>
      </c>
      <c r="G251" s="7" t="s">
        <v>19</v>
      </c>
      <c r="H251" s="7" t="s">
        <v>19</v>
      </c>
      <c r="I251" s="7" t="s">
        <v>19</v>
      </c>
      <c r="J251" s="7">
        <v>2</v>
      </c>
      <c r="K251" s="7" t="s">
        <v>20</v>
      </c>
      <c r="L251" s="7" t="str">
        <f>VLOOKUP(Healthcare!$A251,hospital_details,2,0)</f>
        <v>26-Jul-1972</v>
      </c>
      <c r="M251" s="7">
        <f t="shared" ref="M251:M314" ca="1" si="1493">VLOOKUP(A251,hospital_details,3,0)</f>
        <v>54</v>
      </c>
      <c r="N251" s="7">
        <f t="shared" ref="N251:N314" si="1494">VLOOKUP($A251,hospital_details,4,0)</f>
        <v>0</v>
      </c>
      <c r="O251" s="8">
        <f t="shared" ref="O251:O314" si="1495">VLOOKUP($A251,hospital_details,5,0)</f>
        <v>34053.360000000001</v>
      </c>
      <c r="P251" s="7" t="str">
        <f t="shared" ref="P251:P314" si="1496">VLOOKUP($A251,hospital_details,6,0)</f>
        <v>tier - 2</v>
      </c>
      <c r="Q251" s="7" t="str">
        <f t="shared" ref="Q251:Q314" si="1497">VLOOKUP($A251,hospital_details,7,0)</f>
        <v>tier - 2</v>
      </c>
      <c r="R251" s="7" t="str">
        <f t="shared" ref="R251:R314" si="1498">VLOOKUP($A251,hospital_details,8,0)</f>
        <v>R1011</v>
      </c>
    </row>
    <row r="252" spans="1:18" ht="14.4" customHeight="1" x14ac:dyDescent="0.3">
      <c r="A252" s="5" t="s">
        <v>271</v>
      </c>
      <c r="B252" s="5" t="str">
        <f>VLOOKUP($A252,[1]!Customer_Names[#Data],3,0)</f>
        <v xml:space="preserve">  Kylie</v>
      </c>
      <c r="C252" s="5">
        <v>46.68</v>
      </c>
      <c r="D252" s="5" t="str" cm="1">
        <f t="array" ref="D252">_xlfn.IFS(Healthcare!$C252&lt;18.5,"under weight",Healthcare!$C252&lt;=24.9,"Normal Weight",Healthcare!$C252&gt;=25,"overweight",Healthcare!$C252&gt;=30,"obese")</f>
        <v>overweight</v>
      </c>
      <c r="E252" s="5">
        <v>4.01</v>
      </c>
      <c r="F252" s="5" t="str" cm="1">
        <f t="array" ref="F252">_xlfn.IFS(Healthcare!$E252&lt;5.7,"normal",Healthcare!$E252&lt;=6.4,"prediabetes",Healthcare!$E252&gt;=6.5,"diabetes")</f>
        <v>normal</v>
      </c>
      <c r="G252" s="5" t="s">
        <v>19</v>
      </c>
      <c r="H252" s="5" t="s">
        <v>19</v>
      </c>
      <c r="I252" s="5" t="s">
        <v>19</v>
      </c>
      <c r="J252" s="5">
        <v>0</v>
      </c>
      <c r="K252" s="5" t="s">
        <v>20</v>
      </c>
      <c r="L252" s="5" t="str">
        <f>VLOOKUP(Healthcare!$A252,hospital_details,2,0)</f>
        <v>25-Sep-1994</v>
      </c>
      <c r="M252" s="5">
        <f t="shared" ref="M252:M315" ca="1" si="1499">VLOOKUP(A252,hospital_details,3,0)</f>
        <v>32</v>
      </c>
      <c r="N252" s="5">
        <f t="shared" ref="N252:N315" si="1500">VLOOKUP($A252,hospital_details,4,0)</f>
        <v>0</v>
      </c>
      <c r="O252" s="6">
        <f t="shared" ref="O252:O315" si="1501">VLOOKUP($A252,hospital_details,5,0)</f>
        <v>33975.47</v>
      </c>
      <c r="P252" s="5" t="str">
        <f t="shared" ref="P252:P315" si="1502">VLOOKUP($A252,hospital_details,6,0)</f>
        <v>tier - 2</v>
      </c>
      <c r="Q252" s="5" t="str">
        <f t="shared" ref="Q252:Q315" si="1503">VLOOKUP($A252,hospital_details,7,0)</f>
        <v>tier - 2</v>
      </c>
      <c r="R252" s="5" t="str">
        <f t="shared" ref="R252:R315" si="1504">VLOOKUP($A252,hospital_details,8,0)</f>
        <v>R1011</v>
      </c>
    </row>
    <row r="253" spans="1:18" ht="14.4" customHeight="1" x14ac:dyDescent="0.3">
      <c r="A253" s="7" t="s">
        <v>272</v>
      </c>
      <c r="B253" s="7" t="str">
        <f>VLOOKUP($A253,[1]!Customer_Names[#Data],3,0)</f>
        <v xml:space="preserve">  Kelly</v>
      </c>
      <c r="C253" s="7">
        <v>30.4</v>
      </c>
      <c r="D253" s="7" t="str" cm="1">
        <f t="array" ref="D253">_xlfn.IFS(Healthcare!$C253&lt;18.5,"under weight",Healthcare!$C253&lt;=24.9,"Normal Weight",Healthcare!$C253&gt;=25,"overweight",Healthcare!$C253&gt;=30,"obese")</f>
        <v>overweight</v>
      </c>
      <c r="E253" s="7">
        <v>5.91</v>
      </c>
      <c r="F253" s="7" t="str" cm="1">
        <f t="array" ref="F253">_xlfn.IFS(Healthcare!$E253&lt;5.7,"normal",Healthcare!$E253&lt;=6.4,"prediabetes",Healthcare!$E253&gt;=6.5,"diabetes")</f>
        <v>prediabetes</v>
      </c>
      <c r="G253" s="7" t="s">
        <v>19</v>
      </c>
      <c r="H253" s="7" t="s">
        <v>20</v>
      </c>
      <c r="I253" s="7" t="s">
        <v>19</v>
      </c>
      <c r="J253" s="7">
        <v>2</v>
      </c>
      <c r="K253" s="7" t="s">
        <v>20</v>
      </c>
      <c r="L253" s="7" t="str">
        <f>VLOOKUP(Healthcare!$A253,hospital_details,2,0)</f>
        <v>27-Dec-2000</v>
      </c>
      <c r="M253" s="7">
        <f t="shared" ref="M253:M316" ca="1" si="1505">VLOOKUP(A253,hospital_details,3,0)</f>
        <v>25</v>
      </c>
      <c r="N253" s="7">
        <f t="shared" ref="N253:N316" si="1506">VLOOKUP($A253,hospital_details,4,0)</f>
        <v>0</v>
      </c>
      <c r="O253" s="8">
        <f t="shared" ref="O253:O316" si="1507">VLOOKUP($A253,hospital_details,5,0)</f>
        <v>33907.550000000003</v>
      </c>
      <c r="P253" s="7" t="str">
        <f t="shared" ref="P253:P316" si="1508">VLOOKUP($A253,hospital_details,6,0)</f>
        <v>tier - 2</v>
      </c>
      <c r="Q253" s="7" t="str">
        <f t="shared" ref="Q253:Q316" si="1509">VLOOKUP($A253,hospital_details,7,0)</f>
        <v>tier - 2</v>
      </c>
      <c r="R253" s="7" t="str">
        <f t="shared" ref="R253:R316" si="1510">VLOOKUP($A253,hospital_details,8,0)</f>
        <v>R1012</v>
      </c>
    </row>
    <row r="254" spans="1:18" ht="14.4" customHeight="1" x14ac:dyDescent="0.3">
      <c r="A254" s="5" t="s">
        <v>273</v>
      </c>
      <c r="B254" s="5" t="str">
        <f>VLOOKUP($A254,[1]!Customer_Names[#Data],3,0)</f>
        <v xml:space="preserve">  Carrie</v>
      </c>
      <c r="C254" s="5">
        <v>30.2</v>
      </c>
      <c r="D254" s="5" t="str" cm="1">
        <f t="array" ref="D254">_xlfn.IFS(Healthcare!$C254&lt;18.5,"under weight",Healthcare!$C254&lt;=24.9,"Normal Weight",Healthcare!$C254&gt;=25,"overweight",Healthcare!$C254&gt;=30,"obese")</f>
        <v>overweight</v>
      </c>
      <c r="E254" s="5">
        <v>4.47</v>
      </c>
      <c r="F254" s="5" t="str" cm="1">
        <f t="array" ref="F254">_xlfn.IFS(Healthcare!$E254&lt;5.7,"normal",Healthcare!$E254&lt;=6.4,"prediabetes",Healthcare!$E254&gt;=6.5,"diabetes")</f>
        <v>normal</v>
      </c>
      <c r="G254" s="5" t="s">
        <v>20</v>
      </c>
      <c r="H254" s="5" t="s">
        <v>19</v>
      </c>
      <c r="I254" s="5" t="s">
        <v>29</v>
      </c>
      <c r="J254" s="5">
        <v>1</v>
      </c>
      <c r="K254" s="5" t="s">
        <v>20</v>
      </c>
      <c r="L254" s="5" t="str">
        <f>VLOOKUP(Healthcare!$A254,hospital_details,2,0)</f>
        <v>9-Aug-1997</v>
      </c>
      <c r="M254" s="5">
        <f t="shared" ref="M254:M317" ca="1" si="1511">VLOOKUP(A254,hospital_details,3,0)</f>
        <v>29</v>
      </c>
      <c r="N254" s="5">
        <f t="shared" ref="N254:N317" si="1512">VLOOKUP($A254,hospital_details,4,0)</f>
        <v>0</v>
      </c>
      <c r="O254" s="6">
        <f t="shared" ref="O254:O317" si="1513">VLOOKUP($A254,hospital_details,5,0)</f>
        <v>33900.65</v>
      </c>
      <c r="P254" s="5" t="str">
        <f t="shared" ref="P254:P317" si="1514">VLOOKUP($A254,hospital_details,6,0)</f>
        <v>tier - 2</v>
      </c>
      <c r="Q254" s="5" t="str">
        <f t="shared" ref="Q254:Q317" si="1515">VLOOKUP($A254,hospital_details,7,0)</f>
        <v>tier - 3</v>
      </c>
      <c r="R254" s="5" t="str">
        <f t="shared" ref="R254:R317" si="1516">VLOOKUP($A254,hospital_details,8,0)</f>
        <v>R1011</v>
      </c>
    </row>
    <row r="255" spans="1:18" ht="14.4" customHeight="1" x14ac:dyDescent="0.3">
      <c r="A255" s="7" t="s">
        <v>274</v>
      </c>
      <c r="B255" s="7" t="str">
        <f>VLOOKUP($A255,[1]!Customer_Names[#Data],3,0)</f>
        <v xml:space="preserve">  Alex</v>
      </c>
      <c r="C255" s="7">
        <v>51.18</v>
      </c>
      <c r="D255" s="7" t="str" cm="1">
        <f t="array" ref="D255">_xlfn.IFS(Healthcare!$C255&lt;18.5,"under weight",Healthcare!$C255&lt;=24.9,"Normal Weight",Healthcare!$C255&gt;=25,"overweight",Healthcare!$C255&gt;=30,"obese")</f>
        <v>overweight</v>
      </c>
      <c r="E255" s="7">
        <v>4.5599999999999996</v>
      </c>
      <c r="F255" s="7" t="str" cm="1">
        <f t="array" ref="F255">_xlfn.IFS(Healthcare!$E255&lt;5.7,"normal",Healthcare!$E255&lt;=6.4,"prediabetes",Healthcare!$E255&gt;=6.5,"diabetes")</f>
        <v>normal</v>
      </c>
      <c r="G255" s="7" t="s">
        <v>20</v>
      </c>
      <c r="H255" s="7" t="s">
        <v>20</v>
      </c>
      <c r="I255" s="7" t="s">
        <v>19</v>
      </c>
      <c r="J255" s="7">
        <v>2</v>
      </c>
      <c r="K255" s="7" t="s">
        <v>20</v>
      </c>
      <c r="L255" s="7" t="str">
        <f>VLOOKUP(Healthcare!$A255,hospital_details,2,0)</f>
        <v>26-Oct-2000</v>
      </c>
      <c r="M255" s="7">
        <f t="shared" ref="M255:M318" ca="1" si="1517">VLOOKUP(A255,hospital_details,3,0)</f>
        <v>25</v>
      </c>
      <c r="N255" s="7">
        <f t="shared" ref="N255:N318" si="1518">VLOOKUP($A255,hospital_details,4,0)</f>
        <v>0</v>
      </c>
      <c r="O255" s="8">
        <f t="shared" ref="O255:O318" si="1519">VLOOKUP($A255,hospital_details,5,0)</f>
        <v>33829.39</v>
      </c>
      <c r="P255" s="7" t="str">
        <f t="shared" ref="P255:P318" si="1520">VLOOKUP($A255,hospital_details,6,0)</f>
        <v>tier - 2</v>
      </c>
      <c r="Q255" s="7" t="str">
        <f t="shared" ref="Q255:Q318" si="1521">VLOOKUP($A255,hospital_details,7,0)</f>
        <v>tier - 3</v>
      </c>
      <c r="R255" s="7" t="str">
        <f t="shared" ref="R255:R318" si="1522">VLOOKUP($A255,hospital_details,8,0)</f>
        <v>R1011</v>
      </c>
    </row>
    <row r="256" spans="1:18" ht="14.4" customHeight="1" x14ac:dyDescent="0.3">
      <c r="A256" s="5" t="s">
        <v>275</v>
      </c>
      <c r="B256" s="5" t="str">
        <f>VLOOKUP($A256,[1]!Customer_Names[#Data],3,0)</f>
        <v xml:space="preserve">  Zach S</v>
      </c>
      <c r="C256" s="5">
        <v>22.18</v>
      </c>
      <c r="D256" s="5" t="str" cm="1">
        <f t="array" ref="D256">_xlfn.IFS(Healthcare!$C256&lt;18.5,"under weight",Healthcare!$C256&lt;=24.9,"Normal Weight",Healthcare!$C256&gt;=25,"overweight",Healthcare!$C256&gt;=30,"obese")</f>
        <v>Normal Weight</v>
      </c>
      <c r="E256" s="5">
        <v>9.9</v>
      </c>
      <c r="F256" s="5" t="str" cm="1">
        <f t="array" ref="F256">_xlfn.IFS(Healthcare!$E256&lt;5.7,"normal",Healthcare!$E256&lt;=6.4,"prediabetes",Healthcare!$E256&gt;=6.5,"diabetes")</f>
        <v>diabetes</v>
      </c>
      <c r="G256" s="5" t="s">
        <v>19</v>
      </c>
      <c r="H256" s="5" t="s">
        <v>19</v>
      </c>
      <c r="I256" s="5" t="s">
        <v>19</v>
      </c>
      <c r="J256" s="5">
        <v>0</v>
      </c>
      <c r="K256" s="5" t="s">
        <v>20</v>
      </c>
      <c r="L256" s="5" t="str">
        <f>VLOOKUP(Healthcare!$A256,hospital_details,2,0)</f>
        <v>11-Dec-1962</v>
      </c>
      <c r="M256" s="5">
        <f t="shared" ref="M256:M319" ca="1" si="1523">VLOOKUP(A256,hospital_details,3,0)</f>
        <v>63</v>
      </c>
      <c r="N256" s="5">
        <f t="shared" ref="N256:N319" si="1524">VLOOKUP($A256,hospital_details,4,0)</f>
        <v>0</v>
      </c>
      <c r="O256" s="6">
        <f t="shared" ref="O256:O319" si="1525">VLOOKUP($A256,hospital_details,5,0)</f>
        <v>33753.32</v>
      </c>
      <c r="P256" s="5" t="str">
        <f t="shared" ref="P256:P319" si="1526">VLOOKUP($A256,hospital_details,6,0)</f>
        <v>tier - 1</v>
      </c>
      <c r="Q256" s="5" t="str">
        <f t="shared" ref="Q256:Q319" si="1527">VLOOKUP($A256,hospital_details,7,0)</f>
        <v>tier - 3</v>
      </c>
      <c r="R256" s="5" t="str">
        <f t="shared" ref="R256:R319" si="1528">VLOOKUP($A256,hospital_details,8,0)</f>
        <v>R1011</v>
      </c>
    </row>
    <row r="257" spans="1:18" ht="14.4" customHeight="1" x14ac:dyDescent="0.3">
      <c r="A257" s="7" t="s">
        <v>276</v>
      </c>
      <c r="B257" s="7" t="str">
        <f>VLOOKUP($A257,[1]!Customer_Names[#Data],3,0)</f>
        <v xml:space="preserve">  Alan</v>
      </c>
      <c r="C257" s="7">
        <v>31.92</v>
      </c>
      <c r="D257" s="7" t="str" cm="1">
        <f t="array" ref="D257">_xlfn.IFS(Healthcare!$C257&lt;18.5,"under weight",Healthcare!$C257&lt;=24.9,"Normal Weight",Healthcare!$C257&gt;=25,"overweight",Healthcare!$C257&gt;=30,"obese")</f>
        <v>overweight</v>
      </c>
      <c r="E257" s="7">
        <v>5.1100000000000003</v>
      </c>
      <c r="F257" s="7" t="str" cm="1">
        <f t="array" ref="F257">_xlfn.IFS(Healthcare!$E257&lt;5.7,"normal",Healthcare!$E257&lt;=6.4,"prediabetes",Healthcare!$E257&gt;=6.5,"diabetes")</f>
        <v>normal</v>
      </c>
      <c r="G257" s="7" t="s">
        <v>19</v>
      </c>
      <c r="H257" s="7" t="s">
        <v>19</v>
      </c>
      <c r="I257" s="7" t="s">
        <v>29</v>
      </c>
      <c r="J257" s="7">
        <v>1</v>
      </c>
      <c r="K257" s="7" t="s">
        <v>20</v>
      </c>
      <c r="L257" s="7" t="str">
        <f>VLOOKUP(Healthcare!$A257,hospital_details,2,0)</f>
        <v>12-Sep-2003</v>
      </c>
      <c r="M257" s="7">
        <f t="shared" ref="M257:M320" ca="1" si="1529">VLOOKUP(A257,hospital_details,3,0)</f>
        <v>23</v>
      </c>
      <c r="N257" s="7">
        <f t="shared" ref="N257:N320" si="1530">VLOOKUP($A257,hospital_details,4,0)</f>
        <v>0</v>
      </c>
      <c r="O257" s="8">
        <f t="shared" ref="O257:O320" si="1531">VLOOKUP($A257,hospital_details,5,0)</f>
        <v>33750.29</v>
      </c>
      <c r="P257" s="7" t="str">
        <f t="shared" ref="P257:P320" si="1532">VLOOKUP($A257,hospital_details,6,0)</f>
        <v>tier - 1</v>
      </c>
      <c r="Q257" s="7" t="str">
        <f t="shared" ref="Q257:Q320" si="1533">VLOOKUP($A257,hospital_details,7,0)</f>
        <v>tier - 3</v>
      </c>
      <c r="R257" s="7" t="str">
        <f t="shared" ref="R257:R320" si="1534">VLOOKUP($A257,hospital_details,8,0)</f>
        <v>R1012</v>
      </c>
    </row>
    <row r="258" spans="1:18" ht="14.4" customHeight="1" x14ac:dyDescent="0.3">
      <c r="A258" s="5" t="s">
        <v>277</v>
      </c>
      <c r="B258" s="5" t="str">
        <f>VLOOKUP($A258,[1]!Customer_Names[#Data],3,0)</f>
        <v xml:space="preserve">  Nate</v>
      </c>
      <c r="C258" s="5">
        <v>31.73</v>
      </c>
      <c r="D258" s="5" t="str" cm="1">
        <f t="array" ref="D258">_xlfn.IFS(Healthcare!$C258&lt;18.5,"under weight",Healthcare!$C258&lt;=24.9,"Normal Weight",Healthcare!$C258&gt;=25,"overweight",Healthcare!$C258&gt;=30,"obese")</f>
        <v>overweight</v>
      </c>
      <c r="E258" s="5">
        <v>5.73</v>
      </c>
      <c r="F258" s="5" t="str" cm="1">
        <f t="array" ref="F258">_xlfn.IFS(Healthcare!$E258&lt;5.7,"normal",Healthcare!$E258&lt;=6.4,"prediabetes",Healthcare!$E258&gt;=6.5,"diabetes")</f>
        <v>prediabetes</v>
      </c>
      <c r="G258" s="5" t="s">
        <v>19</v>
      </c>
      <c r="H258" s="5" t="s">
        <v>20</v>
      </c>
      <c r="I258" s="5" t="s">
        <v>19</v>
      </c>
      <c r="J258" s="5">
        <v>1</v>
      </c>
      <c r="K258" s="5" t="s">
        <v>20</v>
      </c>
      <c r="L258" s="5" t="str">
        <f>VLOOKUP(Healthcare!$A258,hospital_details,2,0)</f>
        <v>1-Nov-2004</v>
      </c>
      <c r="M258" s="5">
        <f t="shared" ref="M258:M321" ca="1" si="1535">VLOOKUP(A258,hospital_details,3,0)</f>
        <v>21</v>
      </c>
      <c r="N258" s="5">
        <f t="shared" ref="N258:N321" si="1536">VLOOKUP($A258,hospital_details,4,0)</f>
        <v>0</v>
      </c>
      <c r="O258" s="6">
        <f t="shared" ref="O258:O321" si="1537">VLOOKUP($A258,hospital_details,5,0)</f>
        <v>33732.69</v>
      </c>
      <c r="P258" s="5" t="str">
        <f t="shared" ref="P258:P321" si="1538">VLOOKUP($A258,hospital_details,6,0)</f>
        <v>tier - 1</v>
      </c>
      <c r="Q258" s="5" t="str">
        <f t="shared" ref="Q258:Q321" si="1539">VLOOKUP($A258,hospital_details,7,0)</f>
        <v>tier - 1</v>
      </c>
      <c r="R258" s="5" t="str">
        <f t="shared" ref="R258:R321" si="1540">VLOOKUP($A258,hospital_details,8,0)</f>
        <v>R1017</v>
      </c>
    </row>
    <row r="259" spans="1:18" ht="14.4" customHeight="1" x14ac:dyDescent="0.3">
      <c r="A259" s="7" t="s">
        <v>278</v>
      </c>
      <c r="B259" s="7" t="str">
        <f>VLOOKUP($A259,[1]!Customer_Names[#Data],3,0)</f>
        <v xml:space="preserve">  Jesse G</v>
      </c>
      <c r="C259" s="7">
        <v>45.52</v>
      </c>
      <c r="D259" s="7" t="str" cm="1">
        <f t="array" ref="D259">_xlfn.IFS(Healthcare!$C259&lt;18.5,"under weight",Healthcare!$C259&lt;=24.9,"Normal Weight",Healthcare!$C259&gt;=25,"overweight",Healthcare!$C259&gt;=30,"obese")</f>
        <v>overweight</v>
      </c>
      <c r="E259" s="7">
        <v>6.04</v>
      </c>
      <c r="F259" s="7" t="str" cm="1">
        <f t="array" ref="F259">_xlfn.IFS(Healthcare!$E259&lt;5.7,"normal",Healthcare!$E259&lt;=6.4,"prediabetes",Healthcare!$E259&gt;=6.5,"diabetes")</f>
        <v>prediabetes</v>
      </c>
      <c r="G259" s="7" t="s">
        <v>19</v>
      </c>
      <c r="H259" s="7" t="s">
        <v>19</v>
      </c>
      <c r="I259" s="7" t="s">
        <v>29</v>
      </c>
      <c r="J259" s="7">
        <v>1</v>
      </c>
      <c r="K259" s="7" t="s">
        <v>20</v>
      </c>
      <c r="L259" s="7" t="str">
        <f>VLOOKUP(Healthcare!$A259,hospital_details,2,0)</f>
        <v>28-Nov-1993</v>
      </c>
      <c r="M259" s="7">
        <f t="shared" ref="M259:M322" ca="1" si="1541">VLOOKUP(A259,hospital_details,3,0)</f>
        <v>32</v>
      </c>
      <c r="N259" s="7">
        <f t="shared" ref="N259:N322" si="1542">VLOOKUP($A259,hospital_details,4,0)</f>
        <v>0</v>
      </c>
      <c r="O259" s="8">
        <f t="shared" ref="O259:O322" si="1543">VLOOKUP($A259,hospital_details,5,0)</f>
        <v>33707.550000000003</v>
      </c>
      <c r="P259" s="7" t="str">
        <f t="shared" ref="P259:P322" si="1544">VLOOKUP($A259,hospital_details,6,0)</f>
        <v>tier - 2</v>
      </c>
      <c r="Q259" s="7" t="str">
        <f t="shared" ref="Q259:Q322" si="1545">VLOOKUP($A259,hospital_details,7,0)</f>
        <v>tier - 2</v>
      </c>
      <c r="R259" s="7" t="str">
        <f t="shared" ref="R259:R322" si="1546">VLOOKUP($A259,hospital_details,8,0)</f>
        <v>R1011</v>
      </c>
    </row>
    <row r="260" spans="1:18" ht="14.4" customHeight="1" x14ac:dyDescent="0.3">
      <c r="A260" s="5" t="s">
        <v>279</v>
      </c>
      <c r="B260" s="5" t="str">
        <f>VLOOKUP($A260,[1]!Customer_Names[#Data],3,0)</f>
        <v xml:space="preserve">  Jason</v>
      </c>
      <c r="C260" s="5">
        <v>52.81</v>
      </c>
      <c r="D260" s="5" t="str" cm="1">
        <f t="array" ref="D260">_xlfn.IFS(Healthcare!$C260&lt;18.5,"under weight",Healthcare!$C260&lt;=24.9,"Normal Weight",Healthcare!$C260&gt;=25,"overweight",Healthcare!$C260&gt;=30,"obese")</f>
        <v>overweight</v>
      </c>
      <c r="E260" s="5">
        <v>5.19</v>
      </c>
      <c r="F260" s="5" t="str" cm="1">
        <f t="array" ref="F260">_xlfn.IFS(Healthcare!$E260&lt;5.7,"normal",Healthcare!$E260&lt;=6.4,"prediabetes",Healthcare!$E260&gt;=6.5,"diabetes")</f>
        <v>normal</v>
      </c>
      <c r="G260" s="5" t="s">
        <v>19</v>
      </c>
      <c r="H260" s="5" t="s">
        <v>19</v>
      </c>
      <c r="I260" s="5" t="s">
        <v>29</v>
      </c>
      <c r="J260" s="5">
        <v>1</v>
      </c>
      <c r="K260" s="5" t="s">
        <v>20</v>
      </c>
      <c r="L260" s="5" t="str">
        <f>VLOOKUP(Healthcare!$A260,hospital_details,2,0)</f>
        <v>9-Sep-2003</v>
      </c>
      <c r="M260" s="5">
        <f t="shared" ref="M260:M323" ca="1" si="1547">VLOOKUP(A260,hospital_details,3,0)</f>
        <v>23</v>
      </c>
      <c r="N260" s="5">
        <f t="shared" ref="N260:N323" si="1548">VLOOKUP($A260,hospital_details,4,0)</f>
        <v>0</v>
      </c>
      <c r="O260" s="6">
        <f t="shared" ref="O260:O323" si="1549">VLOOKUP($A260,hospital_details,5,0)</f>
        <v>33611.71</v>
      </c>
      <c r="P260" s="5" t="str">
        <f t="shared" ref="P260:P323" si="1550">VLOOKUP($A260,hospital_details,6,0)</f>
        <v>tier - 1</v>
      </c>
      <c r="Q260" s="5" t="str">
        <f t="shared" ref="Q260:Q323" si="1551">VLOOKUP($A260,hospital_details,7,0)</f>
        <v>tier - 2</v>
      </c>
      <c r="R260" s="5" t="str">
        <f t="shared" ref="R260:R323" si="1552">VLOOKUP($A260,hospital_details,8,0)</f>
        <v>R1011</v>
      </c>
    </row>
    <row r="261" spans="1:18" ht="14.4" customHeight="1" x14ac:dyDescent="0.3">
      <c r="A261" s="7" t="s">
        <v>280</v>
      </c>
      <c r="B261" s="7" t="str">
        <f>VLOOKUP($A261,[1]!Customer_Names[#Data],3,0)</f>
        <v xml:space="preserve">  Megan A</v>
      </c>
      <c r="C261" s="7">
        <v>33.58</v>
      </c>
      <c r="D261" s="7" t="str" cm="1">
        <f t="array" ref="D261">_xlfn.IFS(Healthcare!$C261&lt;18.5,"under weight",Healthcare!$C261&lt;=24.9,"Normal Weight",Healthcare!$C261&gt;=25,"overweight",Healthcare!$C261&gt;=30,"obese")</f>
        <v>overweight</v>
      </c>
      <c r="E261" s="7">
        <v>5.56</v>
      </c>
      <c r="F261" s="7" t="str" cm="1">
        <f t="array" ref="F261">_xlfn.IFS(Healthcare!$E261&lt;5.7,"normal",Healthcare!$E261&lt;=6.4,"prediabetes",Healthcare!$E261&gt;=6.5,"diabetes")</f>
        <v>normal</v>
      </c>
      <c r="G261" s="7" t="s">
        <v>19</v>
      </c>
      <c r="H261" s="7" t="s">
        <v>19</v>
      </c>
      <c r="I261" s="7" t="s">
        <v>19</v>
      </c>
      <c r="J261" s="7">
        <v>1</v>
      </c>
      <c r="K261" s="7" t="s">
        <v>20</v>
      </c>
      <c r="L261" s="7" t="str">
        <f>VLOOKUP(Healthcare!$A261,hospital_details,2,0)</f>
        <v>22-Jul-1984</v>
      </c>
      <c r="M261" s="7">
        <f t="shared" ref="M261:M324" ca="1" si="1553">VLOOKUP(A261,hospital_details,3,0)</f>
        <v>42</v>
      </c>
      <c r="N261" s="7">
        <f t="shared" ref="N261:N324" si="1554">VLOOKUP($A261,hospital_details,4,0)</f>
        <v>3</v>
      </c>
      <c r="O261" s="8">
        <f t="shared" ref="O261:O324" si="1555">VLOOKUP($A261,hospital_details,5,0)</f>
        <v>33527.1</v>
      </c>
      <c r="P261" s="7" t="str">
        <f t="shared" ref="P261:P324" si="1556">VLOOKUP($A261,hospital_details,6,0)</f>
        <v>tier - 2</v>
      </c>
      <c r="Q261" s="7" t="str">
        <f t="shared" ref="Q261:Q324" si="1557">VLOOKUP($A261,hospital_details,7,0)</f>
        <v>tier - 3</v>
      </c>
      <c r="R261" s="7" t="str">
        <f t="shared" ref="R261:R324" si="1558">VLOOKUP($A261,hospital_details,8,0)</f>
        <v>R1011</v>
      </c>
    </row>
    <row r="262" spans="1:18" ht="14.4" customHeight="1" x14ac:dyDescent="0.3">
      <c r="A262" s="5" t="s">
        <v>281</v>
      </c>
      <c r="B262" s="5" t="str">
        <f>VLOOKUP($A262,[1]!Customer_Names[#Data],3,0)</f>
        <v xml:space="preserve">  Luke M</v>
      </c>
      <c r="C262" s="5">
        <v>30.684999999999999</v>
      </c>
      <c r="D262" s="5" t="str" cm="1">
        <f t="array" ref="D262">_xlfn.IFS(Healthcare!$C262&lt;18.5,"under weight",Healthcare!$C262&lt;=24.9,"Normal Weight",Healthcare!$C262&gt;=25,"overweight",Healthcare!$C262&gt;=30,"obese")</f>
        <v>overweight</v>
      </c>
      <c r="E262" s="5">
        <v>8.23</v>
      </c>
      <c r="F262" s="5" t="str" cm="1">
        <f t="array" ref="F262">_xlfn.IFS(Healthcare!$E262&lt;5.7,"normal",Healthcare!$E262&lt;=6.4,"prediabetes",Healthcare!$E262&gt;=6.5,"diabetes")</f>
        <v>diabetes</v>
      </c>
      <c r="G262" s="5" t="s">
        <v>19</v>
      </c>
      <c r="H262" s="5" t="s">
        <v>19</v>
      </c>
      <c r="I262" s="5" t="s">
        <v>19</v>
      </c>
      <c r="J262" s="5">
        <v>0</v>
      </c>
      <c r="K262" s="5" t="s">
        <v>20</v>
      </c>
      <c r="L262" s="5" t="str">
        <f>VLOOKUP(Healthcare!$A262,hospital_details,2,0)</f>
        <v>25-Aug-2002</v>
      </c>
      <c r="M262" s="5">
        <f t="shared" ref="M262:M325" ca="1" si="1559">VLOOKUP(A262,hospital_details,3,0)</f>
        <v>24</v>
      </c>
      <c r="N262" s="5">
        <f t="shared" ref="N262:N325" si="1560">VLOOKUP($A262,hospital_details,4,0)</f>
        <v>0</v>
      </c>
      <c r="O262" s="6">
        <f t="shared" ref="O262:O325" si="1561">VLOOKUP($A262,hospital_details,5,0)</f>
        <v>33475.82</v>
      </c>
      <c r="P262" s="5" t="str">
        <f t="shared" ref="P262:P325" si="1562">VLOOKUP($A262,hospital_details,6,0)</f>
        <v>tier - 1</v>
      </c>
      <c r="Q262" s="5" t="str">
        <f t="shared" ref="Q262:Q325" si="1563">VLOOKUP($A262,hospital_details,7,0)</f>
        <v>tier - 1</v>
      </c>
      <c r="R262" s="5" t="str">
        <f t="shared" ref="R262:R325" si="1564">VLOOKUP($A262,hospital_details,8,0)</f>
        <v>R1018</v>
      </c>
    </row>
    <row r="263" spans="1:18" ht="14.4" customHeight="1" x14ac:dyDescent="0.3">
      <c r="A263" s="7" t="s">
        <v>282</v>
      </c>
      <c r="B263" s="7" t="str">
        <f>VLOOKUP($A263,[1]!Customer_Names[#Data],3,0)</f>
        <v xml:space="preserve">  Jacy D</v>
      </c>
      <c r="C263" s="7">
        <v>37.524999999999999</v>
      </c>
      <c r="D263" s="7" t="str" cm="1">
        <f t="array" ref="D263">_xlfn.IFS(Healthcare!$C263&lt;18.5,"under weight",Healthcare!$C263&lt;=24.9,"Normal Weight",Healthcare!$C263&gt;=25,"overweight",Healthcare!$C263&gt;=30,"obese")</f>
        <v>overweight</v>
      </c>
      <c r="E263" s="7">
        <v>9.0299999999999994</v>
      </c>
      <c r="F263" s="7" t="str" cm="1">
        <f t="array" ref="F263">_xlfn.IFS(Healthcare!$E263&lt;5.7,"normal",Healthcare!$E263&lt;=6.4,"prediabetes",Healthcare!$E263&gt;=6.5,"diabetes")</f>
        <v>diabetes</v>
      </c>
      <c r="G263" s="7" t="s">
        <v>20</v>
      </c>
      <c r="H263" s="7" t="s">
        <v>19</v>
      </c>
      <c r="I263" s="7" t="s">
        <v>19</v>
      </c>
      <c r="J263" s="7">
        <v>2</v>
      </c>
      <c r="K263" s="7" t="s">
        <v>19</v>
      </c>
      <c r="L263" s="7" t="str">
        <f>VLOOKUP(Healthcare!$A263,hospital_details,2,0)</f>
        <v>18-Jun-1970</v>
      </c>
      <c r="M263" s="7">
        <f t="shared" ref="M263:M326" ca="1" si="1565">VLOOKUP(A263,hospital_details,3,0)</f>
        <v>56</v>
      </c>
      <c r="N263" s="7">
        <f t="shared" ref="N263:N326" si="1566">VLOOKUP($A263,hospital_details,4,0)</f>
        <v>2</v>
      </c>
      <c r="O263" s="8">
        <f t="shared" ref="O263:O326" si="1567">VLOOKUP($A263,hospital_details,5,0)</f>
        <v>33471.97</v>
      </c>
      <c r="P263" s="7" t="str">
        <f t="shared" ref="P263:P326" si="1568">VLOOKUP($A263,hospital_details,6,0)</f>
        <v>tier - 2</v>
      </c>
      <c r="Q263" s="7" t="str">
        <f t="shared" ref="Q263:Q326" si="1569">VLOOKUP($A263,hospital_details,7,0)</f>
        <v>tier - 2</v>
      </c>
      <c r="R263" s="7" t="str">
        <f t="shared" ref="R263:R326" si="1570">VLOOKUP($A263,hospital_details,8,0)</f>
        <v>R1012</v>
      </c>
    </row>
    <row r="264" spans="1:18" ht="14.4" customHeight="1" x14ac:dyDescent="0.3">
      <c r="A264" s="5" t="s">
        <v>283</v>
      </c>
      <c r="B264" s="5" t="str">
        <f>VLOOKUP($A264,[1]!Customer_Names[#Data],3,0)</f>
        <v xml:space="preserve">  Simon G</v>
      </c>
      <c r="C264" s="5">
        <v>34.5</v>
      </c>
      <c r="D264" s="5" t="str" cm="1">
        <f t="array" ref="D264">_xlfn.IFS(Healthcare!$C264&lt;18.5,"under weight",Healthcare!$C264&lt;=24.9,"Normal Weight",Healthcare!$C264&gt;=25,"overweight",Healthcare!$C264&gt;=30,"obese")</f>
        <v>overweight</v>
      </c>
      <c r="E264" s="5">
        <v>4.07</v>
      </c>
      <c r="F264" s="5" t="str" cm="1">
        <f t="array" ref="F264">_xlfn.IFS(Healthcare!$E264&lt;5.7,"normal",Healthcare!$E264&lt;=6.4,"prediabetes",Healthcare!$E264&gt;=6.5,"diabetes")</f>
        <v>normal</v>
      </c>
      <c r="G264" s="5" t="s">
        <v>20</v>
      </c>
      <c r="H264" s="5" t="s">
        <v>19</v>
      </c>
      <c r="I264" s="5" t="s">
        <v>19</v>
      </c>
      <c r="J264" s="5">
        <v>0</v>
      </c>
      <c r="K264" s="5" t="s">
        <v>20</v>
      </c>
      <c r="L264" s="5" t="str">
        <f>VLOOKUP(Healthcare!$A264,hospital_details,2,0)</f>
        <v>7-Dec-1985</v>
      </c>
      <c r="M264" s="5">
        <f t="shared" ref="M264:M327" ca="1" si="1571">VLOOKUP(A264,hospital_details,3,0)</f>
        <v>40</v>
      </c>
      <c r="N264" s="5">
        <f t="shared" ref="N264:N327" si="1572">VLOOKUP($A264,hospital_details,4,0)</f>
        <v>3</v>
      </c>
      <c r="O264" s="6">
        <f t="shared" ref="O264:O327" si="1573">VLOOKUP($A264,hospital_details,5,0)</f>
        <v>33450.99</v>
      </c>
      <c r="P264" s="5" t="str">
        <f t="shared" ref="P264:P327" si="1574">VLOOKUP($A264,hospital_details,6,0)</f>
        <v>tier - 2</v>
      </c>
      <c r="Q264" s="5" t="str">
        <f t="shared" ref="Q264:Q327" si="1575">VLOOKUP($A264,hospital_details,7,0)</f>
        <v>tier - 2</v>
      </c>
      <c r="R264" s="5" t="str">
        <f t="shared" ref="R264:R327" si="1576">VLOOKUP($A264,hospital_details,8,0)</f>
        <v>R1011</v>
      </c>
    </row>
    <row r="265" spans="1:18" ht="14.4" customHeight="1" x14ac:dyDescent="0.3">
      <c r="A265" s="7" t="s">
        <v>284</v>
      </c>
      <c r="B265" s="7" t="str">
        <f>VLOOKUP($A265,[1]!Customer_Names[#Data],3,0)</f>
        <v xml:space="preserve">  Ainsley E</v>
      </c>
      <c r="C265" s="7">
        <v>28.16</v>
      </c>
      <c r="D265" s="7" t="str" cm="1">
        <f t="array" ref="D265">_xlfn.IFS(Healthcare!$C265&lt;18.5,"under weight",Healthcare!$C265&lt;=24.9,"Normal Weight",Healthcare!$C265&gt;=25,"overweight",Healthcare!$C265&gt;=30,"obese")</f>
        <v>overweight</v>
      </c>
      <c r="E265" s="7">
        <v>5.77</v>
      </c>
      <c r="F265" s="7" t="str" cm="1">
        <f t="array" ref="F265">_xlfn.IFS(Healthcare!$E265&lt;5.7,"normal",Healthcare!$E265&lt;=6.4,"prediabetes",Healthcare!$E265&gt;=6.5,"diabetes")</f>
        <v>prediabetes</v>
      </c>
      <c r="G265" s="7" t="s">
        <v>19</v>
      </c>
      <c r="H265" s="7" t="s">
        <v>19</v>
      </c>
      <c r="I265" s="7" t="s">
        <v>19</v>
      </c>
      <c r="J265" s="7">
        <v>2</v>
      </c>
      <c r="K265" s="7" t="s">
        <v>20</v>
      </c>
      <c r="L265" s="7" t="str">
        <f>VLOOKUP(Healthcare!$A265,hospital_details,2,0)</f>
        <v>5-Sep-1972</v>
      </c>
      <c r="M265" s="7">
        <f t="shared" ref="M265:M328" ca="1" si="1577">VLOOKUP(A265,hospital_details,3,0)</f>
        <v>54</v>
      </c>
      <c r="N265" s="7">
        <f t="shared" ref="N265:N328" si="1578">VLOOKUP($A265,hospital_details,4,0)</f>
        <v>0</v>
      </c>
      <c r="O265" s="8">
        <f t="shared" ref="O265:O328" si="1579">VLOOKUP($A265,hospital_details,5,0)</f>
        <v>33344.449999999997</v>
      </c>
      <c r="P265" s="7" t="str">
        <f t="shared" ref="P265:P328" si="1580">VLOOKUP($A265,hospital_details,6,0)</f>
        <v>tier - 2</v>
      </c>
      <c r="Q265" s="7" t="str">
        <f t="shared" ref="Q265:Q328" si="1581">VLOOKUP($A265,hospital_details,7,0)</f>
        <v>tier - 3</v>
      </c>
      <c r="R265" s="7" t="str">
        <f t="shared" ref="R265:R328" si="1582">VLOOKUP($A265,hospital_details,8,0)</f>
        <v>R1011</v>
      </c>
    </row>
    <row r="266" spans="1:18" ht="14.4" customHeight="1" x14ac:dyDescent="0.3">
      <c r="A266" s="5" t="s">
        <v>285</v>
      </c>
      <c r="B266" s="5" t="str">
        <f>VLOOKUP($A266,[1]!Customer_Names[#Data],3,0)</f>
        <v xml:space="preserve">  Erica A</v>
      </c>
      <c r="C266" s="5">
        <v>30.02</v>
      </c>
      <c r="D266" s="5" t="str" cm="1">
        <f t="array" ref="D266">_xlfn.IFS(Healthcare!$C266&lt;18.5,"under weight",Healthcare!$C266&lt;=24.9,"Normal Weight",Healthcare!$C266&gt;=25,"overweight",Healthcare!$C266&gt;=30,"obese")</f>
        <v>overweight</v>
      </c>
      <c r="E266" s="5">
        <v>5.98</v>
      </c>
      <c r="F266" s="5" t="str" cm="1">
        <f t="array" ref="F266">_xlfn.IFS(Healthcare!$E266&lt;5.7,"normal",Healthcare!$E266&lt;=6.4,"prediabetes",Healthcare!$E266&gt;=6.5,"diabetes")</f>
        <v>prediabetes</v>
      </c>
      <c r="G266" s="5" t="s">
        <v>19</v>
      </c>
      <c r="H266" s="5" t="s">
        <v>19</v>
      </c>
      <c r="I266" s="5" t="s">
        <v>29</v>
      </c>
      <c r="J266" s="5">
        <v>1</v>
      </c>
      <c r="K266" s="5" t="s">
        <v>20</v>
      </c>
      <c r="L266" s="5" t="str">
        <f>VLOOKUP(Healthcare!$A266,hospital_details,2,0)</f>
        <v>28-Nov-2003</v>
      </c>
      <c r="M266" s="5">
        <f t="shared" ref="M266:M329" ca="1" si="1583">VLOOKUP(A266,hospital_details,3,0)</f>
        <v>22</v>
      </c>
      <c r="N266" s="5">
        <f t="shared" ref="N266:N329" si="1584">VLOOKUP($A266,hospital_details,4,0)</f>
        <v>0</v>
      </c>
      <c r="O266" s="6">
        <f t="shared" ref="O266:O329" si="1585">VLOOKUP($A266,hospital_details,5,0)</f>
        <v>33307.550000000003</v>
      </c>
      <c r="P266" s="5" t="str">
        <f t="shared" ref="P266:P329" si="1586">VLOOKUP($A266,hospital_details,6,0)</f>
        <v>tier - 2</v>
      </c>
      <c r="Q266" s="5" t="str">
        <f t="shared" ref="Q266:Q329" si="1587">VLOOKUP($A266,hospital_details,7,0)</f>
        <v>tier - 3</v>
      </c>
      <c r="R266" s="5" t="str">
        <f t="shared" ref="R266:R329" si="1588">VLOOKUP($A266,hospital_details,8,0)</f>
        <v>R1012</v>
      </c>
    </row>
    <row r="267" spans="1:18" ht="14.4" customHeight="1" x14ac:dyDescent="0.3">
      <c r="A267" s="7" t="s">
        <v>286</v>
      </c>
      <c r="B267" s="7" t="str">
        <f>VLOOKUP($A267,[1]!Customer_Names[#Data],3,0)</f>
        <v xml:space="preserve">  Erik</v>
      </c>
      <c r="C267" s="7">
        <v>37.82</v>
      </c>
      <c r="D267" s="7" t="str" cm="1">
        <f t="array" ref="D267">_xlfn.IFS(Healthcare!$C267&lt;18.5,"under weight",Healthcare!$C267&lt;=24.9,"Normal Weight",Healthcare!$C267&gt;=25,"overweight",Healthcare!$C267&gt;=30,"obese")</f>
        <v>overweight</v>
      </c>
      <c r="E267" s="7">
        <v>6.01</v>
      </c>
      <c r="F267" s="7" t="str" cm="1">
        <f t="array" ref="F267">_xlfn.IFS(Healthcare!$E267&lt;5.7,"normal",Healthcare!$E267&lt;=6.4,"prediabetes",Healthcare!$E267&gt;=6.5,"diabetes")</f>
        <v>prediabetes</v>
      </c>
      <c r="G267" s="7" t="s">
        <v>19</v>
      </c>
      <c r="H267" s="7" t="s">
        <v>19</v>
      </c>
      <c r="I267" s="7" t="s">
        <v>19</v>
      </c>
      <c r="J267" s="7">
        <v>0</v>
      </c>
      <c r="K267" s="7" t="s">
        <v>20</v>
      </c>
      <c r="L267" s="7" t="str">
        <f>VLOOKUP(Healthcare!$A267,hospital_details,2,0)</f>
        <v>12-Oct-1990</v>
      </c>
      <c r="M267" s="7">
        <f t="shared" ref="M267:M330" ca="1" si="1589">VLOOKUP(A267,hospital_details,3,0)</f>
        <v>36</v>
      </c>
      <c r="N267" s="7">
        <f t="shared" ref="N267:N330" si="1590">VLOOKUP($A267,hospital_details,4,0)</f>
        <v>3</v>
      </c>
      <c r="O267" s="8">
        <f t="shared" ref="O267:O330" si="1591">VLOOKUP($A267,hospital_details,5,0)</f>
        <v>33292.83</v>
      </c>
      <c r="P267" s="7" t="str">
        <f t="shared" ref="P267:P330" si="1592">VLOOKUP($A267,hospital_details,6,0)</f>
        <v>tier - 2</v>
      </c>
      <c r="Q267" s="7" t="str">
        <f t="shared" ref="Q267:Q330" si="1593">VLOOKUP($A267,hospital_details,7,0)</f>
        <v>tier - 1</v>
      </c>
      <c r="R267" s="7" t="str">
        <f t="shared" ref="R267:R330" si="1594">VLOOKUP($A267,hospital_details,8,0)</f>
        <v>R1011</v>
      </c>
    </row>
    <row r="268" spans="1:18" ht="14.4" customHeight="1" x14ac:dyDescent="0.3">
      <c r="A268" s="5" t="s">
        <v>287</v>
      </c>
      <c r="B268" s="5" t="str">
        <f>VLOOKUP($A268,[1]!Customer_Names[#Data],3,0)</f>
        <v xml:space="preserve">  Erin C</v>
      </c>
      <c r="C268" s="5">
        <v>33.14</v>
      </c>
      <c r="D268" s="5" t="str" cm="1">
        <f t="array" ref="D268">_xlfn.IFS(Healthcare!$C268&lt;18.5,"under weight",Healthcare!$C268&lt;=24.9,"Normal Weight",Healthcare!$C268&gt;=25,"overweight",Healthcare!$C268&gt;=30,"obese")</f>
        <v>overweight</v>
      </c>
      <c r="E268" s="5">
        <v>5.67</v>
      </c>
      <c r="F268" s="5" t="str" cm="1">
        <f t="array" ref="F268">_xlfn.IFS(Healthcare!$E268&lt;5.7,"normal",Healthcare!$E268&lt;=6.4,"prediabetes",Healthcare!$E268&gt;=6.5,"diabetes")</f>
        <v>normal</v>
      </c>
      <c r="G268" s="5" t="s">
        <v>20</v>
      </c>
      <c r="H268" s="5" t="s">
        <v>19</v>
      </c>
      <c r="I268" s="5" t="s">
        <v>19</v>
      </c>
      <c r="J268" s="5">
        <v>0</v>
      </c>
      <c r="K268" s="5" t="s">
        <v>20</v>
      </c>
      <c r="L268" s="5" t="str">
        <f>VLOOKUP(Healthcare!$A268,hospital_details,2,0)</f>
        <v>15-Jul-1985</v>
      </c>
      <c r="M268" s="5">
        <f t="shared" ref="M268:M331" ca="1" si="1595">VLOOKUP(A268,hospital_details,3,0)</f>
        <v>41</v>
      </c>
      <c r="N268" s="5">
        <f t="shared" ref="N268:N331" si="1596">VLOOKUP($A268,hospital_details,4,0)</f>
        <v>3</v>
      </c>
      <c r="O268" s="6">
        <f t="shared" ref="O268:O331" si="1597">VLOOKUP($A268,hospital_details,5,0)</f>
        <v>33121</v>
      </c>
      <c r="P268" s="5" t="str">
        <f t="shared" ref="P268:P331" si="1598">VLOOKUP($A268,hospital_details,6,0)</f>
        <v>tier - 2</v>
      </c>
      <c r="Q268" s="5" t="str">
        <f t="shared" ref="Q268:Q331" si="1599">VLOOKUP($A268,hospital_details,7,0)</f>
        <v>tier - 1</v>
      </c>
      <c r="R268" s="5" t="str">
        <f t="shared" ref="R268:R331" si="1600">VLOOKUP($A268,hospital_details,8,0)</f>
        <v>R1011</v>
      </c>
    </row>
    <row r="269" spans="1:18" ht="14.4" customHeight="1" x14ac:dyDescent="0.3">
      <c r="A269" s="7" t="s">
        <v>288</v>
      </c>
      <c r="B269" s="7" t="str">
        <f>VLOOKUP($A269,[1]!Customer_Names[#Data],3,0)</f>
        <v xml:space="preserve">  Adrienne</v>
      </c>
      <c r="C269" s="7">
        <v>25.14</v>
      </c>
      <c r="D269" s="7" t="str" cm="1">
        <f t="array" ref="D269">_xlfn.IFS(Healthcare!$C269&lt;18.5,"under weight",Healthcare!$C269&lt;=24.9,"Normal Weight",Healthcare!$C269&gt;=25,"overweight",Healthcare!$C269&gt;=30,"obese")</f>
        <v>overweight</v>
      </c>
      <c r="E269" s="7">
        <v>6.02</v>
      </c>
      <c r="F269" s="7" t="str" cm="1">
        <f t="array" ref="F269">_xlfn.IFS(Healthcare!$E269&lt;5.7,"normal",Healthcare!$E269&lt;=6.4,"prediabetes",Healthcare!$E269&gt;=6.5,"diabetes")</f>
        <v>prediabetes</v>
      </c>
      <c r="G269" s="7" t="s">
        <v>20</v>
      </c>
      <c r="H269" s="7" t="s">
        <v>19</v>
      </c>
      <c r="I269" s="7" t="s">
        <v>29</v>
      </c>
      <c r="J269" s="7">
        <v>1</v>
      </c>
      <c r="K269" s="7" t="s">
        <v>20</v>
      </c>
      <c r="L269" s="7" t="str">
        <f>VLOOKUP(Healthcare!$A269,hospital_details,2,0)</f>
        <v>30-Oct-1969</v>
      </c>
      <c r="M269" s="7">
        <f t="shared" ref="M269:M332" ca="1" si="1601">VLOOKUP(A269,hospital_details,3,0)</f>
        <v>56</v>
      </c>
      <c r="N269" s="7">
        <f t="shared" ref="N269:N332" si="1602">VLOOKUP($A269,hospital_details,4,0)</f>
        <v>0</v>
      </c>
      <c r="O269" s="8">
        <f t="shared" ref="O269:O332" si="1603">VLOOKUP($A269,hospital_details,5,0)</f>
        <v>33090.660000000003</v>
      </c>
      <c r="P269" s="7" t="str">
        <f t="shared" ref="P269:P332" si="1604">VLOOKUP($A269,hospital_details,6,0)</f>
        <v>tier - 2</v>
      </c>
      <c r="Q269" s="7" t="str">
        <f t="shared" ref="Q269:Q332" si="1605">VLOOKUP($A269,hospital_details,7,0)</f>
        <v>tier - 2</v>
      </c>
      <c r="R269" s="7" t="str">
        <f t="shared" ref="R269:R332" si="1606">VLOOKUP($A269,hospital_details,8,0)</f>
        <v>R1011</v>
      </c>
    </row>
    <row r="270" spans="1:18" ht="14.4" customHeight="1" x14ac:dyDescent="0.3">
      <c r="A270" s="5" t="s">
        <v>289</v>
      </c>
      <c r="B270" s="5" t="str">
        <f>VLOOKUP($A270,[1]!Customer_Names[#Data],3,0)</f>
        <v xml:space="preserve">  Adam</v>
      </c>
      <c r="C270" s="5">
        <v>20.18</v>
      </c>
      <c r="D270" s="5" t="str" cm="1">
        <f t="array" ref="D270">_xlfn.IFS(Healthcare!$C270&lt;18.5,"under weight",Healthcare!$C270&lt;=24.9,"Normal Weight",Healthcare!$C270&gt;=25,"overweight",Healthcare!$C270&gt;=30,"obese")</f>
        <v>Normal Weight</v>
      </c>
      <c r="E270" s="5">
        <v>11.19</v>
      </c>
      <c r="F270" s="5" t="str" cm="1">
        <f t="array" ref="F270">_xlfn.IFS(Healthcare!$E270&lt;5.7,"normal",Healthcare!$E270&lt;=6.4,"prediabetes",Healthcare!$E270&gt;=6.5,"diabetes")</f>
        <v>diabetes</v>
      </c>
      <c r="G270" s="5" t="s">
        <v>19</v>
      </c>
      <c r="H270" s="5" t="s">
        <v>19</v>
      </c>
      <c r="I270" s="5" t="s">
        <v>19</v>
      </c>
      <c r="J270" s="5">
        <v>0</v>
      </c>
      <c r="K270" s="5" t="s">
        <v>20</v>
      </c>
      <c r="L270" s="5" t="str">
        <f>VLOOKUP(Healthcare!$A270,hospital_details,2,0)</f>
        <v>1-Jul-1962</v>
      </c>
      <c r="M270" s="5">
        <f t="shared" ref="M270:M333" ca="1" si="1607">VLOOKUP(A270,hospital_details,3,0)</f>
        <v>64</v>
      </c>
      <c r="N270" s="5">
        <f t="shared" ref="N270:N333" si="1608">VLOOKUP($A270,hospital_details,4,0)</f>
        <v>0</v>
      </c>
      <c r="O270" s="6">
        <f t="shared" ref="O270:O333" si="1609">VLOOKUP($A270,hospital_details,5,0)</f>
        <v>33074.94</v>
      </c>
      <c r="P270" s="5" t="str">
        <f t="shared" ref="P270:P333" si="1610">VLOOKUP($A270,hospital_details,6,0)</f>
        <v>tier - 1</v>
      </c>
      <c r="Q270" s="5" t="str">
        <f t="shared" ref="Q270:Q333" si="1611">VLOOKUP($A270,hospital_details,7,0)</f>
        <v>tier - 2</v>
      </c>
      <c r="R270" s="5" t="str">
        <f t="shared" ref="R270:R333" si="1612">VLOOKUP($A270,hospital_details,8,0)</f>
        <v>R1011</v>
      </c>
    </row>
    <row r="271" spans="1:18" ht="14.4" customHeight="1" x14ac:dyDescent="0.3">
      <c r="A271" s="7" t="s">
        <v>290</v>
      </c>
      <c r="B271" s="7" t="str">
        <f>VLOOKUP($A271,[1]!Customer_Names[#Data],3,0)</f>
        <v xml:space="preserve">  Yutaka</v>
      </c>
      <c r="C271" s="7">
        <v>44.36</v>
      </c>
      <c r="D271" s="7" t="str" cm="1">
        <f t="array" ref="D271">_xlfn.IFS(Healthcare!$C271&lt;18.5,"under weight",Healthcare!$C271&lt;=24.9,"Normal Weight",Healthcare!$C271&gt;=25,"overweight",Healthcare!$C271&gt;=30,"obese")</f>
        <v>overweight</v>
      </c>
      <c r="E271" s="7">
        <v>5.1100000000000003</v>
      </c>
      <c r="F271" s="7" t="str" cm="1">
        <f t="array" ref="F271">_xlfn.IFS(Healthcare!$E271&lt;5.7,"normal",Healthcare!$E271&lt;=6.4,"prediabetes",Healthcare!$E271&gt;=6.5,"diabetes")</f>
        <v>normal</v>
      </c>
      <c r="G271" s="7" t="s">
        <v>19</v>
      </c>
      <c r="H271" s="7" t="s">
        <v>19</v>
      </c>
      <c r="I271" s="7" t="s">
        <v>19</v>
      </c>
      <c r="J271" s="7">
        <v>0</v>
      </c>
      <c r="K271" s="7" t="s">
        <v>20</v>
      </c>
      <c r="L271" s="7" t="str">
        <f>VLOOKUP(Healthcare!$A271,hospital_details,2,0)</f>
        <v>28-Jul-1994</v>
      </c>
      <c r="M271" s="7">
        <f t="shared" ref="M271:M334" ca="1" si="1613">VLOOKUP(A271,hospital_details,3,0)</f>
        <v>32</v>
      </c>
      <c r="N271" s="7">
        <f t="shared" ref="N271:N334" si="1614">VLOOKUP($A271,hospital_details,4,0)</f>
        <v>0</v>
      </c>
      <c r="O271" s="8">
        <f t="shared" ref="O271:O334" si="1615">VLOOKUP($A271,hospital_details,5,0)</f>
        <v>33057.230000000003</v>
      </c>
      <c r="P271" s="7" t="str">
        <f t="shared" ref="P271:P334" si="1616">VLOOKUP($A271,hospital_details,6,0)</f>
        <v>tier - 1</v>
      </c>
      <c r="Q271" s="7" t="str">
        <f t="shared" ref="Q271:Q334" si="1617">VLOOKUP($A271,hospital_details,7,0)</f>
        <v>tier - 2</v>
      </c>
      <c r="R271" s="7" t="str">
        <f t="shared" ref="R271:R334" si="1618">VLOOKUP($A271,hospital_details,8,0)</f>
        <v>R1011</v>
      </c>
    </row>
    <row r="272" spans="1:18" ht="14.4" customHeight="1" x14ac:dyDescent="0.3">
      <c r="A272" s="5" t="s">
        <v>291</v>
      </c>
      <c r="B272" s="5" t="str">
        <f>VLOOKUP($A272,[1]!Customer_Names[#Data],3,0)</f>
        <v xml:space="preserve">  Tyler M</v>
      </c>
      <c r="C272" s="5">
        <v>23.82</v>
      </c>
      <c r="D272" s="5" t="str" cm="1">
        <f t="array" ref="D272">_xlfn.IFS(Healthcare!$C272&lt;18.5,"under weight",Healthcare!$C272&lt;=24.9,"Normal Weight",Healthcare!$C272&gt;=25,"overweight",Healthcare!$C272&gt;=30,"obese")</f>
        <v>Normal Weight</v>
      </c>
      <c r="E272" s="5">
        <v>10.85</v>
      </c>
      <c r="F272" s="5" t="str" cm="1">
        <f t="array" ref="F272">_xlfn.IFS(Healthcare!$E272&lt;5.7,"normal",Healthcare!$E272&lt;=6.4,"prediabetes",Healthcare!$E272&gt;=6.5,"diabetes")</f>
        <v>diabetes</v>
      </c>
      <c r="G272" s="5" t="s">
        <v>20</v>
      </c>
      <c r="H272" s="5" t="s">
        <v>19</v>
      </c>
      <c r="I272" s="5" t="s">
        <v>19</v>
      </c>
      <c r="J272" s="5">
        <v>0</v>
      </c>
      <c r="K272" s="5" t="s">
        <v>20</v>
      </c>
      <c r="L272" s="5" t="str">
        <f>VLOOKUP(Healthcare!$A272,hospital_details,2,0)</f>
        <v>10-Jul-1967</v>
      </c>
      <c r="M272" s="5">
        <f t="shared" ref="M272:M335" ca="1" si="1619">VLOOKUP(A272,hospital_details,3,0)</f>
        <v>59</v>
      </c>
      <c r="N272" s="5">
        <f t="shared" ref="N272:N335" si="1620">VLOOKUP($A272,hospital_details,4,0)</f>
        <v>0</v>
      </c>
      <c r="O272" s="6">
        <f t="shared" ref="O272:O335" si="1621">VLOOKUP($A272,hospital_details,5,0)</f>
        <v>33025.32</v>
      </c>
      <c r="P272" s="5" t="str">
        <f t="shared" ref="P272:P335" si="1622">VLOOKUP($A272,hospital_details,6,0)</f>
        <v>tier - 2</v>
      </c>
      <c r="Q272" s="5" t="str">
        <f t="shared" ref="Q272:Q335" si="1623">VLOOKUP($A272,hospital_details,7,0)</f>
        <v>tier - 3</v>
      </c>
      <c r="R272" s="5" t="str">
        <f t="shared" ref="R272:R335" si="1624">VLOOKUP($A272,hospital_details,8,0)</f>
        <v>R1011</v>
      </c>
    </row>
    <row r="273" spans="1:18" ht="14.4" customHeight="1" x14ac:dyDescent="0.3">
      <c r="A273" s="7" t="s">
        <v>292</v>
      </c>
      <c r="B273" s="7" t="str">
        <f>VLOOKUP($A273,[1]!Customer_Names[#Data],3,0)</f>
        <v xml:space="preserve">  Stephen</v>
      </c>
      <c r="C273" s="7">
        <v>45</v>
      </c>
      <c r="D273" s="7" t="str" cm="1">
        <f t="array" ref="D273">_xlfn.IFS(Healthcare!$C273&lt;18.5,"under weight",Healthcare!$C273&lt;=24.9,"Normal Weight",Healthcare!$C273&gt;=25,"overweight",Healthcare!$C273&gt;=30,"obese")</f>
        <v>overweight</v>
      </c>
      <c r="E273" s="7">
        <v>5.24</v>
      </c>
      <c r="F273" s="7" t="str" cm="1">
        <f t="array" ref="F273">_xlfn.IFS(Healthcare!$E273&lt;5.7,"normal",Healthcare!$E273&lt;=6.4,"prediabetes",Healthcare!$E273&gt;=6.5,"diabetes")</f>
        <v>normal</v>
      </c>
      <c r="G273" s="7" t="s">
        <v>20</v>
      </c>
      <c r="H273" s="7" t="s">
        <v>19</v>
      </c>
      <c r="I273" s="7" t="s">
        <v>19</v>
      </c>
      <c r="J273" s="7">
        <v>1</v>
      </c>
      <c r="K273" s="7" t="s">
        <v>20</v>
      </c>
      <c r="L273" s="7" t="str">
        <f>VLOOKUP(Healthcare!$A273,hospital_details,2,0)</f>
        <v>8-Jul-1995</v>
      </c>
      <c r="M273" s="7">
        <f t="shared" ref="M273:M336" ca="1" si="1625">VLOOKUP(A273,hospital_details,3,0)</f>
        <v>31</v>
      </c>
      <c r="N273" s="7">
        <f t="shared" ref="N273:N336" si="1626">VLOOKUP($A273,hospital_details,4,0)</f>
        <v>0</v>
      </c>
      <c r="O273" s="8">
        <f t="shared" ref="O273:O336" si="1627">VLOOKUP($A273,hospital_details,5,0)</f>
        <v>33017.46</v>
      </c>
      <c r="P273" s="7" t="str">
        <f t="shared" ref="P273:P336" si="1628">VLOOKUP($A273,hospital_details,6,0)</f>
        <v>tier - 1</v>
      </c>
      <c r="Q273" s="7" t="str">
        <f t="shared" ref="Q273:Q336" si="1629">VLOOKUP($A273,hospital_details,7,0)</f>
        <v>tier - 1</v>
      </c>
      <c r="R273" s="7" t="str">
        <f t="shared" ref="R273:R336" si="1630">VLOOKUP($A273,hospital_details,8,0)</f>
        <v>R1011</v>
      </c>
    </row>
    <row r="274" spans="1:18" ht="14.4" customHeight="1" x14ac:dyDescent="0.3">
      <c r="A274" s="5" t="s">
        <v>293</v>
      </c>
      <c r="B274" s="5" t="str">
        <f>VLOOKUP($A274,[1]!Customer_Names[#Data],3,0)</f>
        <v xml:space="preserve">  Andrew B</v>
      </c>
      <c r="C274" s="5">
        <v>26.62</v>
      </c>
      <c r="D274" s="5" t="str" cm="1">
        <f t="array" ref="D274">_xlfn.IFS(Healthcare!$C274&lt;18.5,"under weight",Healthcare!$C274&lt;=24.9,"Normal Weight",Healthcare!$C274&gt;=25,"overweight",Healthcare!$C274&gt;=30,"obese")</f>
        <v>overweight</v>
      </c>
      <c r="E274" s="5">
        <v>10.08</v>
      </c>
      <c r="F274" s="5" t="str" cm="1">
        <f t="array" ref="F274">_xlfn.IFS(Healthcare!$E274&lt;5.7,"normal",Healthcare!$E274&lt;=6.4,"prediabetes",Healthcare!$E274&gt;=6.5,"diabetes")</f>
        <v>diabetes</v>
      </c>
      <c r="G274" s="5" t="s">
        <v>19</v>
      </c>
      <c r="H274" s="5" t="s">
        <v>19</v>
      </c>
      <c r="I274" s="5" t="s">
        <v>19</v>
      </c>
      <c r="J274" s="5">
        <v>0</v>
      </c>
      <c r="K274" s="5" t="s">
        <v>20</v>
      </c>
      <c r="L274" s="5" t="str">
        <f>VLOOKUP(Healthcare!$A274,hospital_details,2,0)</f>
        <v>24-Aug-1971</v>
      </c>
      <c r="M274" s="5">
        <f t="shared" ref="M274:M337" ca="1" si="1631">VLOOKUP(A274,hospital_details,3,0)</f>
        <v>55</v>
      </c>
      <c r="N274" s="5">
        <f t="shared" ref="N274:N337" si="1632">VLOOKUP($A274,hospital_details,4,0)</f>
        <v>0</v>
      </c>
      <c r="O274" s="6">
        <f t="shared" ref="O274:O337" si="1633">VLOOKUP($A274,hospital_details,5,0)</f>
        <v>32947.629999999997</v>
      </c>
      <c r="P274" s="5" t="str">
        <f t="shared" ref="P274:P337" si="1634">VLOOKUP($A274,hospital_details,6,0)</f>
        <v>tier - 2</v>
      </c>
      <c r="Q274" s="5" t="str">
        <f t="shared" ref="Q274:Q337" si="1635">VLOOKUP($A274,hospital_details,7,0)</f>
        <v>tier - 1</v>
      </c>
      <c r="R274" s="5" t="str">
        <f t="shared" ref="R274:R337" si="1636">VLOOKUP($A274,hospital_details,8,0)</f>
        <v>R1011</v>
      </c>
    </row>
    <row r="275" spans="1:18" ht="14.4" customHeight="1" x14ac:dyDescent="0.3">
      <c r="A275" s="7" t="s">
        <v>294</v>
      </c>
      <c r="B275" s="7" t="str">
        <f>VLOOKUP($A275,[1]!Customer_Names[#Data],3,0)</f>
        <v xml:space="preserve">  James</v>
      </c>
      <c r="C275" s="7">
        <v>32.67</v>
      </c>
      <c r="D275" s="7" t="str" cm="1">
        <f t="array" ref="D275">_xlfn.IFS(Healthcare!$C275&lt;18.5,"under weight",Healthcare!$C275&lt;=24.9,"Normal Weight",Healthcare!$C275&gt;=25,"overweight",Healthcare!$C275&gt;=30,"obese")</f>
        <v>overweight</v>
      </c>
      <c r="E275" s="7">
        <v>10.97</v>
      </c>
      <c r="F275" s="7" t="str" cm="1">
        <f t="array" ref="F275">_xlfn.IFS(Healthcare!$E275&lt;5.7,"normal",Healthcare!$E275&lt;=6.4,"prediabetes",Healthcare!$E275&gt;=6.5,"diabetes")</f>
        <v>diabetes</v>
      </c>
      <c r="G275" s="7" t="s">
        <v>20</v>
      </c>
      <c r="H275" s="7" t="s">
        <v>19</v>
      </c>
      <c r="I275" s="7" t="s">
        <v>19</v>
      </c>
      <c r="J275" s="7">
        <v>0</v>
      </c>
      <c r="K275" s="7" t="s">
        <v>20</v>
      </c>
      <c r="L275" s="7" t="str">
        <f>VLOOKUP(Healthcare!$A275,hospital_details,2,0)</f>
        <v>17-Nov-1981</v>
      </c>
      <c r="M275" s="7">
        <f t="shared" ref="M275:M338" ca="1" si="1637">VLOOKUP(A275,hospital_details,3,0)</f>
        <v>44</v>
      </c>
      <c r="N275" s="7">
        <f t="shared" ref="N275:N338" si="1638">VLOOKUP($A275,hospital_details,4,0)</f>
        <v>1</v>
      </c>
      <c r="O275" s="8">
        <f t="shared" ref="O275:O338" si="1639">VLOOKUP($A275,hospital_details,5,0)</f>
        <v>32906.69</v>
      </c>
      <c r="P275" s="7" t="str">
        <f t="shared" ref="P275:P338" si="1640">VLOOKUP($A275,hospital_details,6,0)</f>
        <v>tier - 2</v>
      </c>
      <c r="Q275" s="7" t="str">
        <f t="shared" ref="Q275:Q338" si="1641">VLOOKUP($A275,hospital_details,7,0)</f>
        <v>tier - 3</v>
      </c>
      <c r="R275" s="7" t="str">
        <f t="shared" ref="R275:R338" si="1642">VLOOKUP($A275,hospital_details,8,0)</f>
        <v>R1011</v>
      </c>
    </row>
    <row r="276" spans="1:18" ht="14.4" customHeight="1" x14ac:dyDescent="0.3">
      <c r="A276" s="5" t="s">
        <v>295</v>
      </c>
      <c r="B276" s="5" t="str">
        <f>VLOOKUP($A276,[1]!Customer_Names[#Data],3,0)</f>
        <v xml:space="preserve">  Shawn P</v>
      </c>
      <c r="C276" s="5">
        <v>44.44</v>
      </c>
      <c r="D276" s="5" t="str" cm="1">
        <f t="array" ref="D276">_xlfn.IFS(Healthcare!$C276&lt;18.5,"under weight",Healthcare!$C276&lt;=24.9,"Normal Weight",Healthcare!$C276&gt;=25,"overweight",Healthcare!$C276&gt;=30,"obese")</f>
        <v>overweight</v>
      </c>
      <c r="E276" s="5">
        <v>4.9000000000000004</v>
      </c>
      <c r="F276" s="5" t="str" cm="1">
        <f t="array" ref="F276">_xlfn.IFS(Healthcare!$E276&lt;5.7,"normal",Healthcare!$E276&lt;=6.4,"prediabetes",Healthcare!$E276&gt;=6.5,"diabetes")</f>
        <v>normal</v>
      </c>
      <c r="G276" s="5" t="s">
        <v>20</v>
      </c>
      <c r="H276" s="5" t="s">
        <v>19</v>
      </c>
      <c r="I276" s="5" t="s">
        <v>19</v>
      </c>
      <c r="J276" s="5">
        <v>1</v>
      </c>
      <c r="K276" s="5" t="s">
        <v>20</v>
      </c>
      <c r="L276" s="5" t="str">
        <f>VLOOKUP(Healthcare!$A276,hospital_details,2,0)</f>
        <v>4-Dec-1995</v>
      </c>
      <c r="M276" s="5">
        <f t="shared" ref="M276:M339" ca="1" si="1643">VLOOKUP(A276,hospital_details,3,0)</f>
        <v>30</v>
      </c>
      <c r="N276" s="5">
        <f t="shared" ref="N276:N339" si="1644">VLOOKUP($A276,hospital_details,4,0)</f>
        <v>0</v>
      </c>
      <c r="O276" s="6">
        <f t="shared" ref="O276:O339" si="1645">VLOOKUP($A276,hospital_details,5,0)</f>
        <v>32827.51</v>
      </c>
      <c r="P276" s="5" t="str">
        <f t="shared" ref="P276:P339" si="1646">VLOOKUP($A276,hospital_details,6,0)</f>
        <v>tier - 1</v>
      </c>
      <c r="Q276" s="5" t="str">
        <f t="shared" ref="Q276:Q339" si="1647">VLOOKUP($A276,hospital_details,7,0)</f>
        <v>tier - 2</v>
      </c>
      <c r="R276" s="5" t="str">
        <f t="shared" ref="R276:R339" si="1648">VLOOKUP($A276,hospital_details,8,0)</f>
        <v>R1011</v>
      </c>
    </row>
    <row r="277" spans="1:18" ht="14.4" customHeight="1" x14ac:dyDescent="0.3">
      <c r="A277" s="7" t="s">
        <v>296</v>
      </c>
      <c r="B277" s="7" t="str">
        <f>VLOOKUP($A277,[1]!Customer_Names[#Data],3,0)</f>
        <v xml:space="preserve">  Matt</v>
      </c>
      <c r="C277" s="7">
        <v>28.31</v>
      </c>
      <c r="D277" s="7" t="str" cm="1">
        <f t="array" ref="D277">_xlfn.IFS(Healthcare!$C277&lt;18.5,"under weight",Healthcare!$C277&lt;=24.9,"Normal Weight",Healthcare!$C277&gt;=25,"overweight",Healthcare!$C277&gt;=30,"obese")</f>
        <v>overweight</v>
      </c>
      <c r="E277" s="7">
        <v>5.33</v>
      </c>
      <c r="F277" s="7" t="str" cm="1">
        <f t="array" ref="F277">_xlfn.IFS(Healthcare!$E277&lt;5.7,"normal",Healthcare!$E277&lt;=6.4,"prediabetes",Healthcare!$E277&gt;=6.5,"diabetes")</f>
        <v>normal</v>
      </c>
      <c r="G277" s="7" t="s">
        <v>19</v>
      </c>
      <c r="H277" s="7" t="s">
        <v>19</v>
      </c>
      <c r="I277" s="7" t="s">
        <v>19</v>
      </c>
      <c r="J277" s="7">
        <v>0</v>
      </c>
      <c r="K277" s="7" t="s">
        <v>20</v>
      </c>
      <c r="L277" s="7" t="str">
        <f>VLOOKUP(Healthcare!$A277,hospital_details,2,0)</f>
        <v>12-Dec-1980</v>
      </c>
      <c r="M277" s="7">
        <f t="shared" ref="M277:M340" ca="1" si="1649">VLOOKUP(A277,hospital_details,3,0)</f>
        <v>45</v>
      </c>
      <c r="N277" s="7">
        <f t="shared" ref="N277:N340" si="1650">VLOOKUP($A277,hospital_details,4,0)</f>
        <v>3</v>
      </c>
      <c r="O277" s="8">
        <f t="shared" ref="O277:O340" si="1651">VLOOKUP($A277,hospital_details,5,0)</f>
        <v>32787.46</v>
      </c>
      <c r="P277" s="7" t="str">
        <f t="shared" ref="P277:P340" si="1652">VLOOKUP($A277,hospital_details,6,0)</f>
        <v>tier - 1</v>
      </c>
      <c r="Q277" s="7" t="str">
        <f t="shared" ref="Q277:Q340" si="1653">VLOOKUP($A277,hospital_details,7,0)</f>
        <v>tier - 3</v>
      </c>
      <c r="R277" s="7" t="str">
        <f t="shared" ref="R277:R340" si="1654">VLOOKUP($A277,hospital_details,8,0)</f>
        <v>R1012</v>
      </c>
    </row>
    <row r="278" spans="1:18" ht="14.4" customHeight="1" x14ac:dyDescent="0.3">
      <c r="A278" s="5" t="s">
        <v>297</v>
      </c>
      <c r="B278" s="5" t="str">
        <f>VLOOKUP($A278,[1]!Customer_Names[#Data],3,0)</f>
        <v xml:space="preserve">  Nathaniel</v>
      </c>
      <c r="C278" s="5">
        <v>25.05</v>
      </c>
      <c r="D278" s="5" t="str" cm="1">
        <f t="array" ref="D278">_xlfn.IFS(Healthcare!$C278&lt;18.5,"under weight",Healthcare!$C278&lt;=24.9,"Normal Weight",Healthcare!$C278&gt;=25,"overweight",Healthcare!$C278&gt;=30,"obese")</f>
        <v>overweight</v>
      </c>
      <c r="E278" s="5">
        <v>4.6100000000000003</v>
      </c>
      <c r="F278" s="5" t="str" cm="1">
        <f t="array" ref="F278">_xlfn.IFS(Healthcare!$E278&lt;5.7,"normal",Healthcare!$E278&lt;=6.4,"prediabetes",Healthcare!$E278&gt;=6.5,"diabetes")</f>
        <v>normal</v>
      </c>
      <c r="G278" s="5" t="s">
        <v>19</v>
      </c>
      <c r="H278" s="5" t="s">
        <v>19</v>
      </c>
      <c r="I278" s="5" t="s">
        <v>19</v>
      </c>
      <c r="J278" s="5">
        <v>2</v>
      </c>
      <c r="K278" s="5" t="s">
        <v>20</v>
      </c>
      <c r="L278" s="5" t="str">
        <f>VLOOKUP(Healthcare!$A278,hospital_details,2,0)</f>
        <v>7-Nov-1972</v>
      </c>
      <c r="M278" s="5">
        <f t="shared" ref="M278:M341" ca="1" si="1655">VLOOKUP(A278,hospital_details,3,0)</f>
        <v>53</v>
      </c>
      <c r="N278" s="5">
        <f t="shared" ref="N278:N341" si="1656">VLOOKUP($A278,hospital_details,4,0)</f>
        <v>0</v>
      </c>
      <c r="O278" s="6">
        <f t="shared" ref="O278:O341" si="1657">VLOOKUP($A278,hospital_details,5,0)</f>
        <v>32765.33</v>
      </c>
      <c r="P278" s="5" t="str">
        <f t="shared" ref="P278:P341" si="1658">VLOOKUP($A278,hospital_details,6,0)</f>
        <v>tier - 2</v>
      </c>
      <c r="Q278" s="5" t="str">
        <f t="shared" ref="Q278:Q341" si="1659">VLOOKUP($A278,hospital_details,7,0)</f>
        <v>tier - 2</v>
      </c>
      <c r="R278" s="5" t="str">
        <f t="shared" ref="R278:R341" si="1660">VLOOKUP($A278,hospital_details,8,0)</f>
        <v>R1012</v>
      </c>
    </row>
    <row r="279" spans="1:18" ht="14.4" customHeight="1" x14ac:dyDescent="0.3">
      <c r="A279" s="7" t="s">
        <v>298</v>
      </c>
      <c r="B279" s="7" t="str">
        <f>VLOOKUP($A279,[1]!Customer_Names[#Data],3,0)</f>
        <v xml:space="preserve">  Kevin D</v>
      </c>
      <c r="C279" s="7">
        <v>28.34</v>
      </c>
      <c r="D279" s="7" t="str" cm="1">
        <f t="array" ref="D279">_xlfn.IFS(Healthcare!$C279&lt;18.5,"under weight",Healthcare!$C279&lt;=24.9,"Normal Weight",Healthcare!$C279&gt;=25,"overweight",Healthcare!$C279&gt;=30,"obese")</f>
        <v>overweight</v>
      </c>
      <c r="E279" s="7">
        <v>8.18</v>
      </c>
      <c r="F279" s="7" t="str" cm="1">
        <f t="array" ref="F279">_xlfn.IFS(Healthcare!$E279&lt;5.7,"normal",Healthcare!$E279&lt;=6.4,"prediabetes",Healthcare!$E279&gt;=6.5,"diabetes")</f>
        <v>diabetes</v>
      </c>
      <c r="G279" s="7" t="s">
        <v>19</v>
      </c>
      <c r="H279" s="7" t="s">
        <v>19</v>
      </c>
      <c r="I279" s="7" t="s">
        <v>19</v>
      </c>
      <c r="J279" s="7">
        <v>0</v>
      </c>
      <c r="K279" s="7" t="s">
        <v>20</v>
      </c>
      <c r="L279" s="7" t="str">
        <f>VLOOKUP(Healthcare!$A279,hospital_details,2,0)</f>
        <v>6-Dec-1974</v>
      </c>
      <c r="M279" s="7">
        <f t="shared" ref="M279:M342" ca="1" si="1661">VLOOKUP(A279,hospital_details,3,0)</f>
        <v>51</v>
      </c>
      <c r="N279" s="7">
        <f t="shared" ref="N279:N342" si="1662">VLOOKUP($A279,hospital_details,4,0)</f>
        <v>0</v>
      </c>
      <c r="O279" s="8">
        <f t="shared" ref="O279:O342" si="1663">VLOOKUP($A279,hospital_details,5,0)</f>
        <v>32760.48</v>
      </c>
      <c r="P279" s="7" t="str">
        <f t="shared" ref="P279:P342" si="1664">VLOOKUP($A279,hospital_details,6,0)</f>
        <v>tier - 1</v>
      </c>
      <c r="Q279" s="7" t="str">
        <f t="shared" ref="Q279:Q342" si="1665">VLOOKUP($A279,hospital_details,7,0)</f>
        <v>tier - 1</v>
      </c>
      <c r="R279" s="7" t="str">
        <f t="shared" ref="R279:R342" si="1666">VLOOKUP($A279,hospital_details,8,0)</f>
        <v>R1011</v>
      </c>
    </row>
    <row r="280" spans="1:18" ht="14.4" customHeight="1" x14ac:dyDescent="0.3">
      <c r="A280" s="5" t="s">
        <v>299</v>
      </c>
      <c r="B280" s="5" t="str">
        <f>VLOOKUP($A280,[1]!Customer_Names[#Data],3,0)</f>
        <v xml:space="preserve">  Joan</v>
      </c>
      <c r="C280" s="5">
        <v>17.765000000000001</v>
      </c>
      <c r="D280" s="5" t="str" cm="1">
        <f t="array" ref="D280">_xlfn.IFS(Healthcare!$C280&lt;18.5,"under weight",Healthcare!$C280&lt;=24.9,"Normal Weight",Healthcare!$C280&gt;=25,"overweight",Healthcare!$C280&gt;=30,"obese")</f>
        <v>under weight</v>
      </c>
      <c r="E280" s="5">
        <v>5.62</v>
      </c>
      <c r="F280" s="5" t="str" cm="1">
        <f t="array" ref="F280">_xlfn.IFS(Healthcare!$E280&lt;5.7,"normal",Healthcare!$E280&lt;=6.4,"prediabetes",Healthcare!$E280&gt;=6.5,"diabetes")</f>
        <v>normal</v>
      </c>
      <c r="G280" s="5" t="s">
        <v>19</v>
      </c>
      <c r="H280" s="5" t="s">
        <v>19</v>
      </c>
      <c r="I280" s="5" t="s">
        <v>19</v>
      </c>
      <c r="J280" s="5">
        <v>0</v>
      </c>
      <c r="K280" s="5" t="s">
        <v>20</v>
      </c>
      <c r="L280" s="5" t="str">
        <f>VLOOKUP(Healthcare!$A280,hospital_details,2,0)</f>
        <v>9-Jul-1990</v>
      </c>
      <c r="M280" s="5">
        <f t="shared" ref="M280:M343" ca="1" si="1667">VLOOKUP(A280,hospital_details,3,0)</f>
        <v>36</v>
      </c>
      <c r="N280" s="5">
        <f t="shared" ref="N280:N343" si="1668">VLOOKUP($A280,hospital_details,4,0)</f>
        <v>2</v>
      </c>
      <c r="O280" s="6">
        <f t="shared" ref="O280:O343" si="1669">VLOOKUP($A280,hospital_details,5,0)</f>
        <v>32734.19</v>
      </c>
      <c r="P280" s="5" t="str">
        <f t="shared" ref="P280:P343" si="1670">VLOOKUP($A280,hospital_details,6,0)</f>
        <v>tier - 2</v>
      </c>
      <c r="Q280" s="5" t="str">
        <f t="shared" ref="Q280:Q343" si="1671">VLOOKUP($A280,hospital_details,7,0)</f>
        <v>tier - 1</v>
      </c>
      <c r="R280" s="5" t="str">
        <f t="shared" ref="R280:R343" si="1672">VLOOKUP($A280,hospital_details,8,0)</f>
        <v>R1012</v>
      </c>
    </row>
    <row r="281" spans="1:18" ht="14.4" customHeight="1" x14ac:dyDescent="0.3">
      <c r="A281" s="7" t="s">
        <v>300</v>
      </c>
      <c r="B281" s="7" t="str">
        <f>VLOOKUP($A281,[1]!Customer_Names[#Data],3,0)</f>
        <v xml:space="preserve">  Christopher A</v>
      </c>
      <c r="C281" s="7">
        <v>36.119999999999997</v>
      </c>
      <c r="D281" s="7" t="str" cm="1">
        <f t="array" ref="D281">_xlfn.IFS(Healthcare!$C281&lt;18.5,"under weight",Healthcare!$C281&lt;=24.9,"Normal Weight",Healthcare!$C281&gt;=25,"overweight",Healthcare!$C281&gt;=30,"obese")</f>
        <v>overweight</v>
      </c>
      <c r="E281" s="7">
        <v>5.82</v>
      </c>
      <c r="F281" s="7" t="str" cm="1">
        <f t="array" ref="F281">_xlfn.IFS(Healthcare!$E281&lt;5.7,"normal",Healthcare!$E281&lt;=6.4,"prediabetes",Healthcare!$E281&gt;=6.5,"diabetes")</f>
        <v>prediabetes</v>
      </c>
      <c r="G281" s="7" t="s">
        <v>19</v>
      </c>
      <c r="H281" s="7" t="s">
        <v>19</v>
      </c>
      <c r="I281" s="7" t="s">
        <v>19</v>
      </c>
      <c r="J281" s="7">
        <v>0</v>
      </c>
      <c r="K281" s="7" t="s">
        <v>20</v>
      </c>
      <c r="L281" s="7" t="str">
        <f>VLOOKUP(Healthcare!$A281,hospital_details,2,0)</f>
        <v>30-Sep-1990</v>
      </c>
      <c r="M281" s="7">
        <f t="shared" ref="M281:M344" ca="1" si="1673">VLOOKUP(A281,hospital_details,3,0)</f>
        <v>36</v>
      </c>
      <c r="N281" s="7">
        <f t="shared" ref="N281:N344" si="1674">VLOOKUP($A281,hospital_details,4,0)</f>
        <v>3</v>
      </c>
      <c r="O281" s="8">
        <f t="shared" ref="O281:O344" si="1675">VLOOKUP($A281,hospital_details,5,0)</f>
        <v>32716.2</v>
      </c>
      <c r="P281" s="7" t="str">
        <f t="shared" ref="P281:P344" si="1676">VLOOKUP($A281,hospital_details,6,0)</f>
        <v>tier - 1</v>
      </c>
      <c r="Q281" s="7" t="str">
        <f t="shared" ref="Q281:Q344" si="1677">VLOOKUP($A281,hospital_details,7,0)</f>
        <v>tier - 2</v>
      </c>
      <c r="R281" s="7" t="str">
        <f t="shared" ref="R281:R344" si="1678">VLOOKUP($A281,hospital_details,8,0)</f>
        <v>R1011</v>
      </c>
    </row>
    <row r="282" spans="1:18" ht="14.4" customHeight="1" x14ac:dyDescent="0.3">
      <c r="A282" s="5" t="s">
        <v>301</v>
      </c>
      <c r="B282" s="5" t="str">
        <f>VLOOKUP($A282,[1]!Customer_Names[#Data],3,0)</f>
        <v xml:space="preserve">  Kacy L</v>
      </c>
      <c r="C282" s="5">
        <v>23.19</v>
      </c>
      <c r="D282" s="5" t="str" cm="1">
        <f t="array" ref="D282">_xlfn.IFS(Healthcare!$C282&lt;18.5,"under weight",Healthcare!$C282&lt;=24.9,"Normal Weight",Healthcare!$C282&gt;=25,"overweight",Healthcare!$C282&gt;=30,"obese")</f>
        <v>Normal Weight</v>
      </c>
      <c r="E282" s="5">
        <v>7.66</v>
      </c>
      <c r="F282" s="5" t="str" cm="1">
        <f t="array" ref="F282">_xlfn.IFS(Healthcare!$E282&lt;5.7,"normal",Healthcare!$E282&lt;=6.4,"prediabetes",Healthcare!$E282&gt;=6.5,"diabetes")</f>
        <v>diabetes</v>
      </c>
      <c r="G282" s="5" t="s">
        <v>19</v>
      </c>
      <c r="H282" s="5" t="s">
        <v>19</v>
      </c>
      <c r="I282" s="5" t="s">
        <v>19</v>
      </c>
      <c r="J282" s="5">
        <v>0</v>
      </c>
      <c r="K282" s="5" t="s">
        <v>20</v>
      </c>
      <c r="L282" s="5" t="str">
        <f>VLOOKUP(Healthcare!$A282,hospital_details,2,0)</f>
        <v>1-Nov-1968</v>
      </c>
      <c r="M282" s="5">
        <f t="shared" ref="M282:M345" ca="1" si="1679">VLOOKUP(A282,hospital_details,3,0)</f>
        <v>57</v>
      </c>
      <c r="N282" s="5">
        <f t="shared" ref="N282:N345" si="1680">VLOOKUP($A282,hospital_details,4,0)</f>
        <v>0</v>
      </c>
      <c r="O282" s="6">
        <f t="shared" ref="O282:O345" si="1681">VLOOKUP($A282,hospital_details,5,0)</f>
        <v>32686.080000000002</v>
      </c>
      <c r="P282" s="5" t="str">
        <f t="shared" ref="P282:P345" si="1682">VLOOKUP($A282,hospital_details,6,0)</f>
        <v>tier - 2</v>
      </c>
      <c r="Q282" s="5" t="str">
        <f t="shared" ref="Q282:Q345" si="1683">VLOOKUP($A282,hospital_details,7,0)</f>
        <v>tier - 3</v>
      </c>
      <c r="R282" s="5" t="str">
        <f t="shared" ref="R282:R345" si="1684">VLOOKUP($A282,hospital_details,8,0)</f>
        <v>R1011</v>
      </c>
    </row>
    <row r="283" spans="1:18" ht="14.4" customHeight="1" x14ac:dyDescent="0.3">
      <c r="A283" s="7" t="s">
        <v>302</v>
      </c>
      <c r="B283" s="7" t="str">
        <f>VLOOKUP($A283,[1]!Customer_Names[#Data],3,0)</f>
        <v xml:space="preserve">  Benjamin H</v>
      </c>
      <c r="C283" s="7">
        <v>35.99</v>
      </c>
      <c r="D283" s="7" t="str" cm="1">
        <f t="array" ref="D283">_xlfn.IFS(Healthcare!$C283&lt;18.5,"under weight",Healthcare!$C283&lt;=24.9,"Normal Weight",Healthcare!$C283&gt;=25,"overweight",Healthcare!$C283&gt;=30,"obese")</f>
        <v>overweight</v>
      </c>
      <c r="E283" s="7">
        <v>4.2300000000000004</v>
      </c>
      <c r="F283" s="7" t="str" cm="1">
        <f t="array" ref="F283">_xlfn.IFS(Healthcare!$E283&lt;5.7,"normal",Healthcare!$E283&lt;=6.4,"prediabetes",Healthcare!$E283&gt;=6.5,"diabetes")</f>
        <v>normal</v>
      </c>
      <c r="G283" s="7" t="s">
        <v>19</v>
      </c>
      <c r="H283" s="7" t="s">
        <v>19</v>
      </c>
      <c r="I283" s="7" t="s">
        <v>19</v>
      </c>
      <c r="J283" s="7">
        <v>0</v>
      </c>
      <c r="K283" s="7" t="s">
        <v>20</v>
      </c>
      <c r="L283" s="7" t="str">
        <f>VLOOKUP(Healthcare!$A283,hospital_details,2,0)</f>
        <v>13-Jul-1990</v>
      </c>
      <c r="M283" s="7">
        <f t="shared" ref="M283:M346" ca="1" si="1685">VLOOKUP(A283,hospital_details,3,0)</f>
        <v>36</v>
      </c>
      <c r="N283" s="7">
        <f t="shared" ref="N283:N346" si="1686">VLOOKUP($A283,hospital_details,4,0)</f>
        <v>3</v>
      </c>
      <c r="O283" s="8">
        <f t="shared" ref="O283:O346" si="1687">VLOOKUP($A283,hospital_details,5,0)</f>
        <v>32672.11</v>
      </c>
      <c r="P283" s="7" t="str">
        <f t="shared" ref="P283:P346" si="1688">VLOOKUP($A283,hospital_details,6,0)</f>
        <v>tier - 1</v>
      </c>
      <c r="Q283" s="7" t="str">
        <f t="shared" ref="Q283:Q346" si="1689">VLOOKUP($A283,hospital_details,7,0)</f>
        <v>tier - 1</v>
      </c>
      <c r="R283" s="7" t="str">
        <f t="shared" ref="R283:R346" si="1690">VLOOKUP($A283,hospital_details,8,0)</f>
        <v>R1011</v>
      </c>
    </row>
    <row r="284" spans="1:18" ht="14.4" customHeight="1" x14ac:dyDescent="0.3">
      <c r="A284" s="5" t="s">
        <v>303</v>
      </c>
      <c r="B284" s="5" t="str">
        <f>VLOOKUP($A284,[1]!Customer_Names[#Data],3,0)</f>
        <v xml:space="preserve">  Xaviour J</v>
      </c>
      <c r="C284" s="5">
        <v>30.25</v>
      </c>
      <c r="D284" s="5" t="str" cm="1">
        <f t="array" ref="D284">_xlfn.IFS(Healthcare!$C284&lt;18.5,"under weight",Healthcare!$C284&lt;=24.9,"Normal Weight",Healthcare!$C284&gt;=25,"overweight",Healthcare!$C284&gt;=30,"obese")</f>
        <v>overweight</v>
      </c>
      <c r="E284" s="5">
        <v>5.58</v>
      </c>
      <c r="F284" s="5" t="str" cm="1">
        <f t="array" ref="F284">_xlfn.IFS(Healthcare!$E284&lt;5.7,"normal",Healthcare!$E284&lt;=6.4,"prediabetes",Healthcare!$E284&gt;=6.5,"diabetes")</f>
        <v>normal</v>
      </c>
      <c r="G284" s="5" t="s">
        <v>19</v>
      </c>
      <c r="H284" s="5" t="s">
        <v>19</v>
      </c>
      <c r="I284" s="5" t="s">
        <v>29</v>
      </c>
      <c r="J284" s="5">
        <v>1</v>
      </c>
      <c r="K284" s="5" t="s">
        <v>20</v>
      </c>
      <c r="L284" s="5" t="str">
        <f>VLOOKUP(Healthcare!$A284,hospital_details,2,0)</f>
        <v>8-Oct-2003</v>
      </c>
      <c r="M284" s="5">
        <f t="shared" ref="M284:M347" ca="1" si="1691">VLOOKUP(A284,hospital_details,3,0)</f>
        <v>23</v>
      </c>
      <c r="N284" s="5">
        <f t="shared" ref="N284:N347" si="1692">VLOOKUP($A284,hospital_details,4,0)</f>
        <v>0</v>
      </c>
      <c r="O284" s="6">
        <f t="shared" ref="O284:O347" si="1693">VLOOKUP($A284,hospital_details,5,0)</f>
        <v>32548.34</v>
      </c>
      <c r="P284" s="5" t="str">
        <f t="shared" ref="P284:P347" si="1694">VLOOKUP($A284,hospital_details,6,0)</f>
        <v>tier - 1</v>
      </c>
      <c r="Q284" s="5" t="str">
        <f t="shared" ref="Q284:Q347" si="1695">VLOOKUP($A284,hospital_details,7,0)</f>
        <v>tier - 2</v>
      </c>
      <c r="R284" s="5" t="str">
        <f t="shared" ref="R284:R347" si="1696">VLOOKUP($A284,hospital_details,8,0)</f>
        <v>R1013</v>
      </c>
    </row>
    <row r="285" spans="1:18" ht="14.4" customHeight="1" x14ac:dyDescent="0.3">
      <c r="A285" s="7" t="s">
        <v>304</v>
      </c>
      <c r="B285" s="7" t="str">
        <f>VLOOKUP($A285,[1]!Customer_Names[#Data],3,0)</f>
        <v xml:space="preserve">  Michael T</v>
      </c>
      <c r="C285" s="7">
        <v>26.24</v>
      </c>
      <c r="D285" s="7" t="str" cm="1">
        <f t="array" ref="D285">_xlfn.IFS(Healthcare!$C285&lt;18.5,"under weight",Healthcare!$C285&lt;=24.9,"Normal Weight",Healthcare!$C285&gt;=25,"overweight",Healthcare!$C285&gt;=30,"obese")</f>
        <v>overweight</v>
      </c>
      <c r="E285" s="7">
        <v>6.26</v>
      </c>
      <c r="F285" s="7" t="str" cm="1">
        <f t="array" ref="F285">_xlfn.IFS(Healthcare!$E285&lt;5.7,"normal",Healthcare!$E285&lt;=6.4,"prediabetes",Healthcare!$E285&gt;=6.5,"diabetes")</f>
        <v>prediabetes</v>
      </c>
      <c r="G285" s="7" t="s">
        <v>20</v>
      </c>
      <c r="H285" s="7" t="s">
        <v>19</v>
      </c>
      <c r="I285" s="7" t="s">
        <v>19</v>
      </c>
      <c r="J285" s="7">
        <v>0</v>
      </c>
      <c r="K285" s="7" t="s">
        <v>20</v>
      </c>
      <c r="L285" s="7" t="str">
        <f>VLOOKUP(Healthcare!$A285,hospital_details,2,0)</f>
        <v>19-Sep-1976</v>
      </c>
      <c r="M285" s="7">
        <f t="shared" ref="M285:M348" ca="1" si="1697">VLOOKUP(A285,hospital_details,3,0)</f>
        <v>50</v>
      </c>
      <c r="N285" s="7">
        <f t="shared" ref="N285:N348" si="1698">VLOOKUP($A285,hospital_details,4,0)</f>
        <v>2</v>
      </c>
      <c r="O285" s="8">
        <f t="shared" ref="O285:O348" si="1699">VLOOKUP($A285,hospital_details,5,0)</f>
        <v>32485.46</v>
      </c>
      <c r="P285" s="7" t="str">
        <f t="shared" ref="P285:P348" si="1700">VLOOKUP($A285,hospital_details,6,0)</f>
        <v>tier - 2</v>
      </c>
      <c r="Q285" s="7" t="str">
        <f t="shared" ref="Q285:Q348" si="1701">VLOOKUP($A285,hospital_details,7,0)</f>
        <v>tier - 1</v>
      </c>
      <c r="R285" s="7" t="str">
        <f t="shared" ref="R285:R348" si="1702">VLOOKUP($A285,hospital_details,8,0)</f>
        <v>R1011</v>
      </c>
    </row>
    <row r="286" spans="1:18" ht="14.4" customHeight="1" x14ac:dyDescent="0.3">
      <c r="A286" s="5" t="s">
        <v>305</v>
      </c>
      <c r="B286" s="5" t="str">
        <f>VLOOKUP($A286,[1]!Customer_Names[#Data],3,0)</f>
        <v xml:space="preserve">  Bradley</v>
      </c>
      <c r="C286" s="5">
        <v>31.36</v>
      </c>
      <c r="D286" s="5" t="str" cm="1">
        <f t="array" ref="D286">_xlfn.IFS(Healthcare!$C286&lt;18.5,"under weight",Healthcare!$C286&lt;=24.9,"Normal Weight",Healthcare!$C286&gt;=25,"overweight",Healthcare!$C286&gt;=30,"obese")</f>
        <v>overweight</v>
      </c>
      <c r="E286" s="5">
        <v>10.6</v>
      </c>
      <c r="F286" s="5" t="str" cm="1">
        <f t="array" ref="F286">_xlfn.IFS(Healthcare!$E286&lt;5.7,"normal",Healthcare!$E286&lt;=6.4,"prediabetes",Healthcare!$E286&gt;=6.5,"diabetes")</f>
        <v>diabetes</v>
      </c>
      <c r="G286" s="5" t="s">
        <v>20</v>
      </c>
      <c r="H286" s="5" t="s">
        <v>19</v>
      </c>
      <c r="I286" s="5" t="s">
        <v>19</v>
      </c>
      <c r="J286" s="5">
        <v>0</v>
      </c>
      <c r="K286" s="5" t="s">
        <v>20</v>
      </c>
      <c r="L286" s="5" t="str">
        <f>VLOOKUP(Healthcare!$A286,hospital_details,2,0)</f>
        <v>27-Sep-1981</v>
      </c>
      <c r="M286" s="5">
        <f t="shared" ref="M286:M349" ca="1" si="1703">VLOOKUP(A286,hospital_details,3,0)</f>
        <v>45</v>
      </c>
      <c r="N286" s="5">
        <f t="shared" ref="N286:N349" si="1704">VLOOKUP($A286,hospital_details,4,0)</f>
        <v>1</v>
      </c>
      <c r="O286" s="6">
        <f t="shared" ref="O286:O349" si="1705">VLOOKUP($A286,hospital_details,5,0)</f>
        <v>32462.35</v>
      </c>
      <c r="P286" s="5" t="str">
        <f t="shared" ref="P286:P349" si="1706">VLOOKUP($A286,hospital_details,6,0)</f>
        <v>tier - 2</v>
      </c>
      <c r="Q286" s="5" t="str">
        <f t="shared" ref="Q286:Q349" si="1707">VLOOKUP($A286,hospital_details,7,0)</f>
        <v>tier - 2</v>
      </c>
      <c r="R286" s="5" t="str">
        <f t="shared" ref="R286:R349" si="1708">VLOOKUP($A286,hospital_details,8,0)</f>
        <v>R1011</v>
      </c>
    </row>
    <row r="287" spans="1:18" ht="14.4" customHeight="1" x14ac:dyDescent="0.3">
      <c r="A287" s="7" t="s">
        <v>306</v>
      </c>
      <c r="B287" s="7" t="str">
        <f>VLOOKUP($A287,[1]!Customer_Names[#Data],3,0)</f>
        <v xml:space="preserve">  Andrea</v>
      </c>
      <c r="C287" s="7">
        <v>25.69</v>
      </c>
      <c r="D287" s="7" t="str" cm="1">
        <f t="array" ref="D287">_xlfn.IFS(Healthcare!$C287&lt;18.5,"under weight",Healthcare!$C287&lt;=24.9,"Normal Weight",Healthcare!$C287&gt;=25,"overweight",Healthcare!$C287&gt;=30,"obese")</f>
        <v>overweight</v>
      </c>
      <c r="E287" s="7">
        <v>4.78</v>
      </c>
      <c r="F287" s="7" t="str" cm="1">
        <f t="array" ref="F287">_xlfn.IFS(Healthcare!$E287&lt;5.7,"normal",Healthcare!$E287&lt;=6.4,"prediabetes",Healthcare!$E287&gt;=6.5,"diabetes")</f>
        <v>normal</v>
      </c>
      <c r="G287" s="7" t="s">
        <v>20</v>
      </c>
      <c r="H287" s="7" t="s">
        <v>19</v>
      </c>
      <c r="I287" s="7" t="s">
        <v>19</v>
      </c>
      <c r="J287" s="7">
        <v>0</v>
      </c>
      <c r="K287" s="7" t="s">
        <v>20</v>
      </c>
      <c r="L287" s="7" t="str">
        <f>VLOOKUP(Healthcare!$A287,hospital_details,2,0)</f>
        <v>9-Aug-1976</v>
      </c>
      <c r="M287" s="7">
        <f t="shared" ref="M287:M350" ca="1" si="1709">VLOOKUP(A287,hospital_details,3,0)</f>
        <v>50</v>
      </c>
      <c r="N287" s="7">
        <f t="shared" ref="N287:N350" si="1710">VLOOKUP($A287,hospital_details,4,0)</f>
        <v>2</v>
      </c>
      <c r="O287" s="8">
        <f t="shared" ref="O287:O350" si="1711">VLOOKUP($A287,hospital_details,5,0)</f>
        <v>32430.22</v>
      </c>
      <c r="P287" s="7" t="str">
        <f t="shared" ref="P287:P350" si="1712">VLOOKUP($A287,hospital_details,6,0)</f>
        <v>tier - 2</v>
      </c>
      <c r="Q287" s="7" t="str">
        <f t="shared" ref="Q287:Q350" si="1713">VLOOKUP($A287,hospital_details,7,0)</f>
        <v>tier - 3</v>
      </c>
      <c r="R287" s="7" t="str">
        <f t="shared" ref="R287:R350" si="1714">VLOOKUP($A287,hospital_details,8,0)</f>
        <v>R1011</v>
      </c>
    </row>
    <row r="288" spans="1:18" ht="14.4" customHeight="1" x14ac:dyDescent="0.3">
      <c r="A288" s="5" t="s">
        <v>307</v>
      </c>
      <c r="B288" s="5" t="str">
        <f>VLOOKUP($A288,[1]!Customer_Names[#Data],3,0)</f>
        <v xml:space="preserve">  Nancy M</v>
      </c>
      <c r="C288" s="5">
        <v>25.46</v>
      </c>
      <c r="D288" s="5" t="str" cm="1">
        <f t="array" ref="D288">_xlfn.IFS(Healthcare!$C288&lt;18.5,"under weight",Healthcare!$C288&lt;=24.9,"Normal Weight",Healthcare!$C288&gt;=25,"overweight",Healthcare!$C288&gt;=30,"obese")</f>
        <v>overweight</v>
      </c>
      <c r="E288" s="5">
        <v>6.03</v>
      </c>
      <c r="F288" s="5" t="str" cm="1">
        <f t="array" ref="F288">_xlfn.IFS(Healthcare!$E288&lt;5.7,"normal",Healthcare!$E288&lt;=6.4,"prediabetes",Healthcare!$E288&gt;=6.5,"diabetes")</f>
        <v>prediabetes</v>
      </c>
      <c r="G288" s="5" t="s">
        <v>19</v>
      </c>
      <c r="H288" s="5" t="s">
        <v>19</v>
      </c>
      <c r="I288" s="5" t="s">
        <v>19</v>
      </c>
      <c r="J288" s="5">
        <v>2</v>
      </c>
      <c r="K288" s="5" t="s">
        <v>20</v>
      </c>
      <c r="L288" s="5" t="str">
        <f>VLOOKUP(Healthcare!$A288,hospital_details,2,0)</f>
        <v>19-Oct-1972</v>
      </c>
      <c r="M288" s="5">
        <f t="shared" ref="M288:M351" ca="1" si="1715">VLOOKUP(A288,hospital_details,3,0)</f>
        <v>53</v>
      </c>
      <c r="N288" s="5">
        <f t="shared" ref="N288:N351" si="1716">VLOOKUP($A288,hospital_details,4,0)</f>
        <v>0</v>
      </c>
      <c r="O288" s="6">
        <f t="shared" ref="O288:O351" si="1717">VLOOKUP($A288,hospital_details,5,0)</f>
        <v>32428.63</v>
      </c>
      <c r="P288" s="5" t="str">
        <f t="shared" ref="P288:P351" si="1718">VLOOKUP($A288,hospital_details,6,0)</f>
        <v>tier - 2</v>
      </c>
      <c r="Q288" s="5" t="str">
        <f t="shared" ref="Q288:Q351" si="1719">VLOOKUP($A288,hospital_details,7,0)</f>
        <v>tier - 2</v>
      </c>
      <c r="R288" s="5" t="str">
        <f t="shared" ref="R288:R351" si="1720">VLOOKUP($A288,hospital_details,8,0)</f>
        <v>R1011</v>
      </c>
    </row>
    <row r="289" spans="1:18" ht="14.4" customHeight="1" x14ac:dyDescent="0.3">
      <c r="A289" s="7" t="s">
        <v>308</v>
      </c>
      <c r="B289" s="7" t="str">
        <f>VLOOKUP($A289,[1]!Customer_Names[#Data],3,0)</f>
        <v xml:space="preserve">  Matt</v>
      </c>
      <c r="C289" s="7">
        <v>31.83</v>
      </c>
      <c r="D289" s="7" t="str" cm="1">
        <f t="array" ref="D289">_xlfn.IFS(Healthcare!$C289&lt;18.5,"under weight",Healthcare!$C289&lt;=24.9,"Normal Weight",Healthcare!$C289&gt;=25,"overweight",Healthcare!$C289&gt;=30,"obese")</f>
        <v>overweight</v>
      </c>
      <c r="E289" s="7">
        <v>11.55</v>
      </c>
      <c r="F289" s="7" t="str" cm="1">
        <f t="array" ref="F289">_xlfn.IFS(Healthcare!$E289&lt;5.7,"normal",Healthcare!$E289&lt;=6.4,"prediabetes",Healthcare!$E289&gt;=6.5,"diabetes")</f>
        <v>diabetes</v>
      </c>
      <c r="G289" s="7" t="s">
        <v>20</v>
      </c>
      <c r="H289" s="7" t="s">
        <v>19</v>
      </c>
      <c r="I289" s="7" t="s">
        <v>19</v>
      </c>
      <c r="J289" s="7">
        <v>1</v>
      </c>
      <c r="K289" s="7" t="s">
        <v>20</v>
      </c>
      <c r="L289" s="7" t="str">
        <f>VLOOKUP(Healthcare!$A289,hospital_details,2,0)</f>
        <v>2-Dec-1986</v>
      </c>
      <c r="M289" s="7">
        <f t="shared" ref="M289:M352" ca="1" si="1721">VLOOKUP(A289,hospital_details,3,0)</f>
        <v>39</v>
      </c>
      <c r="N289" s="7">
        <f t="shared" ref="N289:N352" si="1722">VLOOKUP($A289,hospital_details,4,0)</f>
        <v>3</v>
      </c>
      <c r="O289" s="8">
        <f t="shared" ref="O289:O352" si="1723">VLOOKUP($A289,hospital_details,5,0)</f>
        <v>32288.49</v>
      </c>
      <c r="P289" s="7" t="str">
        <f t="shared" ref="P289:P352" si="1724">VLOOKUP($A289,hospital_details,6,0)</f>
        <v>tier - 2</v>
      </c>
      <c r="Q289" s="7" t="str">
        <f t="shared" ref="Q289:Q352" si="1725">VLOOKUP($A289,hospital_details,7,0)</f>
        <v>tier - 2</v>
      </c>
      <c r="R289" s="7" t="str">
        <f t="shared" ref="R289:R352" si="1726">VLOOKUP($A289,hospital_details,8,0)</f>
        <v>R1011</v>
      </c>
    </row>
    <row r="290" spans="1:18" ht="14.4" customHeight="1" x14ac:dyDescent="0.3">
      <c r="A290" s="5" t="s">
        <v>309</v>
      </c>
      <c r="B290" s="5" t="str">
        <f>VLOOKUP($A290,[1]!Customer_Names[#Data],3,0)</f>
        <v xml:space="preserve">  Lee</v>
      </c>
      <c r="C290" s="5">
        <v>24.43</v>
      </c>
      <c r="D290" s="5" t="str" cm="1">
        <f t="array" ref="D290">_xlfn.IFS(Healthcare!$C290&lt;18.5,"under weight",Healthcare!$C290&lt;=24.9,"Normal Weight",Healthcare!$C290&gt;=25,"overweight",Healthcare!$C290&gt;=30,"obese")</f>
        <v>Normal Weight</v>
      </c>
      <c r="E290" s="5">
        <v>7.59</v>
      </c>
      <c r="F290" s="5" t="str" cm="1">
        <f t="array" ref="F290">_xlfn.IFS(Healthcare!$E290&lt;5.7,"normal",Healthcare!$E290&lt;=6.4,"prediabetes",Healthcare!$E290&gt;=6.5,"diabetes")</f>
        <v>diabetes</v>
      </c>
      <c r="G290" s="5" t="s">
        <v>20</v>
      </c>
      <c r="H290" s="5" t="s">
        <v>19</v>
      </c>
      <c r="I290" s="5" t="s">
        <v>19</v>
      </c>
      <c r="J290" s="5">
        <v>1</v>
      </c>
      <c r="K290" s="5" t="s">
        <v>20</v>
      </c>
      <c r="L290" s="5" t="str">
        <f>VLOOKUP(Healthcare!$A290,hospital_details,2,0)</f>
        <v>17-Dec-1975</v>
      </c>
      <c r="M290" s="5">
        <f t="shared" ref="M290:M353" ca="1" si="1727">VLOOKUP(A290,hospital_details,3,0)</f>
        <v>50</v>
      </c>
      <c r="N290" s="5">
        <f t="shared" ref="N290:N353" si="1728">VLOOKUP($A290,hospital_details,4,0)</f>
        <v>1</v>
      </c>
      <c r="O290" s="6">
        <f t="shared" ref="O290:O353" si="1729">VLOOKUP($A290,hospital_details,5,0)</f>
        <v>32259.96</v>
      </c>
      <c r="P290" s="5" t="str">
        <f t="shared" ref="P290:P353" si="1730">VLOOKUP($A290,hospital_details,6,0)</f>
        <v>tier - 2</v>
      </c>
      <c r="Q290" s="5" t="str">
        <f t="shared" ref="Q290:Q353" si="1731">VLOOKUP($A290,hospital_details,7,0)</f>
        <v>tier - 3</v>
      </c>
      <c r="R290" s="5" t="str">
        <f t="shared" ref="R290:R353" si="1732">VLOOKUP($A290,hospital_details,8,0)</f>
        <v>R1012</v>
      </c>
    </row>
    <row r="291" spans="1:18" ht="14.4" customHeight="1" x14ac:dyDescent="0.3">
      <c r="A291" s="7" t="s">
        <v>310</v>
      </c>
      <c r="B291" s="7" t="str">
        <f>VLOOKUP($A291,[1]!Customer_Names[#Data],3,0)</f>
        <v xml:space="preserve">  Chris</v>
      </c>
      <c r="C291" s="7">
        <v>41.9</v>
      </c>
      <c r="D291" s="7" t="str" cm="1">
        <f t="array" ref="D291">_xlfn.IFS(Healthcare!$C291&lt;18.5,"under weight",Healthcare!$C291&lt;=24.9,"Normal Weight",Healthcare!$C291&gt;=25,"overweight",Healthcare!$C291&gt;=30,"obese")</f>
        <v>overweight</v>
      </c>
      <c r="E291" s="7">
        <v>4.26</v>
      </c>
      <c r="F291" s="7" t="str" cm="1">
        <f t="array" ref="F291">_xlfn.IFS(Healthcare!$E291&lt;5.7,"normal",Healthcare!$E291&lt;=6.4,"prediabetes",Healthcare!$E291&gt;=6.5,"diabetes")</f>
        <v>normal</v>
      </c>
      <c r="G291" s="7" t="s">
        <v>19</v>
      </c>
      <c r="H291" s="7" t="s">
        <v>19</v>
      </c>
      <c r="I291" s="7" t="s">
        <v>19</v>
      </c>
      <c r="J291" s="7">
        <v>0</v>
      </c>
      <c r="K291" s="7" t="s">
        <v>20</v>
      </c>
      <c r="L291" s="7" t="str">
        <f>VLOOKUP(Healthcare!$A291,hospital_details,2,0)</f>
        <v>8-Sep-1994</v>
      </c>
      <c r="M291" s="7">
        <f t="shared" ref="M291:M354" ca="1" si="1733">VLOOKUP(A291,hospital_details,3,0)</f>
        <v>32</v>
      </c>
      <c r="N291" s="7">
        <f t="shared" ref="N291:N354" si="1734">VLOOKUP($A291,hospital_details,4,0)</f>
        <v>0</v>
      </c>
      <c r="O291" s="8">
        <f t="shared" ref="O291:O354" si="1735">VLOOKUP($A291,hospital_details,5,0)</f>
        <v>32222.81</v>
      </c>
      <c r="P291" s="7" t="str">
        <f t="shared" ref="P291:P354" si="1736">VLOOKUP($A291,hospital_details,6,0)</f>
        <v>tier - 2</v>
      </c>
      <c r="Q291" s="7" t="str">
        <f t="shared" ref="Q291:Q354" si="1737">VLOOKUP($A291,hospital_details,7,0)</f>
        <v>tier - 1</v>
      </c>
      <c r="R291" s="7" t="str">
        <f t="shared" ref="R291:R354" si="1738">VLOOKUP($A291,hospital_details,8,0)</f>
        <v>R1011</v>
      </c>
    </row>
    <row r="292" spans="1:18" ht="14.4" customHeight="1" x14ac:dyDescent="0.3">
      <c r="A292" s="5" t="s">
        <v>311</v>
      </c>
      <c r="B292" s="5" t="str">
        <f>VLOOKUP($A292,[1]!Customer_Names[#Data],3,0)</f>
        <v xml:space="preserve">  Erik T</v>
      </c>
      <c r="C292" s="5">
        <v>22.88</v>
      </c>
      <c r="D292" s="5" t="str" cm="1">
        <f t="array" ref="D292">_xlfn.IFS(Healthcare!$C292&lt;18.5,"under weight",Healthcare!$C292&lt;=24.9,"Normal Weight",Healthcare!$C292&gt;=25,"overweight",Healthcare!$C292&gt;=30,"obese")</f>
        <v>Normal Weight</v>
      </c>
      <c r="E292" s="5">
        <v>5.9</v>
      </c>
      <c r="F292" s="5" t="str" cm="1">
        <f t="array" ref="F292">_xlfn.IFS(Healthcare!$E292&lt;5.7,"normal",Healthcare!$E292&lt;=6.4,"prediabetes",Healthcare!$E292&gt;=6.5,"diabetes")</f>
        <v>prediabetes</v>
      </c>
      <c r="G292" s="5" t="s">
        <v>20</v>
      </c>
      <c r="H292" s="5" t="s">
        <v>19</v>
      </c>
      <c r="I292" s="5" t="s">
        <v>29</v>
      </c>
      <c r="J292" s="5">
        <v>1</v>
      </c>
      <c r="K292" s="5" t="s">
        <v>20</v>
      </c>
      <c r="L292" s="5" t="str">
        <f>VLOOKUP(Healthcare!$A292,hospital_details,2,0)</f>
        <v>11-Sep-1969</v>
      </c>
      <c r="M292" s="5">
        <f t="shared" ref="M292:M355" ca="1" si="1739">VLOOKUP(A292,hospital_details,3,0)</f>
        <v>57</v>
      </c>
      <c r="N292" s="5">
        <f t="shared" ref="N292:N355" si="1740">VLOOKUP($A292,hospital_details,4,0)</f>
        <v>0</v>
      </c>
      <c r="O292" s="6">
        <f t="shared" ref="O292:O355" si="1741">VLOOKUP($A292,hospital_details,5,0)</f>
        <v>32192.76</v>
      </c>
      <c r="P292" s="5" t="str">
        <f t="shared" ref="P292:P355" si="1742">VLOOKUP($A292,hospital_details,6,0)</f>
        <v>tier - 1</v>
      </c>
      <c r="Q292" s="5" t="str">
        <f t="shared" ref="Q292:Q355" si="1743">VLOOKUP($A292,hospital_details,7,0)</f>
        <v>tier - 2</v>
      </c>
      <c r="R292" s="5" t="str">
        <f t="shared" ref="R292:R355" si="1744">VLOOKUP($A292,hospital_details,8,0)</f>
        <v>R1011</v>
      </c>
    </row>
    <row r="293" spans="1:18" ht="14.4" customHeight="1" x14ac:dyDescent="0.3">
      <c r="A293" s="7" t="s">
        <v>312</v>
      </c>
      <c r="B293" s="7" t="str">
        <f>VLOOKUP($A293,[1]!Customer_Names[#Data],3,0)</f>
        <v xml:space="preserve">  Rod W</v>
      </c>
      <c r="C293" s="7">
        <v>29.734999999999999</v>
      </c>
      <c r="D293" s="7" t="str" cm="1">
        <f t="array" ref="D293">_xlfn.IFS(Healthcare!$C293&lt;18.5,"under weight",Healthcare!$C293&lt;=24.9,"Normal Weight",Healthcare!$C293&gt;=25,"overweight",Healthcare!$C293&gt;=30,"obese")</f>
        <v>overweight</v>
      </c>
      <c r="E293" s="7">
        <v>7.79</v>
      </c>
      <c r="F293" s="7" t="str" cm="1">
        <f t="array" ref="F293">_xlfn.IFS(Healthcare!$E293&lt;5.7,"normal",Healthcare!$E293&lt;=6.4,"prediabetes",Healthcare!$E293&gt;=6.5,"diabetes")</f>
        <v>diabetes</v>
      </c>
      <c r="G293" s="7" t="s">
        <v>19</v>
      </c>
      <c r="H293" s="7" t="s">
        <v>19</v>
      </c>
      <c r="I293" s="7" t="s">
        <v>19</v>
      </c>
      <c r="J293" s="7">
        <v>0</v>
      </c>
      <c r="K293" s="7" t="s">
        <v>19</v>
      </c>
      <c r="L293" s="7" t="str">
        <f>VLOOKUP(Healthcare!$A293,hospital_details,2,0)</f>
        <v>10-Nov-1978</v>
      </c>
      <c r="M293" s="7">
        <f t="shared" ref="M293:M356" ca="1" si="1745">VLOOKUP(A293,hospital_details,3,0)</f>
        <v>47</v>
      </c>
      <c r="N293" s="7">
        <f t="shared" ref="N293:N356" si="1746">VLOOKUP($A293,hospital_details,4,0)</f>
        <v>2</v>
      </c>
      <c r="O293" s="8">
        <f t="shared" ref="O293:O356" si="1747">VLOOKUP($A293,hospital_details,5,0)</f>
        <v>32108.66</v>
      </c>
      <c r="P293" s="7" t="str">
        <f t="shared" ref="P293:P356" si="1748">VLOOKUP($A293,hospital_details,6,0)</f>
        <v>tier - 1</v>
      </c>
      <c r="Q293" s="7" t="str">
        <f t="shared" ref="Q293:Q356" si="1749">VLOOKUP($A293,hospital_details,7,0)</f>
        <v>tier - 3</v>
      </c>
      <c r="R293" s="7" t="str">
        <f t="shared" ref="R293:R356" si="1750">VLOOKUP($A293,hospital_details,8,0)</f>
        <v>R1017</v>
      </c>
    </row>
    <row r="294" spans="1:18" ht="14.4" customHeight="1" x14ac:dyDescent="0.3">
      <c r="A294" s="5" t="s">
        <v>313</v>
      </c>
      <c r="B294" s="5" t="str">
        <f>VLOOKUP($A294,[1]!Customer_Names[#Data],3,0)</f>
        <v xml:space="preserve">  Joey</v>
      </c>
      <c r="C294" s="5">
        <v>40.74</v>
      </c>
      <c r="D294" s="5" t="str" cm="1">
        <f t="array" ref="D294">_xlfn.IFS(Healthcare!$C294&lt;18.5,"under weight",Healthcare!$C294&lt;=24.9,"Normal Weight",Healthcare!$C294&gt;=25,"overweight",Healthcare!$C294&gt;=30,"obese")</f>
        <v>overweight</v>
      </c>
      <c r="E294" s="5">
        <v>5.28</v>
      </c>
      <c r="F294" s="5" t="str" cm="1">
        <f t="array" ref="F294">_xlfn.IFS(Healthcare!$E294&lt;5.7,"normal",Healthcare!$E294&lt;=6.4,"prediabetes",Healthcare!$E294&gt;=6.5,"diabetes")</f>
        <v>normal</v>
      </c>
      <c r="G294" s="5" t="s">
        <v>19</v>
      </c>
      <c r="H294" s="5" t="s">
        <v>19</v>
      </c>
      <c r="I294" s="5" t="s">
        <v>29</v>
      </c>
      <c r="J294" s="5">
        <v>1</v>
      </c>
      <c r="K294" s="5" t="s">
        <v>20</v>
      </c>
      <c r="L294" s="5" t="str">
        <f>VLOOKUP(Healthcare!$A294,hospital_details,2,0)</f>
        <v>13-Sep-1993</v>
      </c>
      <c r="M294" s="5">
        <f t="shared" ref="M294:M357" ca="1" si="1751">VLOOKUP(A294,hospital_details,3,0)</f>
        <v>33</v>
      </c>
      <c r="N294" s="5">
        <f t="shared" ref="N294:N357" si="1752">VLOOKUP($A294,hospital_details,4,0)</f>
        <v>0</v>
      </c>
      <c r="O294" s="6">
        <f t="shared" ref="O294:O357" si="1753">VLOOKUP($A294,hospital_details,5,0)</f>
        <v>32086.21</v>
      </c>
      <c r="P294" s="5" t="str">
        <f t="shared" ref="P294:P357" si="1754">VLOOKUP($A294,hospital_details,6,0)</f>
        <v>tier - 1</v>
      </c>
      <c r="Q294" s="5" t="str">
        <f t="shared" ref="Q294:Q357" si="1755">VLOOKUP($A294,hospital_details,7,0)</f>
        <v>tier - 3</v>
      </c>
      <c r="R294" s="5" t="str">
        <f t="shared" ref="R294:R357" si="1756">VLOOKUP($A294,hospital_details,8,0)</f>
        <v>R1011</v>
      </c>
    </row>
    <row r="295" spans="1:18" ht="14.4" customHeight="1" x14ac:dyDescent="0.3">
      <c r="A295" s="7" t="s">
        <v>314</v>
      </c>
      <c r="B295" s="7" t="str">
        <f>VLOOKUP($A295,[1]!Customer_Names[#Data],3,0)</f>
        <v xml:space="preserve">  Hillary L</v>
      </c>
      <c r="C295" s="7">
        <v>24.14</v>
      </c>
      <c r="D295" s="7" t="str" cm="1">
        <f t="array" ref="D295">_xlfn.IFS(Healthcare!$C295&lt;18.5,"under weight",Healthcare!$C295&lt;=24.9,"Normal Weight",Healthcare!$C295&gt;=25,"overweight",Healthcare!$C295&gt;=30,"obese")</f>
        <v>Normal Weight</v>
      </c>
      <c r="E295" s="7">
        <v>5.87</v>
      </c>
      <c r="F295" s="7" t="str" cm="1">
        <f t="array" ref="F295">_xlfn.IFS(Healthcare!$E295&lt;5.7,"normal",Healthcare!$E295&lt;=6.4,"prediabetes",Healthcare!$E295&gt;=6.5,"diabetes")</f>
        <v>prediabetes</v>
      </c>
      <c r="G295" s="7" t="s">
        <v>19</v>
      </c>
      <c r="H295" s="7" t="s">
        <v>19</v>
      </c>
      <c r="I295" s="7" t="s">
        <v>19</v>
      </c>
      <c r="J295" s="7">
        <v>2</v>
      </c>
      <c r="K295" s="7" t="s">
        <v>20</v>
      </c>
      <c r="L295" s="7" t="str">
        <f>VLOOKUP(Healthcare!$A295,hospital_details,2,0)</f>
        <v>21-Sep-1972</v>
      </c>
      <c r="M295" s="7">
        <f t="shared" ref="M295:M358" ca="1" si="1757">VLOOKUP(A295,hospital_details,3,0)</f>
        <v>54</v>
      </c>
      <c r="N295" s="7">
        <f t="shared" ref="N295:N358" si="1758">VLOOKUP($A295,hospital_details,4,0)</f>
        <v>0</v>
      </c>
      <c r="O295" s="8">
        <f t="shared" ref="O295:O358" si="1759">VLOOKUP($A295,hospital_details,5,0)</f>
        <v>31980.89</v>
      </c>
      <c r="P295" s="7" t="str">
        <f t="shared" ref="P295:P358" si="1760">VLOOKUP($A295,hospital_details,6,0)</f>
        <v>tier - 2</v>
      </c>
      <c r="Q295" s="7" t="str">
        <f t="shared" ref="Q295:Q358" si="1761">VLOOKUP($A295,hospital_details,7,0)</f>
        <v>tier - 1</v>
      </c>
      <c r="R295" s="7" t="str">
        <f t="shared" ref="R295:R358" si="1762">VLOOKUP($A295,hospital_details,8,0)</f>
        <v>R1011</v>
      </c>
    </row>
    <row r="296" spans="1:18" ht="14.4" customHeight="1" x14ac:dyDescent="0.3">
      <c r="A296" s="5" t="s">
        <v>315</v>
      </c>
      <c r="B296" s="5" t="str">
        <f>VLOOKUP($A296,[1]!Customer_Names[#Data],3,0)</f>
        <v xml:space="preserve">  Eric J</v>
      </c>
      <c r="C296" s="5">
        <v>25.15</v>
      </c>
      <c r="D296" s="5" t="str" cm="1">
        <f t="array" ref="D296">_xlfn.IFS(Healthcare!$C296&lt;18.5,"under weight",Healthcare!$C296&lt;=24.9,"Normal Weight",Healthcare!$C296&gt;=25,"overweight",Healthcare!$C296&gt;=30,"obese")</f>
        <v>overweight</v>
      </c>
      <c r="E296" s="5">
        <v>9.08</v>
      </c>
      <c r="F296" s="5" t="str" cm="1">
        <f t="array" ref="F296">_xlfn.IFS(Healthcare!$E296&lt;5.7,"normal",Healthcare!$E296&lt;=6.4,"prediabetes",Healthcare!$E296&gt;=6.5,"diabetes")</f>
        <v>diabetes</v>
      </c>
      <c r="G296" s="5" t="s">
        <v>20</v>
      </c>
      <c r="H296" s="5" t="s">
        <v>19</v>
      </c>
      <c r="I296" s="5" t="s">
        <v>19</v>
      </c>
      <c r="J296" s="5">
        <v>1</v>
      </c>
      <c r="K296" s="5" t="s">
        <v>20</v>
      </c>
      <c r="L296" s="5" t="str">
        <f>VLOOKUP(Healthcare!$A296,hospital_details,2,0)</f>
        <v>25-Sep-1975</v>
      </c>
      <c r="M296" s="5">
        <f t="shared" ref="M296:M359" ca="1" si="1763">VLOOKUP(A296,hospital_details,3,0)</f>
        <v>51</v>
      </c>
      <c r="N296" s="5">
        <f t="shared" ref="N296:N359" si="1764">VLOOKUP($A296,hospital_details,4,0)</f>
        <v>1</v>
      </c>
      <c r="O296" s="6">
        <f t="shared" ref="O296:O359" si="1765">VLOOKUP($A296,hospital_details,5,0)</f>
        <v>31897.1</v>
      </c>
      <c r="P296" s="5" t="str">
        <f t="shared" ref="P296:P359" si="1766">VLOOKUP($A296,hospital_details,6,0)</f>
        <v>tier - 2</v>
      </c>
      <c r="Q296" s="5" t="str">
        <f t="shared" ref="Q296:Q359" si="1767">VLOOKUP($A296,hospital_details,7,0)</f>
        <v>tier - 3</v>
      </c>
      <c r="R296" s="5" t="str">
        <f t="shared" ref="R296:R359" si="1768">VLOOKUP($A296,hospital_details,8,0)</f>
        <v>R1011</v>
      </c>
    </row>
    <row r="297" spans="1:18" ht="14.4" customHeight="1" x14ac:dyDescent="0.3">
      <c r="A297" s="7" t="s">
        <v>316</v>
      </c>
      <c r="B297" s="7" t="str">
        <f>VLOOKUP($A297,[1]!Customer_Names[#Data],3,0)</f>
        <v xml:space="preserve">  Nicolas</v>
      </c>
      <c r="C297" s="7">
        <v>28.71</v>
      </c>
      <c r="D297" s="7" t="str" cm="1">
        <f t="array" ref="D297">_xlfn.IFS(Healthcare!$C297&lt;18.5,"under weight",Healthcare!$C297&lt;=24.9,"Normal Weight",Healthcare!$C297&gt;=25,"overweight",Healthcare!$C297&gt;=30,"obese")</f>
        <v>overweight</v>
      </c>
      <c r="E297" s="7">
        <v>5.2</v>
      </c>
      <c r="F297" s="7" t="str" cm="1">
        <f t="array" ref="F297">_xlfn.IFS(Healthcare!$E297&lt;5.7,"normal",Healthcare!$E297&lt;=6.4,"prediabetes",Healthcare!$E297&gt;=6.5,"diabetes")</f>
        <v>normal</v>
      </c>
      <c r="G297" s="7" t="s">
        <v>19</v>
      </c>
      <c r="H297" s="7" t="s">
        <v>19</v>
      </c>
      <c r="I297" s="7" t="s">
        <v>19</v>
      </c>
      <c r="J297" s="7">
        <v>1</v>
      </c>
      <c r="K297" s="7" t="s">
        <v>20</v>
      </c>
      <c r="L297" s="7" t="str">
        <f>VLOOKUP(Healthcare!$A297,hospital_details,2,0)</f>
        <v>10-Sep-1984</v>
      </c>
      <c r="M297" s="7">
        <f t="shared" ref="M297:M360" ca="1" si="1769">VLOOKUP(A297,hospital_details,3,0)</f>
        <v>42</v>
      </c>
      <c r="N297" s="7">
        <f t="shared" ref="N297:N360" si="1770">VLOOKUP($A297,hospital_details,4,0)</f>
        <v>3</v>
      </c>
      <c r="O297" s="8">
        <f t="shared" ref="O297:O360" si="1771">VLOOKUP($A297,hospital_details,5,0)</f>
        <v>31743.919999999998</v>
      </c>
      <c r="P297" s="7" t="str">
        <f t="shared" ref="P297:P360" si="1772">VLOOKUP($A297,hospital_details,6,0)</f>
        <v>tier - 2</v>
      </c>
      <c r="Q297" s="7" t="str">
        <f t="shared" ref="Q297:Q360" si="1773">VLOOKUP($A297,hospital_details,7,0)</f>
        <v>tier - 1</v>
      </c>
      <c r="R297" s="7" t="str">
        <f t="shared" ref="R297:R360" si="1774">VLOOKUP($A297,hospital_details,8,0)</f>
        <v>R1011</v>
      </c>
    </row>
    <row r="298" spans="1:18" ht="14.4" customHeight="1" x14ac:dyDescent="0.3">
      <c r="A298" s="5" t="s">
        <v>317</v>
      </c>
      <c r="B298" s="5" t="str">
        <f>VLOOKUP($A298,[1]!Customer_Names[#Data],3,0)</f>
        <v xml:space="preserve">  Marcel</v>
      </c>
      <c r="C298" s="5">
        <v>23</v>
      </c>
      <c r="D298" s="5" t="str" cm="1">
        <f t="array" ref="D298">_xlfn.IFS(Healthcare!$C298&lt;18.5,"under weight",Healthcare!$C298&lt;=24.9,"Normal Weight",Healthcare!$C298&gt;=25,"overweight",Healthcare!$C298&gt;=30,"obese")</f>
        <v>Normal Weight</v>
      </c>
      <c r="E298" s="5">
        <v>5.48</v>
      </c>
      <c r="F298" s="5" t="str" cm="1">
        <f t="array" ref="F298">_xlfn.IFS(Healthcare!$E298&lt;5.7,"normal",Healthcare!$E298&lt;=6.4,"prediabetes",Healthcare!$E298&gt;=6.5,"diabetes")</f>
        <v>normal</v>
      </c>
      <c r="G298" s="5" t="s">
        <v>19</v>
      </c>
      <c r="H298" s="5" t="s">
        <v>19</v>
      </c>
      <c r="I298" s="5" t="s">
        <v>19</v>
      </c>
      <c r="J298" s="5">
        <v>0</v>
      </c>
      <c r="K298" s="5" t="s">
        <v>20</v>
      </c>
      <c r="L298" s="5" t="str">
        <f>VLOOKUP(Healthcare!$A298,hospital_details,2,0)</f>
        <v>14-Oct-1977</v>
      </c>
      <c r="M298" s="5">
        <f t="shared" ref="M298:M361" ca="1" si="1775">VLOOKUP(A298,hospital_details,3,0)</f>
        <v>49</v>
      </c>
      <c r="N298" s="5">
        <f t="shared" ref="N298:N361" si="1776">VLOOKUP($A298,hospital_details,4,0)</f>
        <v>2</v>
      </c>
      <c r="O298" s="6">
        <f t="shared" ref="O298:O361" si="1777">VLOOKUP($A298,hospital_details,5,0)</f>
        <v>31736.7</v>
      </c>
      <c r="P298" s="5" t="str">
        <f t="shared" ref="P298:P361" si="1778">VLOOKUP($A298,hospital_details,6,0)</f>
        <v>tier - 2</v>
      </c>
      <c r="Q298" s="5" t="str">
        <f t="shared" ref="Q298:Q361" si="1779">VLOOKUP($A298,hospital_details,7,0)</f>
        <v>tier - 2</v>
      </c>
      <c r="R298" s="5" t="str">
        <f t="shared" ref="R298:R361" si="1780">VLOOKUP($A298,hospital_details,8,0)</f>
        <v>R1012</v>
      </c>
    </row>
    <row r="299" spans="1:18" ht="14.4" customHeight="1" x14ac:dyDescent="0.3">
      <c r="A299" s="7" t="s">
        <v>318</v>
      </c>
      <c r="B299" s="7" t="str">
        <f>VLOOKUP($A299,[1]!Customer_Names[#Data],3,0)</f>
        <v xml:space="preserve">  Ashley N</v>
      </c>
      <c r="C299" s="7">
        <v>36.86</v>
      </c>
      <c r="D299" s="7" t="str" cm="1">
        <f t="array" ref="D299">_xlfn.IFS(Healthcare!$C299&lt;18.5,"under weight",Healthcare!$C299&lt;=24.9,"Normal Weight",Healthcare!$C299&gt;=25,"overweight",Healthcare!$C299&gt;=30,"obese")</f>
        <v>overweight</v>
      </c>
      <c r="E299" s="7">
        <v>11.95</v>
      </c>
      <c r="F299" s="7" t="str" cm="1">
        <f t="array" ref="F299">_xlfn.IFS(Healthcare!$E299&lt;5.7,"normal",Healthcare!$E299&lt;=6.4,"prediabetes",Healthcare!$E299&gt;=6.5,"diabetes")</f>
        <v>diabetes</v>
      </c>
      <c r="G299" s="7" t="s">
        <v>19</v>
      </c>
      <c r="H299" s="7" t="s">
        <v>19</v>
      </c>
      <c r="I299" s="7" t="s">
        <v>19</v>
      </c>
      <c r="J299" s="7">
        <v>0</v>
      </c>
      <c r="K299" s="7" t="s">
        <v>19</v>
      </c>
      <c r="L299" s="7" t="str">
        <f>VLOOKUP(Healthcare!$A299,hospital_details,2,0)</f>
        <v>13-Dec-1960</v>
      </c>
      <c r="M299" s="7">
        <f t="shared" ref="M299:M362" ca="1" si="1781">VLOOKUP(A299,hospital_details,3,0)</f>
        <v>65</v>
      </c>
      <c r="N299" s="7">
        <f t="shared" ref="N299:N362" si="1782">VLOOKUP($A299,hospital_details,4,0)</f>
        <v>1</v>
      </c>
      <c r="O299" s="8">
        <f t="shared" ref="O299:O362" si="1783">VLOOKUP($A299,hospital_details,5,0)</f>
        <v>31620</v>
      </c>
      <c r="P299" s="7" t="str">
        <f t="shared" ref="P299:P362" si="1784">VLOOKUP($A299,hospital_details,6,0)</f>
        <v>tier - 2</v>
      </c>
      <c r="Q299" s="7" t="str">
        <f t="shared" ref="Q299:Q362" si="1785">VLOOKUP($A299,hospital_details,7,0)</f>
        <v>tier - 1</v>
      </c>
      <c r="R299" s="7" t="str">
        <f t="shared" ref="R299:R362" si="1786">VLOOKUP($A299,hospital_details,8,0)</f>
        <v>R1024</v>
      </c>
    </row>
    <row r="300" spans="1:18" ht="14.4" customHeight="1" x14ac:dyDescent="0.3">
      <c r="A300" s="5" t="s">
        <v>319</v>
      </c>
      <c r="B300" s="5" t="str">
        <f>VLOOKUP($A300,[1]!Customer_Names[#Data],3,0)</f>
        <v xml:space="preserve">  Evan D</v>
      </c>
      <c r="C300" s="5">
        <v>24.25</v>
      </c>
      <c r="D300" s="5" t="str" cm="1">
        <f t="array" ref="D300">_xlfn.IFS(Healthcare!$C300&lt;18.5,"under weight",Healthcare!$C300&lt;=24.9,"Normal Weight",Healthcare!$C300&gt;=25,"overweight",Healthcare!$C300&gt;=30,"obese")</f>
        <v>Normal Weight</v>
      </c>
      <c r="E300" s="5">
        <v>8.6999999999999993</v>
      </c>
      <c r="F300" s="5" t="str" cm="1">
        <f t="array" ref="F300">_xlfn.IFS(Healthcare!$E300&lt;5.7,"normal",Healthcare!$E300&lt;=6.4,"prediabetes",Healthcare!$E300&gt;=6.5,"diabetes")</f>
        <v>diabetes</v>
      </c>
      <c r="G300" s="5" t="s">
        <v>20</v>
      </c>
      <c r="H300" s="5" t="s">
        <v>19</v>
      </c>
      <c r="I300" s="5" t="s">
        <v>19</v>
      </c>
      <c r="J300" s="5">
        <v>1</v>
      </c>
      <c r="K300" s="5" t="s">
        <v>20</v>
      </c>
      <c r="L300" s="5" t="str">
        <f>VLOOKUP(Healthcare!$A300,hospital_details,2,0)</f>
        <v>29-Oct-1975</v>
      </c>
      <c r="M300" s="5">
        <f t="shared" ref="M300:M363" ca="1" si="1787">VLOOKUP(A300,hospital_details,3,0)</f>
        <v>50</v>
      </c>
      <c r="N300" s="5">
        <f t="shared" ref="N300:N363" si="1788">VLOOKUP($A300,hospital_details,4,0)</f>
        <v>1</v>
      </c>
      <c r="O300" s="6">
        <f t="shared" ref="O300:O363" si="1789">VLOOKUP($A300,hospital_details,5,0)</f>
        <v>31591.82</v>
      </c>
      <c r="P300" s="5" t="str">
        <f t="shared" ref="P300:P363" si="1790">VLOOKUP($A300,hospital_details,6,0)</f>
        <v>tier - 2</v>
      </c>
      <c r="Q300" s="5" t="str">
        <f t="shared" ref="Q300:Q363" si="1791">VLOOKUP($A300,hospital_details,7,0)</f>
        <v>tier - 1</v>
      </c>
      <c r="R300" s="5" t="str">
        <f t="shared" ref="R300:R363" si="1792">VLOOKUP($A300,hospital_details,8,0)</f>
        <v>R1011</v>
      </c>
    </row>
    <row r="301" spans="1:18" ht="14.4" customHeight="1" x14ac:dyDescent="0.3">
      <c r="A301" s="7" t="s">
        <v>320</v>
      </c>
      <c r="B301" s="7" t="str">
        <f>VLOOKUP($A301,[1]!Customer_Names[#Data],3,0)</f>
        <v xml:space="preserve">  Krisana</v>
      </c>
      <c r="C301" s="7">
        <v>23.85</v>
      </c>
      <c r="D301" s="7" t="str" cm="1">
        <f t="array" ref="D301">_xlfn.IFS(Healthcare!$C301&lt;18.5,"under weight",Healthcare!$C301&lt;=24.9,"Normal Weight",Healthcare!$C301&gt;=25,"overweight",Healthcare!$C301&gt;=30,"obese")</f>
        <v>Normal Weight</v>
      </c>
      <c r="E301" s="7">
        <v>7.84</v>
      </c>
      <c r="F301" s="7" t="str" cm="1">
        <f t="array" ref="F301">_xlfn.IFS(Healthcare!$E301&lt;5.7,"normal",Healthcare!$E301&lt;=6.4,"prediabetes",Healthcare!$E301&gt;=6.5,"diabetes")</f>
        <v>diabetes</v>
      </c>
      <c r="G301" s="7" t="s">
        <v>19</v>
      </c>
      <c r="H301" s="7" t="s">
        <v>19</v>
      </c>
      <c r="I301" s="7" t="s">
        <v>19</v>
      </c>
      <c r="J301" s="7">
        <v>0</v>
      </c>
      <c r="K301" s="7" t="s">
        <v>20</v>
      </c>
      <c r="L301" s="7" t="str">
        <f>VLOOKUP(Healthcare!$A301,hospital_details,2,0)</f>
        <v>8-Oct-1974</v>
      </c>
      <c r="M301" s="7">
        <f t="shared" ref="M301:M364" ca="1" si="1793">VLOOKUP(A301,hospital_details,3,0)</f>
        <v>52</v>
      </c>
      <c r="N301" s="7">
        <f t="shared" ref="N301:N364" si="1794">VLOOKUP($A301,hospital_details,4,0)</f>
        <v>0</v>
      </c>
      <c r="O301" s="8">
        <f t="shared" ref="O301:O364" si="1795">VLOOKUP($A301,hospital_details,5,0)</f>
        <v>31368.81</v>
      </c>
      <c r="P301" s="7" t="str">
        <f t="shared" ref="P301:P364" si="1796">VLOOKUP($A301,hospital_details,6,0)</f>
        <v>tier - 2</v>
      </c>
      <c r="Q301" s="7" t="str">
        <f t="shared" ref="Q301:Q364" si="1797">VLOOKUP($A301,hospital_details,7,0)</f>
        <v>tier - 3</v>
      </c>
      <c r="R301" s="7" t="str">
        <f t="shared" ref="R301:R364" si="1798">VLOOKUP($A301,hospital_details,8,0)</f>
        <v>R1011</v>
      </c>
    </row>
    <row r="302" spans="1:18" ht="14.4" customHeight="1" x14ac:dyDescent="0.3">
      <c r="A302" s="5" t="s">
        <v>321</v>
      </c>
      <c r="B302" s="5" t="str">
        <f>VLOOKUP($A302,[1]!Customer_Names[#Data],3,0)</f>
        <v xml:space="preserve">  Kyle</v>
      </c>
      <c r="C302" s="5">
        <v>40.020000000000003</v>
      </c>
      <c r="D302" s="5" t="str" cm="1">
        <f t="array" ref="D302">_xlfn.IFS(Healthcare!$C302&lt;18.5,"under weight",Healthcare!$C302&lt;=24.9,"Normal Weight",Healthcare!$C302&gt;=25,"overweight",Healthcare!$C302&gt;=30,"obese")</f>
        <v>overweight</v>
      </c>
      <c r="E302" s="5">
        <v>5.19</v>
      </c>
      <c r="F302" s="5" t="str" cm="1">
        <f t="array" ref="F302">_xlfn.IFS(Healthcare!$E302&lt;5.7,"normal",Healthcare!$E302&lt;=6.4,"prediabetes",Healthcare!$E302&gt;=6.5,"diabetes")</f>
        <v>normal</v>
      </c>
      <c r="G302" s="5" t="s">
        <v>20</v>
      </c>
      <c r="H302" s="5" t="s">
        <v>19</v>
      </c>
      <c r="I302" s="5" t="s">
        <v>19</v>
      </c>
      <c r="J302" s="5">
        <v>1</v>
      </c>
      <c r="K302" s="5" t="s">
        <v>20</v>
      </c>
      <c r="L302" s="5" t="str">
        <f>VLOOKUP(Healthcare!$A302,hospital_details,2,0)</f>
        <v>27-Sep-1995</v>
      </c>
      <c r="M302" s="5">
        <f t="shared" ref="M302:M365" ca="1" si="1799">VLOOKUP(A302,hospital_details,3,0)</f>
        <v>31</v>
      </c>
      <c r="N302" s="5">
        <f t="shared" ref="N302:N365" si="1800">VLOOKUP($A302,hospital_details,4,0)</f>
        <v>0</v>
      </c>
      <c r="O302" s="6">
        <f t="shared" ref="O302:O365" si="1801">VLOOKUP($A302,hospital_details,5,0)</f>
        <v>31328.27</v>
      </c>
      <c r="P302" s="5" t="str">
        <f t="shared" ref="P302:P365" si="1802">VLOOKUP($A302,hospital_details,6,0)</f>
        <v>tier - 2</v>
      </c>
      <c r="Q302" s="5" t="str">
        <f t="shared" ref="Q302:Q365" si="1803">VLOOKUP($A302,hospital_details,7,0)</f>
        <v>tier - 2</v>
      </c>
      <c r="R302" s="5" t="str">
        <f t="shared" ref="R302:R365" si="1804">VLOOKUP($A302,hospital_details,8,0)</f>
        <v>R1011</v>
      </c>
    </row>
    <row r="303" spans="1:18" ht="14.4" customHeight="1" x14ac:dyDescent="0.3">
      <c r="A303" s="7" t="s">
        <v>322</v>
      </c>
      <c r="B303" s="7" t="str">
        <f>VLOOKUP($A303,[1]!Customer_Names[#Data],3,0)</f>
        <v xml:space="preserve">  Kate</v>
      </c>
      <c r="C303" s="7">
        <v>19.170000000000002</v>
      </c>
      <c r="D303" s="7" t="str" cm="1">
        <f t="array" ref="D303">_xlfn.IFS(Healthcare!$C303&lt;18.5,"under weight",Healthcare!$C303&lt;=24.9,"Normal Weight",Healthcare!$C303&gt;=25,"overweight",Healthcare!$C303&gt;=30,"obese")</f>
        <v>Normal Weight</v>
      </c>
      <c r="E303" s="7">
        <v>8.41</v>
      </c>
      <c r="F303" s="7" t="str" cm="1">
        <f t="array" ref="F303">_xlfn.IFS(Healthcare!$E303&lt;5.7,"normal",Healthcare!$E303&lt;=6.4,"prediabetes",Healthcare!$E303&gt;=6.5,"diabetes")</f>
        <v>diabetes</v>
      </c>
      <c r="G303" s="7" t="s">
        <v>19</v>
      </c>
      <c r="H303" s="7" t="s">
        <v>19</v>
      </c>
      <c r="I303" s="7" t="s">
        <v>19</v>
      </c>
      <c r="J303" s="7">
        <v>0</v>
      </c>
      <c r="K303" s="7" t="s">
        <v>20</v>
      </c>
      <c r="L303" s="7" t="str">
        <f>VLOOKUP(Healthcare!$A303,hospital_details,2,0)</f>
        <v>9-Jul-1968</v>
      </c>
      <c r="M303" s="7">
        <f t="shared" ref="M303:M366" ca="1" si="1805">VLOOKUP(A303,hospital_details,3,0)</f>
        <v>58</v>
      </c>
      <c r="N303" s="7">
        <f t="shared" ref="N303:N366" si="1806">VLOOKUP($A303,hospital_details,4,0)</f>
        <v>0</v>
      </c>
      <c r="O303" s="8">
        <f t="shared" ref="O303:O366" si="1807">VLOOKUP($A303,hospital_details,5,0)</f>
        <v>31322.53</v>
      </c>
      <c r="P303" s="7" t="str">
        <f t="shared" ref="P303:P366" si="1808">VLOOKUP($A303,hospital_details,6,0)</f>
        <v>tier - 2</v>
      </c>
      <c r="Q303" s="7" t="str">
        <f t="shared" ref="Q303:Q366" si="1809">VLOOKUP($A303,hospital_details,7,0)</f>
        <v>tier - 1</v>
      </c>
      <c r="R303" s="7" t="str">
        <f t="shared" ref="R303:R366" si="1810">VLOOKUP($A303,hospital_details,8,0)</f>
        <v>R1011</v>
      </c>
    </row>
    <row r="304" spans="1:18" ht="14.4" customHeight="1" x14ac:dyDescent="0.3">
      <c r="A304" s="5" t="s">
        <v>323</v>
      </c>
      <c r="B304" s="5" t="str">
        <f>VLOOKUP($A304,[1]!Customer_Names[#Data],3,0)</f>
        <v xml:space="preserve">  Martin A</v>
      </c>
      <c r="C304" s="5">
        <v>43.53</v>
      </c>
      <c r="D304" s="5" t="str" cm="1">
        <f t="array" ref="D304">_xlfn.IFS(Healthcare!$C304&lt;18.5,"under weight",Healthcare!$C304&lt;=24.9,"Normal Weight",Healthcare!$C304&gt;=25,"overweight",Healthcare!$C304&gt;=30,"obese")</f>
        <v>overweight</v>
      </c>
      <c r="E304" s="5">
        <v>5.86</v>
      </c>
      <c r="F304" s="5" t="str" cm="1">
        <f t="array" ref="F304">_xlfn.IFS(Healthcare!$E304&lt;5.7,"normal",Healthcare!$E304&lt;=6.4,"prediabetes",Healthcare!$E304&gt;=6.5,"diabetes")</f>
        <v>prediabetes</v>
      </c>
      <c r="G304" s="5" t="s">
        <v>20</v>
      </c>
      <c r="H304" s="5" t="s">
        <v>20</v>
      </c>
      <c r="I304" s="5" t="s">
        <v>19</v>
      </c>
      <c r="J304" s="5">
        <v>2</v>
      </c>
      <c r="K304" s="5" t="s">
        <v>20</v>
      </c>
      <c r="L304" s="5" t="str">
        <f>VLOOKUP(Healthcare!$A304,hospital_details,2,0)</f>
        <v>22-Jul-2000</v>
      </c>
      <c r="M304" s="5">
        <f t="shared" ref="M304:M367" ca="1" si="1811">VLOOKUP(A304,hospital_details,3,0)</f>
        <v>26</v>
      </c>
      <c r="N304" s="5">
        <f t="shared" ref="N304:N367" si="1812">VLOOKUP($A304,hospital_details,4,0)</f>
        <v>0</v>
      </c>
      <c r="O304" s="6">
        <f t="shared" ref="O304:O367" si="1813">VLOOKUP($A304,hospital_details,5,0)</f>
        <v>31234.560000000001</v>
      </c>
      <c r="P304" s="5" t="str">
        <f t="shared" ref="P304:P367" si="1814">VLOOKUP($A304,hospital_details,6,0)</f>
        <v>tier - 1</v>
      </c>
      <c r="Q304" s="5" t="str">
        <f t="shared" ref="Q304:Q367" si="1815">VLOOKUP($A304,hospital_details,7,0)</f>
        <v>tier - 1</v>
      </c>
      <c r="R304" s="5" t="str">
        <f t="shared" ref="R304:R367" si="1816">VLOOKUP($A304,hospital_details,8,0)</f>
        <v>R1011</v>
      </c>
    </row>
    <row r="305" spans="1:18" ht="14.4" customHeight="1" x14ac:dyDescent="0.3">
      <c r="A305" s="7" t="s">
        <v>324</v>
      </c>
      <c r="B305" s="7" t="str">
        <f>VLOOKUP($A305,[1]!Customer_Names[#Data],3,0)</f>
        <v xml:space="preserve">  Stacey</v>
      </c>
      <c r="C305" s="7">
        <v>46.06</v>
      </c>
      <c r="D305" s="7" t="str" cm="1">
        <f t="array" ref="D305">_xlfn.IFS(Healthcare!$C305&lt;18.5,"under weight",Healthcare!$C305&lt;=24.9,"Normal Weight",Healthcare!$C305&gt;=25,"overweight",Healthcare!$C305&gt;=30,"obese")</f>
        <v>overweight</v>
      </c>
      <c r="E305" s="7">
        <v>4.18</v>
      </c>
      <c r="F305" s="7" t="str" cm="1">
        <f t="array" ref="F305">_xlfn.IFS(Healthcare!$E305&lt;5.7,"normal",Healthcare!$E305&lt;=6.4,"prediabetes",Healthcare!$E305&gt;=6.5,"diabetes")</f>
        <v>normal</v>
      </c>
      <c r="G305" s="7" t="s">
        <v>19</v>
      </c>
      <c r="H305" s="7" t="s">
        <v>20</v>
      </c>
      <c r="I305" s="7" t="s">
        <v>19</v>
      </c>
      <c r="J305" s="7">
        <v>1</v>
      </c>
      <c r="K305" s="7" t="s">
        <v>20</v>
      </c>
      <c r="L305" s="7" t="str">
        <f>VLOOKUP(Healthcare!$A305,hospital_details,2,0)</f>
        <v>9-Nov-2004</v>
      </c>
      <c r="M305" s="7">
        <f t="shared" ref="M305:M368" ca="1" si="1817">VLOOKUP(A305,hospital_details,3,0)</f>
        <v>21</v>
      </c>
      <c r="N305" s="7">
        <f t="shared" ref="N305:N368" si="1818">VLOOKUP($A305,hospital_details,4,0)</f>
        <v>0</v>
      </c>
      <c r="O305" s="8">
        <f t="shared" ref="O305:O368" si="1819">VLOOKUP($A305,hospital_details,5,0)</f>
        <v>31196.61</v>
      </c>
      <c r="P305" s="7" t="str">
        <f t="shared" ref="P305:P368" si="1820">VLOOKUP($A305,hospital_details,6,0)</f>
        <v>tier - 2</v>
      </c>
      <c r="Q305" s="7" t="str">
        <f t="shared" ref="Q305:Q368" si="1821">VLOOKUP($A305,hospital_details,7,0)</f>
        <v>tier - 1</v>
      </c>
      <c r="R305" s="7" t="str">
        <f t="shared" ref="R305:R368" si="1822">VLOOKUP($A305,hospital_details,8,0)</f>
        <v>R1011</v>
      </c>
    </row>
    <row r="306" spans="1:18" ht="14.4" customHeight="1" x14ac:dyDescent="0.3">
      <c r="A306" s="5" t="s">
        <v>325</v>
      </c>
      <c r="B306" s="5" t="str">
        <f>VLOOKUP($A306,[1]!Customer_Names[#Data],3,0)</f>
        <v xml:space="preserve">  Christine</v>
      </c>
      <c r="C306" s="5">
        <v>29.92</v>
      </c>
      <c r="D306" s="5" t="str" cm="1">
        <f t="array" ref="D306">_xlfn.IFS(Healthcare!$C306&lt;18.5,"under weight",Healthcare!$C306&lt;=24.9,"Normal Weight",Healthcare!$C306&gt;=25,"overweight",Healthcare!$C306&gt;=30,"obese")</f>
        <v>overweight</v>
      </c>
      <c r="E306" s="5">
        <v>11.99</v>
      </c>
      <c r="F306" s="5" t="str" cm="1">
        <f t="array" ref="F306">_xlfn.IFS(Healthcare!$E306&lt;5.7,"normal",Healthcare!$E306&lt;=6.4,"prediabetes",Healthcare!$E306&gt;=6.5,"diabetes")</f>
        <v>diabetes</v>
      </c>
      <c r="G306" s="5" t="s">
        <v>20</v>
      </c>
      <c r="H306" s="5" t="s">
        <v>19</v>
      </c>
      <c r="I306" s="5" t="s">
        <v>19</v>
      </c>
      <c r="J306" s="5">
        <v>2</v>
      </c>
      <c r="K306" s="5" t="s">
        <v>20</v>
      </c>
      <c r="L306" s="5" t="str">
        <f>VLOOKUP(Healthcare!$A306,hospital_details,2,0)</f>
        <v>9-Sep-1961</v>
      </c>
      <c r="M306" s="5">
        <f t="shared" ref="M306:M369" ca="1" si="1823">VLOOKUP(A306,hospital_details,3,0)</f>
        <v>65</v>
      </c>
      <c r="N306" s="5">
        <f t="shared" ref="N306:N369" si="1824">VLOOKUP($A306,hospital_details,4,0)</f>
        <v>3</v>
      </c>
      <c r="O306" s="6">
        <f t="shared" ref="O306:O369" si="1825">VLOOKUP($A306,hospital_details,5,0)</f>
        <v>30942.19</v>
      </c>
      <c r="P306" s="5" t="str">
        <f t="shared" ref="P306:P369" si="1826">VLOOKUP($A306,hospital_details,6,0)</f>
        <v>tier - 2</v>
      </c>
      <c r="Q306" s="5" t="str">
        <f t="shared" ref="Q306:Q369" si="1827">VLOOKUP($A306,hospital_details,7,0)</f>
        <v>tier - 2</v>
      </c>
      <c r="R306" s="5" t="str">
        <f t="shared" ref="R306:R369" si="1828">VLOOKUP($A306,hospital_details,8,0)</f>
        <v>R1013</v>
      </c>
    </row>
    <row r="307" spans="1:18" ht="14.4" customHeight="1" x14ac:dyDescent="0.3">
      <c r="A307" s="7" t="s">
        <v>326</v>
      </c>
      <c r="B307" s="7" t="str">
        <f>VLOOKUP($A307,[1]!Customer_Names[#Data],3,0)</f>
        <v xml:space="preserve">  Sarah C</v>
      </c>
      <c r="C307" s="7">
        <v>28.46</v>
      </c>
      <c r="D307" s="7" t="str" cm="1">
        <f t="array" ref="D307">_xlfn.IFS(Healthcare!$C307&lt;18.5,"under weight",Healthcare!$C307&lt;=24.9,"Normal Weight",Healthcare!$C307&gt;=25,"overweight",Healthcare!$C307&gt;=30,"obese")</f>
        <v>overweight</v>
      </c>
      <c r="E307" s="7">
        <v>4.8499999999999996</v>
      </c>
      <c r="F307" s="7" t="str" cm="1">
        <f t="array" ref="F307">_xlfn.IFS(Healthcare!$E307&lt;5.7,"normal",Healthcare!$E307&lt;=6.4,"prediabetes",Healthcare!$E307&gt;=6.5,"diabetes")</f>
        <v>normal</v>
      </c>
      <c r="G307" s="7" t="s">
        <v>20</v>
      </c>
      <c r="H307" s="7" t="s">
        <v>19</v>
      </c>
      <c r="I307" s="7" t="s">
        <v>19</v>
      </c>
      <c r="J307" s="7">
        <v>1</v>
      </c>
      <c r="K307" s="7" t="s">
        <v>20</v>
      </c>
      <c r="L307" s="7" t="str">
        <f>VLOOKUP(Healthcare!$A307,hospital_details,2,0)</f>
        <v>5-Sep-1988</v>
      </c>
      <c r="M307" s="7">
        <f t="shared" ref="M307:M370" ca="1" si="1829">VLOOKUP(A307,hospital_details,3,0)</f>
        <v>38</v>
      </c>
      <c r="N307" s="7">
        <f t="shared" ref="N307:N370" si="1830">VLOOKUP($A307,hospital_details,4,0)</f>
        <v>3</v>
      </c>
      <c r="O307" s="8">
        <f t="shared" ref="O307:O370" si="1831">VLOOKUP($A307,hospital_details,5,0)</f>
        <v>30763.01</v>
      </c>
      <c r="P307" s="7" t="str">
        <f t="shared" ref="P307:P370" si="1832">VLOOKUP($A307,hospital_details,6,0)</f>
        <v>tier - 2</v>
      </c>
      <c r="Q307" s="7" t="str">
        <f t="shared" ref="Q307:Q370" si="1833">VLOOKUP($A307,hospital_details,7,0)</f>
        <v>tier - 1</v>
      </c>
      <c r="R307" s="7" t="str">
        <f t="shared" ref="R307:R370" si="1834">VLOOKUP($A307,hospital_details,8,0)</f>
        <v>R1011</v>
      </c>
    </row>
    <row r="308" spans="1:18" ht="14.4" customHeight="1" x14ac:dyDescent="0.3">
      <c r="A308" s="5" t="s">
        <v>327</v>
      </c>
      <c r="B308" s="5" t="str">
        <f>VLOOKUP($A308,[1]!Customer_Names[#Data],3,0)</f>
        <v xml:space="preserve">  Megan</v>
      </c>
      <c r="C308" s="5">
        <v>24.56</v>
      </c>
      <c r="D308" s="5" t="str" cm="1">
        <f t="array" ref="D308">_xlfn.IFS(Healthcare!$C308&lt;18.5,"under weight",Healthcare!$C308&lt;=24.9,"Normal Weight",Healthcare!$C308&gt;=25,"overweight",Healthcare!$C308&gt;=30,"obese")</f>
        <v>Normal Weight</v>
      </c>
      <c r="E308" s="5">
        <v>6.18</v>
      </c>
      <c r="F308" s="5" t="str" cm="1">
        <f t="array" ref="F308">_xlfn.IFS(Healthcare!$E308&lt;5.7,"normal",Healthcare!$E308&lt;=6.4,"prediabetes",Healthcare!$E308&gt;=6.5,"diabetes")</f>
        <v>prediabetes</v>
      </c>
      <c r="G308" s="5" t="s">
        <v>20</v>
      </c>
      <c r="H308" s="5" t="s">
        <v>19</v>
      </c>
      <c r="I308" s="5" t="s">
        <v>29</v>
      </c>
      <c r="J308" s="5">
        <v>1</v>
      </c>
      <c r="K308" s="5" t="s">
        <v>20</v>
      </c>
      <c r="L308" s="5" t="str">
        <f>VLOOKUP(Healthcare!$A308,hospital_details,2,0)</f>
        <v>21-Dec-1983</v>
      </c>
      <c r="M308" s="5">
        <f t="shared" ref="M308:M371" ca="1" si="1835">VLOOKUP(A308,hospital_details,3,0)</f>
        <v>42</v>
      </c>
      <c r="N308" s="5">
        <f t="shared" ref="N308:N371" si="1836">VLOOKUP($A308,hospital_details,4,0)</f>
        <v>3</v>
      </c>
      <c r="O308" s="6">
        <f t="shared" ref="O308:O371" si="1837">VLOOKUP($A308,hospital_details,5,0)</f>
        <v>30724.44</v>
      </c>
      <c r="P308" s="5" t="str">
        <f t="shared" ref="P308:P371" si="1838">VLOOKUP($A308,hospital_details,6,0)</f>
        <v>tier - 2</v>
      </c>
      <c r="Q308" s="5" t="str">
        <f t="shared" ref="Q308:Q371" si="1839">VLOOKUP($A308,hospital_details,7,0)</f>
        <v>tier - 3</v>
      </c>
      <c r="R308" s="5" t="str">
        <f t="shared" ref="R308:R371" si="1840">VLOOKUP($A308,hospital_details,8,0)</f>
        <v>R1011</v>
      </c>
    </row>
    <row r="309" spans="1:18" ht="14.4" customHeight="1" x14ac:dyDescent="0.3">
      <c r="A309" s="7" t="s">
        <v>328</v>
      </c>
      <c r="B309" s="7" t="str">
        <f>VLOOKUP($A309,[1]!Customer_Names[#Data],3,0)</f>
        <v xml:space="preserve">  Jason W</v>
      </c>
      <c r="C309" s="7">
        <v>41.19</v>
      </c>
      <c r="D309" s="7" t="str" cm="1">
        <f t="array" ref="D309">_xlfn.IFS(Healthcare!$C309&lt;18.5,"under weight",Healthcare!$C309&lt;=24.9,"Normal Weight",Healthcare!$C309&gt;=25,"overweight",Healthcare!$C309&gt;=30,"obese")</f>
        <v>overweight</v>
      </c>
      <c r="E309" s="7">
        <v>6.37</v>
      </c>
      <c r="F309" s="7" t="str" cm="1">
        <f t="array" ref="F309">_xlfn.IFS(Healthcare!$E309&lt;5.7,"normal",Healthcare!$E309&lt;=6.4,"prediabetes",Healthcare!$E309&gt;=6.5,"diabetes")</f>
        <v>prediabetes</v>
      </c>
      <c r="G309" s="7" t="s">
        <v>19</v>
      </c>
      <c r="H309" s="7" t="s">
        <v>19</v>
      </c>
      <c r="I309" s="7" t="s">
        <v>19</v>
      </c>
      <c r="J309" s="7">
        <v>0</v>
      </c>
      <c r="K309" s="7" t="s">
        <v>20</v>
      </c>
      <c r="L309" s="7" t="str">
        <f>VLOOKUP(Healthcare!$A309,hospital_details,2,0)</f>
        <v>21-Sep-1999</v>
      </c>
      <c r="M309" s="7">
        <f t="shared" ref="M309:M372" ca="1" si="1841">VLOOKUP(A309,hospital_details,3,0)</f>
        <v>27</v>
      </c>
      <c r="N309" s="7">
        <f t="shared" ref="N309:N372" si="1842">VLOOKUP($A309,hospital_details,4,0)</f>
        <v>0</v>
      </c>
      <c r="O309" s="8">
        <f t="shared" ref="O309:O372" si="1843">VLOOKUP($A309,hospital_details,5,0)</f>
        <v>30697.71</v>
      </c>
      <c r="P309" s="7" t="str">
        <f t="shared" ref="P309:P372" si="1844">VLOOKUP($A309,hospital_details,6,0)</f>
        <v>tier - 1</v>
      </c>
      <c r="Q309" s="7" t="str">
        <f t="shared" ref="Q309:Q372" si="1845">VLOOKUP($A309,hospital_details,7,0)</f>
        <v>tier - 2</v>
      </c>
      <c r="R309" s="7" t="str">
        <f t="shared" ref="R309:R372" si="1846">VLOOKUP($A309,hospital_details,8,0)</f>
        <v>R1011</v>
      </c>
    </row>
    <row r="310" spans="1:18" ht="14.4" customHeight="1" x14ac:dyDescent="0.3">
      <c r="A310" s="5" t="s">
        <v>329</v>
      </c>
      <c r="B310" s="5" t="str">
        <f>VLOOKUP($A310,[1]!Customer_Names[#Data],3,0)</f>
        <v xml:space="preserve">  Michele</v>
      </c>
      <c r="C310" s="5">
        <v>18.63</v>
      </c>
      <c r="D310" s="5" t="str" cm="1">
        <f t="array" ref="D310">_xlfn.IFS(Healthcare!$C310&lt;18.5,"under weight",Healthcare!$C310&lt;=24.9,"Normal Weight",Healthcare!$C310&gt;=25,"overweight",Healthcare!$C310&gt;=30,"obese")</f>
        <v>Normal Weight</v>
      </c>
      <c r="E310" s="5">
        <v>9.81</v>
      </c>
      <c r="F310" s="5" t="str" cm="1">
        <f t="array" ref="F310">_xlfn.IFS(Healthcare!$E310&lt;5.7,"normal",Healthcare!$E310&lt;=6.4,"prediabetes",Healthcare!$E310&gt;=6.5,"diabetes")</f>
        <v>diabetes</v>
      </c>
      <c r="G310" s="5" t="s">
        <v>20</v>
      </c>
      <c r="H310" s="5" t="s">
        <v>19</v>
      </c>
      <c r="I310" s="5" t="s">
        <v>19</v>
      </c>
      <c r="J310" s="5">
        <v>2</v>
      </c>
      <c r="K310" s="5" t="s">
        <v>20</v>
      </c>
      <c r="L310" s="5" t="str">
        <f>VLOOKUP(Healthcare!$A310,hospital_details,2,0)</f>
        <v>11-Nov-1970</v>
      </c>
      <c r="M310" s="5">
        <f t="shared" ref="M310:M373" ca="1" si="1847">VLOOKUP(A310,hospital_details,3,0)</f>
        <v>55</v>
      </c>
      <c r="N310" s="5">
        <f t="shared" ref="N310:N373" si="1848">VLOOKUP($A310,hospital_details,4,0)</f>
        <v>0</v>
      </c>
      <c r="O310" s="6">
        <f t="shared" ref="O310:O373" si="1849">VLOOKUP($A310,hospital_details,5,0)</f>
        <v>30625.65</v>
      </c>
      <c r="P310" s="5" t="str">
        <f t="shared" ref="P310:P373" si="1850">VLOOKUP($A310,hospital_details,6,0)</f>
        <v>tier - 2</v>
      </c>
      <c r="Q310" s="5" t="str">
        <f t="shared" ref="Q310:Q373" si="1851">VLOOKUP($A310,hospital_details,7,0)</f>
        <v>tier - 3</v>
      </c>
      <c r="R310" s="5" t="str">
        <f t="shared" ref="R310:R373" si="1852">VLOOKUP($A310,hospital_details,8,0)</f>
        <v>R1011</v>
      </c>
    </row>
    <row r="311" spans="1:18" ht="14.4" customHeight="1" x14ac:dyDescent="0.3">
      <c r="A311" s="7" t="s">
        <v>330</v>
      </c>
      <c r="B311" s="7" t="str">
        <f>VLOOKUP($A311,[1]!Customer_Names[#Data],3,0)</f>
        <v xml:space="preserve">  Nikki</v>
      </c>
      <c r="C311" s="7">
        <v>26.26</v>
      </c>
      <c r="D311" s="7" t="str" cm="1">
        <f t="array" ref="D311">_xlfn.IFS(Healthcare!$C311&lt;18.5,"under weight",Healthcare!$C311&lt;=24.9,"Normal Weight",Healthcare!$C311&gt;=25,"overweight",Healthcare!$C311&gt;=30,"obese")</f>
        <v>overweight</v>
      </c>
      <c r="E311" s="7">
        <v>11.8</v>
      </c>
      <c r="F311" s="7" t="str" cm="1">
        <f t="array" ref="F311">_xlfn.IFS(Healthcare!$E311&lt;5.7,"normal",Healthcare!$E311&lt;=6.4,"prediabetes",Healthcare!$E311&gt;=6.5,"diabetes")</f>
        <v>diabetes</v>
      </c>
      <c r="G311" s="7" t="s">
        <v>20</v>
      </c>
      <c r="H311" s="7" t="s">
        <v>19</v>
      </c>
      <c r="I311" s="7" t="s">
        <v>19</v>
      </c>
      <c r="J311" s="7">
        <v>1</v>
      </c>
      <c r="K311" s="7" t="s">
        <v>20</v>
      </c>
      <c r="L311" s="7" t="str">
        <f>VLOOKUP(Healthcare!$A311,hospital_details,2,0)</f>
        <v>10-Aug-1986</v>
      </c>
      <c r="M311" s="7">
        <f t="shared" ref="M311:M374" ca="1" si="1853">VLOOKUP(A311,hospital_details,3,0)</f>
        <v>40</v>
      </c>
      <c r="N311" s="7">
        <f t="shared" ref="N311:N374" si="1854">VLOOKUP($A311,hospital_details,4,0)</f>
        <v>3</v>
      </c>
      <c r="O311" s="8">
        <f t="shared" ref="O311:O374" si="1855">VLOOKUP($A311,hospital_details,5,0)</f>
        <v>30530.5</v>
      </c>
      <c r="P311" s="7" t="str">
        <f t="shared" ref="P311:P374" si="1856">VLOOKUP($A311,hospital_details,6,0)</f>
        <v>tier - 2</v>
      </c>
      <c r="Q311" s="7" t="str">
        <f t="shared" ref="Q311:Q374" si="1857">VLOOKUP($A311,hospital_details,7,0)</f>
        <v>tier - 1</v>
      </c>
      <c r="R311" s="7" t="str">
        <f t="shared" ref="R311:R374" si="1858">VLOOKUP($A311,hospital_details,8,0)</f>
        <v>R1011</v>
      </c>
    </row>
    <row r="312" spans="1:18" ht="14.4" customHeight="1" x14ac:dyDescent="0.3">
      <c r="A312" s="5" t="s">
        <v>331</v>
      </c>
      <c r="B312" s="5" t="str">
        <f>VLOOKUP($A312,[1]!Customer_Names[#Data],3,0)</f>
        <v xml:space="preserve">  Philip J</v>
      </c>
      <c r="C312" s="5">
        <v>22.37</v>
      </c>
      <c r="D312" s="5" t="str" cm="1">
        <f t="array" ref="D312">_xlfn.IFS(Healthcare!$C312&lt;18.5,"under weight",Healthcare!$C312&lt;=24.9,"Normal Weight",Healthcare!$C312&gt;=25,"overweight",Healthcare!$C312&gt;=30,"obese")</f>
        <v>Normal Weight</v>
      </c>
      <c r="E312" s="5">
        <v>5.86</v>
      </c>
      <c r="F312" s="5" t="str" cm="1">
        <f t="array" ref="F312">_xlfn.IFS(Healthcare!$E312&lt;5.7,"normal",Healthcare!$E312&lt;=6.4,"prediabetes",Healthcare!$E312&gt;=6.5,"diabetes")</f>
        <v>prediabetes</v>
      </c>
      <c r="G312" s="5" t="s">
        <v>20</v>
      </c>
      <c r="H312" s="5" t="s">
        <v>19</v>
      </c>
      <c r="I312" s="5" t="s">
        <v>29</v>
      </c>
      <c r="J312" s="5">
        <v>1</v>
      </c>
      <c r="K312" s="5" t="s">
        <v>20</v>
      </c>
      <c r="L312" s="5" t="str">
        <f>VLOOKUP(Healthcare!$A312,hospital_details,2,0)</f>
        <v>3-Sep-1983</v>
      </c>
      <c r="M312" s="5">
        <f t="shared" ref="M312:M375" ca="1" si="1859">VLOOKUP(A312,hospital_details,3,0)</f>
        <v>43</v>
      </c>
      <c r="N312" s="5">
        <f t="shared" ref="N312:N375" si="1860">VLOOKUP($A312,hospital_details,4,0)</f>
        <v>3</v>
      </c>
      <c r="O312" s="6">
        <f t="shared" ref="O312:O375" si="1861">VLOOKUP($A312,hospital_details,5,0)</f>
        <v>30457.37</v>
      </c>
      <c r="P312" s="5" t="str">
        <f t="shared" ref="P312:P375" si="1862">VLOOKUP($A312,hospital_details,6,0)</f>
        <v>tier - 2</v>
      </c>
      <c r="Q312" s="5" t="str">
        <f t="shared" ref="Q312:Q375" si="1863">VLOOKUP($A312,hospital_details,7,0)</f>
        <v>tier - 1</v>
      </c>
      <c r="R312" s="5" t="str">
        <f t="shared" ref="R312:R375" si="1864">VLOOKUP($A312,hospital_details,8,0)</f>
        <v>R1012</v>
      </c>
    </row>
    <row r="313" spans="1:18" ht="14.4" customHeight="1" x14ac:dyDescent="0.3">
      <c r="A313" s="7" t="s">
        <v>332</v>
      </c>
      <c r="B313" s="7" t="str">
        <f>VLOOKUP($A313,[1]!Customer_Names[#Data],3,0)</f>
        <v xml:space="preserve">  Bryan L</v>
      </c>
      <c r="C313" s="7">
        <v>39.619999999999997</v>
      </c>
      <c r="D313" s="7" t="str" cm="1">
        <f t="array" ref="D313">_xlfn.IFS(Healthcare!$C313&lt;18.5,"under weight",Healthcare!$C313&lt;=24.9,"Normal Weight",Healthcare!$C313&gt;=25,"overweight",Healthcare!$C313&gt;=30,"obese")</f>
        <v>overweight</v>
      </c>
      <c r="E313" s="7">
        <v>4.28</v>
      </c>
      <c r="F313" s="7" t="str" cm="1">
        <f t="array" ref="F313">_xlfn.IFS(Healthcare!$E313&lt;5.7,"normal",Healthcare!$E313&lt;=6.4,"prediabetes",Healthcare!$E313&gt;=6.5,"diabetes")</f>
        <v>normal</v>
      </c>
      <c r="G313" s="7" t="s">
        <v>19</v>
      </c>
      <c r="H313" s="7" t="s">
        <v>19</v>
      </c>
      <c r="I313" s="7" t="s">
        <v>19</v>
      </c>
      <c r="J313" s="7">
        <v>1</v>
      </c>
      <c r="K313" s="7" t="s">
        <v>20</v>
      </c>
      <c r="L313" s="7" t="str">
        <f>VLOOKUP(Healthcare!$A313,hospital_details,2,0)</f>
        <v>28-Oct-1998</v>
      </c>
      <c r="M313" s="7">
        <f t="shared" ref="M313:M376" ca="1" si="1865">VLOOKUP(A313,hospital_details,3,0)</f>
        <v>27</v>
      </c>
      <c r="N313" s="7">
        <f t="shared" ref="N313:N376" si="1866">VLOOKUP($A313,hospital_details,4,0)</f>
        <v>0</v>
      </c>
      <c r="O313" s="8">
        <f t="shared" ref="O313:O376" si="1867">VLOOKUP($A313,hospital_details,5,0)</f>
        <v>30422.03</v>
      </c>
      <c r="P313" s="7" t="str">
        <f t="shared" ref="P313:P376" si="1868">VLOOKUP($A313,hospital_details,6,0)</f>
        <v>tier - 2</v>
      </c>
      <c r="Q313" s="7" t="str">
        <f t="shared" ref="Q313:Q376" si="1869">VLOOKUP($A313,hospital_details,7,0)</f>
        <v>tier - 3</v>
      </c>
      <c r="R313" s="7" t="str">
        <f t="shared" ref="R313:R376" si="1870">VLOOKUP($A313,hospital_details,8,0)</f>
        <v>R1011</v>
      </c>
    </row>
    <row r="314" spans="1:18" ht="14.4" customHeight="1" x14ac:dyDescent="0.3">
      <c r="A314" s="5" t="s">
        <v>333</v>
      </c>
      <c r="B314" s="5" t="str">
        <f>VLOOKUP($A314,[1]!Customer_Names[#Data],3,0)</f>
        <v xml:space="preserve">  Timothy F</v>
      </c>
      <c r="C314" s="5">
        <v>18.329999999999998</v>
      </c>
      <c r="D314" s="5" t="str" cm="1">
        <f t="array" ref="D314">_xlfn.IFS(Healthcare!$C314&lt;18.5,"under weight",Healthcare!$C314&lt;=24.9,"Normal Weight",Healthcare!$C314&gt;=25,"overweight",Healthcare!$C314&gt;=30,"obese")</f>
        <v>under weight</v>
      </c>
      <c r="E314" s="5">
        <v>4.16</v>
      </c>
      <c r="F314" s="5" t="str" cm="1">
        <f t="array" ref="F314">_xlfn.IFS(Healthcare!$E314&lt;5.7,"normal",Healthcare!$E314&lt;=6.4,"prediabetes",Healthcare!$E314&gt;=6.5,"diabetes")</f>
        <v>normal</v>
      </c>
      <c r="G314" s="5" t="s">
        <v>20</v>
      </c>
      <c r="H314" s="5" t="s">
        <v>19</v>
      </c>
      <c r="I314" s="5" t="s">
        <v>19</v>
      </c>
      <c r="J314" s="5">
        <v>0</v>
      </c>
      <c r="K314" s="5" t="s">
        <v>20</v>
      </c>
      <c r="L314" s="5" t="str">
        <f>VLOOKUP(Healthcare!$A314,hospital_details,2,0)</f>
        <v>3-Sep-1976</v>
      </c>
      <c r="M314" s="5">
        <f t="shared" ref="M314:M377" ca="1" si="1871">VLOOKUP(A314,hospital_details,3,0)</f>
        <v>50</v>
      </c>
      <c r="N314" s="5">
        <f t="shared" ref="N314:N377" si="1872">VLOOKUP($A314,hospital_details,4,0)</f>
        <v>2</v>
      </c>
      <c r="O314" s="6">
        <f t="shared" ref="O314:O377" si="1873">VLOOKUP($A314,hospital_details,5,0)</f>
        <v>30409.53</v>
      </c>
      <c r="P314" s="5" t="str">
        <f t="shared" ref="P314:P377" si="1874">VLOOKUP($A314,hospital_details,6,0)</f>
        <v>tier - 2</v>
      </c>
      <c r="Q314" s="5" t="str">
        <f t="shared" ref="Q314:Q377" si="1875">VLOOKUP($A314,hospital_details,7,0)</f>
        <v>tier - 3</v>
      </c>
      <c r="R314" s="5" t="str">
        <f t="shared" ref="R314:R377" si="1876">VLOOKUP($A314,hospital_details,8,0)</f>
        <v>R1012</v>
      </c>
    </row>
    <row r="315" spans="1:18" ht="14.4" customHeight="1" x14ac:dyDescent="0.3">
      <c r="A315" s="7" t="s">
        <v>334</v>
      </c>
      <c r="B315" s="7" t="str">
        <f>VLOOKUP($A315,[1]!Customer_Names[#Data],3,0)</f>
        <v xml:space="preserve">  Angielyn M</v>
      </c>
      <c r="C315" s="7">
        <v>17.11</v>
      </c>
      <c r="D315" s="7" t="str" cm="1">
        <f t="array" ref="D315">_xlfn.IFS(Healthcare!$C315&lt;18.5,"under weight",Healthcare!$C315&lt;=24.9,"Normal Weight",Healthcare!$C315&gt;=25,"overweight",Healthcare!$C315&gt;=30,"obese")</f>
        <v>under weight</v>
      </c>
      <c r="E315" s="7">
        <v>4.9800000000000004</v>
      </c>
      <c r="F315" s="7" t="str" cm="1">
        <f t="array" ref="F315">_xlfn.IFS(Healthcare!$E315&lt;5.7,"normal",Healthcare!$E315&lt;=6.4,"prediabetes",Healthcare!$E315&gt;=6.5,"diabetes")</f>
        <v>normal</v>
      </c>
      <c r="G315" s="7" t="s">
        <v>20</v>
      </c>
      <c r="H315" s="7" t="s">
        <v>19</v>
      </c>
      <c r="I315" s="7" t="s">
        <v>29</v>
      </c>
      <c r="J315" s="7">
        <v>1</v>
      </c>
      <c r="K315" s="7" t="s">
        <v>20</v>
      </c>
      <c r="L315" s="7" t="str">
        <f>VLOOKUP(Healthcare!$A315,hospital_details,2,0)</f>
        <v>30-Jul-1969</v>
      </c>
      <c r="M315" s="7">
        <f t="shared" ref="M315:M378" ca="1" si="1877">VLOOKUP(A315,hospital_details,3,0)</f>
        <v>57</v>
      </c>
      <c r="N315" s="7">
        <f t="shared" ref="N315:N378" si="1878">VLOOKUP($A315,hospital_details,4,0)</f>
        <v>0</v>
      </c>
      <c r="O315" s="8">
        <f t="shared" ref="O315:O378" si="1879">VLOOKUP($A315,hospital_details,5,0)</f>
        <v>30366.93</v>
      </c>
      <c r="P315" s="7" t="str">
        <f t="shared" ref="P315:P378" si="1880">VLOOKUP($A315,hospital_details,6,0)</f>
        <v>tier - 2</v>
      </c>
      <c r="Q315" s="7" t="str">
        <f t="shared" ref="Q315:Q378" si="1881">VLOOKUP($A315,hospital_details,7,0)</f>
        <v>tier - 2</v>
      </c>
      <c r="R315" s="7" t="str">
        <f t="shared" ref="R315:R378" si="1882">VLOOKUP($A315,hospital_details,8,0)</f>
        <v>R1011</v>
      </c>
    </row>
    <row r="316" spans="1:18" ht="14.4" customHeight="1" x14ac:dyDescent="0.3">
      <c r="A316" s="5" t="s">
        <v>335</v>
      </c>
      <c r="B316" s="5" t="str">
        <f>VLOOKUP($A316,[1]!Customer_Names[#Data],3,0)</f>
        <v xml:space="preserve">  Jeanie M</v>
      </c>
      <c r="C316" s="5">
        <v>43.5</v>
      </c>
      <c r="D316" s="5" t="str" cm="1">
        <f t="array" ref="D316">_xlfn.IFS(Healthcare!$C316&lt;18.5,"under weight",Healthcare!$C316&lt;=24.9,"Normal Weight",Healthcare!$C316&gt;=25,"overweight",Healthcare!$C316&gt;=30,"obese")</f>
        <v>overweight</v>
      </c>
      <c r="E316" s="5">
        <v>6.38</v>
      </c>
      <c r="F316" s="5" t="str" cm="1">
        <f t="array" ref="F316">_xlfn.IFS(Healthcare!$E316&lt;5.7,"normal",Healthcare!$E316&lt;=6.4,"prediabetes",Healthcare!$E316&gt;=6.5,"diabetes")</f>
        <v>prediabetes</v>
      </c>
      <c r="G316" s="5" t="s">
        <v>19</v>
      </c>
      <c r="H316" s="5" t="s">
        <v>20</v>
      </c>
      <c r="I316" s="5" t="s">
        <v>19</v>
      </c>
      <c r="J316" s="5">
        <v>1</v>
      </c>
      <c r="K316" s="5" t="s">
        <v>20</v>
      </c>
      <c r="L316" s="5" t="str">
        <f>VLOOKUP(Healthcare!$A316,hospital_details,2,0)</f>
        <v>1-Jun-2004</v>
      </c>
      <c r="M316" s="5">
        <f t="shared" ref="M316:M379" ca="1" si="1883">VLOOKUP(A316,hospital_details,3,0)</f>
        <v>22</v>
      </c>
      <c r="N316" s="5">
        <f t="shared" ref="N316:N379" si="1884">VLOOKUP($A316,hospital_details,4,0)</f>
        <v>0</v>
      </c>
      <c r="O316" s="6">
        <f t="shared" ref="O316:O379" si="1885">VLOOKUP($A316,hospital_details,5,0)</f>
        <v>30328.27</v>
      </c>
      <c r="P316" s="5" t="str">
        <f t="shared" ref="P316:P379" si="1886">VLOOKUP($A316,hospital_details,6,0)</f>
        <v>tier - 2</v>
      </c>
      <c r="Q316" s="5" t="str">
        <f t="shared" ref="Q316:Q379" si="1887">VLOOKUP($A316,hospital_details,7,0)</f>
        <v>tier - 2</v>
      </c>
      <c r="R316" s="5" t="str">
        <f t="shared" ref="R316:R379" si="1888">VLOOKUP($A316,hospital_details,8,0)</f>
        <v>R1011</v>
      </c>
    </row>
    <row r="317" spans="1:18" ht="14.4" customHeight="1" x14ac:dyDescent="0.3">
      <c r="A317" s="7" t="s">
        <v>336</v>
      </c>
      <c r="B317" s="7" t="str">
        <f>VLOOKUP($A317,[1]!Customer_Names[#Data],3,0)</f>
        <v xml:space="preserve">  Greg</v>
      </c>
      <c r="C317" s="7">
        <v>25.364999999999998</v>
      </c>
      <c r="D317" s="7" t="str" cm="1">
        <f t="array" ref="D317">_xlfn.IFS(Healthcare!$C317&lt;18.5,"under weight",Healthcare!$C317&lt;=24.9,"Normal Weight",Healthcare!$C317&gt;=25,"overweight",Healthcare!$C317&gt;=30,"obese")</f>
        <v>overweight</v>
      </c>
      <c r="E317" s="7">
        <v>5.19</v>
      </c>
      <c r="F317" s="7" t="str" cm="1">
        <f t="array" ref="F317">_xlfn.IFS(Healthcare!$E317&lt;5.7,"normal",Healthcare!$E317&lt;=6.4,"prediabetes",Healthcare!$E317&gt;=6.5,"diabetes")</f>
        <v>normal</v>
      </c>
      <c r="G317" s="7" t="s">
        <v>19</v>
      </c>
      <c r="H317" s="7" t="s">
        <v>19</v>
      </c>
      <c r="I317" s="7" t="s">
        <v>19</v>
      </c>
      <c r="J317" s="7">
        <v>2</v>
      </c>
      <c r="K317" s="7" t="s">
        <v>19</v>
      </c>
      <c r="L317" s="7" t="str">
        <f>VLOOKUP(Healthcare!$A317,hospital_details,2,0)</f>
        <v>24-Jul-1972</v>
      </c>
      <c r="M317" s="7">
        <f t="shared" ref="M317:M380" ca="1" si="1889">VLOOKUP(A317,hospital_details,3,0)</f>
        <v>54</v>
      </c>
      <c r="N317" s="7">
        <f t="shared" ref="N317:N380" si="1890">VLOOKUP($A317,hospital_details,4,0)</f>
        <v>2</v>
      </c>
      <c r="O317" s="8">
        <f t="shared" ref="O317:O380" si="1891">VLOOKUP($A317,hospital_details,5,0)</f>
        <v>30284.639999999999</v>
      </c>
      <c r="P317" s="7" t="str">
        <f t="shared" ref="P317:P380" si="1892">VLOOKUP($A317,hospital_details,6,0)</f>
        <v>tier - 1</v>
      </c>
      <c r="Q317" s="7" t="str">
        <f t="shared" ref="Q317:Q380" si="1893">VLOOKUP($A317,hospital_details,7,0)</f>
        <v>tier - 1</v>
      </c>
      <c r="R317" s="7" t="str">
        <f t="shared" ref="R317:R380" si="1894">VLOOKUP($A317,hospital_details,8,0)</f>
        <v>R1012</v>
      </c>
    </row>
    <row r="318" spans="1:18" ht="14.4" customHeight="1" x14ac:dyDescent="0.3">
      <c r="A318" s="5" t="s">
        <v>337</v>
      </c>
      <c r="B318" s="5" t="str">
        <f>VLOOKUP($A318,[1]!Customer_Names[#Data],3,0)</f>
        <v xml:space="preserve">  John</v>
      </c>
      <c r="C318" s="5">
        <v>28.594999999999999</v>
      </c>
      <c r="D318" s="5" t="str" cm="1">
        <f t="array" ref="D318">_xlfn.IFS(Healthcare!$C318&lt;18.5,"under weight",Healthcare!$C318&lt;=24.9,"Normal Weight",Healthcare!$C318&gt;=25,"overweight",Healthcare!$C318&gt;=30,"obese")</f>
        <v>overweight</v>
      </c>
      <c r="E318" s="5">
        <v>10.210000000000001</v>
      </c>
      <c r="F318" s="5" t="str" cm="1">
        <f t="array" ref="F318">_xlfn.IFS(Healthcare!$E318&lt;5.7,"normal",Healthcare!$E318&lt;=6.4,"prediabetes",Healthcare!$E318&gt;=6.5,"diabetes")</f>
        <v>diabetes</v>
      </c>
      <c r="G318" s="5" t="s">
        <v>19</v>
      </c>
      <c r="H318" s="5" t="s">
        <v>19</v>
      </c>
      <c r="I318" s="5" t="s">
        <v>19</v>
      </c>
      <c r="J318" s="5">
        <v>0</v>
      </c>
      <c r="K318" s="5" t="s">
        <v>19</v>
      </c>
      <c r="L318" s="5" t="str">
        <f>VLOOKUP(Healthcare!$A318,hospital_details,2,0)</f>
        <v>15-Sep-1962</v>
      </c>
      <c r="M318" s="5">
        <f t="shared" ref="M318:M381" ca="1" si="1895">VLOOKUP(A318,hospital_details,3,0)</f>
        <v>64</v>
      </c>
      <c r="N318" s="5">
        <f t="shared" ref="N318:N381" si="1896">VLOOKUP($A318,hospital_details,4,0)</f>
        <v>0</v>
      </c>
      <c r="O318" s="6">
        <f t="shared" ref="O318:O381" si="1897">VLOOKUP($A318,hospital_details,5,0)</f>
        <v>30260</v>
      </c>
      <c r="P318" s="5" t="str">
        <f t="shared" ref="P318:P381" si="1898">VLOOKUP($A318,hospital_details,6,0)</f>
        <v>tier - 1</v>
      </c>
      <c r="Q318" s="5" t="str">
        <f t="shared" ref="Q318:Q381" si="1899">VLOOKUP($A318,hospital_details,7,0)</f>
        <v>tier - 1</v>
      </c>
      <c r="R318" s="5" t="str">
        <f t="shared" ref="R318:R381" si="1900">VLOOKUP($A318,hospital_details,8,0)</f>
        <v>R1014</v>
      </c>
    </row>
    <row r="319" spans="1:18" ht="14.4" customHeight="1" x14ac:dyDescent="0.3">
      <c r="A319" s="7" t="s">
        <v>338</v>
      </c>
      <c r="B319" s="7" t="str">
        <f>VLOOKUP($A319,[1]!Customer_Names[#Data],3,0)</f>
        <v xml:space="preserve">  Aliaksandr</v>
      </c>
      <c r="C319" s="7">
        <v>29.83</v>
      </c>
      <c r="D319" s="7" t="str" cm="1">
        <f t="array" ref="D319">_xlfn.IFS(Healthcare!$C319&lt;18.5,"under weight",Healthcare!$C319&lt;=24.9,"Normal Weight",Healthcare!$C319&gt;=25,"overweight",Healthcare!$C319&gt;=30,"obese")</f>
        <v>overweight</v>
      </c>
      <c r="E319" s="7">
        <v>9.6999999999999993</v>
      </c>
      <c r="F319" s="7" t="str" cm="1">
        <f t="array" ref="F319">_xlfn.IFS(Healthcare!$E319&lt;5.7,"normal",Healthcare!$E319&lt;=6.4,"prediabetes",Healthcare!$E319&gt;=6.5,"diabetes")</f>
        <v>diabetes</v>
      </c>
      <c r="G319" s="7" t="s">
        <v>20</v>
      </c>
      <c r="H319" s="7" t="s">
        <v>19</v>
      </c>
      <c r="I319" s="7" t="s">
        <v>29</v>
      </c>
      <c r="J319" s="7">
        <v>1</v>
      </c>
      <c r="K319" s="7" t="s">
        <v>20</v>
      </c>
      <c r="L319" s="7" t="str">
        <f>VLOOKUP(Healthcare!$A319,hospital_details,2,0)</f>
        <v>13-Sep-1963</v>
      </c>
      <c r="M319" s="7">
        <f t="shared" ref="M319:M382" ca="1" si="1901">VLOOKUP(A319,hospital_details,3,0)</f>
        <v>63</v>
      </c>
      <c r="N319" s="7">
        <f t="shared" ref="N319:N382" si="1902">VLOOKUP($A319,hospital_details,4,0)</f>
        <v>3</v>
      </c>
      <c r="O319" s="8">
        <f t="shared" ref="O319:O382" si="1903">VLOOKUP($A319,hospital_details,5,0)</f>
        <v>30184.94</v>
      </c>
      <c r="P319" s="7" t="str">
        <f t="shared" ref="P319:P382" si="1904">VLOOKUP($A319,hospital_details,6,0)</f>
        <v>tier - 1</v>
      </c>
      <c r="Q319" s="7" t="str">
        <f t="shared" ref="Q319:Q382" si="1905">VLOOKUP($A319,hospital_details,7,0)</f>
        <v>tier - 1</v>
      </c>
      <c r="R319" s="7" t="str">
        <f t="shared" ref="R319:R382" si="1906">VLOOKUP($A319,hospital_details,8,0)</f>
        <v>R1014</v>
      </c>
    </row>
    <row r="320" spans="1:18" ht="14.4" customHeight="1" x14ac:dyDescent="0.3">
      <c r="A320" s="5" t="s">
        <v>339</v>
      </c>
      <c r="B320" s="5" t="str">
        <f>VLOOKUP($A320,[1]!Customer_Names[#Data],3,0)</f>
        <v xml:space="preserve">  Jason M</v>
      </c>
      <c r="C320" s="5">
        <v>24.7</v>
      </c>
      <c r="D320" s="5" t="str" cm="1">
        <f t="array" ref="D320">_xlfn.IFS(Healthcare!$C320&lt;18.5,"under weight",Healthcare!$C320&lt;=24.9,"Normal Weight",Healthcare!$C320&gt;=25,"overweight",Healthcare!$C320&gt;=30,"obese")</f>
        <v>Normal Weight</v>
      </c>
      <c r="E320" s="5">
        <v>10.25</v>
      </c>
      <c r="F320" s="5" t="str" cm="1">
        <f t="array" ref="F320">_xlfn.IFS(Healthcare!$E320&lt;5.7,"normal",Healthcare!$E320&lt;=6.4,"prediabetes",Healthcare!$E320&gt;=6.5,"diabetes")</f>
        <v>diabetes</v>
      </c>
      <c r="G320" s="5" t="s">
        <v>19</v>
      </c>
      <c r="H320" s="5" t="s">
        <v>19</v>
      </c>
      <c r="I320" s="5" t="s">
        <v>19</v>
      </c>
      <c r="J320" s="5">
        <v>3</v>
      </c>
      <c r="K320" s="5" t="s">
        <v>19</v>
      </c>
      <c r="L320" s="5" t="str">
        <f>VLOOKUP(Healthcare!$A320,hospital_details,2,0)</f>
        <v>11-Aug-1958</v>
      </c>
      <c r="M320" s="5">
        <f t="shared" ref="M320:M383" ca="1" si="1907">VLOOKUP(A320,hospital_details,3,0)</f>
        <v>68</v>
      </c>
      <c r="N320" s="5">
        <f t="shared" ref="N320:N383" si="1908">VLOOKUP($A320,hospital_details,4,0)</f>
        <v>1</v>
      </c>
      <c r="O320" s="6">
        <f t="shared" ref="O320:O383" si="1909">VLOOKUP($A320,hospital_details,5,0)</f>
        <v>30166.62</v>
      </c>
      <c r="P320" s="5" t="str">
        <f t="shared" ref="P320:P383" si="1910">VLOOKUP($A320,hospital_details,6,0)</f>
        <v>tier - 1</v>
      </c>
      <c r="Q320" s="5" t="str">
        <f t="shared" ref="Q320:Q383" si="1911">VLOOKUP($A320,hospital_details,7,0)</f>
        <v>tier - 3</v>
      </c>
      <c r="R320" s="5" t="str">
        <f t="shared" ref="R320:R383" si="1912">VLOOKUP($A320,hospital_details,8,0)</f>
        <v>R1012</v>
      </c>
    </row>
    <row r="321" spans="1:18" ht="14.4" customHeight="1" x14ac:dyDescent="0.3">
      <c r="A321" s="7" t="s">
        <v>340</v>
      </c>
      <c r="B321" s="7" t="str">
        <f>VLOOKUP($A321,[1]!Customer_Names[#Data],3,0)</f>
        <v xml:space="preserve">  Sheera K</v>
      </c>
      <c r="C321" s="7">
        <v>17.940000000000001</v>
      </c>
      <c r="D321" s="7" t="str" cm="1">
        <f t="array" ref="D321">_xlfn.IFS(Healthcare!$C321&lt;18.5,"under weight",Healthcare!$C321&lt;=24.9,"Normal Weight",Healthcare!$C321&gt;=25,"overweight",Healthcare!$C321&gt;=30,"obese")</f>
        <v>under weight</v>
      </c>
      <c r="E321" s="7">
        <v>9.77</v>
      </c>
      <c r="F321" s="7" t="str" cm="1">
        <f t="array" ref="F321">_xlfn.IFS(Healthcare!$E321&lt;5.7,"normal",Healthcare!$E321&lt;=6.4,"prediabetes",Healthcare!$E321&gt;=6.5,"diabetes")</f>
        <v>diabetes</v>
      </c>
      <c r="G321" s="7" t="s">
        <v>19</v>
      </c>
      <c r="H321" s="7" t="s">
        <v>19</v>
      </c>
      <c r="I321" s="7" t="s">
        <v>19</v>
      </c>
      <c r="J321" s="7">
        <v>0</v>
      </c>
      <c r="K321" s="7" t="s">
        <v>20</v>
      </c>
      <c r="L321" s="7" t="str">
        <f>VLOOKUP(Healthcare!$A321,hospital_details,2,0)</f>
        <v>25-Dec-1971</v>
      </c>
      <c r="M321" s="7">
        <f t="shared" ref="M321:M384" ca="1" si="1913">VLOOKUP(A321,hospital_details,3,0)</f>
        <v>54</v>
      </c>
      <c r="N321" s="7">
        <f t="shared" ref="N321:N384" si="1914">VLOOKUP($A321,hospital_details,4,0)</f>
        <v>0</v>
      </c>
      <c r="O321" s="8">
        <f t="shared" ref="O321:O384" si="1915">VLOOKUP($A321,hospital_details,5,0)</f>
        <v>30134.75</v>
      </c>
      <c r="P321" s="7" t="str">
        <f t="shared" ref="P321:P384" si="1916">VLOOKUP($A321,hospital_details,6,0)</f>
        <v>tier - 2</v>
      </c>
      <c r="Q321" s="7" t="str">
        <f t="shared" ref="Q321:Q384" si="1917">VLOOKUP($A321,hospital_details,7,0)</f>
        <v>tier - 3</v>
      </c>
      <c r="R321" s="7" t="str">
        <f t="shared" ref="R321:R384" si="1918">VLOOKUP($A321,hospital_details,8,0)</f>
        <v>R1011</v>
      </c>
    </row>
    <row r="322" spans="1:18" ht="14.4" customHeight="1" x14ac:dyDescent="0.3">
      <c r="A322" s="5" t="s">
        <v>341</v>
      </c>
      <c r="B322" s="5" t="str">
        <f>VLOOKUP($A322,[1]!Customer_Names[#Data],3,0)</f>
        <v xml:space="preserve">  Janice</v>
      </c>
      <c r="C322" s="5">
        <v>21.08</v>
      </c>
      <c r="D322" s="5" t="str" cm="1">
        <f t="array" ref="D322">_xlfn.IFS(Healthcare!$C322&lt;18.5,"under weight",Healthcare!$C322&lt;=24.9,"Normal Weight",Healthcare!$C322&gt;=25,"overweight",Healthcare!$C322&gt;=30,"obese")</f>
        <v>Normal Weight</v>
      </c>
      <c r="E322" s="5">
        <v>4.83</v>
      </c>
      <c r="F322" s="5" t="str" cm="1">
        <f t="array" ref="F322">_xlfn.IFS(Healthcare!$E322&lt;5.7,"normal",Healthcare!$E322&lt;=6.4,"prediabetes",Healthcare!$E322&gt;=6.5,"diabetes")</f>
        <v>normal</v>
      </c>
      <c r="G322" s="5" t="s">
        <v>19</v>
      </c>
      <c r="H322" s="5" t="s">
        <v>19</v>
      </c>
      <c r="I322" s="5" t="s">
        <v>29</v>
      </c>
      <c r="J322" s="5">
        <v>1</v>
      </c>
      <c r="K322" s="5" t="s">
        <v>20</v>
      </c>
      <c r="L322" s="5" t="str">
        <f>VLOOKUP(Healthcare!$A322,hospital_details,2,0)</f>
        <v>2-Sep-1979</v>
      </c>
      <c r="M322" s="5">
        <f t="shared" ref="M322:M385" ca="1" si="1919">VLOOKUP(A322,hospital_details,3,0)</f>
        <v>47</v>
      </c>
      <c r="N322" s="5">
        <f t="shared" ref="N322:N385" si="1920">VLOOKUP($A322,hospital_details,4,0)</f>
        <v>2</v>
      </c>
      <c r="O322" s="6">
        <f t="shared" ref="O322:O385" si="1921">VLOOKUP($A322,hospital_details,5,0)</f>
        <v>30095.97</v>
      </c>
      <c r="P322" s="5" t="str">
        <f t="shared" ref="P322:P385" si="1922">VLOOKUP($A322,hospital_details,6,0)</f>
        <v>tier - 2</v>
      </c>
      <c r="Q322" s="5" t="str">
        <f t="shared" ref="Q322:Q385" si="1923">VLOOKUP($A322,hospital_details,7,0)</f>
        <v>tier - 3</v>
      </c>
      <c r="R322" s="5" t="str">
        <f t="shared" ref="R322:R385" si="1924">VLOOKUP($A322,hospital_details,8,0)</f>
        <v>R1011</v>
      </c>
    </row>
    <row r="323" spans="1:18" ht="14.4" customHeight="1" x14ac:dyDescent="0.3">
      <c r="A323" s="7" t="s">
        <v>342</v>
      </c>
      <c r="B323" s="7" t="str">
        <f>VLOOKUP($A323,[1]!Customer_Names[#Data],3,0)</f>
        <v xml:space="preserve">  Timothy G</v>
      </c>
      <c r="C323" s="7">
        <v>37.715000000000003</v>
      </c>
      <c r="D323" s="7" t="str" cm="1">
        <f t="array" ref="D323">_xlfn.IFS(Healthcare!$C323&lt;18.5,"under weight",Healthcare!$C323&lt;=24.9,"Normal Weight",Healthcare!$C323&gt;=25,"overweight",Healthcare!$C323&gt;=30,"obese")</f>
        <v>overweight</v>
      </c>
      <c r="E323" s="7">
        <v>10.86</v>
      </c>
      <c r="F323" s="7" t="str" cm="1">
        <f t="array" ref="F323">_xlfn.IFS(Healthcare!$E323&lt;5.7,"normal",Healthcare!$E323&lt;=6.4,"prediabetes",Healthcare!$E323&gt;=6.5,"diabetes")</f>
        <v>diabetes</v>
      </c>
      <c r="G323" s="7" t="s">
        <v>20</v>
      </c>
      <c r="H323" s="7" t="s">
        <v>19</v>
      </c>
      <c r="I323" s="7" t="s">
        <v>19</v>
      </c>
      <c r="J323" s="7">
        <v>0</v>
      </c>
      <c r="K323" s="7" t="s">
        <v>19</v>
      </c>
      <c r="L323" s="7" t="str">
        <f>VLOOKUP(Healthcare!$A323,hospital_details,2,0)</f>
        <v>16-Jun-1967</v>
      </c>
      <c r="M323" s="7">
        <f t="shared" ref="M323:M386" ca="1" si="1925">VLOOKUP(A323,hospital_details,3,0)</f>
        <v>59</v>
      </c>
      <c r="N323" s="7">
        <f t="shared" ref="N323:N386" si="1926">VLOOKUP($A323,hospital_details,4,0)</f>
        <v>3</v>
      </c>
      <c r="O323" s="8">
        <f t="shared" ref="O323:O386" si="1927">VLOOKUP($A323,hospital_details,5,0)</f>
        <v>30063.58</v>
      </c>
      <c r="P323" s="7" t="str">
        <f t="shared" ref="P323:P386" si="1928">VLOOKUP($A323,hospital_details,6,0)</f>
        <v>tier - 1</v>
      </c>
      <c r="Q323" s="7" t="str">
        <f t="shared" ref="Q323:Q386" si="1929">VLOOKUP($A323,hospital_details,7,0)</f>
        <v>tier - 1</v>
      </c>
      <c r="R323" s="7" t="str">
        <f t="shared" ref="R323:R386" si="1930">VLOOKUP($A323,hospital_details,8,0)</f>
        <v>R1012</v>
      </c>
    </row>
    <row r="324" spans="1:18" ht="14.4" customHeight="1" x14ac:dyDescent="0.3">
      <c r="A324" s="5" t="s">
        <v>343</v>
      </c>
      <c r="B324" s="5" t="str">
        <f>VLOOKUP($A324,[1]!Customer_Names[#Data],3,0)</f>
        <v xml:space="preserve">  Alan R</v>
      </c>
      <c r="C324" s="5">
        <v>22.39</v>
      </c>
      <c r="D324" s="5" t="str" cm="1">
        <f t="array" ref="D324">_xlfn.IFS(Healthcare!$C324&lt;18.5,"under weight",Healthcare!$C324&lt;=24.9,"Normal Weight",Healthcare!$C324&gt;=25,"overweight",Healthcare!$C324&gt;=30,"obese")</f>
        <v>Normal Weight</v>
      </c>
      <c r="E324" s="5">
        <v>9.5299999999999994</v>
      </c>
      <c r="F324" s="5" t="str" cm="1">
        <f t="array" ref="F324">_xlfn.IFS(Healthcare!$E324&lt;5.7,"normal",Healthcare!$E324&lt;=6.4,"prediabetes",Healthcare!$E324&gt;=6.5,"diabetes")</f>
        <v>diabetes</v>
      </c>
      <c r="G324" s="5" t="s">
        <v>20</v>
      </c>
      <c r="H324" s="5" t="s">
        <v>19</v>
      </c>
      <c r="I324" s="5" t="s">
        <v>19</v>
      </c>
      <c r="J324" s="5">
        <v>0</v>
      </c>
      <c r="K324" s="5" t="s">
        <v>20</v>
      </c>
      <c r="L324" s="5" t="str">
        <f>VLOOKUP(Healthcare!$A324,hospital_details,2,0)</f>
        <v>4-Aug-1981</v>
      </c>
      <c r="M324" s="5">
        <f t="shared" ref="M324:M387" ca="1" si="1931">VLOOKUP(A324,hospital_details,3,0)</f>
        <v>45</v>
      </c>
      <c r="N324" s="5">
        <f t="shared" ref="N324:N387" si="1932">VLOOKUP($A324,hospital_details,4,0)</f>
        <v>1</v>
      </c>
      <c r="O324" s="6">
        <f t="shared" ref="O324:O387" si="1933">VLOOKUP($A324,hospital_details,5,0)</f>
        <v>30026.87</v>
      </c>
      <c r="P324" s="5" t="str">
        <f t="shared" ref="P324:P387" si="1934">VLOOKUP($A324,hospital_details,6,0)</f>
        <v>tier - 2</v>
      </c>
      <c r="Q324" s="5" t="str">
        <f t="shared" ref="Q324:Q387" si="1935">VLOOKUP($A324,hospital_details,7,0)</f>
        <v>tier - 3</v>
      </c>
      <c r="R324" s="5" t="str">
        <f t="shared" ref="R324:R387" si="1936">VLOOKUP($A324,hospital_details,8,0)</f>
        <v>R1012</v>
      </c>
    </row>
    <row r="325" spans="1:18" ht="14.4" customHeight="1" x14ac:dyDescent="0.3">
      <c r="A325" s="7" t="s">
        <v>344</v>
      </c>
      <c r="B325" s="7" t="str">
        <f>VLOOKUP($A325,[1]!Customer_Names[#Data],3,0)</f>
        <v xml:space="preserve">  Michael</v>
      </c>
      <c r="C325" s="7">
        <v>28.78</v>
      </c>
      <c r="D325" s="7" t="str" cm="1">
        <f t="array" ref="D325">_xlfn.IFS(Healthcare!$C325&lt;18.5,"under weight",Healthcare!$C325&lt;=24.9,"Normal Weight",Healthcare!$C325&gt;=25,"overweight",Healthcare!$C325&gt;=30,"obese")</f>
        <v>overweight</v>
      </c>
      <c r="E325" s="7">
        <v>5.68</v>
      </c>
      <c r="F325" s="7" t="str" cm="1">
        <f t="array" ref="F325">_xlfn.IFS(Healthcare!$E325&lt;5.7,"normal",Healthcare!$E325&lt;=6.4,"prediabetes",Healthcare!$E325&gt;=6.5,"diabetes")</f>
        <v>normal</v>
      </c>
      <c r="G325" s="7" t="s">
        <v>19</v>
      </c>
      <c r="H325" s="7" t="s">
        <v>19</v>
      </c>
      <c r="I325" s="7" t="s">
        <v>19</v>
      </c>
      <c r="J325" s="7">
        <v>0</v>
      </c>
      <c r="K325" s="7" t="s">
        <v>20</v>
      </c>
      <c r="L325" s="7" t="str">
        <f>VLOOKUP(Healthcare!$A325,hospital_details,2,0)</f>
        <v>5-Oct-1991</v>
      </c>
      <c r="M325" s="7">
        <f t="shared" ref="M325:M388" ca="1" si="1937">VLOOKUP(A325,hospital_details,3,0)</f>
        <v>35</v>
      </c>
      <c r="N325" s="7">
        <f t="shared" ref="N325:N388" si="1938">VLOOKUP($A325,hospital_details,4,0)</f>
        <v>3</v>
      </c>
      <c r="O325" s="8">
        <f t="shared" ref="O325:O388" si="1939">VLOOKUP($A325,hospital_details,5,0)</f>
        <v>29969.67</v>
      </c>
      <c r="P325" s="7" t="str">
        <f t="shared" ref="P325:P388" si="1940">VLOOKUP($A325,hospital_details,6,0)</f>
        <v>tier - 1</v>
      </c>
      <c r="Q325" s="7" t="str">
        <f t="shared" ref="Q325:Q388" si="1941">VLOOKUP($A325,hospital_details,7,0)</f>
        <v>tier - 1</v>
      </c>
      <c r="R325" s="7" t="str">
        <f t="shared" ref="R325:R388" si="1942">VLOOKUP($A325,hospital_details,8,0)</f>
        <v>R1011</v>
      </c>
    </row>
    <row r="326" spans="1:18" ht="14.4" customHeight="1" x14ac:dyDescent="0.3">
      <c r="A326" s="5" t="s">
        <v>345</v>
      </c>
      <c r="B326" s="5" t="str">
        <f>VLOOKUP($A326,[1]!Customer_Names[#Data],3,0)</f>
        <v xml:space="preserve">  Marie-France</v>
      </c>
      <c r="C326" s="5">
        <v>18.329999999999998</v>
      </c>
      <c r="D326" s="5" t="str" cm="1">
        <f t="array" ref="D326">_xlfn.IFS(Healthcare!$C326&lt;18.5,"under weight",Healthcare!$C326&lt;=24.9,"Normal Weight",Healthcare!$C326&gt;=25,"overweight",Healthcare!$C326&gt;=30,"obese")</f>
        <v>under weight</v>
      </c>
      <c r="E326" s="5">
        <v>5.57</v>
      </c>
      <c r="F326" s="5" t="str" cm="1">
        <f t="array" ref="F326">_xlfn.IFS(Healthcare!$E326&lt;5.7,"normal",Healthcare!$E326&lt;=6.4,"prediabetes",Healthcare!$E326&gt;=6.5,"diabetes")</f>
        <v>normal</v>
      </c>
      <c r="G326" s="5" t="s">
        <v>20</v>
      </c>
      <c r="H326" s="5" t="s">
        <v>19</v>
      </c>
      <c r="I326" s="5" t="s">
        <v>19</v>
      </c>
      <c r="J326" s="5">
        <v>0</v>
      </c>
      <c r="K326" s="5" t="s">
        <v>20</v>
      </c>
      <c r="L326" s="5" t="str">
        <f>VLOOKUP(Healthcare!$A326,hospital_details,2,0)</f>
        <v>12-Jun-1976</v>
      </c>
      <c r="M326" s="5">
        <f t="shared" ref="M326:M389" ca="1" si="1943">VLOOKUP(A326,hospital_details,3,0)</f>
        <v>50</v>
      </c>
      <c r="N326" s="5">
        <f t="shared" ref="N326:N389" si="1944">VLOOKUP($A326,hospital_details,4,0)</f>
        <v>2</v>
      </c>
      <c r="O326" s="6">
        <f t="shared" ref="O326:O389" si="1945">VLOOKUP($A326,hospital_details,5,0)</f>
        <v>29933.75</v>
      </c>
      <c r="P326" s="5" t="str">
        <f t="shared" ref="P326:P389" si="1946">VLOOKUP($A326,hospital_details,6,0)</f>
        <v>tier - 1</v>
      </c>
      <c r="Q326" s="5" t="str">
        <f t="shared" ref="Q326:Q389" si="1947">VLOOKUP($A326,hospital_details,7,0)</f>
        <v>tier - 1</v>
      </c>
      <c r="R326" s="5" t="str">
        <f t="shared" ref="R326:R389" si="1948">VLOOKUP($A326,hospital_details,8,0)</f>
        <v>R1011</v>
      </c>
    </row>
    <row r="327" spans="1:18" ht="14.4" customHeight="1" x14ac:dyDescent="0.3">
      <c r="A327" s="7" t="s">
        <v>346</v>
      </c>
      <c r="B327" s="7" t="str">
        <f>VLOOKUP($A327,[1]!Customer_Names[#Data],3,0)</f>
        <v xml:space="preserve">  Erik F</v>
      </c>
      <c r="C327" s="7">
        <v>26.39</v>
      </c>
      <c r="D327" s="7" t="str" cm="1">
        <f t="array" ref="D327">_xlfn.IFS(Healthcare!$C327&lt;18.5,"under weight",Healthcare!$C327&lt;=24.9,"Normal Weight",Healthcare!$C327&gt;=25,"overweight",Healthcare!$C327&gt;=30,"obese")</f>
        <v>overweight</v>
      </c>
      <c r="E327" s="7">
        <v>4.58</v>
      </c>
      <c r="F327" s="7" t="str" cm="1">
        <f t="array" ref="F327">_xlfn.IFS(Healthcare!$E327&lt;5.7,"normal",Healthcare!$E327&lt;=6.4,"prediabetes",Healthcare!$E327&gt;=6.5,"diabetes")</f>
        <v>normal</v>
      </c>
      <c r="G327" s="7" t="s">
        <v>20</v>
      </c>
      <c r="H327" s="7" t="s">
        <v>19</v>
      </c>
      <c r="I327" s="7" t="s">
        <v>19</v>
      </c>
      <c r="J327" s="7">
        <v>1</v>
      </c>
      <c r="K327" s="7" t="s">
        <v>20</v>
      </c>
      <c r="L327" s="7" t="str">
        <f>VLOOKUP(Healthcare!$A327,hospital_details,2,0)</f>
        <v>30-Dec-1988</v>
      </c>
      <c r="M327" s="7">
        <f t="shared" ref="M327:M390" ca="1" si="1949">VLOOKUP(A327,hospital_details,3,0)</f>
        <v>37</v>
      </c>
      <c r="N327" s="7">
        <f t="shared" ref="N327:N390" si="1950">VLOOKUP($A327,hospital_details,4,0)</f>
        <v>3</v>
      </c>
      <c r="O327" s="8">
        <f t="shared" ref="O327:O390" si="1951">VLOOKUP($A327,hospital_details,5,0)</f>
        <v>29929.56</v>
      </c>
      <c r="P327" s="7" t="str">
        <f t="shared" ref="P327:P390" si="1952">VLOOKUP($A327,hospital_details,6,0)</f>
        <v>tier - 1</v>
      </c>
      <c r="Q327" s="7" t="str">
        <f t="shared" ref="Q327:Q390" si="1953">VLOOKUP($A327,hospital_details,7,0)</f>
        <v>tier - 1</v>
      </c>
      <c r="R327" s="7" t="str">
        <f t="shared" ref="R327:R390" si="1954">VLOOKUP($A327,hospital_details,8,0)</f>
        <v>R1011</v>
      </c>
    </row>
    <row r="328" spans="1:18" ht="14.4" customHeight="1" x14ac:dyDescent="0.3">
      <c r="A328" s="5" t="s">
        <v>347</v>
      </c>
      <c r="B328" s="5" t="str">
        <f>VLOOKUP($A328,[1]!Customer_Names[#Data],3,0)</f>
        <v xml:space="preserve">  Andrew</v>
      </c>
      <c r="C328" s="5">
        <v>19.260000000000002</v>
      </c>
      <c r="D328" s="5" t="str" cm="1">
        <f t="array" ref="D328">_xlfn.IFS(Healthcare!$C328&lt;18.5,"under weight",Healthcare!$C328&lt;=24.9,"Normal Weight",Healthcare!$C328&gt;=25,"overweight",Healthcare!$C328&gt;=30,"obese")</f>
        <v>Normal Weight</v>
      </c>
      <c r="E328" s="5">
        <v>8.9600000000000009</v>
      </c>
      <c r="F328" s="5" t="str" cm="1">
        <f t="array" ref="F328">_xlfn.IFS(Healthcare!$E328&lt;5.7,"normal",Healthcare!$E328&lt;=6.4,"prediabetes",Healthcare!$E328&gt;=6.5,"diabetes")</f>
        <v>diabetes</v>
      </c>
      <c r="G328" s="5" t="s">
        <v>20</v>
      </c>
      <c r="H328" s="5" t="s">
        <v>19</v>
      </c>
      <c r="I328" s="5" t="s">
        <v>19</v>
      </c>
      <c r="J328" s="5">
        <v>1</v>
      </c>
      <c r="K328" s="5" t="s">
        <v>20</v>
      </c>
      <c r="L328" s="5" t="str">
        <f>VLOOKUP(Healthcare!$A328,hospital_details,2,0)</f>
        <v>19-Aug-1975</v>
      </c>
      <c r="M328" s="5">
        <f t="shared" ref="M328:M391" ca="1" si="1955">VLOOKUP(A328,hospital_details,3,0)</f>
        <v>51</v>
      </c>
      <c r="N328" s="5">
        <f t="shared" ref="N328:N391" si="1956">VLOOKUP($A328,hospital_details,4,0)</f>
        <v>1</v>
      </c>
      <c r="O328" s="6">
        <f t="shared" ref="O328:O391" si="1957">VLOOKUP($A328,hospital_details,5,0)</f>
        <v>29899.25</v>
      </c>
      <c r="P328" s="5" t="str">
        <f t="shared" ref="P328:P391" si="1958">VLOOKUP($A328,hospital_details,6,0)</f>
        <v>tier - 1</v>
      </c>
      <c r="Q328" s="5" t="str">
        <f t="shared" ref="Q328:Q391" si="1959">VLOOKUP($A328,hospital_details,7,0)</f>
        <v>tier - 3</v>
      </c>
      <c r="R328" s="5" t="str">
        <f t="shared" ref="R328:R391" si="1960">VLOOKUP($A328,hospital_details,8,0)</f>
        <v>R1011</v>
      </c>
    </row>
    <row r="329" spans="1:18" ht="14.4" customHeight="1" x14ac:dyDescent="0.3">
      <c r="A329" s="7" t="s">
        <v>348</v>
      </c>
      <c r="B329" s="7" t="str">
        <f>VLOOKUP($A329,[1]!Customer_Names[#Data],3,0)</f>
        <v xml:space="preserve">  Anthony</v>
      </c>
      <c r="C329" s="7">
        <v>26.92</v>
      </c>
      <c r="D329" s="7" t="str" cm="1">
        <f t="array" ref="D329">_xlfn.IFS(Healthcare!$C329&lt;18.5,"under weight",Healthcare!$C329&lt;=24.9,"Normal Weight",Healthcare!$C329&gt;=25,"overweight",Healthcare!$C329&gt;=30,"obese")</f>
        <v>overweight</v>
      </c>
      <c r="E329" s="7">
        <v>6.09</v>
      </c>
      <c r="F329" s="7" t="str" cm="1">
        <f t="array" ref="F329">_xlfn.IFS(Healthcare!$E329&lt;5.7,"normal",Healthcare!$E329&lt;=6.4,"prediabetes",Healthcare!$E329&gt;=6.5,"diabetes")</f>
        <v>prediabetes</v>
      </c>
      <c r="G329" s="7" t="s">
        <v>19</v>
      </c>
      <c r="H329" s="7" t="s">
        <v>19</v>
      </c>
      <c r="I329" s="7" t="s">
        <v>19</v>
      </c>
      <c r="J329" s="7">
        <v>0</v>
      </c>
      <c r="K329" s="7" t="s">
        <v>20</v>
      </c>
      <c r="L329" s="7" t="str">
        <f>VLOOKUP(Healthcare!$A329,hospital_details,2,0)</f>
        <v>30-Dec-1989</v>
      </c>
      <c r="M329" s="7">
        <f t="shared" ref="M329:M392" ca="1" si="1961">VLOOKUP(A329,hospital_details,3,0)</f>
        <v>36</v>
      </c>
      <c r="N329" s="7">
        <f t="shared" ref="N329:N392" si="1962">VLOOKUP($A329,hospital_details,4,0)</f>
        <v>3</v>
      </c>
      <c r="O329" s="8">
        <f t="shared" ref="O329:O392" si="1963">VLOOKUP($A329,hospital_details,5,0)</f>
        <v>29852.48</v>
      </c>
      <c r="P329" s="7" t="str">
        <f t="shared" ref="P329:P392" si="1964">VLOOKUP($A329,hospital_details,6,0)</f>
        <v>tier - 1</v>
      </c>
      <c r="Q329" s="7" t="str">
        <f t="shared" ref="Q329:Q392" si="1965">VLOOKUP($A329,hospital_details,7,0)</f>
        <v>tier - 3</v>
      </c>
      <c r="R329" s="7" t="str">
        <f t="shared" ref="R329:R392" si="1966">VLOOKUP($A329,hospital_details,8,0)</f>
        <v>R1011</v>
      </c>
    </row>
    <row r="330" spans="1:18" ht="14.4" customHeight="1" x14ac:dyDescent="0.3">
      <c r="A330" s="5" t="s">
        <v>349</v>
      </c>
      <c r="B330" s="5" t="str">
        <f>VLOOKUP($A330,[1]!Customer_Names[#Data],3,0)</f>
        <v xml:space="preserve">  Chris</v>
      </c>
      <c r="C330" s="5">
        <v>19.73</v>
      </c>
      <c r="D330" s="5" t="str" cm="1">
        <f t="array" ref="D330">_xlfn.IFS(Healthcare!$C330&lt;18.5,"under weight",Healthcare!$C330&lt;=24.9,"Normal Weight",Healthcare!$C330&gt;=25,"overweight",Healthcare!$C330&gt;=30,"obese")</f>
        <v>Normal Weight</v>
      </c>
      <c r="E330" s="5">
        <v>4.3600000000000003</v>
      </c>
      <c r="F330" s="5" t="str" cm="1">
        <f t="array" ref="F330">_xlfn.IFS(Healthcare!$E330&lt;5.7,"normal",Healthcare!$E330&lt;=6.4,"prediabetes",Healthcare!$E330&gt;=6.5,"diabetes")</f>
        <v>normal</v>
      </c>
      <c r="G330" s="5" t="s">
        <v>19</v>
      </c>
      <c r="H330" s="5" t="s">
        <v>19</v>
      </c>
      <c r="I330" s="5" t="s">
        <v>19</v>
      </c>
      <c r="J330" s="5">
        <v>0</v>
      </c>
      <c r="K330" s="5" t="s">
        <v>20</v>
      </c>
      <c r="L330" s="5" t="str">
        <f>VLOOKUP(Healthcare!$A330,hospital_details,2,0)</f>
        <v>29-Oct-1982</v>
      </c>
      <c r="M330" s="5">
        <f t="shared" ref="M330:M393" ca="1" si="1967">VLOOKUP(A330,hospital_details,3,0)</f>
        <v>43</v>
      </c>
      <c r="N330" s="5">
        <f t="shared" ref="N330:N393" si="1968">VLOOKUP($A330,hospital_details,4,0)</f>
        <v>3</v>
      </c>
      <c r="O330" s="6">
        <f t="shared" ref="O330:O393" si="1969">VLOOKUP($A330,hospital_details,5,0)</f>
        <v>29818.76</v>
      </c>
      <c r="P330" s="5" t="str">
        <f t="shared" ref="P330:P393" si="1970">VLOOKUP($A330,hospital_details,6,0)</f>
        <v>tier - 1</v>
      </c>
      <c r="Q330" s="5" t="str">
        <f t="shared" ref="Q330:Q393" si="1971">VLOOKUP($A330,hospital_details,7,0)</f>
        <v>tier - 1</v>
      </c>
      <c r="R330" s="5" t="str">
        <f t="shared" ref="R330:R393" si="1972">VLOOKUP($A330,hospital_details,8,0)</f>
        <v>R1012</v>
      </c>
    </row>
    <row r="331" spans="1:18" ht="14.4" customHeight="1" x14ac:dyDescent="0.3">
      <c r="A331" s="7" t="s">
        <v>350</v>
      </c>
      <c r="B331" s="7" t="str">
        <f>VLOOKUP($A331,[1]!Customer_Names[#Data],3,0)</f>
        <v xml:space="preserve">  Yu</v>
      </c>
      <c r="C331" s="7">
        <v>23.56</v>
      </c>
      <c r="D331" s="7" t="str" cm="1">
        <f t="array" ref="D331">_xlfn.IFS(Healthcare!$C331&lt;18.5,"under weight",Healthcare!$C331&lt;=24.9,"Normal Weight",Healthcare!$C331&gt;=25,"overweight",Healthcare!$C331&gt;=30,"obese")</f>
        <v>Normal Weight</v>
      </c>
      <c r="E331" s="7">
        <v>11.74</v>
      </c>
      <c r="F331" s="7" t="str" cm="1">
        <f t="array" ref="F331">_xlfn.IFS(Healthcare!$E331&lt;5.7,"normal",Healthcare!$E331&lt;=6.4,"prediabetes",Healthcare!$E331&gt;=6.5,"diabetes")</f>
        <v>diabetes</v>
      </c>
      <c r="G331" s="7" t="s">
        <v>20</v>
      </c>
      <c r="H331" s="7" t="s">
        <v>19</v>
      </c>
      <c r="I331" s="7" t="s">
        <v>19</v>
      </c>
      <c r="J331" s="7">
        <v>0</v>
      </c>
      <c r="K331" s="7" t="s">
        <v>20</v>
      </c>
      <c r="L331" s="7" t="str">
        <f>VLOOKUP(Healthcare!$A331,hospital_details,2,0)</f>
        <v>13-Aug-1981</v>
      </c>
      <c r="M331" s="7">
        <f t="shared" ref="M331:M394" ca="1" si="1973">VLOOKUP(A331,hospital_details,3,0)</f>
        <v>45</v>
      </c>
      <c r="N331" s="7">
        <f t="shared" ref="N331:N394" si="1974">VLOOKUP($A331,hospital_details,4,0)</f>
        <v>1</v>
      </c>
      <c r="O331" s="8">
        <f t="shared" ref="O331:O394" si="1975">VLOOKUP($A331,hospital_details,5,0)</f>
        <v>29816.639999999999</v>
      </c>
      <c r="P331" s="7" t="str">
        <f t="shared" ref="P331:P394" si="1976">VLOOKUP($A331,hospital_details,6,0)</f>
        <v>tier - 1</v>
      </c>
      <c r="Q331" s="7" t="str">
        <f t="shared" ref="Q331:Q394" si="1977">VLOOKUP($A331,hospital_details,7,0)</f>
        <v>tier - 2</v>
      </c>
      <c r="R331" s="7" t="str">
        <f t="shared" ref="R331:R394" si="1978">VLOOKUP($A331,hospital_details,8,0)</f>
        <v>R1011</v>
      </c>
    </row>
    <row r="332" spans="1:18" ht="14.4" customHeight="1" x14ac:dyDescent="0.3">
      <c r="A332" s="5" t="s">
        <v>351</v>
      </c>
      <c r="B332" s="5" t="str">
        <f>VLOOKUP($A332,[1]!Customer_Names[#Data],3,0)</f>
        <v xml:space="preserve">  Caleb N</v>
      </c>
      <c r="C332" s="5">
        <v>37.67</v>
      </c>
      <c r="D332" s="5" t="str" cm="1">
        <f t="array" ref="D332">_xlfn.IFS(Healthcare!$C332&lt;18.5,"under weight",Healthcare!$C332&lt;=24.9,"Normal Weight",Healthcare!$C332&gt;=25,"overweight",Healthcare!$C332&gt;=30,"obese")</f>
        <v>overweight</v>
      </c>
      <c r="E332" s="5">
        <v>5.89</v>
      </c>
      <c r="F332" s="5" t="str" cm="1">
        <f t="array" ref="F332">_xlfn.IFS(Healthcare!$E332&lt;5.7,"normal",Healthcare!$E332&lt;=6.4,"prediabetes",Healthcare!$E332&gt;=6.5,"diabetes")</f>
        <v>prediabetes</v>
      </c>
      <c r="G332" s="5" t="s">
        <v>19</v>
      </c>
      <c r="H332" s="5" t="s">
        <v>19</v>
      </c>
      <c r="I332" s="5" t="s">
        <v>19</v>
      </c>
      <c r="J332" s="5">
        <v>1</v>
      </c>
      <c r="K332" s="5" t="s">
        <v>20</v>
      </c>
      <c r="L332" s="5" t="str">
        <f>VLOOKUP(Healthcare!$A332,hospital_details,2,0)</f>
        <v>20-Jun-1998</v>
      </c>
      <c r="M332" s="5">
        <f t="shared" ref="M332:M395" ca="1" si="1979">VLOOKUP(A332,hospital_details,3,0)</f>
        <v>28</v>
      </c>
      <c r="N332" s="5">
        <f t="shared" ref="N332:N395" si="1980">VLOOKUP($A332,hospital_details,4,0)</f>
        <v>0</v>
      </c>
      <c r="O332" s="6">
        <f t="shared" ref="O332:O395" si="1981">VLOOKUP($A332,hospital_details,5,0)</f>
        <v>29760.6</v>
      </c>
      <c r="P332" s="5" t="str">
        <f t="shared" ref="P332:P395" si="1982">VLOOKUP($A332,hospital_details,6,0)</f>
        <v>tier - 1</v>
      </c>
      <c r="Q332" s="5" t="str">
        <f t="shared" ref="Q332:Q395" si="1983">VLOOKUP($A332,hospital_details,7,0)</f>
        <v>tier - 2</v>
      </c>
      <c r="R332" s="5" t="str">
        <f t="shared" ref="R332:R395" si="1984">VLOOKUP($A332,hospital_details,8,0)</f>
        <v>R1011</v>
      </c>
    </row>
    <row r="333" spans="1:18" ht="14.4" customHeight="1" x14ac:dyDescent="0.3">
      <c r="A333" s="7" t="s">
        <v>352</v>
      </c>
      <c r="B333" s="7" t="str">
        <f>VLOOKUP($A333,[1]!Customer_Names[#Data],3,0)</f>
        <v xml:space="preserve">  Jason M</v>
      </c>
      <c r="C333" s="7">
        <v>18.73</v>
      </c>
      <c r="D333" s="7" t="str" cm="1">
        <f t="array" ref="D333">_xlfn.IFS(Healthcare!$C333&lt;18.5,"under weight",Healthcare!$C333&lt;=24.9,"Normal Weight",Healthcare!$C333&gt;=25,"overweight",Healthcare!$C333&gt;=30,"obese")</f>
        <v>Normal Weight</v>
      </c>
      <c r="E333" s="7">
        <v>10.64</v>
      </c>
      <c r="F333" s="7" t="str" cm="1">
        <f t="array" ref="F333">_xlfn.IFS(Healthcare!$E333&lt;5.7,"normal",Healthcare!$E333&lt;=6.4,"prediabetes",Healthcare!$E333&gt;=6.5,"diabetes")</f>
        <v>diabetes</v>
      </c>
      <c r="G333" s="7" t="s">
        <v>19</v>
      </c>
      <c r="H333" s="7" t="s">
        <v>19</v>
      </c>
      <c r="I333" s="7" t="s">
        <v>19</v>
      </c>
      <c r="J333" s="7">
        <v>2</v>
      </c>
      <c r="K333" s="7" t="s">
        <v>20</v>
      </c>
      <c r="L333" s="7" t="str">
        <f>VLOOKUP(Healthcare!$A333,hospital_details,2,0)</f>
        <v>23-Aug-1973</v>
      </c>
      <c r="M333" s="7">
        <f t="shared" ref="M333:M396" ca="1" si="1985">VLOOKUP(A333,hospital_details,3,0)</f>
        <v>53</v>
      </c>
      <c r="N333" s="7">
        <f t="shared" ref="N333:N396" si="1986">VLOOKUP($A333,hospital_details,4,0)</f>
        <v>0</v>
      </c>
      <c r="O333" s="8">
        <f t="shared" ref="O333:O396" si="1987">VLOOKUP($A333,hospital_details,5,0)</f>
        <v>29757.69</v>
      </c>
      <c r="P333" s="7" t="str">
        <f t="shared" ref="P333:P396" si="1988">VLOOKUP($A333,hospital_details,6,0)</f>
        <v>tier - 1</v>
      </c>
      <c r="Q333" s="7" t="str">
        <f t="shared" ref="Q333:Q396" si="1989">VLOOKUP($A333,hospital_details,7,0)</f>
        <v>tier - 3</v>
      </c>
      <c r="R333" s="7" t="str">
        <f t="shared" ref="R333:R396" si="1990">VLOOKUP($A333,hospital_details,8,0)</f>
        <v>R1011</v>
      </c>
    </row>
    <row r="334" spans="1:18" ht="14.4" customHeight="1" x14ac:dyDescent="0.3">
      <c r="A334" s="5" t="s">
        <v>353</v>
      </c>
      <c r="B334" s="5" t="str">
        <f>VLOOKUP($A334,[1]!Customer_Names[#Data],3,0)</f>
        <v xml:space="preserve">  Angela R</v>
      </c>
      <c r="C334" s="5">
        <v>33.090000000000003</v>
      </c>
      <c r="D334" s="5" t="str" cm="1">
        <f t="array" ref="D334">_xlfn.IFS(Healthcare!$C334&lt;18.5,"under weight",Healthcare!$C334&lt;=24.9,"Normal Weight",Healthcare!$C334&gt;=25,"overweight",Healthcare!$C334&gt;=30,"obese")</f>
        <v>overweight</v>
      </c>
      <c r="E334" s="5">
        <v>6.06</v>
      </c>
      <c r="F334" s="5" t="str" cm="1">
        <f t="array" ref="F334">_xlfn.IFS(Healthcare!$E334&lt;5.7,"normal",Healthcare!$E334&lt;=6.4,"prediabetes",Healthcare!$E334&gt;=6.5,"diabetes")</f>
        <v>prediabetes</v>
      </c>
      <c r="G334" s="5" t="s">
        <v>19</v>
      </c>
      <c r="H334" s="5" t="s">
        <v>19</v>
      </c>
      <c r="I334" s="5" t="s">
        <v>29</v>
      </c>
      <c r="J334" s="5">
        <v>1</v>
      </c>
      <c r="K334" s="5" t="s">
        <v>20</v>
      </c>
      <c r="L334" s="5" t="str">
        <f>VLOOKUP(Healthcare!$A334,hospital_details,2,0)</f>
        <v>27-Jul-1993</v>
      </c>
      <c r="M334" s="5">
        <f t="shared" ref="M334:M397" ca="1" si="1991">VLOOKUP(A334,hospital_details,3,0)</f>
        <v>33</v>
      </c>
      <c r="N334" s="5">
        <f t="shared" ref="N334:N397" si="1992">VLOOKUP($A334,hospital_details,4,0)</f>
        <v>0</v>
      </c>
      <c r="O334" s="6">
        <f t="shared" ref="O334:O397" si="1993">VLOOKUP($A334,hospital_details,5,0)</f>
        <v>29622.69</v>
      </c>
      <c r="P334" s="5" t="str">
        <f t="shared" ref="P334:P397" si="1994">VLOOKUP($A334,hospital_details,6,0)</f>
        <v>tier - 1</v>
      </c>
      <c r="Q334" s="5" t="str">
        <f t="shared" ref="Q334:Q397" si="1995">VLOOKUP($A334,hospital_details,7,0)</f>
        <v>tier - 1</v>
      </c>
      <c r="R334" s="5" t="str">
        <f t="shared" ref="R334:R397" si="1996">VLOOKUP($A334,hospital_details,8,0)</f>
        <v>R1011</v>
      </c>
    </row>
    <row r="335" spans="1:18" ht="14.4" customHeight="1" x14ac:dyDescent="0.3">
      <c r="A335" s="7" t="s">
        <v>354</v>
      </c>
      <c r="B335" s="7" t="str">
        <f>VLOOKUP($A335,[1]!Customer_Names[#Data],3,0)</f>
        <v xml:space="preserve">  Keith J</v>
      </c>
      <c r="C335" s="7">
        <v>18.329999999999998</v>
      </c>
      <c r="D335" s="7" t="str" cm="1">
        <f t="array" ref="D335">_xlfn.IFS(Healthcare!$C335&lt;18.5,"under weight",Healthcare!$C335&lt;=24.9,"Normal Weight",Healthcare!$C335&gt;=25,"overweight",Healthcare!$C335&gt;=30,"obese")</f>
        <v>under weight</v>
      </c>
      <c r="E335" s="7">
        <v>7.46</v>
      </c>
      <c r="F335" s="7" t="str" cm="1">
        <f t="array" ref="F335">_xlfn.IFS(Healthcare!$E335&lt;5.7,"normal",Healthcare!$E335&lt;=6.4,"prediabetes",Healthcare!$E335&gt;=6.5,"diabetes")</f>
        <v>diabetes</v>
      </c>
      <c r="G335" s="7" t="s">
        <v>20</v>
      </c>
      <c r="H335" s="7" t="s">
        <v>19</v>
      </c>
      <c r="I335" s="7" t="s">
        <v>19</v>
      </c>
      <c r="J335" s="7">
        <v>1</v>
      </c>
      <c r="K335" s="7" t="s">
        <v>20</v>
      </c>
      <c r="L335" s="7" t="str">
        <f>VLOOKUP(Healthcare!$A335,hospital_details,2,0)</f>
        <v>3-Nov-1975</v>
      </c>
      <c r="M335" s="7">
        <f t="shared" ref="M335:M398" ca="1" si="1997">VLOOKUP(A335,hospital_details,3,0)</f>
        <v>50</v>
      </c>
      <c r="N335" s="7">
        <f t="shared" ref="N335:N398" si="1998">VLOOKUP($A335,hospital_details,4,0)</f>
        <v>1</v>
      </c>
      <c r="O335" s="8">
        <f t="shared" ref="O335:O398" si="1999">VLOOKUP($A335,hospital_details,5,0)</f>
        <v>29583.8</v>
      </c>
      <c r="P335" s="7" t="str">
        <f t="shared" ref="P335:P398" si="2000">VLOOKUP($A335,hospital_details,6,0)</f>
        <v>tier - 1</v>
      </c>
      <c r="Q335" s="7" t="str">
        <f t="shared" ref="Q335:Q398" si="2001">VLOOKUP($A335,hospital_details,7,0)</f>
        <v>tier - 1</v>
      </c>
      <c r="R335" s="7" t="str">
        <f t="shared" ref="R335:R398" si="2002">VLOOKUP($A335,hospital_details,8,0)</f>
        <v>R1011</v>
      </c>
    </row>
    <row r="336" spans="1:18" ht="14.4" customHeight="1" x14ac:dyDescent="0.3">
      <c r="A336" s="5" t="s">
        <v>355</v>
      </c>
      <c r="B336" s="5" t="str">
        <f>VLOOKUP($A336,[1]!Customer_Names[#Data],3,0)</f>
        <v xml:space="preserve">  Emma</v>
      </c>
      <c r="C336" s="5">
        <v>27.74</v>
      </c>
      <c r="D336" s="5" t="str" cm="1">
        <f t="array" ref="D336">_xlfn.IFS(Healthcare!$C336&lt;18.5,"under weight",Healthcare!$C336&lt;=24.9,"Normal Weight",Healthcare!$C336&gt;=25,"overweight",Healthcare!$C336&gt;=30,"obese")</f>
        <v>overweight</v>
      </c>
      <c r="E336" s="5">
        <v>4.68</v>
      </c>
      <c r="F336" s="5" t="str" cm="1">
        <f t="array" ref="F336">_xlfn.IFS(Healthcare!$E336&lt;5.7,"normal",Healthcare!$E336&lt;=6.4,"prediabetes",Healthcare!$E336&gt;=6.5,"diabetes")</f>
        <v>normal</v>
      </c>
      <c r="G336" s="5" t="s">
        <v>20</v>
      </c>
      <c r="H336" s="5" t="s">
        <v>19</v>
      </c>
      <c r="I336" s="5" t="s">
        <v>19</v>
      </c>
      <c r="J336" s="5">
        <v>2</v>
      </c>
      <c r="K336" s="5" t="s">
        <v>20</v>
      </c>
      <c r="L336" s="5" t="str">
        <f>VLOOKUP(Healthcare!$A336,hospital_details,2,0)</f>
        <v>20-Oct-1959</v>
      </c>
      <c r="M336" s="5">
        <f t="shared" ref="M336:M399" ca="1" si="2003">VLOOKUP(A336,hospital_details,3,0)</f>
        <v>66</v>
      </c>
      <c r="N336" s="5">
        <f t="shared" ref="N336:N399" si="2004">VLOOKUP($A336,hospital_details,4,0)</f>
        <v>0</v>
      </c>
      <c r="O336" s="6">
        <f t="shared" ref="O336:O399" si="2005">VLOOKUP($A336,hospital_details,5,0)</f>
        <v>29523.17</v>
      </c>
      <c r="P336" s="5" t="str">
        <f t="shared" ref="P336:P399" si="2006">VLOOKUP($A336,hospital_details,6,0)</f>
        <v>tier - 1</v>
      </c>
      <c r="Q336" s="5" t="str">
        <f t="shared" ref="Q336:Q399" si="2007">VLOOKUP($A336,hospital_details,7,0)</f>
        <v>tier - 2</v>
      </c>
      <c r="R336" s="5" t="str">
        <f t="shared" ref="R336:R399" si="2008">VLOOKUP($A336,hospital_details,8,0)</f>
        <v>R1024</v>
      </c>
    </row>
    <row r="337" spans="1:18" ht="14.4" customHeight="1" x14ac:dyDescent="0.3">
      <c r="A337" s="7" t="s">
        <v>356</v>
      </c>
      <c r="B337" s="7" t="str">
        <f>VLOOKUP($A337,[1]!Customer_Names[#Data],3,0)</f>
        <v xml:space="preserve">  Nathan A</v>
      </c>
      <c r="C337" s="7">
        <v>24.2</v>
      </c>
      <c r="D337" s="7" t="str" cm="1">
        <f t="array" ref="D337">_xlfn.IFS(Healthcare!$C337&lt;18.5,"under weight",Healthcare!$C337&lt;=24.9,"Normal Weight",Healthcare!$C337&gt;=25,"overweight",Healthcare!$C337&gt;=30,"obese")</f>
        <v>Normal Weight</v>
      </c>
      <c r="E337" s="7">
        <v>6.15</v>
      </c>
      <c r="F337" s="7" t="str" cm="1">
        <f t="array" ref="F337">_xlfn.IFS(Healthcare!$E337&lt;5.7,"normal",Healthcare!$E337&lt;=6.4,"prediabetes",Healthcare!$E337&gt;=6.5,"diabetes")</f>
        <v>prediabetes</v>
      </c>
      <c r="G337" s="7" t="s">
        <v>19</v>
      </c>
      <c r="H337" s="7" t="s">
        <v>19</v>
      </c>
      <c r="I337" s="7" t="s">
        <v>19</v>
      </c>
      <c r="J337" s="7">
        <v>1</v>
      </c>
      <c r="K337" s="7" t="s">
        <v>20</v>
      </c>
      <c r="L337" s="7" t="str">
        <f>VLOOKUP(Healthcare!$A337,hospital_details,2,0)</f>
        <v>16-Jul-1987</v>
      </c>
      <c r="M337" s="7">
        <f t="shared" ref="M337:M400" ca="1" si="2009">VLOOKUP(A337,hospital_details,3,0)</f>
        <v>39</v>
      </c>
      <c r="N337" s="7">
        <f t="shared" ref="N337:N400" si="2010">VLOOKUP($A337,hospital_details,4,0)</f>
        <v>3</v>
      </c>
      <c r="O337" s="8">
        <f t="shared" ref="O337:O400" si="2011">VLOOKUP($A337,hospital_details,5,0)</f>
        <v>29443.59</v>
      </c>
      <c r="P337" s="7" t="str">
        <f t="shared" ref="P337:P400" si="2012">VLOOKUP($A337,hospital_details,6,0)</f>
        <v>tier - 1</v>
      </c>
      <c r="Q337" s="7" t="str">
        <f t="shared" ref="Q337:Q400" si="2013">VLOOKUP($A337,hospital_details,7,0)</f>
        <v>tier - 1</v>
      </c>
      <c r="R337" s="7" t="str">
        <f t="shared" ref="R337:R400" si="2014">VLOOKUP($A337,hospital_details,8,0)</f>
        <v>R1011</v>
      </c>
    </row>
    <row r="338" spans="1:18" ht="14.4" customHeight="1" x14ac:dyDescent="0.3">
      <c r="A338" s="5" t="s">
        <v>357</v>
      </c>
      <c r="B338" s="5" t="str">
        <f>VLOOKUP($A338,[1]!Customer_Names[#Data],3,0)</f>
        <v xml:space="preserve">  Kathryn</v>
      </c>
      <c r="C338" s="5">
        <v>22.03</v>
      </c>
      <c r="D338" s="5" t="str" cm="1">
        <f t="array" ref="D338">_xlfn.IFS(Healthcare!$C338&lt;18.5,"under weight",Healthcare!$C338&lt;=24.9,"Normal Weight",Healthcare!$C338&gt;=25,"overweight",Healthcare!$C338&gt;=30,"obese")</f>
        <v>Normal Weight</v>
      </c>
      <c r="E338" s="5">
        <v>4.28</v>
      </c>
      <c r="F338" s="5" t="str" cm="1">
        <f t="array" ref="F338">_xlfn.IFS(Healthcare!$E338&lt;5.7,"normal",Healthcare!$E338&lt;=6.4,"prediabetes",Healthcare!$E338&gt;=6.5,"diabetes")</f>
        <v>normal</v>
      </c>
      <c r="G338" s="5" t="s">
        <v>20</v>
      </c>
      <c r="H338" s="5" t="s">
        <v>19</v>
      </c>
      <c r="I338" s="5" t="s">
        <v>19</v>
      </c>
      <c r="J338" s="5">
        <v>0</v>
      </c>
      <c r="K338" s="5" t="s">
        <v>20</v>
      </c>
      <c r="L338" s="5" t="str">
        <f>VLOOKUP(Healthcare!$A338,hospital_details,2,0)</f>
        <v>7-Nov-1985</v>
      </c>
      <c r="M338" s="5">
        <f t="shared" ref="M338:M401" ca="1" si="2015">VLOOKUP(A338,hospital_details,3,0)</f>
        <v>40</v>
      </c>
      <c r="N338" s="5">
        <f t="shared" ref="N338:N401" si="2016">VLOOKUP($A338,hospital_details,4,0)</f>
        <v>3</v>
      </c>
      <c r="O338" s="6">
        <f t="shared" ref="O338:O401" si="2017">VLOOKUP($A338,hospital_details,5,0)</f>
        <v>29352.560000000001</v>
      </c>
      <c r="P338" s="5" t="str">
        <f t="shared" ref="P338:P401" si="2018">VLOOKUP($A338,hospital_details,6,0)</f>
        <v>tier - 1</v>
      </c>
      <c r="Q338" s="5" t="str">
        <f t="shared" ref="Q338:Q401" si="2019">VLOOKUP($A338,hospital_details,7,0)</f>
        <v>tier - 1</v>
      </c>
      <c r="R338" s="5" t="str">
        <f t="shared" ref="R338:R401" si="2020">VLOOKUP($A338,hospital_details,8,0)</f>
        <v>R1011</v>
      </c>
    </row>
    <row r="339" spans="1:18" ht="14.4" customHeight="1" x14ac:dyDescent="0.3">
      <c r="A339" s="7" t="s">
        <v>358</v>
      </c>
      <c r="B339" s="7" t="str">
        <f>VLOOKUP($A339,[1]!Customer_Names[#Data],3,0)</f>
        <v xml:space="preserve">  Elizabeth H</v>
      </c>
      <c r="C339" s="7">
        <v>26.885000000000002</v>
      </c>
      <c r="D339" s="7" t="str" cm="1">
        <f t="array" ref="D339">_xlfn.IFS(Healthcare!$C339&lt;18.5,"under weight",Healthcare!$C339&lt;=24.9,"Normal Weight",Healthcare!$C339&gt;=25,"overweight",Healthcare!$C339&gt;=30,"obese")</f>
        <v>overweight</v>
      </c>
      <c r="E339" s="7">
        <v>9.86</v>
      </c>
      <c r="F339" s="7" t="str" cm="1">
        <f t="array" ref="F339">_xlfn.IFS(Healthcare!$E339&lt;5.7,"normal",Healthcare!$E339&lt;=6.4,"prediabetes",Healthcare!$E339&gt;=6.5,"diabetes")</f>
        <v>diabetes</v>
      </c>
      <c r="G339" s="7" t="s">
        <v>19</v>
      </c>
      <c r="H339" s="7" t="s">
        <v>19</v>
      </c>
      <c r="I339" s="7" t="s">
        <v>19</v>
      </c>
      <c r="J339" s="7">
        <v>3</v>
      </c>
      <c r="K339" s="7" t="s">
        <v>20</v>
      </c>
      <c r="L339" s="7" t="str">
        <f>VLOOKUP(Healthcare!$A339,hospital_details,2,0)</f>
        <v>5-Jun-1958</v>
      </c>
      <c r="M339" s="7">
        <f t="shared" ref="M339:M402" ca="1" si="2021">VLOOKUP(A339,hospital_details,3,0)</f>
        <v>68</v>
      </c>
      <c r="N339" s="7">
        <f t="shared" ref="N339:N402" si="2022">VLOOKUP($A339,hospital_details,4,0)</f>
        <v>0</v>
      </c>
      <c r="O339" s="8">
        <f t="shared" ref="O339:O402" si="2023">VLOOKUP($A339,hospital_details,5,0)</f>
        <v>29330.98</v>
      </c>
      <c r="P339" s="7" t="str">
        <f t="shared" ref="P339:P402" si="2024">VLOOKUP($A339,hospital_details,6,0)</f>
        <v>tier - 1</v>
      </c>
      <c r="Q339" s="7" t="str">
        <f t="shared" ref="Q339:Q402" si="2025">VLOOKUP($A339,hospital_details,7,0)</f>
        <v>tier - 2</v>
      </c>
      <c r="R339" s="7" t="str">
        <f t="shared" ref="R339:R402" si="2026">VLOOKUP($A339,hospital_details,8,0)</f>
        <v>R1012</v>
      </c>
    </row>
    <row r="340" spans="1:18" ht="14.4" customHeight="1" x14ac:dyDescent="0.3">
      <c r="A340" s="5" t="s">
        <v>359</v>
      </c>
      <c r="B340" s="5" t="str">
        <f>VLOOKUP($A340,[1]!Customer_Names[#Data],3,0)</f>
        <v xml:space="preserve">  Ben</v>
      </c>
      <c r="C340" s="5">
        <v>16.36</v>
      </c>
      <c r="D340" s="5" t="str" cm="1">
        <f t="array" ref="D340">_xlfn.IFS(Healthcare!$C340&lt;18.5,"under weight",Healthcare!$C340&lt;=24.9,"Normal Weight",Healthcare!$C340&gt;=25,"overweight",Healthcare!$C340&gt;=30,"obese")</f>
        <v>under weight</v>
      </c>
      <c r="E340" s="5">
        <v>11.19</v>
      </c>
      <c r="F340" s="5" t="str" cm="1">
        <f t="array" ref="F340">_xlfn.IFS(Healthcare!$E340&lt;5.7,"normal",Healthcare!$E340&lt;=6.4,"prediabetes",Healthcare!$E340&gt;=6.5,"diabetes")</f>
        <v>diabetes</v>
      </c>
      <c r="G340" s="5" t="s">
        <v>19</v>
      </c>
      <c r="H340" s="5" t="s">
        <v>19</v>
      </c>
      <c r="I340" s="5" t="s">
        <v>19</v>
      </c>
      <c r="J340" s="5">
        <v>0</v>
      </c>
      <c r="K340" s="5" t="s">
        <v>20</v>
      </c>
      <c r="L340" s="5" t="str">
        <f>VLOOKUP(Healthcare!$A340,hospital_details,2,0)</f>
        <v>21-Jul-1978</v>
      </c>
      <c r="M340" s="5">
        <f t="shared" ref="M340:M403" ca="1" si="2027">VLOOKUP(A340,hospital_details,3,0)</f>
        <v>48</v>
      </c>
      <c r="N340" s="5">
        <f t="shared" ref="N340:N403" si="2028">VLOOKUP($A340,hospital_details,4,0)</f>
        <v>2</v>
      </c>
      <c r="O340" s="6">
        <f t="shared" ref="O340:O403" si="2029">VLOOKUP($A340,hospital_details,5,0)</f>
        <v>29227.599999999999</v>
      </c>
      <c r="P340" s="5" t="str">
        <f t="shared" ref="P340:P403" si="2030">VLOOKUP($A340,hospital_details,6,0)</f>
        <v>tier - 1</v>
      </c>
      <c r="Q340" s="5" t="str">
        <f t="shared" ref="Q340:Q403" si="2031">VLOOKUP($A340,hospital_details,7,0)</f>
        <v>tier - 3</v>
      </c>
      <c r="R340" s="5" t="str">
        <f t="shared" ref="R340:R403" si="2032">VLOOKUP($A340,hospital_details,8,0)</f>
        <v>R1012</v>
      </c>
    </row>
    <row r="341" spans="1:18" ht="14.4" customHeight="1" x14ac:dyDescent="0.3">
      <c r="A341" s="7" t="s">
        <v>360</v>
      </c>
      <c r="B341" s="7" t="str">
        <f>VLOOKUP($A341,[1]!Customer_Names[#Data],3,0)</f>
        <v xml:space="preserve">  Cheryl A</v>
      </c>
      <c r="C341" s="7">
        <v>32.299999999999997</v>
      </c>
      <c r="D341" s="7" t="str" cm="1">
        <f t="array" ref="D341">_xlfn.IFS(Healthcare!$C341&lt;18.5,"under weight",Healthcare!$C341&lt;=24.9,"Normal Weight",Healthcare!$C341&gt;=25,"overweight",Healthcare!$C341&gt;=30,"obese")</f>
        <v>overweight</v>
      </c>
      <c r="E341" s="7">
        <v>4.8899999999999997</v>
      </c>
      <c r="F341" s="7" t="str" cm="1">
        <f t="array" ref="F341">_xlfn.IFS(Healthcare!$E341&lt;5.7,"normal",Healthcare!$E341&lt;=6.4,"prediabetes",Healthcare!$E341&gt;=6.5,"diabetes")</f>
        <v>normal</v>
      </c>
      <c r="G341" s="7" t="s">
        <v>20</v>
      </c>
      <c r="H341" s="7" t="s">
        <v>19</v>
      </c>
      <c r="I341" s="7" t="s">
        <v>29</v>
      </c>
      <c r="J341" s="7">
        <v>1</v>
      </c>
      <c r="K341" s="7" t="s">
        <v>19</v>
      </c>
      <c r="L341" s="7" t="str">
        <f>VLOOKUP(Healthcare!$A341,hospital_details,2,0)</f>
        <v>9-Jul-1969</v>
      </c>
      <c r="M341" s="7">
        <f t="shared" ref="M341:M404" ca="1" si="2033">VLOOKUP(A341,hospital_details,3,0)</f>
        <v>57</v>
      </c>
      <c r="N341" s="7">
        <f t="shared" ref="N341:N404" si="2034">VLOOKUP($A341,hospital_details,4,0)</f>
        <v>2</v>
      </c>
      <c r="O341" s="8">
        <f t="shared" ref="O341:O404" si="2035">VLOOKUP($A341,hospital_details,5,0)</f>
        <v>29186.48</v>
      </c>
      <c r="P341" s="7" t="str">
        <f t="shared" ref="P341:P404" si="2036">VLOOKUP($A341,hospital_details,6,0)</f>
        <v>tier - 1</v>
      </c>
      <c r="Q341" s="7" t="str">
        <f t="shared" ref="Q341:Q404" si="2037">VLOOKUP($A341,hospital_details,7,0)</f>
        <v>tier - 3</v>
      </c>
      <c r="R341" s="7" t="str">
        <f t="shared" ref="R341:R404" si="2038">VLOOKUP($A341,hospital_details,8,0)</f>
        <v>R1024</v>
      </c>
    </row>
    <row r="342" spans="1:18" ht="14.4" customHeight="1" x14ac:dyDescent="0.3">
      <c r="A342" s="5" t="s">
        <v>361</v>
      </c>
      <c r="B342" s="5" t="str">
        <f>VLOOKUP($A342,[1]!Customer_Names[#Data],3,0)</f>
        <v xml:space="preserve">  Kimberly A</v>
      </c>
      <c r="C342" s="5">
        <v>16.05</v>
      </c>
      <c r="D342" s="5" t="str" cm="1">
        <f t="array" ref="D342">_xlfn.IFS(Healthcare!$C342&lt;18.5,"under weight",Healthcare!$C342&lt;=24.9,"Normal Weight",Healthcare!$C342&gt;=25,"overweight",Healthcare!$C342&gt;=30,"obese")</f>
        <v>under weight</v>
      </c>
      <c r="E342" s="5">
        <v>4.3499999999999996</v>
      </c>
      <c r="F342" s="5" t="str" cm="1">
        <f t="array" ref="F342">_xlfn.IFS(Healthcare!$E342&lt;5.7,"normal",Healthcare!$E342&lt;=6.4,"prediabetes",Healthcare!$E342&gt;=6.5,"diabetes")</f>
        <v>normal</v>
      </c>
      <c r="G342" s="5" t="s">
        <v>20</v>
      </c>
      <c r="H342" s="5" t="s">
        <v>19</v>
      </c>
      <c r="I342" s="5" t="s">
        <v>19</v>
      </c>
      <c r="J342" s="5">
        <v>0</v>
      </c>
      <c r="K342" s="5" t="s">
        <v>20</v>
      </c>
      <c r="L342" s="5" t="str">
        <f>VLOOKUP(Healthcare!$A342,hospital_details,2,0)</f>
        <v>8-Nov-1976</v>
      </c>
      <c r="M342" s="5">
        <f t="shared" ref="M342:M405" ca="1" si="2039">VLOOKUP(A342,hospital_details,3,0)</f>
        <v>49</v>
      </c>
      <c r="N342" s="5">
        <f t="shared" ref="N342:N405" si="2040">VLOOKUP($A342,hospital_details,4,0)</f>
        <v>2</v>
      </c>
      <c r="O342" s="6">
        <f t="shared" ref="O342:O405" si="2041">VLOOKUP($A342,hospital_details,5,0)</f>
        <v>29160.39</v>
      </c>
      <c r="P342" s="5" t="str">
        <f t="shared" ref="P342:P405" si="2042">VLOOKUP($A342,hospital_details,6,0)</f>
        <v>tier - 1</v>
      </c>
      <c r="Q342" s="5" t="str">
        <f t="shared" ref="Q342:Q405" si="2043">VLOOKUP($A342,hospital_details,7,0)</f>
        <v>tier - 2</v>
      </c>
      <c r="R342" s="5" t="str">
        <f t="shared" ref="R342:R405" si="2044">VLOOKUP($A342,hospital_details,8,0)</f>
        <v>R1011</v>
      </c>
    </row>
    <row r="343" spans="1:18" ht="14.4" customHeight="1" x14ac:dyDescent="0.3">
      <c r="A343" s="7" t="s">
        <v>362</v>
      </c>
      <c r="B343" s="7" t="str">
        <f>VLOOKUP($A343,[1]!Customer_Names[#Data],3,0)</f>
        <v xml:space="preserve">  Cynthia</v>
      </c>
      <c r="C343" s="7">
        <v>29.07</v>
      </c>
      <c r="D343" s="7" t="str" cm="1">
        <f t="array" ref="D343">_xlfn.IFS(Healthcare!$C343&lt;18.5,"under weight",Healthcare!$C343&lt;=24.9,"Normal Weight",Healthcare!$C343&gt;=25,"overweight",Healthcare!$C343&gt;=30,"obese")</f>
        <v>overweight</v>
      </c>
      <c r="E343" s="7">
        <v>8.66</v>
      </c>
      <c r="F343" s="7" t="str" cm="1">
        <f t="array" ref="F343">_xlfn.IFS(Healthcare!$E343&lt;5.7,"normal",Healthcare!$E343&lt;=6.4,"prediabetes",Healthcare!$E343&gt;=6.5,"diabetes")</f>
        <v>diabetes</v>
      </c>
      <c r="G343" s="7" t="s">
        <v>20</v>
      </c>
      <c r="H343" s="7" t="s">
        <v>19</v>
      </c>
      <c r="I343" s="7" t="s">
        <v>19</v>
      </c>
      <c r="J343" s="7">
        <v>2</v>
      </c>
      <c r="K343" s="7" t="s">
        <v>20</v>
      </c>
      <c r="L343" s="7" t="str">
        <f>VLOOKUP(Healthcare!$A343,hospital_details,2,0)</f>
        <v>24-Dec-1961</v>
      </c>
      <c r="M343" s="7">
        <f t="shared" ref="M343:M406" ca="1" si="2045">VLOOKUP(A343,hospital_details,3,0)</f>
        <v>64</v>
      </c>
      <c r="N343" s="7">
        <f t="shared" ref="N343:N406" si="2046">VLOOKUP($A343,hospital_details,4,0)</f>
        <v>0</v>
      </c>
      <c r="O343" s="8">
        <f t="shared" ref="O343:O406" si="2047">VLOOKUP($A343,hospital_details,5,0)</f>
        <v>29141.360000000001</v>
      </c>
      <c r="P343" s="7" t="str">
        <f t="shared" ref="P343:P406" si="2048">VLOOKUP($A343,hospital_details,6,0)</f>
        <v>tier - 1</v>
      </c>
      <c r="Q343" s="7" t="str">
        <f t="shared" ref="Q343:Q406" si="2049">VLOOKUP($A343,hospital_details,7,0)</f>
        <v>tier - 3</v>
      </c>
      <c r="R343" s="7" t="str">
        <f t="shared" ref="R343:R406" si="2050">VLOOKUP($A343,hospital_details,8,0)</f>
        <v>R1012</v>
      </c>
    </row>
    <row r="344" spans="1:18" ht="14.4" customHeight="1" x14ac:dyDescent="0.3">
      <c r="A344" s="5" t="s">
        <v>363</v>
      </c>
      <c r="B344" s="5" t="str">
        <f>VLOOKUP($A344,[1]!Customer_Names[#Data],3,0)</f>
        <v xml:space="preserve">  Jessica</v>
      </c>
      <c r="C344" s="5">
        <v>17.43</v>
      </c>
      <c r="D344" s="5" t="str" cm="1">
        <f t="array" ref="D344">_xlfn.IFS(Healthcare!$C344&lt;18.5,"under weight",Healthcare!$C344&lt;=24.9,"Normal Weight",Healthcare!$C344&gt;=25,"overweight",Healthcare!$C344&gt;=30,"obese")</f>
        <v>under weight</v>
      </c>
      <c r="E344" s="5">
        <v>8.64</v>
      </c>
      <c r="F344" s="5" t="str" cm="1">
        <f t="array" ref="F344">_xlfn.IFS(Healthcare!$E344&lt;5.7,"normal",Healthcare!$E344&lt;=6.4,"prediabetes",Healthcare!$E344&gt;=6.5,"diabetes")</f>
        <v>diabetes</v>
      </c>
      <c r="G344" s="5" t="s">
        <v>19</v>
      </c>
      <c r="H344" s="5" t="s">
        <v>19</v>
      </c>
      <c r="I344" s="5" t="s">
        <v>19</v>
      </c>
      <c r="J344" s="5">
        <v>0</v>
      </c>
      <c r="K344" s="5" t="s">
        <v>20</v>
      </c>
      <c r="L344" s="5" t="str">
        <f>VLOOKUP(Healthcare!$A344,hospital_details,2,0)</f>
        <v>29-Nov-1978</v>
      </c>
      <c r="M344" s="5">
        <f t="shared" ref="M344:M407" ca="1" si="2051">VLOOKUP(A344,hospital_details,3,0)</f>
        <v>47</v>
      </c>
      <c r="N344" s="5">
        <f t="shared" ref="N344:N407" si="2052">VLOOKUP($A344,hospital_details,4,0)</f>
        <v>2</v>
      </c>
      <c r="O344" s="6">
        <f t="shared" ref="O344:O407" si="2053">VLOOKUP($A344,hospital_details,5,0)</f>
        <v>29114.77</v>
      </c>
      <c r="P344" s="5" t="str">
        <f t="shared" ref="P344:P407" si="2054">VLOOKUP($A344,hospital_details,6,0)</f>
        <v>tier - 1</v>
      </c>
      <c r="Q344" s="5" t="str">
        <f t="shared" ref="Q344:Q407" si="2055">VLOOKUP($A344,hospital_details,7,0)</f>
        <v>tier - 1</v>
      </c>
      <c r="R344" s="5" t="str">
        <f t="shared" ref="R344:R407" si="2056">VLOOKUP($A344,hospital_details,8,0)</f>
        <v>R1011</v>
      </c>
    </row>
    <row r="345" spans="1:18" ht="14.4" customHeight="1" x14ac:dyDescent="0.3">
      <c r="A345" s="7" t="s">
        <v>364</v>
      </c>
      <c r="B345" s="7" t="str">
        <f>VLOOKUP($A345,[1]!Customer_Names[#Data],3,0)</f>
        <v xml:space="preserve">  Bruce</v>
      </c>
      <c r="C345" s="7">
        <v>19.329999999999998</v>
      </c>
      <c r="D345" s="7" t="str" cm="1">
        <f t="array" ref="D345">_xlfn.IFS(Healthcare!$C345&lt;18.5,"under weight",Healthcare!$C345&lt;=24.9,"Normal Weight",Healthcare!$C345&gt;=25,"overweight",Healthcare!$C345&gt;=30,"obese")</f>
        <v>Normal Weight</v>
      </c>
      <c r="E345" s="7">
        <v>4.2699999999999996</v>
      </c>
      <c r="F345" s="7" t="str" cm="1">
        <f t="array" ref="F345">_xlfn.IFS(Healthcare!$E345&lt;5.7,"normal",Healthcare!$E345&lt;=6.4,"prediabetes",Healthcare!$E345&gt;=6.5,"diabetes")</f>
        <v>normal</v>
      </c>
      <c r="G345" s="7" t="s">
        <v>19</v>
      </c>
      <c r="H345" s="7" t="s">
        <v>19</v>
      </c>
      <c r="I345" s="7" t="s">
        <v>19</v>
      </c>
      <c r="J345" s="7">
        <v>0</v>
      </c>
      <c r="K345" s="7" t="s">
        <v>20</v>
      </c>
      <c r="L345" s="7" t="str">
        <f>VLOOKUP(Healthcare!$A345,hospital_details,2,0)</f>
        <v>14-Jul-1980</v>
      </c>
      <c r="M345" s="7">
        <f t="shared" ref="M345:M408" ca="1" si="2057">VLOOKUP(A345,hospital_details,3,0)</f>
        <v>46</v>
      </c>
      <c r="N345" s="7">
        <f t="shared" ref="N345:N408" si="2058">VLOOKUP($A345,hospital_details,4,0)</f>
        <v>2</v>
      </c>
      <c r="O345" s="8">
        <f t="shared" ref="O345:O408" si="2059">VLOOKUP($A345,hospital_details,5,0)</f>
        <v>29114.21</v>
      </c>
      <c r="P345" s="7" t="str">
        <f t="shared" ref="P345:P408" si="2060">VLOOKUP($A345,hospital_details,6,0)</f>
        <v>tier - 1</v>
      </c>
      <c r="Q345" s="7" t="str">
        <f t="shared" ref="Q345:Q408" si="2061">VLOOKUP($A345,hospital_details,7,0)</f>
        <v>tier - 3</v>
      </c>
      <c r="R345" s="7" t="str">
        <f t="shared" ref="R345:R408" si="2062">VLOOKUP($A345,hospital_details,8,0)</f>
        <v>R1011</v>
      </c>
    </row>
    <row r="346" spans="1:18" ht="14.4" customHeight="1" x14ac:dyDescent="0.3">
      <c r="A346" s="5" t="s">
        <v>365</v>
      </c>
      <c r="B346" s="5" t="str">
        <f>VLOOKUP($A346,[1]!Customer_Names[#Data],3,0)</f>
        <v xml:space="preserve">  Allison</v>
      </c>
      <c r="C346" s="5">
        <v>30.52</v>
      </c>
      <c r="D346" s="5" t="str" cm="1">
        <f t="array" ref="D346">_xlfn.IFS(Healthcare!$C346&lt;18.5,"under weight",Healthcare!$C346&lt;=24.9,"Normal Weight",Healthcare!$C346&gt;=25,"overweight",Healthcare!$C346&gt;=30,"obese")</f>
        <v>overweight</v>
      </c>
      <c r="E346" s="5">
        <v>4.21</v>
      </c>
      <c r="F346" s="5" t="str" cm="1">
        <f t="array" ref="F346">_xlfn.IFS(Healthcare!$E346&lt;5.7,"normal",Healthcare!$E346&lt;=6.4,"prediabetes",Healthcare!$E346&gt;=6.5,"diabetes")</f>
        <v>normal</v>
      </c>
      <c r="G346" s="5" t="s">
        <v>19</v>
      </c>
      <c r="H346" s="5" t="s">
        <v>19</v>
      </c>
      <c r="I346" s="5" t="s">
        <v>19</v>
      </c>
      <c r="J346" s="5">
        <v>1</v>
      </c>
      <c r="K346" s="5" t="s">
        <v>20</v>
      </c>
      <c r="L346" s="5" t="str">
        <f>VLOOKUP(Healthcare!$A346,hospital_details,2,0)</f>
        <v>7-Jul-1992</v>
      </c>
      <c r="M346" s="5">
        <f t="shared" ref="M346:M409" ca="1" si="2063">VLOOKUP(A346,hospital_details,3,0)</f>
        <v>34</v>
      </c>
      <c r="N346" s="5">
        <f t="shared" ref="N346:N409" si="2064">VLOOKUP($A346,hospital_details,4,0)</f>
        <v>0</v>
      </c>
      <c r="O346" s="6">
        <f t="shared" ref="O346:O409" si="2065">VLOOKUP($A346,hospital_details,5,0)</f>
        <v>29007.82</v>
      </c>
      <c r="P346" s="5" t="str">
        <f t="shared" ref="P346:P409" si="2066">VLOOKUP($A346,hospital_details,6,0)</f>
        <v>tier - 1</v>
      </c>
      <c r="Q346" s="5" t="str">
        <f t="shared" ref="Q346:Q409" si="2067">VLOOKUP($A346,hospital_details,7,0)</f>
        <v>tier - 3</v>
      </c>
      <c r="R346" s="5" t="str">
        <f t="shared" ref="R346:R409" si="2068">VLOOKUP($A346,hospital_details,8,0)</f>
        <v>R1011</v>
      </c>
    </row>
    <row r="347" spans="1:18" ht="14.4" customHeight="1" x14ac:dyDescent="0.3">
      <c r="A347" s="7" t="s">
        <v>366</v>
      </c>
      <c r="B347" s="7" t="str">
        <f>VLOOKUP($A347,[1]!Customer_Names[#Data],3,0)</f>
        <v xml:space="preserve">  Alex</v>
      </c>
      <c r="C347" s="7">
        <v>39.21</v>
      </c>
      <c r="D347" s="7" t="str" cm="1">
        <f t="array" ref="D347">_xlfn.IFS(Healthcare!$C347&lt;18.5,"under weight",Healthcare!$C347&lt;=24.9,"Normal Weight",Healthcare!$C347&gt;=25,"overweight",Healthcare!$C347&gt;=30,"obese")</f>
        <v>overweight</v>
      </c>
      <c r="E347" s="7">
        <v>5.04</v>
      </c>
      <c r="F347" s="7" t="str" cm="1">
        <f t="array" ref="F347">_xlfn.IFS(Healthcare!$E347&lt;5.7,"normal",Healthcare!$E347&lt;=6.4,"prediabetes",Healthcare!$E347&gt;=6.5,"diabetes")</f>
        <v>normal</v>
      </c>
      <c r="G347" s="7" t="s">
        <v>19</v>
      </c>
      <c r="H347" s="7" t="s">
        <v>19</v>
      </c>
      <c r="I347" s="7" t="s">
        <v>29</v>
      </c>
      <c r="J347" s="7">
        <v>1</v>
      </c>
      <c r="K347" s="7" t="s">
        <v>20</v>
      </c>
      <c r="L347" s="7" t="str">
        <f>VLOOKUP(Healthcare!$A347,hospital_details,2,0)</f>
        <v>1-Sep-2003</v>
      </c>
      <c r="M347" s="7">
        <f t="shared" ref="M347:M410" ca="1" si="2069">VLOOKUP(A347,hospital_details,3,0)</f>
        <v>23</v>
      </c>
      <c r="N347" s="7">
        <f t="shared" ref="N347:N410" si="2070">VLOOKUP($A347,hospital_details,4,0)</f>
        <v>0</v>
      </c>
      <c r="O347" s="8">
        <f t="shared" ref="O347:O410" si="2071">VLOOKUP($A347,hospital_details,5,0)</f>
        <v>28998.68</v>
      </c>
      <c r="P347" s="7" t="str">
        <f t="shared" ref="P347:P410" si="2072">VLOOKUP($A347,hospital_details,6,0)</f>
        <v>tier - 1</v>
      </c>
      <c r="Q347" s="7" t="str">
        <f t="shared" ref="Q347:Q410" si="2073">VLOOKUP($A347,hospital_details,7,0)</f>
        <v>tier - 3</v>
      </c>
      <c r="R347" s="7" t="str">
        <f t="shared" ref="R347:R410" si="2074">VLOOKUP($A347,hospital_details,8,0)</f>
        <v>R1011</v>
      </c>
    </row>
    <row r="348" spans="1:18" ht="14.4" customHeight="1" x14ac:dyDescent="0.3">
      <c r="A348" s="5" t="s">
        <v>367</v>
      </c>
      <c r="B348" s="5" t="str">
        <f>VLOOKUP($A348,[1]!Customer_Names[#Data],3,0)</f>
        <v xml:space="preserve">  Gabriela</v>
      </c>
      <c r="C348" s="5">
        <v>26.98</v>
      </c>
      <c r="D348" s="5" t="str" cm="1">
        <f t="array" ref="D348">_xlfn.IFS(Healthcare!$C348&lt;18.5,"under weight",Healthcare!$C348&lt;=24.9,"Normal Weight",Healthcare!$C348&gt;=25,"overweight",Healthcare!$C348&gt;=30,"obese")</f>
        <v>overweight</v>
      </c>
      <c r="E348" s="5">
        <v>5.21</v>
      </c>
      <c r="F348" s="5" t="str" cm="1">
        <f t="array" ref="F348">_xlfn.IFS(Healthcare!$E348&lt;5.7,"normal",Healthcare!$E348&lt;=6.4,"prediabetes",Healthcare!$E348&gt;=6.5,"diabetes")</f>
        <v>normal</v>
      </c>
      <c r="G348" s="5" t="s">
        <v>20</v>
      </c>
      <c r="H348" s="5" t="s">
        <v>19</v>
      </c>
      <c r="I348" s="5" t="s">
        <v>19</v>
      </c>
      <c r="J348" s="5">
        <v>2</v>
      </c>
      <c r="K348" s="5" t="s">
        <v>20</v>
      </c>
      <c r="L348" s="5" t="str">
        <f>VLOOKUP(Healthcare!$A348,hospital_details,2,0)</f>
        <v>5-Dec-1959</v>
      </c>
      <c r="M348" s="5">
        <f t="shared" ref="M348:M411" ca="1" si="2075">VLOOKUP(A348,hospital_details,3,0)</f>
        <v>66</v>
      </c>
      <c r="N348" s="5">
        <f t="shared" ref="N348:N411" si="2076">VLOOKUP($A348,hospital_details,4,0)</f>
        <v>0</v>
      </c>
      <c r="O348" s="6">
        <f t="shared" ref="O348:O411" si="2077">VLOOKUP($A348,hospital_details,5,0)</f>
        <v>28950.47</v>
      </c>
      <c r="P348" s="5" t="str">
        <f t="shared" ref="P348:P411" si="2078">VLOOKUP($A348,hospital_details,6,0)</f>
        <v>tier - 1</v>
      </c>
      <c r="Q348" s="5" t="str">
        <f t="shared" ref="Q348:Q411" si="2079">VLOOKUP($A348,hospital_details,7,0)</f>
        <v>tier - 1</v>
      </c>
      <c r="R348" s="5" t="str">
        <f t="shared" ref="R348:R411" si="2080">VLOOKUP($A348,hospital_details,8,0)</f>
        <v>R1012</v>
      </c>
    </row>
    <row r="349" spans="1:18" ht="14.4" customHeight="1" x14ac:dyDescent="0.3">
      <c r="A349" s="7" t="s">
        <v>368</v>
      </c>
      <c r="B349" s="7" t="str">
        <f>VLOOKUP($A349,[1]!Customer_Names[#Data],3,0)</f>
        <v xml:space="preserve">  Sharon</v>
      </c>
      <c r="C349" s="7">
        <v>25.84</v>
      </c>
      <c r="D349" s="7" t="str" cm="1">
        <f t="array" ref="D349">_xlfn.IFS(Healthcare!$C349&lt;18.5,"under weight",Healthcare!$C349&lt;=24.9,"Normal Weight",Healthcare!$C349&gt;=25,"overweight",Healthcare!$C349&gt;=30,"obese")</f>
        <v>overweight</v>
      </c>
      <c r="E349" s="7">
        <v>8.83</v>
      </c>
      <c r="F349" s="7" t="str" cm="1">
        <f t="array" ref="F349">_xlfn.IFS(Healthcare!$E349&lt;5.7,"normal",Healthcare!$E349&lt;=6.4,"prediabetes",Healthcare!$E349&gt;=6.5,"diabetes")</f>
        <v>diabetes</v>
      </c>
      <c r="G349" s="7" t="s">
        <v>19</v>
      </c>
      <c r="H349" s="7" t="s">
        <v>19</v>
      </c>
      <c r="I349" s="7" t="s">
        <v>19</v>
      </c>
      <c r="J349" s="7">
        <v>0</v>
      </c>
      <c r="K349" s="7" t="s">
        <v>19</v>
      </c>
      <c r="L349" s="7" t="str">
        <f>VLOOKUP(Healthcare!$A349,hospital_details,2,0)</f>
        <v>25-Jul-1962</v>
      </c>
      <c r="M349" s="7">
        <f t="shared" ref="M349:M412" ca="1" si="2081">VLOOKUP(A349,hospital_details,3,0)</f>
        <v>64</v>
      </c>
      <c r="N349" s="7">
        <f t="shared" ref="N349:N412" si="2082">VLOOKUP($A349,hospital_details,4,0)</f>
        <v>0</v>
      </c>
      <c r="O349" s="8">
        <f t="shared" ref="O349:O412" si="2083">VLOOKUP($A349,hospital_details,5,0)</f>
        <v>28923.14</v>
      </c>
      <c r="P349" s="7" t="str">
        <f t="shared" ref="P349:P412" si="2084">VLOOKUP($A349,hospital_details,6,0)</f>
        <v>tier - 1</v>
      </c>
      <c r="Q349" s="7" t="str">
        <f t="shared" ref="Q349:Q412" si="2085">VLOOKUP($A349,hospital_details,7,0)</f>
        <v>tier - 1</v>
      </c>
      <c r="R349" s="7" t="str">
        <f t="shared" ref="R349:R412" si="2086">VLOOKUP($A349,hospital_details,8,0)</f>
        <v>R1012</v>
      </c>
    </row>
    <row r="350" spans="1:18" ht="14.4" customHeight="1" x14ac:dyDescent="0.3">
      <c r="A350" s="5" t="s">
        <v>369</v>
      </c>
      <c r="B350" s="5" t="str">
        <f>VLOOKUP($A350,[1]!Customer_Names[#Data],3,0)</f>
        <v xml:space="preserve">  Jason A</v>
      </c>
      <c r="C350" s="5">
        <v>28.31</v>
      </c>
      <c r="D350" s="5" t="str" cm="1">
        <f t="array" ref="D350">_xlfn.IFS(Healthcare!$C350&lt;18.5,"under weight",Healthcare!$C350&lt;=24.9,"Normal Weight",Healthcare!$C350&gt;=25,"overweight",Healthcare!$C350&gt;=30,"obese")</f>
        <v>overweight</v>
      </c>
      <c r="E350" s="5">
        <v>8.4700000000000006</v>
      </c>
      <c r="F350" s="5" t="str" cm="1">
        <f t="array" ref="F350">_xlfn.IFS(Healthcare!$E350&lt;5.7,"normal",Healthcare!$E350&lt;=6.4,"prediabetes",Healthcare!$E350&gt;=6.5,"diabetes")</f>
        <v>diabetes</v>
      </c>
      <c r="G350" s="5" t="s">
        <v>20</v>
      </c>
      <c r="H350" s="5" t="s">
        <v>19</v>
      </c>
      <c r="I350" s="5" t="s">
        <v>19</v>
      </c>
      <c r="J350" s="5">
        <v>2</v>
      </c>
      <c r="K350" s="5" t="s">
        <v>20</v>
      </c>
      <c r="L350" s="5" t="str">
        <f>VLOOKUP(Healthcare!$A350,hospital_details,2,0)</f>
        <v>3-Aug-1961</v>
      </c>
      <c r="M350" s="5">
        <f t="shared" ref="M350:M413" ca="1" si="2087">VLOOKUP(A350,hospital_details,3,0)</f>
        <v>65</v>
      </c>
      <c r="N350" s="5">
        <f t="shared" ref="N350:N413" si="2088">VLOOKUP($A350,hospital_details,4,0)</f>
        <v>1</v>
      </c>
      <c r="O350" s="6">
        <f t="shared" ref="O350:O413" si="2089">VLOOKUP($A350,hospital_details,5,0)</f>
        <v>28868.66</v>
      </c>
      <c r="P350" s="5" t="str">
        <f t="shared" ref="P350:P413" si="2090">VLOOKUP($A350,hospital_details,6,0)</f>
        <v>tier - 1</v>
      </c>
      <c r="Q350" s="5" t="str">
        <f t="shared" ref="Q350:Q413" si="2091">VLOOKUP($A350,hospital_details,7,0)</f>
        <v>tier - 2</v>
      </c>
      <c r="R350" s="5" t="str">
        <f t="shared" ref="R350:R413" si="2092">VLOOKUP($A350,hospital_details,8,0)</f>
        <v>R1012</v>
      </c>
    </row>
    <row r="351" spans="1:18" ht="14.4" customHeight="1" x14ac:dyDescent="0.3">
      <c r="A351" s="7" t="s">
        <v>370</v>
      </c>
      <c r="B351" s="7" t="str">
        <f>VLOOKUP($A351,[1]!Customer_Names[#Data],3,0)</f>
        <v xml:space="preserve">  Chelsey C</v>
      </c>
      <c r="C351" s="7">
        <v>23.94</v>
      </c>
      <c r="D351" s="7" t="str" cm="1">
        <f t="array" ref="D351">_xlfn.IFS(Healthcare!$C351&lt;18.5,"under weight",Healthcare!$C351&lt;=24.9,"Normal Weight",Healthcare!$C351&gt;=25,"overweight",Healthcare!$C351&gt;=30,"obese")</f>
        <v>Normal Weight</v>
      </c>
      <c r="E351" s="7">
        <v>4.2</v>
      </c>
      <c r="F351" s="7" t="str" cm="1">
        <f t="array" ref="F351">_xlfn.IFS(Healthcare!$E351&lt;5.7,"normal",Healthcare!$E351&lt;=6.4,"prediabetes",Healthcare!$E351&gt;=6.5,"diabetes")</f>
        <v>normal</v>
      </c>
      <c r="G351" s="7" t="s">
        <v>19</v>
      </c>
      <c r="H351" s="7" t="s">
        <v>19</v>
      </c>
      <c r="I351" s="7" t="s">
        <v>19</v>
      </c>
      <c r="J351" s="7">
        <v>0</v>
      </c>
      <c r="K351" s="7" t="s">
        <v>20</v>
      </c>
      <c r="L351" s="7" t="str">
        <f>VLOOKUP(Healthcare!$A351,hospital_details,2,0)</f>
        <v>5-Dec-1990</v>
      </c>
      <c r="M351" s="7">
        <f t="shared" ref="M351:M414" ca="1" si="2093">VLOOKUP(A351,hospital_details,3,0)</f>
        <v>35</v>
      </c>
      <c r="N351" s="7">
        <f t="shared" ref="N351:N414" si="2094">VLOOKUP($A351,hospital_details,4,0)</f>
        <v>3</v>
      </c>
      <c r="O351" s="8">
        <f t="shared" ref="O351:O414" si="2095">VLOOKUP($A351,hospital_details,5,0)</f>
        <v>28716.14</v>
      </c>
      <c r="P351" s="7" t="str">
        <f t="shared" ref="P351:P414" si="2096">VLOOKUP($A351,hospital_details,6,0)</f>
        <v>tier - 1</v>
      </c>
      <c r="Q351" s="7" t="str">
        <f t="shared" ref="Q351:Q414" si="2097">VLOOKUP($A351,hospital_details,7,0)</f>
        <v>tier - 3</v>
      </c>
      <c r="R351" s="7" t="str">
        <f t="shared" ref="R351:R414" si="2098">VLOOKUP($A351,hospital_details,8,0)</f>
        <v>R1011</v>
      </c>
    </row>
    <row r="352" spans="1:18" ht="14.4" customHeight="1" x14ac:dyDescent="0.3">
      <c r="A352" s="5" t="s">
        <v>371</v>
      </c>
      <c r="B352" s="5" t="str">
        <f>VLOOKUP($A352,[1]!Customer_Names[#Data],3,0)</f>
        <v xml:space="preserve">  Devon A</v>
      </c>
      <c r="C352" s="5">
        <v>20.03</v>
      </c>
      <c r="D352" s="5" t="str" cm="1">
        <f t="array" ref="D352">_xlfn.IFS(Healthcare!$C352&lt;18.5,"under weight",Healthcare!$C352&lt;=24.9,"Normal Weight",Healthcare!$C352&gt;=25,"overweight",Healthcare!$C352&gt;=30,"obese")</f>
        <v>Normal Weight</v>
      </c>
      <c r="E352" s="5">
        <v>6.14</v>
      </c>
      <c r="F352" s="5" t="str" cm="1">
        <f t="array" ref="F352">_xlfn.IFS(Healthcare!$E352&lt;5.7,"normal",Healthcare!$E352&lt;=6.4,"prediabetes",Healthcare!$E352&gt;=6.5,"diabetes")</f>
        <v>prediabetes</v>
      </c>
      <c r="G352" s="5" t="s">
        <v>20</v>
      </c>
      <c r="H352" s="5" t="s">
        <v>19</v>
      </c>
      <c r="I352" s="5" t="s">
        <v>19</v>
      </c>
      <c r="J352" s="5">
        <v>0</v>
      </c>
      <c r="K352" s="5" t="s">
        <v>20</v>
      </c>
      <c r="L352" s="5" t="str">
        <f>VLOOKUP(Healthcare!$A352,hospital_details,2,0)</f>
        <v>27-Sep-1985</v>
      </c>
      <c r="M352" s="5">
        <f t="shared" ref="M352:M415" ca="1" si="2099">VLOOKUP(A352,hospital_details,3,0)</f>
        <v>41</v>
      </c>
      <c r="N352" s="5">
        <f t="shared" ref="N352:N415" si="2100">VLOOKUP($A352,hospital_details,4,0)</f>
        <v>3</v>
      </c>
      <c r="O352" s="6">
        <f t="shared" ref="O352:O415" si="2101">VLOOKUP($A352,hospital_details,5,0)</f>
        <v>28542.86</v>
      </c>
      <c r="P352" s="5" t="str">
        <f t="shared" ref="P352:P415" si="2102">VLOOKUP($A352,hospital_details,6,0)</f>
        <v>tier - 1</v>
      </c>
      <c r="Q352" s="5" t="str">
        <f t="shared" ref="Q352:Q415" si="2103">VLOOKUP($A352,hospital_details,7,0)</f>
        <v>tier - 3</v>
      </c>
      <c r="R352" s="5" t="str">
        <f t="shared" ref="R352:R415" si="2104">VLOOKUP($A352,hospital_details,8,0)</f>
        <v>R1011</v>
      </c>
    </row>
    <row r="353" spans="1:18" ht="14.4" customHeight="1" x14ac:dyDescent="0.3">
      <c r="A353" s="7" t="s">
        <v>372</v>
      </c>
      <c r="B353" s="7" t="str">
        <f>VLOOKUP($A353,[1]!Customer_Names[#Data],3,0)</f>
        <v xml:space="preserve">  Joni L</v>
      </c>
      <c r="C353" s="7">
        <v>41.42</v>
      </c>
      <c r="D353" s="7" t="str" cm="1">
        <f t="array" ref="D353">_xlfn.IFS(Healthcare!$C353&lt;18.5,"under weight",Healthcare!$C353&lt;=24.9,"Normal Weight",Healthcare!$C353&gt;=25,"overweight",Healthcare!$C353&gt;=30,"obese")</f>
        <v>overweight</v>
      </c>
      <c r="E353" s="7">
        <v>6.07</v>
      </c>
      <c r="F353" s="7" t="str" cm="1">
        <f t="array" ref="F353">_xlfn.IFS(Healthcare!$E353&lt;5.7,"normal",Healthcare!$E353&lt;=6.4,"prediabetes",Healthcare!$E353&gt;=6.5,"diabetes")</f>
        <v>prediabetes</v>
      </c>
      <c r="G353" s="7" t="s">
        <v>19</v>
      </c>
      <c r="H353" s="7" t="s">
        <v>19</v>
      </c>
      <c r="I353" s="7" t="s">
        <v>19</v>
      </c>
      <c r="J353" s="7">
        <v>0</v>
      </c>
      <c r="K353" s="7" t="s">
        <v>19</v>
      </c>
      <c r="L353" s="7" t="str">
        <f>VLOOKUP(Healthcare!$A353,hospital_details,2,0)</f>
        <v>11-Dec-1982</v>
      </c>
      <c r="M353" s="7">
        <f t="shared" ref="M353:M416" ca="1" si="2105">VLOOKUP(A353,hospital_details,3,0)</f>
        <v>43</v>
      </c>
      <c r="N353" s="7">
        <f t="shared" ref="N353:N416" si="2106">VLOOKUP($A353,hospital_details,4,0)</f>
        <v>1</v>
      </c>
      <c r="O353" s="8">
        <f t="shared" ref="O353:O416" si="2107">VLOOKUP($A353,hospital_details,5,0)</f>
        <v>28476.73</v>
      </c>
      <c r="P353" s="7" t="str">
        <f t="shared" ref="P353:P416" si="2108">VLOOKUP($A353,hospital_details,6,0)</f>
        <v>tier - 1</v>
      </c>
      <c r="Q353" s="7" t="str">
        <f t="shared" ref="Q353:Q416" si="2109">VLOOKUP($A353,hospital_details,7,0)</f>
        <v>tier - 2</v>
      </c>
      <c r="R353" s="7" t="str">
        <f t="shared" ref="R353:R416" si="2110">VLOOKUP($A353,hospital_details,8,0)</f>
        <v>R1012</v>
      </c>
    </row>
    <row r="354" spans="1:18" ht="14.4" customHeight="1" x14ac:dyDescent="0.3">
      <c r="A354" s="5" t="s">
        <v>373</v>
      </c>
      <c r="B354" s="5" t="str">
        <f>VLOOKUP($A354,[1]!Customer_Names[#Data],3,0)</f>
        <v xml:space="preserve">  Colin</v>
      </c>
      <c r="C354" s="5">
        <v>36.67</v>
      </c>
      <c r="D354" s="5" t="str" cm="1">
        <f t="array" ref="D354">_xlfn.IFS(Healthcare!$C354&lt;18.5,"under weight",Healthcare!$C354&lt;=24.9,"Normal Weight",Healthcare!$C354&gt;=25,"overweight",Healthcare!$C354&gt;=30,"obese")</f>
        <v>overweight</v>
      </c>
      <c r="E354" s="5">
        <v>10.210000000000001</v>
      </c>
      <c r="F354" s="5" t="str" cm="1">
        <f t="array" ref="F354">_xlfn.IFS(Healthcare!$E354&lt;5.7,"normal",Healthcare!$E354&lt;=6.4,"prediabetes",Healthcare!$E354&gt;=6.5,"diabetes")</f>
        <v>diabetes</v>
      </c>
      <c r="G354" s="5" t="s">
        <v>19</v>
      </c>
      <c r="H354" s="5" t="s">
        <v>19</v>
      </c>
      <c r="I354" s="5" t="s">
        <v>19</v>
      </c>
      <c r="J354" s="5">
        <v>0</v>
      </c>
      <c r="K354" s="5" t="s">
        <v>19</v>
      </c>
      <c r="L354" s="5" t="str">
        <f>VLOOKUP(Healthcare!$A354,hospital_details,2,0)</f>
        <v>16-Sep-1974</v>
      </c>
      <c r="M354" s="5">
        <f t="shared" ref="M354:M417" ca="1" si="2111">VLOOKUP(A354,hospital_details,3,0)</f>
        <v>52</v>
      </c>
      <c r="N354" s="5">
        <f t="shared" ref="N354:N417" si="2112">VLOOKUP($A354,hospital_details,4,0)</f>
        <v>1</v>
      </c>
      <c r="O354" s="6">
        <f t="shared" ref="O354:O417" si="2113">VLOOKUP($A354,hospital_details,5,0)</f>
        <v>28468.92</v>
      </c>
      <c r="P354" s="5" t="str">
        <f t="shared" ref="P354:P417" si="2114">VLOOKUP($A354,hospital_details,6,0)</f>
        <v>tier - 1</v>
      </c>
      <c r="Q354" s="5" t="str">
        <f t="shared" ref="Q354:Q417" si="2115">VLOOKUP($A354,hospital_details,7,0)</f>
        <v>tier - 1</v>
      </c>
      <c r="R354" s="5" t="str">
        <f t="shared" ref="R354:R417" si="2116">VLOOKUP($A354,hospital_details,8,0)</f>
        <v>R1012</v>
      </c>
    </row>
    <row r="355" spans="1:18" ht="14.4" customHeight="1" x14ac:dyDescent="0.3">
      <c r="A355" s="7" t="s">
        <v>374</v>
      </c>
      <c r="B355" s="7" t="str">
        <f>VLOOKUP($A355,[1]!Customer_Names[#Data],3,0)</f>
        <v xml:space="preserve">  Rachael</v>
      </c>
      <c r="C355" s="7">
        <v>27.645</v>
      </c>
      <c r="D355" s="7" t="str" cm="1">
        <f t="array" ref="D355">_xlfn.IFS(Healthcare!$C355&lt;18.5,"under weight",Healthcare!$C355&lt;=24.9,"Normal Weight",Healthcare!$C355&gt;=25,"overweight",Healthcare!$C355&gt;=30,"obese")</f>
        <v>overweight</v>
      </c>
      <c r="E355" s="7">
        <v>4.6900000000000004</v>
      </c>
      <c r="F355" s="7" t="str" cm="1">
        <f t="array" ref="F355">_xlfn.IFS(Healthcare!$E355&lt;5.7,"normal",Healthcare!$E355&lt;=6.4,"prediabetes",Healthcare!$E355&gt;=6.5,"diabetes")</f>
        <v>normal</v>
      </c>
      <c r="G355" s="7" t="s">
        <v>19</v>
      </c>
      <c r="H355" s="7" t="s">
        <v>19</v>
      </c>
      <c r="I355" s="7" t="s">
        <v>19</v>
      </c>
      <c r="J355" s="7">
        <v>0</v>
      </c>
      <c r="K355" s="7" t="s">
        <v>19</v>
      </c>
      <c r="L355" s="7" t="str">
        <f>VLOOKUP(Healthcare!$A355,hospital_details,2,0)</f>
        <v>2-Dec-1977</v>
      </c>
      <c r="M355" s="7">
        <f t="shared" ref="M355:M418" ca="1" si="2117">VLOOKUP(A355,hospital_details,3,0)</f>
        <v>48</v>
      </c>
      <c r="N355" s="7">
        <f t="shared" ref="N355:N418" si="2118">VLOOKUP($A355,hospital_details,4,0)</f>
        <v>1</v>
      </c>
      <c r="O355" s="8">
        <f t="shared" ref="O355:O418" si="2119">VLOOKUP($A355,hospital_details,5,0)</f>
        <v>28340.19</v>
      </c>
      <c r="P355" s="7" t="str">
        <f t="shared" ref="P355:P418" si="2120">VLOOKUP($A355,hospital_details,6,0)</f>
        <v>tier - 1</v>
      </c>
      <c r="Q355" s="7" t="str">
        <f t="shared" ref="Q355:Q418" si="2121">VLOOKUP($A355,hospital_details,7,0)</f>
        <v>tier - 2</v>
      </c>
      <c r="R355" s="7" t="str">
        <f t="shared" ref="R355:R418" si="2122">VLOOKUP($A355,hospital_details,8,0)</f>
        <v>R1012</v>
      </c>
    </row>
    <row r="356" spans="1:18" ht="14.4" customHeight="1" x14ac:dyDescent="0.3">
      <c r="A356" s="5" t="s">
        <v>375</v>
      </c>
      <c r="B356" s="5" t="str">
        <f>VLOOKUP($A356,[1]!Customer_Names[#Data],3,0)</f>
        <v xml:space="preserve">  Maricela</v>
      </c>
      <c r="C356" s="5">
        <v>22.72</v>
      </c>
      <c r="D356" s="5" t="str" cm="1">
        <f t="array" ref="D356">_xlfn.IFS(Healthcare!$C356&lt;18.5,"under weight",Healthcare!$C356&lt;=24.9,"Normal Weight",Healthcare!$C356&gt;=25,"overweight",Healthcare!$C356&gt;=30,"obese")</f>
        <v>Normal Weight</v>
      </c>
      <c r="E356" s="5">
        <v>5.71</v>
      </c>
      <c r="F356" s="5" t="str" cm="1">
        <f t="array" ref="F356">_xlfn.IFS(Healthcare!$E356&lt;5.7,"normal",Healthcare!$E356&lt;=6.4,"prediabetes",Healthcare!$E356&gt;=6.5,"diabetes")</f>
        <v>prediabetes</v>
      </c>
      <c r="G356" s="5" t="s">
        <v>19</v>
      </c>
      <c r="H356" s="5" t="s">
        <v>19</v>
      </c>
      <c r="I356" s="5" t="s">
        <v>19</v>
      </c>
      <c r="J356" s="5">
        <v>0</v>
      </c>
      <c r="K356" s="5" t="s">
        <v>20</v>
      </c>
      <c r="L356" s="5" t="str">
        <f>VLOOKUP(Healthcare!$A356,hospital_details,2,0)</f>
        <v>24-Dec-1990</v>
      </c>
      <c r="M356" s="5">
        <f t="shared" ref="M356:M419" ca="1" si="2123">VLOOKUP(A356,hospital_details,3,0)</f>
        <v>35</v>
      </c>
      <c r="N356" s="5">
        <f t="shared" ref="N356:N419" si="2124">VLOOKUP($A356,hospital_details,4,0)</f>
        <v>3</v>
      </c>
      <c r="O356" s="6">
        <f t="shared" ref="O356:O419" si="2125">VLOOKUP($A356,hospital_details,5,0)</f>
        <v>28302.33</v>
      </c>
      <c r="P356" s="5" t="str">
        <f t="shared" ref="P356:P419" si="2126">VLOOKUP($A356,hospital_details,6,0)</f>
        <v>tier - 1</v>
      </c>
      <c r="Q356" s="5" t="str">
        <f t="shared" ref="Q356:Q419" si="2127">VLOOKUP($A356,hospital_details,7,0)</f>
        <v>tier - 2</v>
      </c>
      <c r="R356" s="5" t="str">
        <f t="shared" ref="R356:R419" si="2128">VLOOKUP($A356,hospital_details,8,0)</f>
        <v>R1011</v>
      </c>
    </row>
    <row r="357" spans="1:18" ht="14.4" customHeight="1" x14ac:dyDescent="0.3">
      <c r="A357" s="7" t="s">
        <v>376</v>
      </c>
      <c r="B357" s="7" t="str">
        <f>VLOOKUP($A357,[1]!Customer_Names[#Data],3,0)</f>
        <v xml:space="preserve">  Marie</v>
      </c>
      <c r="C357" s="7">
        <v>36.520000000000003</v>
      </c>
      <c r="D357" s="7" t="str" cm="1">
        <f t="array" ref="D357">_xlfn.IFS(Healthcare!$C357&lt;18.5,"under weight",Healthcare!$C357&lt;=24.9,"Normal Weight",Healthcare!$C357&gt;=25,"overweight",Healthcare!$C357&gt;=30,"obese")</f>
        <v>overweight</v>
      </c>
      <c r="E357" s="7">
        <v>9.07</v>
      </c>
      <c r="F357" s="7" t="str" cm="1">
        <f t="array" ref="F357">_xlfn.IFS(Healthcare!$E357&lt;5.7,"normal",Healthcare!$E357&lt;=6.4,"prediabetes",Healthcare!$E357&gt;=6.5,"diabetes")</f>
        <v>diabetes</v>
      </c>
      <c r="G357" s="7" t="s">
        <v>20</v>
      </c>
      <c r="H357" s="7" t="s">
        <v>19</v>
      </c>
      <c r="I357" s="7" t="s">
        <v>29</v>
      </c>
      <c r="J357" s="7">
        <v>1</v>
      </c>
      <c r="K357" s="7" t="s">
        <v>19</v>
      </c>
      <c r="L357" s="7" t="str">
        <f>VLOOKUP(Healthcare!$A357,hospital_details,2,0)</f>
        <v>25-Nov-1963</v>
      </c>
      <c r="M357" s="7">
        <f t="shared" ref="M357:M420" ca="1" si="2129">VLOOKUP(A357,hospital_details,3,0)</f>
        <v>62</v>
      </c>
      <c r="N357" s="7">
        <f t="shared" ref="N357:N420" si="2130">VLOOKUP($A357,hospital_details,4,0)</f>
        <v>1</v>
      </c>
      <c r="O357" s="8">
        <f t="shared" ref="O357:O420" si="2131">VLOOKUP($A357,hospital_details,5,0)</f>
        <v>28287.9</v>
      </c>
      <c r="P357" s="7" t="str">
        <f t="shared" ref="P357:P420" si="2132">VLOOKUP($A357,hospital_details,6,0)</f>
        <v>tier - 1</v>
      </c>
      <c r="Q357" s="7" t="str">
        <f t="shared" ref="Q357:Q420" si="2133">VLOOKUP($A357,hospital_details,7,0)</f>
        <v>tier - 1</v>
      </c>
      <c r="R357" s="7" t="str">
        <f t="shared" ref="R357:R420" si="2134">VLOOKUP($A357,hospital_details,8,0)</f>
        <v>R1013</v>
      </c>
    </row>
    <row r="358" spans="1:18" ht="14.4" customHeight="1" x14ac:dyDescent="0.3">
      <c r="A358" s="5" t="s">
        <v>377</v>
      </c>
      <c r="B358" s="5" t="str">
        <f>VLOOKUP($A358,[1]!Customer_Names[#Data],3,0)</f>
        <v xml:space="preserve">  Frank</v>
      </c>
      <c r="C358" s="5">
        <v>33.96</v>
      </c>
      <c r="D358" s="5" t="str" cm="1">
        <f t="array" ref="D358">_xlfn.IFS(Healthcare!$C358&lt;18.5,"under weight",Healthcare!$C358&lt;=24.9,"Normal Weight",Healthcare!$C358&gt;=25,"overweight",Healthcare!$C358&gt;=30,"obese")</f>
        <v>overweight</v>
      </c>
      <c r="E358" s="5">
        <v>4.99</v>
      </c>
      <c r="F358" s="5" t="str" cm="1">
        <f t="array" ref="F358">_xlfn.IFS(Healthcare!$E358&lt;5.7,"normal",Healthcare!$E358&lt;=6.4,"prediabetes",Healthcare!$E358&gt;=6.5,"diabetes")</f>
        <v>normal</v>
      </c>
      <c r="G358" s="5" t="s">
        <v>19</v>
      </c>
      <c r="H358" s="5" t="s">
        <v>19</v>
      </c>
      <c r="I358" s="5" t="s">
        <v>19</v>
      </c>
      <c r="J358" s="5">
        <v>0</v>
      </c>
      <c r="K358" s="5" t="s">
        <v>20</v>
      </c>
      <c r="L358" s="5" t="str">
        <f>VLOOKUP(Healthcare!$A358,hospital_details,2,0)</f>
        <v>6-Sep-1999</v>
      </c>
      <c r="M358" s="5">
        <f t="shared" ref="M358:M421" ca="1" si="2135">VLOOKUP(A358,hospital_details,3,0)</f>
        <v>27</v>
      </c>
      <c r="N358" s="5">
        <f t="shared" ref="N358:N421" si="2136">VLOOKUP($A358,hospital_details,4,0)</f>
        <v>0</v>
      </c>
      <c r="O358" s="6">
        <f t="shared" ref="O358:O421" si="2137">VLOOKUP($A358,hospital_details,5,0)</f>
        <v>28245.34</v>
      </c>
      <c r="P358" s="5" t="str">
        <f t="shared" ref="P358:P421" si="2138">VLOOKUP($A358,hospital_details,6,0)</f>
        <v>tier - 1</v>
      </c>
      <c r="Q358" s="5" t="str">
        <f t="shared" ref="Q358:Q421" si="2139">VLOOKUP($A358,hospital_details,7,0)</f>
        <v>tier - 3</v>
      </c>
      <c r="R358" s="5" t="str">
        <f t="shared" ref="R358:R421" si="2140">VLOOKUP($A358,hospital_details,8,0)</f>
        <v>R1011</v>
      </c>
    </row>
    <row r="359" spans="1:18" ht="14.4" customHeight="1" x14ac:dyDescent="0.3">
      <c r="A359" s="7" t="s">
        <v>378</v>
      </c>
      <c r="B359" s="7" t="str">
        <f>VLOOKUP($A359,[1]!Customer_Names[#Data],3,0)</f>
        <v xml:space="preserve">  Jeffry</v>
      </c>
      <c r="C359" s="7">
        <v>26.695</v>
      </c>
      <c r="D359" s="7" t="str" cm="1">
        <f t="array" ref="D359">_xlfn.IFS(Healthcare!$C359&lt;18.5,"under weight",Healthcare!$C359&lt;=24.9,"Normal Weight",Healthcare!$C359&gt;=25,"overweight",Healthcare!$C359&gt;=30,"obese")</f>
        <v>overweight</v>
      </c>
      <c r="E359" s="7">
        <v>8.31</v>
      </c>
      <c r="F359" s="7" t="str" cm="1">
        <f t="array" ref="F359">_xlfn.IFS(Healthcare!$E359&lt;5.7,"normal",Healthcare!$E359&lt;=6.4,"prediabetes",Healthcare!$E359&gt;=6.5,"diabetes")</f>
        <v>diabetes</v>
      </c>
      <c r="G359" s="7" t="s">
        <v>19</v>
      </c>
      <c r="H359" s="7" t="s">
        <v>19</v>
      </c>
      <c r="I359" s="7" t="s">
        <v>19</v>
      </c>
      <c r="J359" s="7">
        <v>0</v>
      </c>
      <c r="K359" s="7" t="s">
        <v>20</v>
      </c>
      <c r="L359" s="7" t="str">
        <f>VLOOKUP(Healthcare!$A359,hospital_details,2,0)</f>
        <v>22-Nov-1960</v>
      </c>
      <c r="M359" s="7">
        <f t="shared" ref="M359:M422" ca="1" si="2141">VLOOKUP(A359,hospital_details,3,0)</f>
        <v>65</v>
      </c>
      <c r="N359" s="7">
        <f t="shared" ref="N359:N422" si="2142">VLOOKUP($A359,hospital_details,4,0)</f>
        <v>0</v>
      </c>
      <c r="O359" s="8">
        <f t="shared" ref="O359:O422" si="2143">VLOOKUP($A359,hospital_details,5,0)</f>
        <v>28101.33</v>
      </c>
      <c r="P359" s="7" t="str">
        <f t="shared" ref="P359:P422" si="2144">VLOOKUP($A359,hospital_details,6,0)</f>
        <v>tier - 1</v>
      </c>
      <c r="Q359" s="7" t="str">
        <f t="shared" ref="Q359:Q422" si="2145">VLOOKUP($A359,hospital_details,7,0)</f>
        <v>tier - 2</v>
      </c>
      <c r="R359" s="7" t="str">
        <f t="shared" ref="R359:R422" si="2146">VLOOKUP($A359,hospital_details,8,0)</f>
        <v>R1019</v>
      </c>
    </row>
    <row r="360" spans="1:18" ht="14.4" customHeight="1" x14ac:dyDescent="0.3">
      <c r="A360" s="5" t="s">
        <v>379</v>
      </c>
      <c r="B360" s="5" t="str">
        <f>VLOOKUP($A360,[1]!Customer_Names[#Data],3,0)</f>
        <v xml:space="preserve">  Mike</v>
      </c>
      <c r="C360" s="5">
        <v>18.45</v>
      </c>
      <c r="D360" s="5" t="str" cm="1">
        <f t="array" ref="D360">_xlfn.IFS(Healthcare!$C360&lt;18.5,"under weight",Healthcare!$C360&lt;=24.9,"Normal Weight",Healthcare!$C360&gt;=25,"overweight",Healthcare!$C360&gt;=30,"obese")</f>
        <v>under weight</v>
      </c>
      <c r="E360" s="5">
        <v>5.07</v>
      </c>
      <c r="F360" s="5" t="str" cm="1">
        <f t="array" ref="F360">_xlfn.IFS(Healthcare!$E360&lt;5.7,"normal",Healthcare!$E360&lt;=6.4,"prediabetes",Healthcare!$E360&gt;=6.5,"diabetes")</f>
        <v>normal</v>
      </c>
      <c r="G360" s="5" t="s">
        <v>20</v>
      </c>
      <c r="H360" s="5" t="s">
        <v>19</v>
      </c>
      <c r="I360" s="5" t="s">
        <v>19</v>
      </c>
      <c r="J360" s="5">
        <v>0</v>
      </c>
      <c r="K360" s="5" t="s">
        <v>20</v>
      </c>
      <c r="L360" s="5" t="str">
        <f>VLOOKUP(Healthcare!$A360,hospital_details,2,0)</f>
        <v>29-Nov-1985</v>
      </c>
      <c r="M360" s="5">
        <f t="shared" ref="M360:M423" ca="1" si="2147">VLOOKUP(A360,hospital_details,3,0)</f>
        <v>40</v>
      </c>
      <c r="N360" s="5">
        <f t="shared" ref="N360:N423" si="2148">VLOOKUP($A360,hospital_details,4,0)</f>
        <v>3</v>
      </c>
      <c r="O360" s="6">
        <f t="shared" ref="O360:O423" si="2149">VLOOKUP($A360,hospital_details,5,0)</f>
        <v>28006.94</v>
      </c>
      <c r="P360" s="5" t="str">
        <f t="shared" ref="P360:P423" si="2150">VLOOKUP($A360,hospital_details,6,0)</f>
        <v>tier - 1</v>
      </c>
      <c r="Q360" s="5" t="str">
        <f t="shared" ref="Q360:Q423" si="2151">VLOOKUP($A360,hospital_details,7,0)</f>
        <v>tier - 2</v>
      </c>
      <c r="R360" s="5" t="str">
        <f t="shared" ref="R360:R423" si="2152">VLOOKUP($A360,hospital_details,8,0)</f>
        <v>R1011</v>
      </c>
    </row>
    <row r="361" spans="1:18" ht="14.4" customHeight="1" x14ac:dyDescent="0.3">
      <c r="A361" s="7" t="s">
        <v>380</v>
      </c>
      <c r="B361" s="7" t="str">
        <f>VLOOKUP($A361,[1]!Customer_Names[#Data],3,0)</f>
        <v xml:space="preserve">  Rick</v>
      </c>
      <c r="C361" s="7">
        <v>33.18</v>
      </c>
      <c r="D361" s="7" t="str" cm="1">
        <f t="array" ref="D361">_xlfn.IFS(Healthcare!$C361&lt;18.5,"under weight",Healthcare!$C361&lt;=24.9,"Normal Weight",Healthcare!$C361&gt;=25,"overweight",Healthcare!$C361&gt;=30,"obese")</f>
        <v>overweight</v>
      </c>
      <c r="E361" s="7">
        <v>4.79</v>
      </c>
      <c r="F361" s="7" t="str" cm="1">
        <f t="array" ref="F361">_xlfn.IFS(Healthcare!$E361&lt;5.7,"normal",Healthcare!$E361&lt;=6.4,"prediabetes",Healthcare!$E361&gt;=6.5,"diabetes")</f>
        <v>normal</v>
      </c>
      <c r="G361" s="7" t="s">
        <v>19</v>
      </c>
      <c r="H361" s="7" t="s">
        <v>19</v>
      </c>
      <c r="I361" s="7" t="s">
        <v>19</v>
      </c>
      <c r="J361" s="7">
        <v>0</v>
      </c>
      <c r="K361" s="7" t="s">
        <v>20</v>
      </c>
      <c r="L361" s="7" t="str">
        <f>VLOOKUP(Healthcare!$A361,hospital_details,2,0)</f>
        <v>21-Dec-1999</v>
      </c>
      <c r="M361" s="7">
        <f t="shared" ref="M361:M424" ca="1" si="2153">VLOOKUP(A361,hospital_details,3,0)</f>
        <v>26</v>
      </c>
      <c r="N361" s="7">
        <f t="shared" ref="N361:N424" si="2154">VLOOKUP($A361,hospital_details,4,0)</f>
        <v>0</v>
      </c>
      <c r="O361" s="8">
        <f t="shared" ref="O361:O424" si="2155">VLOOKUP($A361,hospital_details,5,0)</f>
        <v>27980.77</v>
      </c>
      <c r="P361" s="7" t="str">
        <f t="shared" ref="P361:P424" si="2156">VLOOKUP($A361,hospital_details,6,0)</f>
        <v>tier - 1</v>
      </c>
      <c r="Q361" s="7" t="str">
        <f t="shared" ref="Q361:Q424" si="2157">VLOOKUP($A361,hospital_details,7,0)</f>
        <v>tier - 1</v>
      </c>
      <c r="R361" s="7" t="str">
        <f t="shared" ref="R361:R424" si="2158">VLOOKUP($A361,hospital_details,8,0)</f>
        <v>R1011</v>
      </c>
    </row>
    <row r="362" spans="1:18" ht="14.4" customHeight="1" x14ac:dyDescent="0.3">
      <c r="A362" s="5" t="s">
        <v>381</v>
      </c>
      <c r="B362" s="5" t="str">
        <f>VLOOKUP($A362,[1]!Customer_Names[#Data],3,0)</f>
        <v xml:space="preserve">  Pierre-Michel</v>
      </c>
      <c r="C362" s="5">
        <v>36.1</v>
      </c>
      <c r="D362" s="5" t="str" cm="1">
        <f t="array" ref="D362">_xlfn.IFS(Healthcare!$C362&lt;18.5,"under weight",Healthcare!$C362&lt;=24.9,"Normal Weight",Healthcare!$C362&gt;=25,"overweight",Healthcare!$C362&gt;=30,"obese")</f>
        <v>overweight</v>
      </c>
      <c r="E362" s="5">
        <v>11.39</v>
      </c>
      <c r="F362" s="5" t="str" cm="1">
        <f t="array" ref="F362">_xlfn.IFS(Healthcare!$E362&lt;5.7,"normal",Healthcare!$E362&lt;=6.4,"prediabetes",Healthcare!$E362&gt;=6.5,"diabetes")</f>
        <v>diabetes</v>
      </c>
      <c r="G362" s="5" t="s">
        <v>20</v>
      </c>
      <c r="H362" s="5" t="s">
        <v>19</v>
      </c>
      <c r="I362" s="5" t="s">
        <v>19</v>
      </c>
      <c r="J362" s="5">
        <v>2</v>
      </c>
      <c r="K362" s="5" t="s">
        <v>19</v>
      </c>
      <c r="L362" s="5" t="str">
        <f>VLOOKUP(Healthcare!$A362,hospital_details,2,0)</f>
        <v>28-Jul-1961</v>
      </c>
      <c r="M362" s="5">
        <f t="shared" ref="M362:M425" ca="1" si="2159">VLOOKUP(A362,hospital_details,3,0)</f>
        <v>65</v>
      </c>
      <c r="N362" s="5">
        <f t="shared" ref="N362:N425" si="2160">VLOOKUP($A362,hospital_details,4,0)</f>
        <v>3</v>
      </c>
      <c r="O362" s="6">
        <f t="shared" ref="O362:O425" si="2161">VLOOKUP($A362,hospital_details,5,0)</f>
        <v>27941.29</v>
      </c>
      <c r="P362" s="5" t="str">
        <f t="shared" ref="P362:P425" si="2162">VLOOKUP($A362,hospital_details,6,0)</f>
        <v>tier - 1</v>
      </c>
      <c r="Q362" s="5" t="str">
        <f t="shared" ref="Q362:Q425" si="2163">VLOOKUP($A362,hospital_details,7,0)</f>
        <v>tier - 3</v>
      </c>
      <c r="R362" s="5" t="str">
        <f t="shared" ref="R362:R425" si="2164">VLOOKUP($A362,hospital_details,8,0)</f>
        <v>R1011</v>
      </c>
    </row>
    <row r="363" spans="1:18" ht="14.4" customHeight="1" x14ac:dyDescent="0.3">
      <c r="A363" s="7" t="s">
        <v>382</v>
      </c>
      <c r="B363" s="7" t="str">
        <f>VLOOKUP($A363,[1]!Customer_Names[#Data],3,0)</f>
        <v xml:space="preserve">  Daniel</v>
      </c>
      <c r="C363" s="7">
        <v>22.77</v>
      </c>
      <c r="D363" s="7" t="str" cm="1">
        <f t="array" ref="D363">_xlfn.IFS(Healthcare!$C363&lt;18.5,"under weight",Healthcare!$C363&lt;=24.9,"Normal Weight",Healthcare!$C363&gt;=25,"overweight",Healthcare!$C363&gt;=30,"obese")</f>
        <v>Normal Weight</v>
      </c>
      <c r="E363" s="7">
        <v>6</v>
      </c>
      <c r="F363" s="7" t="str" cm="1">
        <f t="array" ref="F363">_xlfn.IFS(Healthcare!$E363&lt;5.7,"normal",Healthcare!$E363&lt;=6.4,"prediabetes",Healthcare!$E363&gt;=6.5,"diabetes")</f>
        <v>prediabetes</v>
      </c>
      <c r="G363" s="7" t="s">
        <v>19</v>
      </c>
      <c r="H363" s="7" t="s">
        <v>19</v>
      </c>
      <c r="I363" s="7" t="s">
        <v>19</v>
      </c>
      <c r="J363" s="7">
        <v>0</v>
      </c>
      <c r="K363" s="7" t="s">
        <v>20</v>
      </c>
      <c r="L363" s="7" t="str">
        <f>VLOOKUP(Healthcare!$A363,hospital_details,2,0)</f>
        <v>4-Jun-1991</v>
      </c>
      <c r="M363" s="7">
        <f t="shared" ref="M363:M426" ca="1" si="2165">VLOOKUP(A363,hospital_details,3,0)</f>
        <v>35</v>
      </c>
      <c r="N363" s="7">
        <f t="shared" ref="N363:N426" si="2166">VLOOKUP($A363,hospital_details,4,0)</f>
        <v>3</v>
      </c>
      <c r="O363" s="8">
        <f t="shared" ref="O363:O426" si="2167">VLOOKUP($A363,hospital_details,5,0)</f>
        <v>27931.11</v>
      </c>
      <c r="P363" s="7" t="str">
        <f t="shared" ref="P363:P426" si="2168">VLOOKUP($A363,hospital_details,6,0)</f>
        <v>tier - 1</v>
      </c>
      <c r="Q363" s="7" t="str">
        <f t="shared" ref="Q363:Q426" si="2169">VLOOKUP($A363,hospital_details,7,0)</f>
        <v>tier - 3</v>
      </c>
      <c r="R363" s="7" t="str">
        <f t="shared" ref="R363:R426" si="2170">VLOOKUP($A363,hospital_details,8,0)</f>
        <v>R1011</v>
      </c>
    </row>
    <row r="364" spans="1:18" ht="14.4" customHeight="1" x14ac:dyDescent="0.3">
      <c r="A364" s="5" t="s">
        <v>383</v>
      </c>
      <c r="B364" s="5" t="str">
        <f>VLOOKUP($A364,[1]!Customer_Names[#Data],3,0)</f>
        <v xml:space="preserve">  Brian L</v>
      </c>
      <c r="C364" s="5">
        <v>21.24</v>
      </c>
      <c r="D364" s="5" t="str" cm="1">
        <f t="array" ref="D364">_xlfn.IFS(Healthcare!$C364&lt;18.5,"under weight",Healthcare!$C364&lt;=24.9,"Normal Weight",Healthcare!$C364&gt;=25,"overweight",Healthcare!$C364&gt;=30,"obese")</f>
        <v>Normal Weight</v>
      </c>
      <c r="E364" s="5">
        <v>5.13</v>
      </c>
      <c r="F364" s="5" t="str" cm="1">
        <f t="array" ref="F364">_xlfn.IFS(Healthcare!$E364&lt;5.7,"normal",Healthcare!$E364&lt;=6.4,"prediabetes",Healthcare!$E364&gt;=6.5,"diabetes")</f>
        <v>normal</v>
      </c>
      <c r="G364" s="5" t="s">
        <v>19</v>
      </c>
      <c r="H364" s="5" t="s">
        <v>19</v>
      </c>
      <c r="I364" s="5" t="s">
        <v>19</v>
      </c>
      <c r="J364" s="5">
        <v>0</v>
      </c>
      <c r="K364" s="5" t="s">
        <v>20</v>
      </c>
      <c r="L364" s="5" t="str">
        <f>VLOOKUP(Healthcare!$A364,hospital_details,2,0)</f>
        <v>21-Nov-1989</v>
      </c>
      <c r="M364" s="5">
        <f t="shared" ref="M364:M427" ca="1" si="2171">VLOOKUP(A364,hospital_details,3,0)</f>
        <v>36</v>
      </c>
      <c r="N364" s="5">
        <f t="shared" ref="N364:N427" si="2172">VLOOKUP($A364,hospital_details,4,0)</f>
        <v>3</v>
      </c>
      <c r="O364" s="6">
        <f t="shared" ref="O364:O427" si="2173">VLOOKUP($A364,hospital_details,5,0)</f>
        <v>27925.86</v>
      </c>
      <c r="P364" s="5" t="str">
        <f t="shared" ref="P364:P427" si="2174">VLOOKUP($A364,hospital_details,6,0)</f>
        <v>tier - 1</v>
      </c>
      <c r="Q364" s="5" t="str">
        <f t="shared" ref="Q364:Q427" si="2175">VLOOKUP($A364,hospital_details,7,0)</f>
        <v>tier - 2</v>
      </c>
      <c r="R364" s="5" t="str">
        <f t="shared" ref="R364:R427" si="2176">VLOOKUP($A364,hospital_details,8,0)</f>
        <v>R1011</v>
      </c>
    </row>
    <row r="365" spans="1:18" ht="14.4" customHeight="1" x14ac:dyDescent="0.3">
      <c r="A365" s="7" t="s">
        <v>384</v>
      </c>
      <c r="B365" s="7" t="str">
        <f>VLOOKUP($A365,[1]!Customer_Names[#Data],3,0)</f>
        <v xml:space="preserve">  Morgan M</v>
      </c>
      <c r="C365" s="7">
        <v>17.600000000000001</v>
      </c>
      <c r="D365" s="7" t="str" cm="1">
        <f t="array" ref="D365">_xlfn.IFS(Healthcare!$C365&lt;18.5,"under weight",Healthcare!$C365&lt;=24.9,"Normal Weight",Healthcare!$C365&gt;=25,"overweight",Healthcare!$C365&gt;=30,"obese")</f>
        <v>under weight</v>
      </c>
      <c r="E365" s="7">
        <v>5.26</v>
      </c>
      <c r="F365" s="7" t="str" cm="1">
        <f t="array" ref="F365">_xlfn.IFS(Healthcare!$E365&lt;5.7,"normal",Healthcare!$E365&lt;=6.4,"prediabetes",Healthcare!$E365&gt;=6.5,"diabetes")</f>
        <v>normal</v>
      </c>
      <c r="G365" s="7" t="s">
        <v>20</v>
      </c>
      <c r="H365" s="7" t="s">
        <v>19</v>
      </c>
      <c r="I365" s="7" t="s">
        <v>19</v>
      </c>
      <c r="J365" s="7">
        <v>0</v>
      </c>
      <c r="K365" s="7" t="s">
        <v>20</v>
      </c>
      <c r="L365" s="7" t="str">
        <f>VLOOKUP(Healthcare!$A365,hospital_details,2,0)</f>
        <v>4-Dec-1985</v>
      </c>
      <c r="M365" s="7">
        <f t="shared" ref="M365:M428" ca="1" si="2177">VLOOKUP(A365,hospital_details,3,0)</f>
        <v>40</v>
      </c>
      <c r="N365" s="7">
        <f t="shared" ref="N365:N428" si="2178">VLOOKUP($A365,hospital_details,4,0)</f>
        <v>3</v>
      </c>
      <c r="O365" s="8">
        <f t="shared" ref="O365:O428" si="2179">VLOOKUP($A365,hospital_details,5,0)</f>
        <v>27849.94</v>
      </c>
      <c r="P365" s="7" t="str">
        <f t="shared" ref="P365:P428" si="2180">VLOOKUP($A365,hospital_details,6,0)</f>
        <v>tier - 1</v>
      </c>
      <c r="Q365" s="7" t="str">
        <f t="shared" ref="Q365:Q428" si="2181">VLOOKUP($A365,hospital_details,7,0)</f>
        <v>tier - 1</v>
      </c>
      <c r="R365" s="7" t="str">
        <f t="shared" ref="R365:R428" si="2182">VLOOKUP($A365,hospital_details,8,0)</f>
        <v>R1011</v>
      </c>
    </row>
    <row r="366" spans="1:18" ht="14.4" customHeight="1" x14ac:dyDescent="0.3">
      <c r="A366" s="5" t="s">
        <v>385</v>
      </c>
      <c r="B366" s="5" t="str">
        <f>VLOOKUP($A366,[1]!Customer_Names[#Data],3,0)</f>
        <v xml:space="preserve">  Caroline</v>
      </c>
      <c r="C366" s="5">
        <v>26.29</v>
      </c>
      <c r="D366" s="5" t="str" cm="1">
        <f t="array" ref="D366">_xlfn.IFS(Healthcare!$C366&lt;18.5,"under weight",Healthcare!$C366&lt;=24.9,"Normal Weight",Healthcare!$C366&gt;=25,"overweight",Healthcare!$C366&gt;=30,"obese")</f>
        <v>overweight</v>
      </c>
      <c r="E366" s="5">
        <v>6.84</v>
      </c>
      <c r="F366" s="5" t="str" cm="1">
        <f t="array" ref="F366">_xlfn.IFS(Healthcare!$E366&lt;5.7,"normal",Healthcare!$E366&lt;=6.4,"prediabetes",Healthcare!$E366&gt;=6.5,"diabetes")</f>
        <v>diabetes</v>
      </c>
      <c r="G366" s="5" t="s">
        <v>19</v>
      </c>
      <c r="H366" s="5" t="s">
        <v>19</v>
      </c>
      <c r="I366" s="5" t="s">
        <v>19</v>
      </c>
      <c r="J366" s="5">
        <v>0</v>
      </c>
      <c r="K366" s="5" t="s">
        <v>20</v>
      </c>
      <c r="L366" s="5" t="str">
        <f>VLOOKUP(Healthcare!$A366,hospital_details,2,0)</f>
        <v>6-Jul-1960</v>
      </c>
      <c r="M366" s="5">
        <f t="shared" ref="M366:M429" ca="1" si="2183">VLOOKUP(A366,hospital_details,3,0)</f>
        <v>66</v>
      </c>
      <c r="N366" s="5">
        <f t="shared" ref="N366:N429" si="2184">VLOOKUP($A366,hospital_details,4,0)</f>
        <v>0</v>
      </c>
      <c r="O366" s="6">
        <f t="shared" ref="O366:O429" si="2185">VLOOKUP($A366,hospital_details,5,0)</f>
        <v>27808.73</v>
      </c>
      <c r="P366" s="5" t="str">
        <f t="shared" ref="P366:P429" si="2186">VLOOKUP($A366,hospital_details,6,0)</f>
        <v>tier - 1</v>
      </c>
      <c r="Q366" s="5" t="str">
        <f t="shared" ref="Q366:Q429" si="2187">VLOOKUP($A366,hospital_details,7,0)</f>
        <v>tier - 1</v>
      </c>
      <c r="R366" s="5" t="str">
        <f t="shared" ref="R366:R429" si="2188">VLOOKUP($A366,hospital_details,8,0)</f>
        <v>R1013</v>
      </c>
    </row>
    <row r="367" spans="1:18" ht="14.4" customHeight="1" x14ac:dyDescent="0.3">
      <c r="A367" s="7" t="s">
        <v>386</v>
      </c>
      <c r="B367" s="7" t="str">
        <f>VLOOKUP($A367,[1]!Customer_Names[#Data],3,0)</f>
        <v xml:space="preserve">  Drew T</v>
      </c>
      <c r="C367" s="7">
        <v>35.31</v>
      </c>
      <c r="D367" s="7" t="str" cm="1">
        <f t="array" ref="D367">_xlfn.IFS(Healthcare!$C367&lt;18.5,"under weight",Healthcare!$C367&lt;=24.9,"Normal Weight",Healthcare!$C367&gt;=25,"overweight",Healthcare!$C367&gt;=30,"obese")</f>
        <v>overweight</v>
      </c>
      <c r="E367" s="7">
        <v>9.0399999999999991</v>
      </c>
      <c r="F367" s="7" t="str" cm="1">
        <f t="array" ref="F367">_xlfn.IFS(Healthcare!$E367&lt;5.7,"normal",Healthcare!$E367&lt;=6.4,"prediabetes",Healthcare!$E367&gt;=6.5,"diabetes")</f>
        <v>diabetes</v>
      </c>
      <c r="G367" s="7" t="s">
        <v>19</v>
      </c>
      <c r="H367" s="7" t="s">
        <v>19</v>
      </c>
      <c r="I367" s="7" t="s">
        <v>19</v>
      </c>
      <c r="J367" s="7">
        <v>0</v>
      </c>
      <c r="K367" s="7" t="s">
        <v>19</v>
      </c>
      <c r="L367" s="7" t="str">
        <f>VLOOKUP(Healthcare!$A367,hospital_details,2,0)</f>
        <v>6-Dec-2002</v>
      </c>
      <c r="M367" s="7">
        <f t="shared" ref="M367:M430" ca="1" si="2189">VLOOKUP(A367,hospital_details,3,0)</f>
        <v>23</v>
      </c>
      <c r="N367" s="7">
        <f t="shared" ref="N367:N430" si="2190">VLOOKUP($A367,hospital_details,4,0)</f>
        <v>1</v>
      </c>
      <c r="O367" s="8">
        <f t="shared" ref="O367:O430" si="2191">VLOOKUP($A367,hospital_details,5,0)</f>
        <v>27724.29</v>
      </c>
      <c r="P367" s="7" t="str">
        <f t="shared" ref="P367:P430" si="2192">VLOOKUP($A367,hospital_details,6,0)</f>
        <v>tier - 1</v>
      </c>
      <c r="Q367" s="7" t="str">
        <f t="shared" ref="Q367:Q430" si="2193">VLOOKUP($A367,hospital_details,7,0)</f>
        <v>tier - 3</v>
      </c>
      <c r="R367" s="7" t="str">
        <f t="shared" ref="R367:R430" si="2194">VLOOKUP($A367,hospital_details,8,0)</f>
        <v>R1013</v>
      </c>
    </row>
    <row r="368" spans="1:18" ht="14.4" customHeight="1" x14ac:dyDescent="0.3">
      <c r="A368" s="5" t="s">
        <v>387</v>
      </c>
      <c r="B368" s="5" t="str">
        <f>VLOOKUP($A368,[1]!Customer_Names[#Data],3,0)</f>
        <v xml:space="preserve">  Austin W</v>
      </c>
      <c r="C368" s="5">
        <v>27.04</v>
      </c>
      <c r="D368" s="5" t="str" cm="1">
        <f t="array" ref="D368">_xlfn.IFS(Healthcare!$C368&lt;18.5,"under weight",Healthcare!$C368&lt;=24.9,"Normal Weight",Healthcare!$C368&gt;=25,"overweight",Healthcare!$C368&gt;=30,"obese")</f>
        <v>overweight</v>
      </c>
      <c r="E368" s="5">
        <v>4.0999999999999996</v>
      </c>
      <c r="F368" s="5" t="str" cm="1">
        <f t="array" ref="F368">_xlfn.IFS(Healthcare!$E368&lt;5.7,"normal",Healthcare!$E368&lt;=6.4,"prediabetes",Healthcare!$E368&gt;=6.5,"diabetes")</f>
        <v>normal</v>
      </c>
      <c r="G368" s="5" t="s">
        <v>19</v>
      </c>
      <c r="H368" s="5" t="s">
        <v>19</v>
      </c>
      <c r="I368" s="5" t="s">
        <v>19</v>
      </c>
      <c r="J368" s="5">
        <v>1</v>
      </c>
      <c r="K368" s="5" t="s">
        <v>20</v>
      </c>
      <c r="L368" s="5" t="str">
        <f>VLOOKUP(Healthcare!$A368,hospital_details,2,0)</f>
        <v>3-Jul-1992</v>
      </c>
      <c r="M368" s="5">
        <f t="shared" ref="M368:M431" ca="1" si="2195">VLOOKUP(A368,hospital_details,3,0)</f>
        <v>34</v>
      </c>
      <c r="N368" s="5">
        <f t="shared" ref="N368:N431" si="2196">VLOOKUP($A368,hospital_details,4,0)</f>
        <v>0</v>
      </c>
      <c r="O368" s="6">
        <f t="shared" ref="O368:O431" si="2197">VLOOKUP($A368,hospital_details,5,0)</f>
        <v>27696.11</v>
      </c>
      <c r="P368" s="5" t="str">
        <f t="shared" ref="P368:P431" si="2198">VLOOKUP($A368,hospital_details,6,0)</f>
        <v>tier - 1</v>
      </c>
      <c r="Q368" s="5" t="str">
        <f t="shared" ref="Q368:Q431" si="2199">VLOOKUP($A368,hospital_details,7,0)</f>
        <v>tier - 2</v>
      </c>
      <c r="R368" s="5" t="str">
        <f t="shared" ref="R368:R431" si="2200">VLOOKUP($A368,hospital_details,8,0)</f>
        <v>R1011</v>
      </c>
    </row>
    <row r="369" spans="1:18" ht="14.4" customHeight="1" x14ac:dyDescent="0.3">
      <c r="A369" s="7" t="s">
        <v>388</v>
      </c>
      <c r="B369" s="7" t="str">
        <f>VLOOKUP($A369,[1]!Customer_Names[#Data],3,0)</f>
        <v xml:space="preserve">  Berenice</v>
      </c>
      <c r="C369" s="7">
        <v>30.23</v>
      </c>
      <c r="D369" s="7" t="str" cm="1">
        <f t="array" ref="D369">_xlfn.IFS(Healthcare!$C369&lt;18.5,"under weight",Healthcare!$C369&lt;=24.9,"Normal Weight",Healthcare!$C369&gt;=25,"overweight",Healthcare!$C369&gt;=30,"obese")</f>
        <v>overweight</v>
      </c>
      <c r="E369" s="7">
        <v>4.2300000000000004</v>
      </c>
      <c r="F369" s="7" t="str" cm="1">
        <f t="array" ref="F369">_xlfn.IFS(Healthcare!$E369&lt;5.7,"normal",Healthcare!$E369&lt;=6.4,"prediabetes",Healthcare!$E369&gt;=6.5,"diabetes")</f>
        <v>normal</v>
      </c>
      <c r="G369" s="7" t="s">
        <v>20</v>
      </c>
      <c r="H369" s="7" t="s">
        <v>19</v>
      </c>
      <c r="I369" s="7" t="s">
        <v>29</v>
      </c>
      <c r="J369" s="7">
        <v>1</v>
      </c>
      <c r="K369" s="7" t="s">
        <v>20</v>
      </c>
      <c r="L369" s="7" t="str">
        <f>VLOOKUP(Healthcare!$A369,hospital_details,2,0)</f>
        <v>7-Oct-1997</v>
      </c>
      <c r="M369" s="7">
        <f t="shared" ref="M369:M432" ca="1" si="2201">VLOOKUP(A369,hospital_details,3,0)</f>
        <v>29</v>
      </c>
      <c r="N369" s="7">
        <f t="shared" ref="N369:N432" si="2202">VLOOKUP($A369,hospital_details,4,0)</f>
        <v>0</v>
      </c>
      <c r="O369" s="8">
        <f t="shared" ref="O369:O432" si="2203">VLOOKUP($A369,hospital_details,5,0)</f>
        <v>27625.17</v>
      </c>
      <c r="P369" s="7" t="str">
        <f t="shared" ref="P369:P432" si="2204">VLOOKUP($A369,hospital_details,6,0)</f>
        <v>tier - 1</v>
      </c>
      <c r="Q369" s="7" t="str">
        <f t="shared" ref="Q369:Q432" si="2205">VLOOKUP($A369,hospital_details,7,0)</f>
        <v>tier - 1</v>
      </c>
      <c r="R369" s="7" t="str">
        <f t="shared" ref="R369:R432" si="2206">VLOOKUP($A369,hospital_details,8,0)</f>
        <v>R1011</v>
      </c>
    </row>
    <row r="370" spans="1:18" ht="14.4" customHeight="1" x14ac:dyDescent="0.3">
      <c r="A370" s="5" t="s">
        <v>389</v>
      </c>
      <c r="B370" s="5" t="str">
        <f>VLOOKUP($A370,[1]!Customer_Names[#Data],3,0)</f>
        <v xml:space="preserve">  Kenneth A</v>
      </c>
      <c r="C370" s="5">
        <v>30.6</v>
      </c>
      <c r="D370" s="5" t="str" cm="1">
        <f t="array" ref="D370">_xlfn.IFS(Healthcare!$C370&lt;18.5,"under weight",Healthcare!$C370&lt;=24.9,"Normal Weight",Healthcare!$C370&gt;=25,"overweight",Healthcare!$C370&gt;=30,"obese")</f>
        <v>overweight</v>
      </c>
      <c r="E370" s="5">
        <v>6.48</v>
      </c>
      <c r="F370" s="5" t="str" cm="1">
        <f t="array" ref="F370">_xlfn.IFS(Healthcare!$E2&lt;5.7,"normal",Healthcare!$E2&lt;=6.4,"prediabetes",Healthcare!$E2&gt;=6.5,"diabetes")</f>
        <v>diabetes</v>
      </c>
      <c r="G370" s="5" t="s">
        <v>20</v>
      </c>
      <c r="H370" s="5" t="s">
        <v>19</v>
      </c>
      <c r="I370" s="5" t="s">
        <v>29</v>
      </c>
      <c r="J370" s="5">
        <v>1</v>
      </c>
      <c r="K370" s="5" t="s">
        <v>20</v>
      </c>
      <c r="L370" s="5" t="str">
        <f>VLOOKUP(Healthcare!$A370,hospital_details,2,0)</f>
        <v>9-Sep-1997</v>
      </c>
      <c r="M370" s="5">
        <f t="shared" ref="M370:M433" ca="1" si="2207">VLOOKUP(A370,hospital_details,3,0)</f>
        <v>29</v>
      </c>
      <c r="N370" s="5">
        <f t="shared" ref="N370:N433" si="2208">VLOOKUP($A370,hospital_details,4,0)</f>
        <v>0</v>
      </c>
      <c r="O370" s="6">
        <f t="shared" ref="O370:O433" si="2209">VLOOKUP($A370,hospital_details,5,0)</f>
        <v>27619.360000000001</v>
      </c>
      <c r="P370" s="5" t="str">
        <f t="shared" ref="P370:P433" si="2210">VLOOKUP($A370,hospital_details,6,0)</f>
        <v>tier - 2</v>
      </c>
      <c r="Q370" s="5" t="str">
        <f t="shared" ref="Q370:Q433" si="2211">VLOOKUP($A370,hospital_details,7,0)</f>
        <v>tier - 3</v>
      </c>
      <c r="R370" s="5" t="str">
        <f t="shared" ref="R370:R433" si="2212">VLOOKUP($A370,hospital_details,8,0)</f>
        <v>R1011</v>
      </c>
    </row>
    <row r="371" spans="1:18" ht="14.4" customHeight="1" x14ac:dyDescent="0.3">
      <c r="A371" s="7" t="s">
        <v>390</v>
      </c>
      <c r="B371" s="7" t="str">
        <f>VLOOKUP($A371,[1]!Customer_Names[#Data],3,0)</f>
        <v xml:space="preserve">  Miguel</v>
      </c>
      <c r="C371" s="7">
        <v>26.8</v>
      </c>
      <c r="D371" s="7" t="str" cm="1">
        <f t="array" ref="D371">_xlfn.IFS(Healthcare!$C371&lt;18.5,"under weight",Healthcare!$C371&lt;=24.9,"Normal Weight",Healthcare!$C371&gt;=25,"overweight",Healthcare!$C371&gt;=30,"obese")</f>
        <v>overweight</v>
      </c>
      <c r="E371" s="7">
        <v>5.53</v>
      </c>
      <c r="F371" s="7" t="str" cm="1">
        <f t="array" ref="F371">_xlfn.IFS(Healthcare!$E371&lt;5.7,"normal",Healthcare!$E371&lt;=6.4,"prediabetes",Healthcare!$E371&gt;=6.5,"diabetes")</f>
        <v>normal</v>
      </c>
      <c r="G371" s="7" t="s">
        <v>19</v>
      </c>
      <c r="H371" s="7" t="s">
        <v>19</v>
      </c>
      <c r="I371" s="7" t="s">
        <v>19</v>
      </c>
      <c r="J371" s="7">
        <v>1</v>
      </c>
      <c r="K371" s="7" t="s">
        <v>20</v>
      </c>
      <c r="L371" s="7" t="str">
        <f>VLOOKUP(Healthcare!$A371,hospital_details,2,0)</f>
        <v>11-Jun-1992</v>
      </c>
      <c r="M371" s="7">
        <f t="shared" ref="M371:M434" ca="1" si="2213">VLOOKUP(A371,hospital_details,3,0)</f>
        <v>34</v>
      </c>
      <c r="N371" s="7">
        <f t="shared" ref="N371:N434" si="2214">VLOOKUP($A371,hospital_details,4,0)</f>
        <v>0</v>
      </c>
      <c r="O371" s="8">
        <f t="shared" ref="O371:O434" si="2215">VLOOKUP($A371,hospital_details,5,0)</f>
        <v>27614.71</v>
      </c>
      <c r="P371" s="7" t="str">
        <f t="shared" ref="P371:P434" si="2216">VLOOKUP($A371,hospital_details,6,0)</f>
        <v>tier - 2</v>
      </c>
      <c r="Q371" s="7" t="str">
        <f t="shared" ref="Q371:Q434" si="2217">VLOOKUP($A371,hospital_details,7,0)</f>
        <v>tier - 3</v>
      </c>
      <c r="R371" s="7" t="str">
        <f t="shared" ref="R371:R434" si="2218">VLOOKUP($A371,hospital_details,8,0)</f>
        <v>R1011</v>
      </c>
    </row>
    <row r="372" spans="1:18" ht="14.4" customHeight="1" x14ac:dyDescent="0.3">
      <c r="A372" s="5" t="s">
        <v>391</v>
      </c>
      <c r="B372" s="5" t="str">
        <f>VLOOKUP($A372,[1]!Customer_Names[#Data],3,0)</f>
        <v xml:space="preserve">  Hadley T</v>
      </c>
      <c r="C372" s="5">
        <v>16.86</v>
      </c>
      <c r="D372" s="5" t="str" cm="1">
        <f t="array" ref="D372">_xlfn.IFS(Healthcare!$C372&lt;18.5,"under weight",Healthcare!$C372&lt;=24.9,"Normal Weight",Healthcare!$C372&gt;=25,"overweight",Healthcare!$C372&gt;=30,"obese")</f>
        <v>under weight</v>
      </c>
      <c r="E372" s="5">
        <v>4.07</v>
      </c>
      <c r="F372" s="5" t="str" cm="1">
        <f t="array" ref="F372">_xlfn.IFS(Healthcare!$E372&lt;5.7,"normal",Healthcare!$E372&lt;=6.4,"prediabetes",Healthcare!$E372&gt;=6.5,"diabetes")</f>
        <v>normal</v>
      </c>
      <c r="G372" s="5" t="s">
        <v>20</v>
      </c>
      <c r="H372" s="5" t="s">
        <v>19</v>
      </c>
      <c r="I372" s="5" t="s">
        <v>19</v>
      </c>
      <c r="J372" s="5">
        <v>0</v>
      </c>
      <c r="K372" s="5" t="s">
        <v>20</v>
      </c>
      <c r="L372" s="5" t="str">
        <f>VLOOKUP(Healthcare!$A372,hospital_details,2,0)</f>
        <v>6-Nov-1985</v>
      </c>
      <c r="M372" s="5">
        <f t="shared" ref="M372:M435" ca="1" si="2219">VLOOKUP(A372,hospital_details,3,0)</f>
        <v>40</v>
      </c>
      <c r="N372" s="5">
        <f t="shared" ref="N372:N435" si="2220">VLOOKUP($A372,hospital_details,4,0)</f>
        <v>3</v>
      </c>
      <c r="O372" s="6">
        <f t="shared" ref="O372:O435" si="2221">VLOOKUP($A372,hospital_details,5,0)</f>
        <v>27598.93</v>
      </c>
      <c r="P372" s="5" t="str">
        <f t="shared" ref="P372:P435" si="2222">VLOOKUP($A372,hospital_details,6,0)</f>
        <v>tier - 2</v>
      </c>
      <c r="Q372" s="5" t="str">
        <f t="shared" ref="Q372:Q435" si="2223">VLOOKUP($A372,hospital_details,7,0)</f>
        <v>tier - 1</v>
      </c>
      <c r="R372" s="5" t="str">
        <f t="shared" ref="R372:R435" si="2224">VLOOKUP($A372,hospital_details,8,0)</f>
        <v>R1011</v>
      </c>
    </row>
    <row r="373" spans="1:18" ht="14.4" customHeight="1" x14ac:dyDescent="0.3">
      <c r="A373" s="7" t="s">
        <v>392</v>
      </c>
      <c r="B373" s="7" t="str">
        <f>VLOOKUP($A373,[1]!Customer_Names[#Data],3,0)</f>
        <v xml:space="preserve">  Taylor</v>
      </c>
      <c r="C373" s="7">
        <v>16.3</v>
      </c>
      <c r="D373" s="7" t="str" cm="1">
        <f t="array" ref="D373">_xlfn.IFS(Healthcare!$C373&lt;18.5,"under weight",Healthcare!$C373&lt;=24.9,"Normal Weight",Healthcare!$C373&gt;=25,"overweight",Healthcare!$C373&gt;=30,"obese")</f>
        <v>under weight</v>
      </c>
      <c r="E373" s="7">
        <v>5.51</v>
      </c>
      <c r="F373" s="7" t="str" cm="1">
        <f t="array" ref="F373">_xlfn.IFS(Healthcare!$E373&lt;5.7,"normal",Healthcare!$E373&lt;=6.4,"prediabetes",Healthcare!$E373&gt;=6.5,"diabetes")</f>
        <v>normal</v>
      </c>
      <c r="G373" s="7" t="s">
        <v>19</v>
      </c>
      <c r="H373" s="7" t="s">
        <v>19</v>
      </c>
      <c r="I373" s="7" t="s">
        <v>19</v>
      </c>
      <c r="J373" s="7">
        <v>1</v>
      </c>
      <c r="K373" s="7" t="s">
        <v>20</v>
      </c>
      <c r="L373" s="7" t="str">
        <f>VLOOKUP(Healthcare!$A373,hospital_details,2,0)</f>
        <v>22-Jul-1984</v>
      </c>
      <c r="M373" s="7">
        <f t="shared" ref="M373:M436" ca="1" si="2225">VLOOKUP(A373,hospital_details,3,0)</f>
        <v>42</v>
      </c>
      <c r="N373" s="7">
        <f t="shared" ref="N373:N436" si="2226">VLOOKUP($A373,hospital_details,4,0)</f>
        <v>3</v>
      </c>
      <c r="O373" s="8">
        <f t="shared" ref="O373:O436" si="2227">VLOOKUP($A373,hospital_details,5,0)</f>
        <v>27534.53</v>
      </c>
      <c r="P373" s="7" t="str">
        <f t="shared" ref="P373:P436" si="2228">VLOOKUP($A373,hospital_details,6,0)</f>
        <v>tier - 2</v>
      </c>
      <c r="Q373" s="7" t="str">
        <f t="shared" ref="Q373:Q436" si="2229">VLOOKUP($A373,hospital_details,7,0)</f>
        <v>tier - 2</v>
      </c>
      <c r="R373" s="7" t="str">
        <f t="shared" ref="R373:R436" si="2230">VLOOKUP($A373,hospital_details,8,0)</f>
        <v>R1011</v>
      </c>
    </row>
    <row r="374" spans="1:18" ht="14.4" customHeight="1" x14ac:dyDescent="0.3">
      <c r="A374" s="5" t="s">
        <v>393</v>
      </c>
      <c r="B374" s="5" t="str">
        <f>VLOOKUP($A374,[1]!Customer_Names[#Data],3,0)</f>
        <v xml:space="preserve">  Tenielle M</v>
      </c>
      <c r="C374" s="5">
        <v>29.81</v>
      </c>
      <c r="D374" s="5" t="str" cm="1">
        <f t="array" ref="D374">_xlfn.IFS(Healthcare!$C374&lt;18.5,"under weight",Healthcare!$C374&lt;=24.9,"Normal Weight",Healthcare!$C374&gt;=25,"overweight",Healthcare!$C374&gt;=30,"obese")</f>
        <v>overweight</v>
      </c>
      <c r="E374" s="5">
        <v>11.66</v>
      </c>
      <c r="F374" s="5" t="str" cm="1">
        <f t="array" ref="F374">_xlfn.IFS(Healthcare!$E374&lt;5.7,"normal",Healthcare!$E374&lt;=6.4,"prediabetes",Healthcare!$E374&gt;=6.5,"diabetes")</f>
        <v>diabetes</v>
      </c>
      <c r="G374" s="5" t="s">
        <v>19</v>
      </c>
      <c r="H374" s="5" t="s">
        <v>19</v>
      </c>
      <c r="I374" s="5" t="s">
        <v>19</v>
      </c>
      <c r="J374" s="5">
        <v>0</v>
      </c>
      <c r="K374" s="5" t="s">
        <v>20</v>
      </c>
      <c r="L374" s="5" t="str">
        <f>VLOOKUP(Healthcare!$A374,hospital_details,2,0)</f>
        <v>19-Oct-1965</v>
      </c>
      <c r="M374" s="5">
        <f t="shared" ref="M374:M437" ca="1" si="2231">VLOOKUP(A374,hospital_details,3,0)</f>
        <v>60</v>
      </c>
      <c r="N374" s="5">
        <f t="shared" ref="N374:N437" si="2232">VLOOKUP($A374,hospital_details,4,0)</f>
        <v>0</v>
      </c>
      <c r="O374" s="6">
        <f t="shared" ref="O374:O437" si="2233">VLOOKUP($A374,hospital_details,5,0)</f>
        <v>27533.91</v>
      </c>
      <c r="P374" s="5" t="str">
        <f t="shared" ref="P374:P437" si="2234">VLOOKUP($A374,hospital_details,6,0)</f>
        <v>tier - 2</v>
      </c>
      <c r="Q374" s="5" t="str">
        <f t="shared" ref="Q374:Q437" si="2235">VLOOKUP($A374,hospital_details,7,0)</f>
        <v>tier - 3</v>
      </c>
      <c r="R374" s="5" t="str">
        <f t="shared" ref="R374:R437" si="2236">VLOOKUP($A374,hospital_details,8,0)</f>
        <v>R1013</v>
      </c>
    </row>
    <row r="375" spans="1:18" ht="14.4" customHeight="1" x14ac:dyDescent="0.3">
      <c r="A375" s="7" t="s">
        <v>394</v>
      </c>
      <c r="B375" s="7" t="str">
        <f>VLOOKUP($A375,[1]!Customer_Names[#Data],3,0)</f>
        <v xml:space="preserve">  Andrea</v>
      </c>
      <c r="C375" s="7">
        <v>16.329999999999998</v>
      </c>
      <c r="D375" s="7" t="str" cm="1">
        <f t="array" ref="D375">_xlfn.IFS(Healthcare!$C375&lt;18.5,"under weight",Healthcare!$C375&lt;=24.9,"Normal Weight",Healthcare!$C375&gt;=25,"overweight",Healthcare!$C375&gt;=30,"obese")</f>
        <v>under weight</v>
      </c>
      <c r="E375" s="7">
        <v>7.26</v>
      </c>
      <c r="F375" s="7" t="str" cm="1">
        <f t="array" ref="F375">_xlfn.IFS(Healthcare!$E375&lt;5.7,"normal",Healthcare!$E375&lt;=6.4,"prediabetes",Healthcare!$E375&gt;=6.5,"diabetes")</f>
        <v>diabetes</v>
      </c>
      <c r="G375" s="7" t="s">
        <v>20</v>
      </c>
      <c r="H375" s="7" t="s">
        <v>19</v>
      </c>
      <c r="I375" s="7" t="s">
        <v>19</v>
      </c>
      <c r="J375" s="7">
        <v>0</v>
      </c>
      <c r="K375" s="7" t="s">
        <v>20</v>
      </c>
      <c r="L375" s="7" t="str">
        <f>VLOOKUP(Healthcare!$A375,hospital_details,2,0)</f>
        <v>3-Oct-1981</v>
      </c>
      <c r="M375" s="7">
        <f t="shared" ref="M375:M438" ca="1" si="2237">VLOOKUP(A375,hospital_details,3,0)</f>
        <v>45</v>
      </c>
      <c r="N375" s="7">
        <f t="shared" ref="N375:N438" si="2238">VLOOKUP($A375,hospital_details,4,0)</f>
        <v>1</v>
      </c>
      <c r="O375" s="8">
        <f t="shared" ref="O375:O438" si="2239">VLOOKUP($A375,hospital_details,5,0)</f>
        <v>27495.59</v>
      </c>
      <c r="P375" s="7" t="str">
        <f t="shared" ref="P375:P438" si="2240">VLOOKUP($A375,hospital_details,6,0)</f>
        <v>tier - 2</v>
      </c>
      <c r="Q375" s="7" t="str">
        <f t="shared" ref="Q375:Q438" si="2241">VLOOKUP($A375,hospital_details,7,0)</f>
        <v>tier - 1</v>
      </c>
      <c r="R375" s="7" t="str">
        <f t="shared" ref="R375:R438" si="2242">VLOOKUP($A375,hospital_details,8,0)</f>
        <v>R1011</v>
      </c>
    </row>
    <row r="376" spans="1:18" ht="14.4" customHeight="1" x14ac:dyDescent="0.3">
      <c r="A376" s="5" t="s">
        <v>395</v>
      </c>
      <c r="B376" s="5" t="str">
        <f>VLOOKUP($A376,[1]!Customer_Names[#Data],3,0)</f>
        <v xml:space="preserve">  Nora P</v>
      </c>
      <c r="C376" s="5">
        <v>16.37</v>
      </c>
      <c r="D376" s="5" t="str" cm="1">
        <f t="array" ref="D376">_xlfn.IFS(Healthcare!$C376&lt;18.5,"under weight",Healthcare!$C376&lt;=24.9,"Normal Weight",Healthcare!$C376&gt;=25,"overweight",Healthcare!$C376&gt;=30,"obese")</f>
        <v>under weight</v>
      </c>
      <c r="E376" s="5">
        <v>4.79</v>
      </c>
      <c r="F376" s="5" t="str" cm="1">
        <f t="array" ref="F376">_xlfn.IFS(Healthcare!$E376&lt;5.7,"normal",Healthcare!$E376&lt;=6.4,"prediabetes",Healthcare!$E376&gt;=6.5,"diabetes")</f>
        <v>normal</v>
      </c>
      <c r="G376" s="5" t="s">
        <v>20</v>
      </c>
      <c r="H376" s="5" t="s">
        <v>19</v>
      </c>
      <c r="I376" s="5" t="s">
        <v>19</v>
      </c>
      <c r="J376" s="5">
        <v>0</v>
      </c>
      <c r="K376" s="5" t="s">
        <v>20</v>
      </c>
      <c r="L376" s="5" t="str">
        <f>VLOOKUP(Healthcare!$A376,hospital_details,2,0)</f>
        <v>5-Dec-1985</v>
      </c>
      <c r="M376" s="5">
        <f t="shared" ref="M376:M439" ca="1" si="2243">VLOOKUP(A376,hospital_details,3,0)</f>
        <v>40</v>
      </c>
      <c r="N376" s="5">
        <f t="shared" ref="N376:N439" si="2244">VLOOKUP($A376,hospital_details,4,0)</f>
        <v>3</v>
      </c>
      <c r="O376" s="6">
        <f t="shared" ref="O376:O439" si="2245">VLOOKUP($A376,hospital_details,5,0)</f>
        <v>27432.73</v>
      </c>
      <c r="P376" s="5" t="str">
        <f t="shared" ref="P376:P439" si="2246">VLOOKUP($A376,hospital_details,6,0)</f>
        <v>tier - 2</v>
      </c>
      <c r="Q376" s="5" t="str">
        <f t="shared" ref="Q376:Q439" si="2247">VLOOKUP($A376,hospital_details,7,0)</f>
        <v>tier - 1</v>
      </c>
      <c r="R376" s="5" t="str">
        <f t="shared" ref="R376:R439" si="2248">VLOOKUP($A376,hospital_details,8,0)</f>
        <v>R1011</v>
      </c>
    </row>
    <row r="377" spans="1:18" ht="14.4" customHeight="1" x14ac:dyDescent="0.3">
      <c r="A377" s="7" t="s">
        <v>396</v>
      </c>
      <c r="B377" s="7" t="str">
        <f>VLOOKUP($A377,[1]!Customer_Names[#Data],3,0)</f>
        <v xml:space="preserve">  Zachary</v>
      </c>
      <c r="C377" s="7">
        <v>22.42</v>
      </c>
      <c r="D377" s="7" t="str" cm="1">
        <f t="array" ref="D377">_xlfn.IFS(Healthcare!$C377&lt;18.5,"under weight",Healthcare!$C377&lt;=24.9,"Normal Weight",Healthcare!$C377&gt;=25,"overweight",Healthcare!$C377&gt;=30,"obese")</f>
        <v>Normal Weight</v>
      </c>
      <c r="E377" s="7">
        <v>4.68</v>
      </c>
      <c r="F377" s="7" t="str" cm="1">
        <f t="array" ref="F377">_xlfn.IFS(Healthcare!$E377&lt;5.7,"normal",Healthcare!$E377&lt;=6.4,"prediabetes",Healthcare!$E377&gt;=6.5,"diabetes")</f>
        <v>normal</v>
      </c>
      <c r="G377" s="7" t="s">
        <v>20</v>
      </c>
      <c r="H377" s="7" t="s">
        <v>19</v>
      </c>
      <c r="I377" s="7" t="s">
        <v>19</v>
      </c>
      <c r="J377" s="7">
        <v>1</v>
      </c>
      <c r="K377" s="7" t="s">
        <v>19</v>
      </c>
      <c r="L377" s="7" t="str">
        <f>VLOOKUP(Healthcare!$A377,hospital_details,2,0)</f>
        <v>15-Sep-1988</v>
      </c>
      <c r="M377" s="7">
        <f t="shared" ref="M377:M440" ca="1" si="2249">VLOOKUP(A377,hospital_details,3,0)</f>
        <v>38</v>
      </c>
      <c r="N377" s="7">
        <f t="shared" ref="N377:N440" si="2250">VLOOKUP($A377,hospital_details,4,0)</f>
        <v>2</v>
      </c>
      <c r="O377" s="8">
        <f t="shared" ref="O377:O440" si="2251">VLOOKUP($A377,hospital_details,5,0)</f>
        <v>27375.9</v>
      </c>
      <c r="P377" s="7" t="str">
        <f t="shared" ref="P377:P440" si="2252">VLOOKUP($A377,hospital_details,6,0)</f>
        <v>tier - 2</v>
      </c>
      <c r="Q377" s="7" t="str">
        <f t="shared" ref="Q377:Q440" si="2253">VLOOKUP($A377,hospital_details,7,0)</f>
        <v>tier - 3</v>
      </c>
      <c r="R377" s="7" t="str">
        <f t="shared" ref="R377:R440" si="2254">VLOOKUP($A377,hospital_details,8,0)</f>
        <v>R1015</v>
      </c>
    </row>
    <row r="378" spans="1:18" ht="14.4" customHeight="1" x14ac:dyDescent="0.3">
      <c r="A378" s="5" t="s">
        <v>397</v>
      </c>
      <c r="B378" s="5" t="str">
        <f>VLOOKUP($A378,[1]!Customer_Names[#Data],3,0)</f>
        <v xml:space="preserve">  Michael</v>
      </c>
      <c r="C378" s="5">
        <v>31.35</v>
      </c>
      <c r="D378" s="5" t="str" cm="1">
        <f t="array" ref="D378">_xlfn.IFS(Healthcare!$C378&lt;18.5,"under weight",Healthcare!$C378&lt;=24.9,"Normal Weight",Healthcare!$C378&gt;=25,"overweight",Healthcare!$C378&gt;=30,"obese")</f>
        <v>overweight</v>
      </c>
      <c r="E378" s="5">
        <v>4.33</v>
      </c>
      <c r="F378" s="5" t="str" cm="1">
        <f t="array" ref="F378">_xlfn.IFS(Healthcare!$E378&lt;5.7,"normal",Healthcare!$E378&lt;=6.4,"prediabetes",Healthcare!$E378&gt;=6.5,"diabetes")</f>
        <v>normal</v>
      </c>
      <c r="G378" s="5" t="s">
        <v>20</v>
      </c>
      <c r="H378" s="5" t="s">
        <v>19</v>
      </c>
      <c r="I378" s="5" t="s">
        <v>29</v>
      </c>
      <c r="J378" s="5">
        <v>1</v>
      </c>
      <c r="K378" s="5" t="s">
        <v>19</v>
      </c>
      <c r="L378" s="5" t="str">
        <f>VLOOKUP(Healthcare!$A378,hospital_details,2,0)</f>
        <v>16-Oct-1969</v>
      </c>
      <c r="M378" s="5">
        <f t="shared" ref="M378:M441" ca="1" si="2255">VLOOKUP(A378,hospital_details,3,0)</f>
        <v>57</v>
      </c>
      <c r="N378" s="5">
        <f t="shared" ref="N378:N441" si="2256">VLOOKUP($A378,hospital_details,4,0)</f>
        <v>0</v>
      </c>
      <c r="O378" s="6">
        <f t="shared" ref="O378:O441" si="2257">VLOOKUP($A378,hospital_details,5,0)</f>
        <v>27346.04</v>
      </c>
      <c r="P378" s="5" t="str">
        <f t="shared" ref="P378:P441" si="2258">VLOOKUP($A378,hospital_details,6,0)</f>
        <v>tier - 2</v>
      </c>
      <c r="Q378" s="5" t="str">
        <f t="shared" ref="Q378:Q441" si="2259">VLOOKUP($A378,hospital_details,7,0)</f>
        <v>tier - 2</v>
      </c>
      <c r="R378" s="5" t="str">
        <f t="shared" ref="R378:R441" si="2260">VLOOKUP($A378,hospital_details,8,0)</f>
        <v>R1013</v>
      </c>
    </row>
    <row r="379" spans="1:18" ht="14.4" customHeight="1" x14ac:dyDescent="0.3">
      <c r="A379" s="7" t="s">
        <v>398</v>
      </c>
      <c r="B379" s="7" t="str">
        <f>VLOOKUP($A379,[1]!Customer_Names[#Data],3,0)</f>
        <v xml:space="preserve">  Alyssa K</v>
      </c>
      <c r="C379" s="7">
        <v>31.9</v>
      </c>
      <c r="D379" s="7" t="str" cm="1">
        <f t="array" ref="D379">_xlfn.IFS(Healthcare!$C379&lt;18.5,"under weight",Healthcare!$C379&lt;=24.9,"Normal Weight",Healthcare!$C379&gt;=25,"overweight",Healthcare!$C379&gt;=30,"obese")</f>
        <v>overweight</v>
      </c>
      <c r="E379" s="7">
        <v>11.89</v>
      </c>
      <c r="F379" s="7" t="str" cm="1">
        <f t="array" ref="F379">_xlfn.IFS(Healthcare!$E379&lt;5.7,"normal",Healthcare!$E379&lt;=6.4,"prediabetes",Healthcare!$E379&gt;=6.5,"diabetes")</f>
        <v>diabetes</v>
      </c>
      <c r="G379" s="7" t="s">
        <v>19</v>
      </c>
      <c r="H379" s="7" t="s">
        <v>19</v>
      </c>
      <c r="I379" s="7" t="s">
        <v>19</v>
      </c>
      <c r="J379" s="7">
        <v>0</v>
      </c>
      <c r="K379" s="7" t="s">
        <v>19</v>
      </c>
      <c r="L379" s="7" t="str">
        <f>VLOOKUP(Healthcare!$A379,hospital_details,2,0)</f>
        <v>6-Jun-1968</v>
      </c>
      <c r="M379" s="7">
        <f t="shared" ref="M379:M442" ca="1" si="2261">VLOOKUP(A379,hospital_details,3,0)</f>
        <v>58</v>
      </c>
      <c r="N379" s="7">
        <f t="shared" ref="N379:N442" si="2262">VLOOKUP($A379,hospital_details,4,0)</f>
        <v>3</v>
      </c>
      <c r="O379" s="8">
        <f t="shared" ref="O379:O442" si="2263">VLOOKUP($A379,hospital_details,5,0)</f>
        <v>27322.73</v>
      </c>
      <c r="P379" s="7" t="str">
        <f t="shared" ref="P379:P442" si="2264">VLOOKUP($A379,hospital_details,6,0)</f>
        <v>tier - 2</v>
      </c>
      <c r="Q379" s="7" t="str">
        <f t="shared" ref="Q379:Q442" si="2265">VLOOKUP($A379,hospital_details,7,0)</f>
        <v>tier - 2</v>
      </c>
      <c r="R379" s="7" t="str">
        <f t="shared" ref="R379:R442" si="2266">VLOOKUP($A379,hospital_details,8,0)</f>
        <v>R1013</v>
      </c>
    </row>
    <row r="380" spans="1:18" ht="14.4" customHeight="1" x14ac:dyDescent="0.3">
      <c r="A380" s="5" t="s">
        <v>399</v>
      </c>
      <c r="B380" s="5" t="str">
        <f>VLOOKUP($A380,[1]!Customer_Names[#Data],3,0)</f>
        <v xml:space="preserve">  Heather</v>
      </c>
      <c r="C380" s="5">
        <v>30.6</v>
      </c>
      <c r="D380" s="5" t="str" cm="1">
        <f t="array" ref="D380">_xlfn.IFS(Healthcare!$C380&lt;18.5,"under weight",Healthcare!$C380&lt;=24.9,"Normal Weight",Healthcare!$C380&gt;=25,"overweight",Healthcare!$C380&gt;=30,"obese")</f>
        <v>overweight</v>
      </c>
      <c r="E380" s="5">
        <v>5.24</v>
      </c>
      <c r="F380" s="5" t="str" cm="1">
        <f t="array" ref="F380">_xlfn.IFS(Healthcare!$E380&lt;5.7,"normal",Healthcare!$E380&lt;=6.4,"prediabetes",Healthcare!$E380&gt;=6.5,"diabetes")</f>
        <v>normal</v>
      </c>
      <c r="G380" s="5" t="s">
        <v>19</v>
      </c>
      <c r="H380" s="5" t="s">
        <v>19</v>
      </c>
      <c r="I380" s="5" t="s">
        <v>19</v>
      </c>
      <c r="J380" s="5">
        <v>0</v>
      </c>
      <c r="K380" s="5" t="s">
        <v>20</v>
      </c>
      <c r="L380" s="5" t="str">
        <f>VLOOKUP(Healthcare!$A380,hospital_details,2,0)</f>
        <v>2-Dec-1999</v>
      </c>
      <c r="M380" s="5">
        <f t="shared" ref="M380:M443" ca="1" si="2267">VLOOKUP(A380,hospital_details,3,0)</f>
        <v>26</v>
      </c>
      <c r="N380" s="5">
        <f t="shared" ref="N380:N443" si="2268">VLOOKUP($A380,hospital_details,4,0)</f>
        <v>0</v>
      </c>
      <c r="O380" s="6">
        <f t="shared" ref="O380:O443" si="2269">VLOOKUP($A380,hospital_details,5,0)</f>
        <v>27236.959999999999</v>
      </c>
      <c r="P380" s="5" t="str">
        <f t="shared" ref="P380:P443" si="2270">VLOOKUP($A380,hospital_details,6,0)</f>
        <v>tier - 2</v>
      </c>
      <c r="Q380" s="5" t="str">
        <f t="shared" ref="Q380:Q443" si="2271">VLOOKUP($A380,hospital_details,7,0)</f>
        <v>tier - 1</v>
      </c>
      <c r="R380" s="5" t="str">
        <f t="shared" ref="R380:R443" si="2272">VLOOKUP($A380,hospital_details,8,0)</f>
        <v>R1011</v>
      </c>
    </row>
    <row r="381" spans="1:18" ht="14.4" customHeight="1" x14ac:dyDescent="0.3">
      <c r="A381" s="7" t="s">
        <v>400</v>
      </c>
      <c r="B381" s="7" t="str">
        <f>VLOOKUP($A381,[1]!Customer_Names[#Data],3,0)</f>
        <v xml:space="preserve">  Dante</v>
      </c>
      <c r="C381" s="7">
        <v>28.975000000000001</v>
      </c>
      <c r="D381" s="7" t="str" cm="1">
        <f t="array" ref="D381">_xlfn.IFS(Healthcare!$C381&lt;18.5,"under weight",Healthcare!$C381&lt;=24.9,"Normal Weight",Healthcare!$C381&gt;=25,"overweight",Healthcare!$C381&gt;=30,"obese")</f>
        <v>overweight</v>
      </c>
      <c r="E381" s="7">
        <v>7.63</v>
      </c>
      <c r="F381" s="7" t="str" cm="1">
        <f t="array" ref="F381">_xlfn.IFS(Healthcare!$E381&lt;5.7,"normal",Healthcare!$E381&lt;=6.4,"prediabetes",Healthcare!$E381&gt;=6.5,"diabetes")</f>
        <v>diabetes</v>
      </c>
      <c r="G381" s="7" t="s">
        <v>19</v>
      </c>
      <c r="H381" s="7" t="s">
        <v>19</v>
      </c>
      <c r="I381" s="7" t="s">
        <v>19</v>
      </c>
      <c r="J381" s="7">
        <v>0</v>
      </c>
      <c r="K381" s="7" t="s">
        <v>20</v>
      </c>
      <c r="L381" s="7" t="str">
        <f>VLOOKUP(Healthcare!$A381,hospital_details,2,0)</f>
        <v>21-Dec-1965</v>
      </c>
      <c r="M381" s="7">
        <f t="shared" ref="M381:M444" ca="1" si="2273">VLOOKUP(A381,hospital_details,3,0)</f>
        <v>60</v>
      </c>
      <c r="N381" s="7">
        <f t="shared" ref="N381:N444" si="2274">VLOOKUP($A381,hospital_details,4,0)</f>
        <v>0</v>
      </c>
      <c r="O381" s="8">
        <f t="shared" ref="O381:O444" si="2275">VLOOKUP($A381,hospital_details,5,0)</f>
        <v>27218.44</v>
      </c>
      <c r="P381" s="7" t="str">
        <f t="shared" ref="P381:P444" si="2276">VLOOKUP($A381,hospital_details,6,0)</f>
        <v>tier - 2</v>
      </c>
      <c r="Q381" s="7" t="str">
        <f t="shared" ref="Q381:Q444" si="2277">VLOOKUP($A381,hospital_details,7,0)</f>
        <v>tier - 1</v>
      </c>
      <c r="R381" s="7" t="str">
        <f t="shared" ref="R381:R444" si="2278">VLOOKUP($A381,hospital_details,8,0)</f>
        <v>R1017</v>
      </c>
    </row>
    <row r="382" spans="1:18" ht="14.4" customHeight="1" x14ac:dyDescent="0.3">
      <c r="A382" s="5" t="s">
        <v>401</v>
      </c>
      <c r="B382" s="5" t="str">
        <f>VLOOKUP($A382,[1]!Customer_Names[#Data],3,0)</f>
        <v xml:space="preserve">  Sara E</v>
      </c>
      <c r="C382" s="5">
        <v>24.86</v>
      </c>
      <c r="D382" s="5" t="str" cm="1">
        <f t="array" ref="D382">_xlfn.IFS(Healthcare!$C382&lt;18.5,"under weight",Healthcare!$C382&lt;=24.9,"Normal Weight",Healthcare!$C382&gt;=25,"overweight",Healthcare!$C382&gt;=30,"obese")</f>
        <v>Normal Weight</v>
      </c>
      <c r="E382" s="5">
        <v>8.92</v>
      </c>
      <c r="F382" s="5" t="str" cm="1">
        <f t="array" ref="F382">_xlfn.IFS(Healthcare!$E382&lt;5.7,"normal",Healthcare!$E382&lt;=6.4,"prediabetes",Healthcare!$E382&gt;=6.5,"diabetes")</f>
        <v>diabetes</v>
      </c>
      <c r="G382" s="5" t="s">
        <v>20</v>
      </c>
      <c r="H382" s="5" t="s">
        <v>19</v>
      </c>
      <c r="I382" s="5" t="s">
        <v>19</v>
      </c>
      <c r="J382" s="5">
        <v>2</v>
      </c>
      <c r="K382" s="5" t="s">
        <v>19</v>
      </c>
      <c r="L382" s="5" t="str">
        <f>VLOOKUP(Healthcare!$A382,hospital_details,2,0)</f>
        <v>2-Oct-1970</v>
      </c>
      <c r="M382" s="5">
        <f t="shared" ref="M382:M445" ca="1" si="2279">VLOOKUP(A382,hospital_details,3,0)</f>
        <v>56</v>
      </c>
      <c r="N382" s="5">
        <f t="shared" ref="N382:N445" si="2280">VLOOKUP($A382,hospital_details,4,0)</f>
        <v>0</v>
      </c>
      <c r="O382" s="6">
        <f t="shared" ref="O382:O445" si="2281">VLOOKUP($A382,hospital_details,5,0)</f>
        <v>27117.99</v>
      </c>
      <c r="P382" s="5" t="str">
        <f t="shared" ref="P382:P445" si="2282">VLOOKUP($A382,hospital_details,6,0)</f>
        <v>tier - 2</v>
      </c>
      <c r="Q382" s="5" t="str">
        <f t="shared" ref="Q382:Q445" si="2283">VLOOKUP($A382,hospital_details,7,0)</f>
        <v>tier - 2</v>
      </c>
      <c r="R382" s="5" t="str">
        <f t="shared" ref="R382:R445" si="2284">VLOOKUP($A382,hospital_details,8,0)</f>
        <v>R1013</v>
      </c>
    </row>
    <row r="383" spans="1:18" ht="14.4" customHeight="1" x14ac:dyDescent="0.3">
      <c r="A383" s="7" t="s">
        <v>402</v>
      </c>
      <c r="B383" s="7" t="str">
        <f>VLOOKUP($A383,[1]!Customer_Names[#Data],3,0)</f>
        <v xml:space="preserve">  Scott</v>
      </c>
      <c r="C383" s="7">
        <v>19.54</v>
      </c>
      <c r="D383" s="7" t="str" cm="1">
        <f t="array" ref="D383">_xlfn.IFS(Healthcare!$C383&lt;18.5,"under weight",Healthcare!$C383&lt;=24.9,"Normal Weight",Healthcare!$C383&gt;=25,"overweight",Healthcare!$C383&gt;=30,"obese")</f>
        <v>Normal Weight</v>
      </c>
      <c r="E383" s="7">
        <v>5.37</v>
      </c>
      <c r="F383" s="7" t="str" cm="1">
        <f t="array" ref="F383">_xlfn.IFS(Healthcare!$E383&lt;5.7,"normal",Healthcare!$E383&lt;=6.4,"prediabetes",Healthcare!$E383&gt;=6.5,"diabetes")</f>
        <v>normal</v>
      </c>
      <c r="G383" s="7" t="s">
        <v>19</v>
      </c>
      <c r="H383" s="7" t="s">
        <v>19</v>
      </c>
      <c r="I383" s="7" t="s">
        <v>19</v>
      </c>
      <c r="J383" s="7">
        <v>0</v>
      </c>
      <c r="K383" s="7" t="s">
        <v>20</v>
      </c>
      <c r="L383" s="7" t="str">
        <f>VLOOKUP(Healthcare!$A383,hospital_details,2,0)</f>
        <v>13-Dec-1990</v>
      </c>
      <c r="M383" s="7">
        <f t="shared" ref="M383:M446" ca="1" si="2285">VLOOKUP(A383,hospital_details,3,0)</f>
        <v>35</v>
      </c>
      <c r="N383" s="7">
        <f t="shared" ref="N383:N446" si="2286">VLOOKUP($A383,hospital_details,4,0)</f>
        <v>3</v>
      </c>
      <c r="O383" s="8">
        <f t="shared" ref="O383:O446" si="2287">VLOOKUP($A383,hospital_details,5,0)</f>
        <v>27092.38</v>
      </c>
      <c r="P383" s="7" t="str">
        <f t="shared" ref="P383:P446" si="2288">VLOOKUP($A383,hospital_details,6,0)</f>
        <v>tier - 2</v>
      </c>
      <c r="Q383" s="7" t="str">
        <f t="shared" ref="Q383:Q446" si="2289">VLOOKUP($A383,hospital_details,7,0)</f>
        <v>tier - 3</v>
      </c>
      <c r="R383" s="7" t="str">
        <f t="shared" ref="R383:R446" si="2290">VLOOKUP($A383,hospital_details,8,0)</f>
        <v>R1011</v>
      </c>
    </row>
    <row r="384" spans="1:18" ht="14.4" customHeight="1" x14ac:dyDescent="0.3">
      <c r="A384" s="5" t="s">
        <v>403</v>
      </c>
      <c r="B384" s="5" t="str">
        <f>VLOOKUP($A384,[1]!Customer_Names[#Data],3,0)</f>
        <v xml:space="preserve">  Sean</v>
      </c>
      <c r="C384" s="5">
        <v>26.74</v>
      </c>
      <c r="D384" s="5" t="str" cm="1">
        <f t="array" ref="D384">_xlfn.IFS(Healthcare!$C384&lt;18.5,"under weight",Healthcare!$C384&lt;=24.9,"Normal Weight",Healthcare!$C384&gt;=25,"overweight",Healthcare!$C384&gt;=30,"obese")</f>
        <v>overweight</v>
      </c>
      <c r="E384" s="5">
        <v>4.3099999999999996</v>
      </c>
      <c r="F384" s="5" t="str" cm="1">
        <f t="array" ref="F384">_xlfn.IFS(Healthcare!$E384&lt;5.7,"normal",Healthcare!$E384&lt;=6.4,"prediabetes",Healthcare!$E384&gt;=6.5,"diabetes")</f>
        <v>normal</v>
      </c>
      <c r="G384" s="5" t="s">
        <v>19</v>
      </c>
      <c r="H384" s="5" t="s">
        <v>19</v>
      </c>
      <c r="I384" s="5" t="s">
        <v>19</v>
      </c>
      <c r="J384" s="5">
        <v>0</v>
      </c>
      <c r="K384" s="5" t="s">
        <v>20</v>
      </c>
      <c r="L384" s="5" t="str">
        <f>VLOOKUP(Healthcare!$A384,hospital_details,2,0)</f>
        <v>2-Jul-1994</v>
      </c>
      <c r="M384" s="5">
        <f t="shared" ref="M384:M447" ca="1" si="2291">VLOOKUP(A384,hospital_details,3,0)</f>
        <v>32</v>
      </c>
      <c r="N384" s="5">
        <f t="shared" ref="N384:N447" si="2292">VLOOKUP($A384,hospital_details,4,0)</f>
        <v>0</v>
      </c>
      <c r="O384" s="6">
        <f t="shared" ref="O384:O447" si="2293">VLOOKUP($A384,hospital_details,5,0)</f>
        <v>27080.639999999999</v>
      </c>
      <c r="P384" s="5" t="str">
        <f t="shared" ref="P384:P447" si="2294">VLOOKUP($A384,hospital_details,6,0)</f>
        <v>tier - 2</v>
      </c>
      <c r="Q384" s="5" t="str">
        <f t="shared" ref="Q384:Q447" si="2295">VLOOKUP($A384,hospital_details,7,0)</f>
        <v>tier - 2</v>
      </c>
      <c r="R384" s="5" t="str">
        <f t="shared" ref="R384:R447" si="2296">VLOOKUP($A384,hospital_details,8,0)</f>
        <v>R1011</v>
      </c>
    </row>
    <row r="385" spans="1:18" ht="14.4" customHeight="1" x14ac:dyDescent="0.3">
      <c r="A385" s="7" t="s">
        <v>404</v>
      </c>
      <c r="B385" s="7" t="str">
        <f>VLOOKUP($A385,[1]!Customer_Names[#Data],3,0)</f>
        <v xml:space="preserve">  Danielle</v>
      </c>
      <c r="C385" s="7">
        <v>22.99</v>
      </c>
      <c r="D385" s="7" t="str" cm="1">
        <f t="array" ref="D385">_xlfn.IFS(Healthcare!$C385&lt;18.5,"under weight",Healthcare!$C385&lt;=24.9,"Normal Weight",Healthcare!$C385&gt;=25,"overweight",Healthcare!$C385&gt;=30,"obese")</f>
        <v>Normal Weight</v>
      </c>
      <c r="E385" s="7">
        <v>10.46</v>
      </c>
      <c r="F385" s="7" t="str" cm="1">
        <f t="array" ref="F385">_xlfn.IFS(Healthcare!$E385&lt;5.7,"normal",Healthcare!$E385&lt;=6.4,"prediabetes",Healthcare!$E385&gt;=6.5,"diabetes")</f>
        <v>diabetes</v>
      </c>
      <c r="G385" s="7" t="s">
        <v>19</v>
      </c>
      <c r="H385" s="7" t="s">
        <v>19</v>
      </c>
      <c r="I385" s="7" t="s">
        <v>19</v>
      </c>
      <c r="J385" s="7">
        <v>3</v>
      </c>
      <c r="K385" s="7" t="s">
        <v>20</v>
      </c>
      <c r="L385" s="7" t="str">
        <f>VLOOKUP(Healthcare!$A385,hospital_details,2,0)</f>
        <v>30-Jun-1958</v>
      </c>
      <c r="M385" s="7">
        <f t="shared" ref="M385:M448" ca="1" si="2297">VLOOKUP(A385,hospital_details,3,0)</f>
        <v>68</v>
      </c>
      <c r="N385" s="7">
        <f t="shared" ref="N385:N448" si="2298">VLOOKUP($A385,hospital_details,4,0)</f>
        <v>0</v>
      </c>
      <c r="O385" s="8">
        <f t="shared" ref="O385:O448" si="2299">VLOOKUP($A385,hospital_details,5,0)</f>
        <v>27037.91</v>
      </c>
      <c r="P385" s="7" t="str">
        <f t="shared" ref="P385:P448" si="2300">VLOOKUP($A385,hospital_details,6,0)</f>
        <v>tier - 2</v>
      </c>
      <c r="Q385" s="7" t="str">
        <f t="shared" ref="Q385:Q448" si="2301">VLOOKUP($A385,hospital_details,7,0)</f>
        <v>tier - 2</v>
      </c>
      <c r="R385" s="7" t="str">
        <f t="shared" ref="R385:R448" si="2302">VLOOKUP($A385,hospital_details,8,0)</f>
        <v>R1013</v>
      </c>
    </row>
    <row r="386" spans="1:18" ht="14.4" customHeight="1" x14ac:dyDescent="0.3">
      <c r="A386" s="5" t="s">
        <v>405</v>
      </c>
      <c r="B386" s="5" t="str">
        <f>VLOOKUP($A386,[1]!Customer_Names[#Data],3,0)</f>
        <v xml:space="preserve">  Andrew D</v>
      </c>
      <c r="C386" s="5">
        <v>31.46</v>
      </c>
      <c r="D386" s="5" t="str" cm="1">
        <f t="array" ref="D386">_xlfn.IFS(Healthcare!$C386&lt;18.5,"under weight",Healthcare!$C386&lt;=24.9,"Normal Weight",Healthcare!$C386&gt;=25,"overweight",Healthcare!$C386&gt;=30,"obese")</f>
        <v>overweight</v>
      </c>
      <c r="E386" s="5">
        <v>7.39</v>
      </c>
      <c r="F386" s="5" t="str" cm="1">
        <f t="array" ref="F386">_xlfn.IFS(Healthcare!$E386&lt;5.7,"normal",Healthcare!$E386&lt;=6.4,"prediabetes",Healthcare!$E386&gt;=6.5,"diabetes")</f>
        <v>diabetes</v>
      </c>
      <c r="G386" s="5" t="s">
        <v>19</v>
      </c>
      <c r="H386" s="5" t="s">
        <v>19</v>
      </c>
      <c r="I386" s="5" t="s">
        <v>19</v>
      </c>
      <c r="J386" s="5">
        <v>0</v>
      </c>
      <c r="K386" s="5" t="s">
        <v>19</v>
      </c>
      <c r="L386" s="5" t="str">
        <f>VLOOKUP(Healthcare!$A386,hospital_details,2,0)</f>
        <v>9-Jul-1960</v>
      </c>
      <c r="M386" s="5">
        <f t="shared" ref="M386:M449" ca="1" si="2303">VLOOKUP(A386,hospital_details,3,0)</f>
        <v>66</v>
      </c>
      <c r="N386" s="5">
        <f t="shared" ref="N386:N449" si="2304">VLOOKUP($A386,hospital_details,4,0)</f>
        <v>1</v>
      </c>
      <c r="O386" s="6">
        <f t="shared" ref="O386:O449" si="2305">VLOOKUP($A386,hospital_details,5,0)</f>
        <v>27000.98</v>
      </c>
      <c r="P386" s="5" t="str">
        <f t="shared" ref="P386:P449" si="2306">VLOOKUP($A386,hospital_details,6,0)</f>
        <v>tier - 2</v>
      </c>
      <c r="Q386" s="5" t="str">
        <f t="shared" ref="Q386:Q449" si="2307">VLOOKUP($A386,hospital_details,7,0)</f>
        <v>tier - 2</v>
      </c>
      <c r="R386" s="5" t="str">
        <f t="shared" ref="R386:R449" si="2308">VLOOKUP($A386,hospital_details,8,0)</f>
        <v>R1013</v>
      </c>
    </row>
    <row r="387" spans="1:18" ht="14.4" customHeight="1" x14ac:dyDescent="0.3">
      <c r="A387" s="7" t="s">
        <v>406</v>
      </c>
      <c r="B387" s="7" t="str">
        <f>VLOOKUP($A387,[1]!Customer_Names[#Data],3,0)</f>
        <v xml:space="preserve">  Joel D</v>
      </c>
      <c r="C387" s="7">
        <v>30.86</v>
      </c>
      <c r="D387" s="7" t="str" cm="1">
        <f t="array" ref="D387">_xlfn.IFS(Healthcare!$C387&lt;18.5,"under weight",Healthcare!$C387&lt;=24.9,"Normal Weight",Healthcare!$C387&gt;=25,"overweight",Healthcare!$C387&gt;=30,"obese")</f>
        <v>overweight</v>
      </c>
      <c r="E387" s="7">
        <v>6.18</v>
      </c>
      <c r="F387" s="7" t="str" cm="1">
        <f t="array" ref="F387">_xlfn.IFS(Healthcare!$E387&lt;5.7,"normal",Healthcare!$E387&lt;=6.4,"prediabetes",Healthcare!$E387&gt;=6.5,"diabetes")</f>
        <v>prediabetes</v>
      </c>
      <c r="G387" s="7" t="s">
        <v>19</v>
      </c>
      <c r="H387" s="7" t="s">
        <v>20</v>
      </c>
      <c r="I387" s="7" t="s">
        <v>19</v>
      </c>
      <c r="J387" s="7">
        <v>2</v>
      </c>
      <c r="K387" s="7" t="s">
        <v>20</v>
      </c>
      <c r="L387" s="7" t="str">
        <f>VLOOKUP(Healthcare!$A387,hospital_details,2,0)</f>
        <v>9-Nov-2000</v>
      </c>
      <c r="M387" s="7">
        <f t="shared" ref="M387:M450" ca="1" si="2309">VLOOKUP(A387,hospital_details,3,0)</f>
        <v>25</v>
      </c>
      <c r="N387" s="7">
        <f t="shared" ref="N387:N450" si="2310">VLOOKUP($A387,hospital_details,4,0)</f>
        <v>0</v>
      </c>
      <c r="O387" s="8">
        <f t="shared" ref="O387:O450" si="2311">VLOOKUP($A387,hospital_details,5,0)</f>
        <v>26936.98</v>
      </c>
      <c r="P387" s="7" t="str">
        <f t="shared" ref="P387:P450" si="2312">VLOOKUP($A387,hospital_details,6,0)</f>
        <v>tier - 2</v>
      </c>
      <c r="Q387" s="7" t="str">
        <f t="shared" ref="Q387:Q450" si="2313">VLOOKUP($A387,hospital_details,7,0)</f>
        <v>tier - 3</v>
      </c>
      <c r="R387" s="7" t="str">
        <f t="shared" ref="R387:R450" si="2314">VLOOKUP($A387,hospital_details,8,0)</f>
        <v>R1011</v>
      </c>
    </row>
    <row r="388" spans="1:18" ht="14.4" customHeight="1" x14ac:dyDescent="0.3">
      <c r="A388" s="5" t="s">
        <v>407</v>
      </c>
      <c r="B388" s="5" t="str">
        <f>VLOOKUP($A388,[1]!Customer_Names[#Data],3,0)</f>
        <v xml:space="preserve">  Michelle</v>
      </c>
      <c r="C388" s="5">
        <v>31.96</v>
      </c>
      <c r="D388" s="5" t="str" cm="1">
        <f t="array" ref="D388">_xlfn.IFS(Healthcare!$C388&lt;18.5,"under weight",Healthcare!$C388&lt;=24.9,"Normal Weight",Healthcare!$C388&gt;=25,"overweight",Healthcare!$C388&gt;=30,"obese")</f>
        <v>overweight</v>
      </c>
      <c r="E388" s="5">
        <v>8.86</v>
      </c>
      <c r="F388" s="5" t="str" cm="1">
        <f t="array" ref="F388">_xlfn.IFS(Healthcare!$E388&lt;5.7,"normal",Healthcare!$E388&lt;=6.4,"prediabetes",Healthcare!$E388&gt;=6.5,"diabetes")</f>
        <v>diabetes</v>
      </c>
      <c r="G388" s="5" t="s">
        <v>19</v>
      </c>
      <c r="H388" s="5" t="s">
        <v>19</v>
      </c>
      <c r="I388" s="5" t="s">
        <v>19</v>
      </c>
      <c r="J388" s="5">
        <v>0</v>
      </c>
      <c r="K388" s="5" t="s">
        <v>20</v>
      </c>
      <c r="L388" s="5" t="str">
        <f>VLOOKUP(Healthcare!$A388,hospital_details,2,0)</f>
        <v>17-Jun-2002</v>
      </c>
      <c r="M388" s="5">
        <f t="shared" ref="M388:M451" ca="1" si="2315">VLOOKUP(A388,hospital_details,3,0)</f>
        <v>24</v>
      </c>
      <c r="N388" s="5">
        <f t="shared" ref="N388:N451" si="2316">VLOOKUP($A388,hospital_details,4,0)</f>
        <v>0</v>
      </c>
      <c r="O388" s="6">
        <f t="shared" ref="O388:O451" si="2317">VLOOKUP($A388,hospital_details,5,0)</f>
        <v>26927.69</v>
      </c>
      <c r="P388" s="5" t="str">
        <f t="shared" ref="P388:P451" si="2318">VLOOKUP($A388,hospital_details,6,0)</f>
        <v>tier - 2</v>
      </c>
      <c r="Q388" s="5" t="str">
        <f t="shared" ref="Q388:Q451" si="2319">VLOOKUP($A388,hospital_details,7,0)</f>
        <v>tier - 2</v>
      </c>
      <c r="R388" s="5" t="str">
        <f t="shared" ref="R388:R451" si="2320">VLOOKUP($A388,hospital_details,8,0)</f>
        <v>R1011</v>
      </c>
    </row>
    <row r="389" spans="1:18" ht="14.4" customHeight="1" x14ac:dyDescent="0.3">
      <c r="A389" s="7" t="s">
        <v>408</v>
      </c>
      <c r="B389" s="7" t="str">
        <f>VLOOKUP($A389,[1]!Customer_Names[#Data],3,0)</f>
        <v xml:space="preserve">  Michael J</v>
      </c>
      <c r="C389" s="7">
        <v>23.76</v>
      </c>
      <c r="D389" s="7" t="str" cm="1">
        <f t="array" ref="D389">_xlfn.IFS(Healthcare!$C389&lt;18.5,"under weight",Healthcare!$C389&lt;=24.9,"Normal Weight",Healthcare!$C389&gt;=25,"overweight",Healthcare!$C389&gt;=30,"obese")</f>
        <v>Normal Weight</v>
      </c>
      <c r="E389" s="7">
        <v>10.96</v>
      </c>
      <c r="F389" s="7" t="str" cm="1">
        <f t="array" ref="F389">_xlfn.IFS(Healthcare!$E389&lt;5.7,"normal",Healthcare!$E389&lt;=6.4,"prediabetes",Healthcare!$E389&gt;=6.5,"diabetes")</f>
        <v>diabetes</v>
      </c>
      <c r="G389" s="7" t="s">
        <v>19</v>
      </c>
      <c r="H389" s="7" t="s">
        <v>19</v>
      </c>
      <c r="I389" s="7" t="s">
        <v>19</v>
      </c>
      <c r="J389" s="7">
        <v>3</v>
      </c>
      <c r="K389" s="7" t="s">
        <v>20</v>
      </c>
      <c r="L389" s="7" t="str">
        <f>VLOOKUP(Healthcare!$A389,hospital_details,2,0)</f>
        <v>25-Dec-1958</v>
      </c>
      <c r="M389" s="7">
        <f t="shared" ref="M389:M452" ca="1" si="2321">VLOOKUP(A389,hospital_details,3,0)</f>
        <v>67</v>
      </c>
      <c r="N389" s="7">
        <f t="shared" ref="N389:N452" si="2322">VLOOKUP($A389,hospital_details,4,0)</f>
        <v>0</v>
      </c>
      <c r="O389" s="8">
        <f t="shared" ref="O389:O452" si="2323">VLOOKUP($A389,hospital_details,5,0)</f>
        <v>26926.51</v>
      </c>
      <c r="P389" s="7" t="str">
        <f t="shared" ref="P389:P452" si="2324">VLOOKUP($A389,hospital_details,6,0)</f>
        <v>tier - 2</v>
      </c>
      <c r="Q389" s="7" t="str">
        <f t="shared" ref="Q389:Q452" si="2325">VLOOKUP($A389,hospital_details,7,0)</f>
        <v>tier - 1</v>
      </c>
      <c r="R389" s="7" t="str">
        <f t="shared" ref="R389:R452" si="2326">VLOOKUP($A389,hospital_details,8,0)</f>
        <v>R1013</v>
      </c>
    </row>
    <row r="390" spans="1:18" ht="14.4" customHeight="1" x14ac:dyDescent="0.3">
      <c r="A390" s="5" t="s">
        <v>409</v>
      </c>
      <c r="B390" s="5" t="str">
        <f>VLOOKUP($A390,[1]!Customer_Names[#Data],3,0)</f>
        <v xml:space="preserve">  Nikki</v>
      </c>
      <c r="C390" s="5">
        <v>19.38</v>
      </c>
      <c r="D390" s="5" t="str" cm="1">
        <f t="array" ref="D390">_xlfn.IFS(Healthcare!$C390&lt;18.5,"under weight",Healthcare!$C390&lt;=24.9,"Normal Weight",Healthcare!$C390&gt;=25,"overweight",Healthcare!$C390&gt;=30,"obese")</f>
        <v>Normal Weight</v>
      </c>
      <c r="E390" s="5">
        <v>6.28</v>
      </c>
      <c r="F390" s="5" t="str" cm="1">
        <f t="array" ref="F390">_xlfn.IFS(Healthcare!$E390&lt;5.7,"normal",Healthcare!$E390&lt;=6.4,"prediabetes",Healthcare!$E390&gt;=6.5,"diabetes")</f>
        <v>prediabetes</v>
      </c>
      <c r="G390" s="5" t="s">
        <v>19</v>
      </c>
      <c r="H390" s="5" t="s">
        <v>19</v>
      </c>
      <c r="I390" s="5" t="s">
        <v>19</v>
      </c>
      <c r="J390" s="5">
        <v>0</v>
      </c>
      <c r="K390" s="5" t="s">
        <v>20</v>
      </c>
      <c r="L390" s="5" t="str">
        <f>VLOOKUP(Healthcare!$A390,hospital_details,2,0)</f>
        <v>22-Aug-1991</v>
      </c>
      <c r="M390" s="5">
        <f t="shared" ref="M390:M453" ca="1" si="2327">VLOOKUP(A390,hospital_details,3,0)</f>
        <v>35</v>
      </c>
      <c r="N390" s="5">
        <f t="shared" ref="N390:N453" si="2328">VLOOKUP($A390,hospital_details,4,0)</f>
        <v>3</v>
      </c>
      <c r="O390" s="6">
        <f t="shared" ref="O390:O453" si="2329">VLOOKUP($A390,hospital_details,5,0)</f>
        <v>26912.560000000001</v>
      </c>
      <c r="P390" s="5" t="str">
        <f t="shared" ref="P390:P453" si="2330">VLOOKUP($A390,hospital_details,6,0)</f>
        <v>tier - 2</v>
      </c>
      <c r="Q390" s="5" t="str">
        <f t="shared" ref="Q390:Q453" si="2331">VLOOKUP($A390,hospital_details,7,0)</f>
        <v>tier - 2</v>
      </c>
      <c r="R390" s="5" t="str">
        <f t="shared" ref="R390:R453" si="2332">VLOOKUP($A390,hospital_details,8,0)</f>
        <v>R1011</v>
      </c>
    </row>
    <row r="391" spans="1:18" ht="14.4" customHeight="1" x14ac:dyDescent="0.3">
      <c r="A391" s="7" t="s">
        <v>410</v>
      </c>
      <c r="B391" s="7" t="str">
        <f>VLOOKUP($A391,[1]!Customer_Names[#Data],3,0)</f>
        <v xml:space="preserve">  Summer B</v>
      </c>
      <c r="C391" s="7">
        <v>16.21</v>
      </c>
      <c r="D391" s="7" t="str" cm="1">
        <f t="array" ref="D391">_xlfn.IFS(Healthcare!$C391&lt;18.5,"under weight",Healthcare!$C391&lt;=24.9,"Normal Weight",Healthcare!$C391&gt;=25,"overweight",Healthcare!$C391&gt;=30,"obese")</f>
        <v>under weight</v>
      </c>
      <c r="E391" s="7">
        <v>6.29</v>
      </c>
      <c r="F391" s="7" t="str" cm="1">
        <f t="array" ref="F391">_xlfn.IFS(Healthcare!$E391&lt;5.7,"normal",Healthcare!$E391&lt;=6.4,"prediabetes",Healthcare!$E391&gt;=6.5,"diabetes")</f>
        <v>prediabetes</v>
      </c>
      <c r="G391" s="7" t="s">
        <v>20</v>
      </c>
      <c r="H391" s="7" t="s">
        <v>19</v>
      </c>
      <c r="I391" s="7" t="s">
        <v>19</v>
      </c>
      <c r="J391" s="7">
        <v>1</v>
      </c>
      <c r="K391" s="7" t="s">
        <v>20</v>
      </c>
      <c r="L391" s="7" t="str">
        <f>VLOOKUP(Healthcare!$A391,hospital_details,2,0)</f>
        <v>22-Jul-1988</v>
      </c>
      <c r="M391" s="7">
        <f t="shared" ref="M391:M454" ca="1" si="2333">VLOOKUP(A391,hospital_details,3,0)</f>
        <v>38</v>
      </c>
      <c r="N391" s="7">
        <f t="shared" ref="N391:N454" si="2334">VLOOKUP($A391,hospital_details,4,0)</f>
        <v>3</v>
      </c>
      <c r="O391" s="8">
        <f t="shared" ref="O391:O454" si="2335">VLOOKUP($A391,hospital_details,5,0)</f>
        <v>26607.89</v>
      </c>
      <c r="P391" s="7" t="str">
        <f t="shared" ref="P391:P454" si="2336">VLOOKUP($A391,hospital_details,6,0)</f>
        <v>tier - 2</v>
      </c>
      <c r="Q391" s="7" t="str">
        <f t="shared" ref="Q391:Q454" si="2337">VLOOKUP($A391,hospital_details,7,0)</f>
        <v>tier - 1</v>
      </c>
      <c r="R391" s="7" t="str">
        <f t="shared" ref="R391:R454" si="2338">VLOOKUP($A391,hospital_details,8,0)</f>
        <v>R1011</v>
      </c>
    </row>
    <row r="392" spans="1:18" ht="14.4" customHeight="1" x14ac:dyDescent="0.3">
      <c r="A392" s="5" t="s">
        <v>411</v>
      </c>
      <c r="B392" s="5" t="str">
        <f>VLOOKUP($A392,[1]!Customer_Names[#Data],3,0)</f>
        <v xml:space="preserve">  Edward</v>
      </c>
      <c r="C392" s="5">
        <v>32.54</v>
      </c>
      <c r="D392" s="5" t="str" cm="1">
        <f t="array" ref="D392">_xlfn.IFS(Healthcare!$C392&lt;18.5,"under weight",Healthcare!$C392&lt;=24.9,"Normal Weight",Healthcare!$C392&gt;=25,"overweight",Healthcare!$C392&gt;=30,"obese")</f>
        <v>overweight</v>
      </c>
      <c r="E392" s="5">
        <v>4.0199999999999996</v>
      </c>
      <c r="F392" s="5" t="str" cm="1">
        <f t="array" ref="F392">_xlfn.IFS(Healthcare!$E392&lt;5.7,"normal",Healthcare!$E392&lt;=6.4,"prediabetes",Healthcare!$E392&gt;=6.5,"diabetes")</f>
        <v>normal</v>
      </c>
      <c r="G392" s="5" t="s">
        <v>19</v>
      </c>
      <c r="H392" s="5" t="s">
        <v>20</v>
      </c>
      <c r="I392" s="5" t="s">
        <v>19</v>
      </c>
      <c r="J392" s="5">
        <v>1</v>
      </c>
      <c r="K392" s="5" t="s">
        <v>20</v>
      </c>
      <c r="L392" s="5" t="str">
        <f>VLOOKUP(Healthcare!$A392,hospital_details,2,0)</f>
        <v>5-Sep-2004</v>
      </c>
      <c r="M392" s="5">
        <f t="shared" ref="M392:M455" ca="1" si="2339">VLOOKUP(A392,hospital_details,3,0)</f>
        <v>22</v>
      </c>
      <c r="N392" s="5">
        <f t="shared" ref="N392:N455" si="2340">VLOOKUP($A392,hospital_details,4,0)</f>
        <v>0</v>
      </c>
      <c r="O392" s="6">
        <f t="shared" ref="O392:O455" si="2341">VLOOKUP($A392,hospital_details,5,0)</f>
        <v>26479.4</v>
      </c>
      <c r="P392" s="5" t="str">
        <f t="shared" ref="P392:P455" si="2342">VLOOKUP($A392,hospital_details,6,0)</f>
        <v>tier - 2</v>
      </c>
      <c r="Q392" s="5" t="str">
        <f t="shared" ref="Q392:Q455" si="2343">VLOOKUP($A392,hospital_details,7,0)</f>
        <v>tier - 2</v>
      </c>
      <c r="R392" s="5" t="str">
        <f t="shared" ref="R392:R455" si="2344">VLOOKUP($A392,hospital_details,8,0)</f>
        <v>R1011</v>
      </c>
    </row>
    <row r="393" spans="1:18" ht="14.4" customHeight="1" x14ac:dyDescent="0.3">
      <c r="A393" s="7" t="s">
        <v>412</v>
      </c>
      <c r="B393" s="7" t="str">
        <f>VLOOKUP($A393,[1]!Customer_Names[#Data],3,0)</f>
        <v xml:space="preserve">  Ryan</v>
      </c>
      <c r="C393" s="7">
        <v>36.765000000000001</v>
      </c>
      <c r="D393" s="7" t="str" cm="1">
        <f t="array" ref="D393">_xlfn.IFS(Healthcare!$C393&lt;18.5,"under weight",Healthcare!$C393&lt;=24.9,"Normal Weight",Healthcare!$C393&gt;=25,"overweight",Healthcare!$C393&gt;=30,"obese")</f>
        <v>overweight</v>
      </c>
      <c r="E393" s="7">
        <v>11.95</v>
      </c>
      <c r="F393" s="7" t="str" cm="1">
        <f t="array" ref="F393">_xlfn.IFS(Healthcare!$E393&lt;5.7,"normal",Healthcare!$E393&lt;=6.4,"prediabetes",Healthcare!$E393&gt;=6.5,"diabetes")</f>
        <v>diabetes</v>
      </c>
      <c r="G393" s="7" t="s">
        <v>20</v>
      </c>
      <c r="H393" s="7" t="s">
        <v>19</v>
      </c>
      <c r="I393" s="7" t="s">
        <v>19</v>
      </c>
      <c r="J393" s="7">
        <v>2</v>
      </c>
      <c r="K393" s="7" t="s">
        <v>19</v>
      </c>
      <c r="L393" s="7" t="str">
        <f>VLOOKUP(Healthcare!$A393,hospital_details,2,0)</f>
        <v>27-Aug-1970</v>
      </c>
      <c r="M393" s="7">
        <f t="shared" ref="M393:M456" ca="1" si="2345">VLOOKUP(A393,hospital_details,3,0)</f>
        <v>56</v>
      </c>
      <c r="N393" s="7">
        <f t="shared" ref="N393:N456" si="2346">VLOOKUP($A393,hospital_details,4,0)</f>
        <v>2</v>
      </c>
      <c r="O393" s="8">
        <f t="shared" ref="O393:O456" si="2347">VLOOKUP($A393,hospital_details,5,0)</f>
        <v>26467.1</v>
      </c>
      <c r="P393" s="7" t="str">
        <f t="shared" ref="P393:P456" si="2348">VLOOKUP($A393,hospital_details,6,0)</f>
        <v>tier - 2</v>
      </c>
      <c r="Q393" s="7" t="str">
        <f t="shared" ref="Q393:Q456" si="2349">VLOOKUP($A393,hospital_details,7,0)</f>
        <v>tier - 3</v>
      </c>
      <c r="R393" s="7" t="str">
        <f t="shared" ref="R393:R456" si="2350">VLOOKUP($A393,hospital_details,8,0)</f>
        <v>R1012</v>
      </c>
    </row>
    <row r="394" spans="1:18" ht="14.4" customHeight="1" x14ac:dyDescent="0.3">
      <c r="A394" s="5" t="s">
        <v>413</v>
      </c>
      <c r="B394" s="5" t="str">
        <f>VLOOKUP($A394,[1]!Customer_Names[#Data],3,0)</f>
        <v xml:space="preserve">  Kacee</v>
      </c>
      <c r="C394" s="5">
        <v>35.909999999999997</v>
      </c>
      <c r="D394" s="5" t="str" cm="1">
        <f t="array" ref="D394">_xlfn.IFS(Healthcare!$C394&lt;18.5,"under weight",Healthcare!$C394&lt;=24.9,"Normal Weight",Healthcare!$C394&gt;=25,"overweight",Healthcare!$C394&gt;=30,"obese")</f>
        <v>overweight</v>
      </c>
      <c r="E394" s="5">
        <v>8.7100000000000009</v>
      </c>
      <c r="F394" s="5" t="str" cm="1">
        <f t="array" ref="F394">_xlfn.IFS(Healthcare!$E394&lt;5.7,"normal",Healthcare!$E394&lt;=6.4,"prediabetes",Healthcare!$E394&gt;=6.5,"diabetes")</f>
        <v>diabetes</v>
      </c>
      <c r="G394" s="5" t="s">
        <v>19</v>
      </c>
      <c r="H394" s="5" t="s">
        <v>19</v>
      </c>
      <c r="I394" s="5" t="s">
        <v>19</v>
      </c>
      <c r="J394" s="5">
        <v>0</v>
      </c>
      <c r="K394" s="5" t="s">
        <v>19</v>
      </c>
      <c r="L394" s="5" t="str">
        <f>VLOOKUP(Healthcare!$A394,hospital_details,2,0)</f>
        <v>21-Sep-1974</v>
      </c>
      <c r="M394" s="5">
        <f t="shared" ref="M394:M457" ca="1" si="2351">VLOOKUP(A394,hospital_details,3,0)</f>
        <v>52</v>
      </c>
      <c r="N394" s="5">
        <f t="shared" ref="N394:N457" si="2352">VLOOKUP($A394,hospital_details,4,0)</f>
        <v>1</v>
      </c>
      <c r="O394" s="6">
        <f t="shared" ref="O394:O457" si="2353">VLOOKUP($A394,hospital_details,5,0)</f>
        <v>26392.26</v>
      </c>
      <c r="P394" s="5" t="str">
        <f t="shared" ref="P394:P457" si="2354">VLOOKUP($A394,hospital_details,6,0)</f>
        <v>tier - 2</v>
      </c>
      <c r="Q394" s="5" t="str">
        <f t="shared" ref="Q394:Q457" si="2355">VLOOKUP($A394,hospital_details,7,0)</f>
        <v>tier - 2</v>
      </c>
      <c r="R394" s="5" t="str">
        <f t="shared" ref="R394:R457" si="2356">VLOOKUP($A394,hospital_details,8,0)</f>
        <v>R1024</v>
      </c>
    </row>
    <row r="395" spans="1:18" ht="14.4" customHeight="1" x14ac:dyDescent="0.3">
      <c r="A395" s="7" t="s">
        <v>414</v>
      </c>
      <c r="B395" s="7" t="str">
        <f>VLOOKUP($A395,[1]!Customer_Names[#Data],3,0)</f>
        <v xml:space="preserve">  Dave</v>
      </c>
      <c r="C395" s="7">
        <v>32.06</v>
      </c>
      <c r="D395" s="7" t="str" cm="1">
        <f t="array" ref="D395">_xlfn.IFS(Healthcare!$C395&lt;18.5,"under weight",Healthcare!$C395&lt;=24.9,"Normal Weight",Healthcare!$C395&gt;=25,"overweight",Healthcare!$C395&gt;=30,"obese")</f>
        <v>overweight</v>
      </c>
      <c r="E395" s="7">
        <v>4.67</v>
      </c>
      <c r="F395" s="7" t="str" cm="1">
        <f t="array" ref="F395">_xlfn.IFS(Healthcare!$E395&lt;5.7,"normal",Healthcare!$E395&lt;=6.4,"prediabetes",Healthcare!$E395&gt;=6.5,"diabetes")</f>
        <v>normal</v>
      </c>
      <c r="G395" s="7" t="s">
        <v>19</v>
      </c>
      <c r="H395" s="7" t="s">
        <v>20</v>
      </c>
      <c r="I395" s="7" t="s">
        <v>19</v>
      </c>
      <c r="J395" s="7">
        <v>1</v>
      </c>
      <c r="K395" s="7" t="s">
        <v>20</v>
      </c>
      <c r="L395" s="7" t="str">
        <f>VLOOKUP(Healthcare!$A395,hospital_details,2,0)</f>
        <v>5-Dec-2004</v>
      </c>
      <c r="M395" s="7">
        <f t="shared" ref="M395:M458" ca="1" si="2357">VLOOKUP(A395,hospital_details,3,0)</f>
        <v>21</v>
      </c>
      <c r="N395" s="7">
        <f t="shared" ref="N395:N458" si="2358">VLOOKUP($A395,hospital_details,4,0)</f>
        <v>0</v>
      </c>
      <c r="O395" s="8">
        <f t="shared" ref="O395:O458" si="2359">VLOOKUP($A395,hospital_details,5,0)</f>
        <v>26316.59</v>
      </c>
      <c r="P395" s="7" t="str">
        <f t="shared" ref="P395:P458" si="2360">VLOOKUP($A395,hospital_details,6,0)</f>
        <v>tier - 2</v>
      </c>
      <c r="Q395" s="7" t="str">
        <f t="shared" ref="Q395:Q458" si="2361">VLOOKUP($A395,hospital_details,7,0)</f>
        <v>tier - 3</v>
      </c>
      <c r="R395" s="7" t="str">
        <f t="shared" ref="R395:R458" si="2362">VLOOKUP($A395,hospital_details,8,0)</f>
        <v>R1011</v>
      </c>
    </row>
    <row r="396" spans="1:18" ht="14.4" customHeight="1" x14ac:dyDescent="0.3">
      <c r="A396" s="5" t="s">
        <v>415</v>
      </c>
      <c r="B396" s="5" t="str">
        <f>VLOOKUP($A396,[1]!Customer_Names[#Data],3,0)</f>
        <v xml:space="preserve">  Maryanna</v>
      </c>
      <c r="C396" s="5">
        <v>24.1</v>
      </c>
      <c r="D396" s="5" t="str" cm="1">
        <f t="array" ref="D396">_xlfn.IFS(Healthcare!$C396&lt;18.5,"under weight",Healthcare!$C396&lt;=24.9,"Normal Weight",Healthcare!$C396&gt;=25,"overweight",Healthcare!$C396&gt;=30,"obese")</f>
        <v>Normal Weight</v>
      </c>
      <c r="E396" s="5">
        <v>11.14</v>
      </c>
      <c r="F396" s="5" t="str" cm="1">
        <f t="array" ref="F396">_xlfn.IFS(Healthcare!$E396&lt;5.7,"normal",Healthcare!$E396&lt;=6.4,"prediabetes",Healthcare!$E396&gt;=6.5,"diabetes")</f>
        <v>diabetes</v>
      </c>
      <c r="G396" s="5" t="s">
        <v>20</v>
      </c>
      <c r="H396" s="5" t="s">
        <v>19</v>
      </c>
      <c r="I396" s="5" t="s">
        <v>19</v>
      </c>
      <c r="J396" s="5">
        <v>1</v>
      </c>
      <c r="K396" s="5" t="s">
        <v>19</v>
      </c>
      <c r="L396" s="5" t="str">
        <f>VLOOKUP(Healthcare!$A396,hospital_details,2,0)</f>
        <v>4-Jun-1975</v>
      </c>
      <c r="M396" s="5">
        <f t="shared" ref="M396:M459" ca="1" si="2363">VLOOKUP(A396,hospital_details,3,0)</f>
        <v>51</v>
      </c>
      <c r="N396" s="5">
        <f t="shared" ref="N396:N459" si="2364">VLOOKUP($A396,hospital_details,4,0)</f>
        <v>1</v>
      </c>
      <c r="O396" s="6">
        <f t="shared" ref="O396:O459" si="2365">VLOOKUP($A396,hospital_details,5,0)</f>
        <v>26236.58</v>
      </c>
      <c r="P396" s="5" t="str">
        <f t="shared" ref="P396:P459" si="2366">VLOOKUP($A396,hospital_details,6,0)</f>
        <v>tier - 2</v>
      </c>
      <c r="Q396" s="5" t="str">
        <f t="shared" ref="Q396:Q459" si="2367">VLOOKUP($A396,hospital_details,7,0)</f>
        <v>tier - 1</v>
      </c>
      <c r="R396" s="5" t="str">
        <f t="shared" ref="R396:R459" si="2368">VLOOKUP($A396,hospital_details,8,0)</f>
        <v>R1011</v>
      </c>
    </row>
    <row r="397" spans="1:18" ht="14.4" customHeight="1" x14ac:dyDescent="0.3">
      <c r="A397" s="7" t="s">
        <v>416</v>
      </c>
      <c r="B397" s="7" t="str">
        <f>VLOOKUP($A397,[1]!Customer_Names[#Data],3,0)</f>
        <v xml:space="preserve">  Jessica H</v>
      </c>
      <c r="C397" s="7">
        <v>27.1</v>
      </c>
      <c r="D397" s="7" t="str" cm="1">
        <f t="array" ref="D397">_xlfn.IFS(Healthcare!$C397&lt;18.5,"under weight",Healthcare!$C397&lt;=24.9,"Normal Weight",Healthcare!$C397&gt;=25,"overweight",Healthcare!$C397&gt;=30,"obese")</f>
        <v>overweight</v>
      </c>
      <c r="E397" s="7">
        <v>9.0500000000000007</v>
      </c>
      <c r="F397" s="7" t="str" cm="1">
        <f t="array" ref="F397">_xlfn.IFS(Healthcare!$E397&lt;5.7,"normal",Healthcare!$E397&lt;=6.4,"prediabetes",Healthcare!$E397&gt;=6.5,"diabetes")</f>
        <v>diabetes</v>
      </c>
      <c r="G397" s="7" t="s">
        <v>19</v>
      </c>
      <c r="H397" s="7" t="s">
        <v>19</v>
      </c>
      <c r="I397" s="7" t="s">
        <v>19</v>
      </c>
      <c r="J397" s="7">
        <v>2</v>
      </c>
      <c r="K397" s="7" t="s">
        <v>19</v>
      </c>
      <c r="L397" s="7" t="str">
        <f>VLOOKUP(Healthcare!$A397,hospital_details,2,0)</f>
        <v>7-Jul-1973</v>
      </c>
      <c r="M397" s="7">
        <f t="shared" ref="M397:M460" ca="1" si="2369">VLOOKUP(A397,hospital_details,3,0)</f>
        <v>53</v>
      </c>
      <c r="N397" s="7">
        <f t="shared" ref="N397:N460" si="2370">VLOOKUP($A397,hospital_details,4,0)</f>
        <v>1</v>
      </c>
      <c r="O397" s="8">
        <f t="shared" ref="O397:O460" si="2371">VLOOKUP($A397,hospital_details,5,0)</f>
        <v>26140.36</v>
      </c>
      <c r="P397" s="7" t="str">
        <f t="shared" ref="P397:P460" si="2372">VLOOKUP($A397,hospital_details,6,0)</f>
        <v>tier - 2</v>
      </c>
      <c r="Q397" s="7" t="str">
        <f t="shared" ref="Q397:Q460" si="2373">VLOOKUP($A397,hospital_details,7,0)</f>
        <v>tier - 3</v>
      </c>
      <c r="R397" s="7" t="str">
        <f t="shared" ref="R397:R460" si="2374">VLOOKUP($A397,hospital_details,8,0)</f>
        <v>R1011</v>
      </c>
    </row>
    <row r="398" spans="1:18" ht="14.4" customHeight="1" x14ac:dyDescent="0.3">
      <c r="A398" s="5" t="s">
        <v>417</v>
      </c>
      <c r="B398" s="5" t="str">
        <f>VLOOKUP($A398,[1]!Customer_Names[#Data],3,0)</f>
        <v xml:space="preserve">  Deanna</v>
      </c>
      <c r="C398" s="5">
        <v>24.42</v>
      </c>
      <c r="D398" s="5" t="str" cm="1">
        <f t="array" ref="D398">_xlfn.IFS(Healthcare!$C398&lt;18.5,"under weight",Healthcare!$C398&lt;=24.9,"Normal Weight",Healthcare!$C398&gt;=25,"overweight",Healthcare!$C398&gt;=30,"obese")</f>
        <v>Normal Weight</v>
      </c>
      <c r="E398" s="5">
        <v>11.31</v>
      </c>
      <c r="F398" s="5" t="str" cm="1">
        <f t="array" ref="F398">_xlfn.IFS(Healthcare!$E398&lt;5.7,"normal",Healthcare!$E398&lt;=6.4,"prediabetes",Healthcare!$E398&gt;=6.5,"diabetes")</f>
        <v>diabetes</v>
      </c>
      <c r="G398" s="5" t="s">
        <v>19</v>
      </c>
      <c r="H398" s="5" t="s">
        <v>19</v>
      </c>
      <c r="I398" s="5" t="s">
        <v>19</v>
      </c>
      <c r="J398" s="5">
        <v>0</v>
      </c>
      <c r="K398" s="5" t="s">
        <v>20</v>
      </c>
      <c r="L398" s="5" t="str">
        <f>VLOOKUP(Healthcare!$A398,hospital_details,2,0)</f>
        <v>11-Oct-2002</v>
      </c>
      <c r="M398" s="5">
        <f t="shared" ref="M398:M461" ca="1" si="2375">VLOOKUP(A398,hospital_details,3,0)</f>
        <v>24</v>
      </c>
      <c r="N398" s="5">
        <f t="shared" ref="N398:N461" si="2376">VLOOKUP($A398,hospital_details,4,0)</f>
        <v>0</v>
      </c>
      <c r="O398" s="6">
        <f t="shared" ref="O398:O461" si="2377">VLOOKUP($A398,hospital_details,5,0)</f>
        <v>26125.67</v>
      </c>
      <c r="P398" s="5" t="str">
        <f t="shared" ref="P398:P461" si="2378">VLOOKUP($A398,hospital_details,6,0)</f>
        <v>tier - 2</v>
      </c>
      <c r="Q398" s="5" t="str">
        <f t="shared" ref="Q398:Q461" si="2379">VLOOKUP($A398,hospital_details,7,0)</f>
        <v>tier - 1</v>
      </c>
      <c r="R398" s="5" t="str">
        <f t="shared" ref="R398:R461" si="2380">VLOOKUP($A398,hospital_details,8,0)</f>
        <v>R1013</v>
      </c>
    </row>
    <row r="399" spans="1:18" ht="14.4" customHeight="1" x14ac:dyDescent="0.3">
      <c r="A399" s="7" t="s">
        <v>418</v>
      </c>
      <c r="B399" s="7" t="str">
        <f>VLOOKUP($A399,[1]!Customer_Names[#Data],3,0)</f>
        <v xml:space="preserve">  Peter</v>
      </c>
      <c r="C399" s="7">
        <v>26.695</v>
      </c>
      <c r="D399" s="7" t="str" cm="1">
        <f t="array" ref="D399">_xlfn.IFS(Healthcare!$C399&lt;18.5,"under weight",Healthcare!$C399&lt;=24.9,"Normal Weight",Healthcare!$C399&gt;=25,"overweight",Healthcare!$C399&gt;=30,"obese")</f>
        <v>overweight</v>
      </c>
      <c r="E399" s="7">
        <v>4.68</v>
      </c>
      <c r="F399" s="7" t="str" cm="1">
        <f t="array" ref="F399">_xlfn.IFS(Healthcare!$E399&lt;5.7,"normal",Healthcare!$E399&lt;=6.4,"prediabetes",Healthcare!$E399&gt;=6.5,"diabetes")</f>
        <v>normal</v>
      </c>
      <c r="G399" s="7" t="s">
        <v>20</v>
      </c>
      <c r="H399" s="7" t="s">
        <v>19</v>
      </c>
      <c r="I399" s="7" t="s">
        <v>19</v>
      </c>
      <c r="J399" s="7">
        <v>2</v>
      </c>
      <c r="K399" s="7" t="s">
        <v>20</v>
      </c>
      <c r="L399" s="7" t="str">
        <f>VLOOKUP(Healthcare!$A399,hospital_details,2,0)</f>
        <v>9-Jul-1966</v>
      </c>
      <c r="M399" s="7">
        <f t="shared" ref="M399:M462" ca="1" si="2381">VLOOKUP(A399,hospital_details,3,0)</f>
        <v>60</v>
      </c>
      <c r="N399" s="7">
        <f t="shared" ref="N399:N462" si="2382">VLOOKUP($A399,hospital_details,4,0)</f>
        <v>1</v>
      </c>
      <c r="O399" s="8">
        <f t="shared" ref="O399:O462" si="2383">VLOOKUP($A399,hospital_details,5,0)</f>
        <v>26109.33</v>
      </c>
      <c r="P399" s="7" t="str">
        <f t="shared" ref="P399:P462" si="2384">VLOOKUP($A399,hospital_details,6,0)</f>
        <v>tier - 2</v>
      </c>
      <c r="Q399" s="7" t="str">
        <f t="shared" ref="Q399:Q462" si="2385">VLOOKUP($A399,hospital_details,7,0)</f>
        <v>tier - 3</v>
      </c>
      <c r="R399" s="7" t="str">
        <f t="shared" ref="R399:R462" si="2386">VLOOKUP($A399,hospital_details,8,0)</f>
        <v>R1012</v>
      </c>
    </row>
    <row r="400" spans="1:18" ht="14.4" customHeight="1" x14ac:dyDescent="0.3">
      <c r="A400" s="5" t="s">
        <v>419</v>
      </c>
      <c r="B400" s="5" t="str">
        <f>VLOOKUP($A400,[1]!Customer_Names[#Data],3,0)</f>
        <v xml:space="preserve">  Rebecca</v>
      </c>
      <c r="C400" s="5">
        <v>27.79</v>
      </c>
      <c r="D400" s="5" t="str" cm="1">
        <f t="array" ref="D400">_xlfn.IFS(Healthcare!$C400&lt;18.5,"under weight",Healthcare!$C400&lt;=24.9,"Normal Weight",Healthcare!$C400&gt;=25,"overweight",Healthcare!$C400&gt;=30,"obese")</f>
        <v>overweight</v>
      </c>
      <c r="E400" s="5">
        <v>6.05</v>
      </c>
      <c r="F400" s="5" t="str" cm="1">
        <f t="array" ref="F400">_xlfn.IFS(Healthcare!$E400&lt;5.7,"normal",Healthcare!$E400&lt;=6.4,"prediabetes",Healthcare!$E400&gt;=6.5,"diabetes")</f>
        <v>prediabetes</v>
      </c>
      <c r="G400" s="5" t="s">
        <v>20</v>
      </c>
      <c r="H400" s="5" t="s">
        <v>20</v>
      </c>
      <c r="I400" s="5" t="s">
        <v>19</v>
      </c>
      <c r="J400" s="5">
        <v>1</v>
      </c>
      <c r="K400" s="5" t="s">
        <v>20</v>
      </c>
      <c r="L400" s="5" t="str">
        <f>VLOOKUP(Healthcare!$A400,hospital_details,2,0)</f>
        <v>26-Dec-2000</v>
      </c>
      <c r="M400" s="5">
        <f t="shared" ref="M400:M463" ca="1" si="2387">VLOOKUP(A400,hospital_details,3,0)</f>
        <v>25</v>
      </c>
      <c r="N400" s="5">
        <f t="shared" ref="N400:N463" si="2388">VLOOKUP($A400,hospital_details,4,0)</f>
        <v>0</v>
      </c>
      <c r="O400" s="6">
        <f t="shared" ref="O400:O463" si="2389">VLOOKUP($A400,hospital_details,5,0)</f>
        <v>26026.97</v>
      </c>
      <c r="P400" s="5" t="str">
        <f t="shared" ref="P400:P463" si="2390">VLOOKUP($A400,hospital_details,6,0)</f>
        <v>tier - 2</v>
      </c>
      <c r="Q400" s="5" t="str">
        <f t="shared" ref="Q400:Q463" si="2391">VLOOKUP($A400,hospital_details,7,0)</f>
        <v>tier - 3</v>
      </c>
      <c r="R400" s="5" t="str">
        <f t="shared" ref="R400:R463" si="2392">VLOOKUP($A400,hospital_details,8,0)</f>
        <v>R1011</v>
      </c>
    </row>
    <row r="401" spans="1:18" ht="14.4" customHeight="1" x14ac:dyDescent="0.3">
      <c r="A401" s="7" t="s">
        <v>420</v>
      </c>
      <c r="B401" s="7" t="str">
        <f>VLOOKUP($A401,[1]!Customer_Names[#Data],3,0)</f>
        <v xml:space="preserve">  Elizabeth M</v>
      </c>
      <c r="C401" s="7">
        <v>32.68</v>
      </c>
      <c r="D401" s="7" t="str" cm="1">
        <f t="array" ref="D401">_xlfn.IFS(Healthcare!$C401&lt;18.5,"under weight",Healthcare!$C401&lt;=24.9,"Normal Weight",Healthcare!$C401&gt;=25,"overweight",Healthcare!$C401&gt;=30,"obese")</f>
        <v>overweight</v>
      </c>
      <c r="E401" s="7">
        <v>4.68</v>
      </c>
      <c r="F401" s="7" t="str" cm="1">
        <f t="array" ref="F401">_xlfn.IFS(Healthcare!$E401&lt;5.7,"normal",Healthcare!$E401&lt;=6.4,"prediabetes",Healthcare!$E401&gt;=6.5,"diabetes")</f>
        <v>normal</v>
      </c>
      <c r="G401" s="7" t="s">
        <v>20</v>
      </c>
      <c r="H401" s="7" t="s">
        <v>19</v>
      </c>
      <c r="I401" s="7" t="s">
        <v>19</v>
      </c>
      <c r="J401" s="7">
        <v>0</v>
      </c>
      <c r="K401" s="7" t="s">
        <v>19</v>
      </c>
      <c r="L401" s="7" t="str">
        <f>VLOOKUP(Healthcare!$A401,hospital_details,2,0)</f>
        <v>5-Jun-2001</v>
      </c>
      <c r="M401" s="7">
        <f t="shared" ref="M401:M464" ca="1" si="2393">VLOOKUP(A401,hospital_details,3,0)</f>
        <v>25</v>
      </c>
      <c r="N401" s="7">
        <f t="shared" ref="N401:N464" si="2394">VLOOKUP($A401,hospital_details,4,0)</f>
        <v>2</v>
      </c>
      <c r="O401" s="8">
        <f t="shared" ref="O401:O464" si="2395">VLOOKUP($A401,hospital_details,5,0)</f>
        <v>26018.95</v>
      </c>
      <c r="P401" s="7" t="str">
        <f t="shared" ref="P401:P464" si="2396">VLOOKUP($A401,hospital_details,6,0)</f>
        <v>tier - 2</v>
      </c>
      <c r="Q401" s="7" t="str">
        <f t="shared" ref="Q401:Q464" si="2397">VLOOKUP($A401,hospital_details,7,0)</f>
        <v>tier - 2</v>
      </c>
      <c r="R401" s="7" t="str">
        <f t="shared" ref="R401:R464" si="2398">VLOOKUP($A401,hospital_details,8,0)</f>
        <v>R1012</v>
      </c>
    </row>
    <row r="402" spans="1:18" ht="14.4" customHeight="1" x14ac:dyDescent="0.3">
      <c r="A402" s="5" t="s">
        <v>421</v>
      </c>
      <c r="B402" s="5" t="str">
        <f>VLOOKUP($A402,[1]!Customer_Names[#Data],3,0)</f>
        <v xml:space="preserve">  Gregory</v>
      </c>
      <c r="C402" s="5">
        <v>26.4</v>
      </c>
      <c r="D402" s="5" t="str" cm="1">
        <f t="array" ref="D402">_xlfn.IFS(Healthcare!$C402&lt;18.5,"under weight",Healthcare!$C402&lt;=24.9,"Normal Weight",Healthcare!$C402&gt;=25,"overweight",Healthcare!$C402&gt;=30,"obese")</f>
        <v>overweight</v>
      </c>
      <c r="E402" s="5">
        <v>9.5</v>
      </c>
      <c r="F402" s="5" t="str" cm="1">
        <f t="array" ref="F402">_xlfn.IFS(Healthcare!$E402&lt;5.7,"normal",Healthcare!$E402&lt;=6.4,"prediabetes",Healthcare!$E402&gt;=6.5,"diabetes")</f>
        <v>diabetes</v>
      </c>
      <c r="G402" s="5" t="s">
        <v>20</v>
      </c>
      <c r="H402" s="5" t="s">
        <v>19</v>
      </c>
      <c r="I402" s="5" t="s">
        <v>19</v>
      </c>
      <c r="J402" s="5">
        <v>2</v>
      </c>
      <c r="K402" s="5" t="s">
        <v>19</v>
      </c>
      <c r="L402" s="5" t="str">
        <f>VLOOKUP(Healthcare!$A402,hospital_details,2,0)</f>
        <v>3-Dec-1970</v>
      </c>
      <c r="M402" s="5">
        <f t="shared" ref="M402:M465" ca="1" si="2399">VLOOKUP(A402,hospital_details,3,0)</f>
        <v>55</v>
      </c>
      <c r="N402" s="5">
        <f t="shared" ref="N402:N465" si="2400">VLOOKUP($A402,hospital_details,4,0)</f>
        <v>3</v>
      </c>
      <c r="O402" s="6">
        <f t="shared" ref="O402:O465" si="2401">VLOOKUP($A402,hospital_details,5,0)</f>
        <v>25992.82</v>
      </c>
      <c r="P402" s="5" t="str">
        <f t="shared" ref="P402:P465" si="2402">VLOOKUP($A402,hospital_details,6,0)</f>
        <v>tier - 2</v>
      </c>
      <c r="Q402" s="5" t="str">
        <f t="shared" ref="Q402:Q465" si="2403">VLOOKUP($A402,hospital_details,7,0)</f>
        <v>tier - 2</v>
      </c>
      <c r="R402" s="5" t="str">
        <f t="shared" ref="R402:R465" si="2404">VLOOKUP($A402,hospital_details,8,0)</f>
        <v>R1013</v>
      </c>
    </row>
    <row r="403" spans="1:18" ht="14.4" customHeight="1" x14ac:dyDescent="0.3">
      <c r="A403" s="7" t="s">
        <v>422</v>
      </c>
      <c r="B403" s="7" t="str">
        <f>VLOOKUP($A403,[1]!Customer_Names[#Data],3,0)</f>
        <v xml:space="preserve">  Sarah E</v>
      </c>
      <c r="C403" s="7">
        <v>23.655000000000001</v>
      </c>
      <c r="D403" s="7" t="str" cm="1">
        <f t="array" ref="D403">_xlfn.IFS(Healthcare!$C403&lt;18.5,"under weight",Healthcare!$C403&lt;=24.9,"Normal Weight",Healthcare!$C403&gt;=25,"overweight",Healthcare!$C403&gt;=30,"obese")</f>
        <v>Normal Weight</v>
      </c>
      <c r="E403" s="7">
        <v>10.84</v>
      </c>
      <c r="F403" s="7" t="str" cm="1">
        <f t="array" ref="F403">_xlfn.IFS(Healthcare!$E403&lt;5.7,"normal",Healthcare!$E403&lt;=6.4,"prediabetes",Healthcare!$E403&gt;=6.5,"diabetes")</f>
        <v>diabetes</v>
      </c>
      <c r="G403" s="7" t="s">
        <v>20</v>
      </c>
      <c r="H403" s="7" t="s">
        <v>19</v>
      </c>
      <c r="I403" s="7" t="s">
        <v>29</v>
      </c>
      <c r="J403" s="7">
        <v>1</v>
      </c>
      <c r="K403" s="7" t="s">
        <v>20</v>
      </c>
      <c r="L403" s="7" t="str">
        <f>VLOOKUP(Healthcare!$A403,hospital_details,2,0)</f>
        <v>21-Aug-1963</v>
      </c>
      <c r="M403" s="7">
        <f t="shared" ref="M403:M466" ca="1" si="2405">VLOOKUP(A403,hospital_details,3,0)</f>
        <v>63</v>
      </c>
      <c r="N403" s="7">
        <f t="shared" ref="N403:N466" si="2406">VLOOKUP($A403,hospital_details,4,0)</f>
        <v>0</v>
      </c>
      <c r="O403" s="8">
        <f t="shared" ref="O403:O466" si="2407">VLOOKUP($A403,hospital_details,5,0)</f>
        <v>25678.78</v>
      </c>
      <c r="P403" s="7" t="str">
        <f t="shared" ref="P403:P466" si="2408">VLOOKUP($A403,hospital_details,6,0)</f>
        <v>tier - 2</v>
      </c>
      <c r="Q403" s="7" t="str">
        <f t="shared" ref="Q403:Q466" si="2409">VLOOKUP($A403,hospital_details,7,0)</f>
        <v>tier - 3</v>
      </c>
      <c r="R403" s="7" t="str">
        <f t="shared" ref="R403:R466" si="2410">VLOOKUP($A403,hospital_details,8,0)</f>
        <v>R1012</v>
      </c>
    </row>
    <row r="404" spans="1:18" ht="14.4" customHeight="1" x14ac:dyDescent="0.3">
      <c r="A404" s="5" t="s">
        <v>423</v>
      </c>
      <c r="B404" s="5" t="str">
        <f>VLOOKUP($A404,[1]!Customer_Names[#Data],3,0)</f>
        <v xml:space="preserve">  Anne Elise</v>
      </c>
      <c r="C404" s="5">
        <v>27.36</v>
      </c>
      <c r="D404" s="5" t="str" cm="1">
        <f t="array" ref="D404">_xlfn.IFS(Healthcare!$C404&lt;18.5,"under weight",Healthcare!$C404&lt;=24.9,"Normal Weight",Healthcare!$C404&gt;=25,"overweight",Healthcare!$C404&gt;=30,"obese")</f>
        <v>overweight</v>
      </c>
      <c r="E404" s="5">
        <v>5.88</v>
      </c>
      <c r="F404" s="5" t="str" cm="1">
        <f t="array" ref="F404">_xlfn.IFS(Healthcare!$E404&lt;5.7,"normal",Healthcare!$E404&lt;=6.4,"prediabetes",Healthcare!$E404&gt;=6.5,"diabetes")</f>
        <v>prediabetes</v>
      </c>
      <c r="G404" s="5" t="s">
        <v>19</v>
      </c>
      <c r="H404" s="5" t="s">
        <v>19</v>
      </c>
      <c r="I404" s="5" t="s">
        <v>19</v>
      </c>
      <c r="J404" s="5">
        <v>2</v>
      </c>
      <c r="K404" s="5" t="s">
        <v>19</v>
      </c>
      <c r="L404" s="5" t="str">
        <f>VLOOKUP(Healthcare!$A404,hospital_details,2,0)</f>
        <v>17-Jul-1972</v>
      </c>
      <c r="M404" s="5">
        <f t="shared" ref="M404:M467" ca="1" si="2411">VLOOKUP(A404,hospital_details,3,0)</f>
        <v>54</v>
      </c>
      <c r="N404" s="5">
        <f t="shared" ref="N404:N467" si="2412">VLOOKUP($A404,hospital_details,4,0)</f>
        <v>0</v>
      </c>
      <c r="O404" s="6">
        <f t="shared" ref="O404:O467" si="2413">VLOOKUP($A404,hospital_details,5,0)</f>
        <v>25656.58</v>
      </c>
      <c r="P404" s="5" t="str">
        <f t="shared" ref="P404:P467" si="2414">VLOOKUP($A404,hospital_details,6,0)</f>
        <v>tier - 2</v>
      </c>
      <c r="Q404" s="5" t="str">
        <f t="shared" ref="Q404:Q467" si="2415">VLOOKUP($A404,hospital_details,7,0)</f>
        <v>tier - 3</v>
      </c>
      <c r="R404" s="5" t="str">
        <f t="shared" ref="R404:R467" si="2416">VLOOKUP($A404,hospital_details,8,0)</f>
        <v>R1024</v>
      </c>
    </row>
    <row r="405" spans="1:18" ht="14.4" customHeight="1" x14ac:dyDescent="0.3">
      <c r="A405" s="7" t="s">
        <v>424</v>
      </c>
      <c r="B405" s="7" t="str">
        <f>VLOOKUP($A405,[1]!Customer_Names[#Data],3,0)</f>
        <v xml:space="preserve">  Christopher R</v>
      </c>
      <c r="C405" s="7">
        <v>27.82</v>
      </c>
      <c r="D405" s="7" t="str" cm="1">
        <f t="array" ref="D405">_xlfn.IFS(Healthcare!$C405&lt;18.5,"under weight",Healthcare!$C405&lt;=24.9,"Normal Weight",Healthcare!$C405&gt;=25,"overweight",Healthcare!$C405&gt;=30,"obese")</f>
        <v>overweight</v>
      </c>
      <c r="E405" s="7">
        <v>5.24</v>
      </c>
      <c r="F405" s="7" t="str" cm="1">
        <f t="array" ref="F405">_xlfn.IFS(Healthcare!$E405&lt;5.7,"normal",Healthcare!$E405&lt;=6.4,"prediabetes",Healthcare!$E405&gt;=6.5,"diabetes")</f>
        <v>normal</v>
      </c>
      <c r="G405" s="7" t="s">
        <v>20</v>
      </c>
      <c r="H405" s="7" t="s">
        <v>19</v>
      </c>
      <c r="I405" s="7" t="s">
        <v>19</v>
      </c>
      <c r="J405" s="7">
        <v>0</v>
      </c>
      <c r="K405" s="7" t="s">
        <v>20</v>
      </c>
      <c r="L405" s="7" t="str">
        <f>VLOOKUP(Healthcare!$A405,hospital_details,2,0)</f>
        <v>2-Aug-2001</v>
      </c>
      <c r="M405" s="7">
        <f t="shared" ref="M405:M468" ca="1" si="2417">VLOOKUP(A405,hospital_details,3,0)</f>
        <v>25</v>
      </c>
      <c r="N405" s="7">
        <f t="shared" ref="N405:N468" si="2418">VLOOKUP($A405,hospital_details,4,0)</f>
        <v>0</v>
      </c>
      <c r="O405" s="8">
        <f t="shared" ref="O405:O468" si="2419">VLOOKUP($A405,hospital_details,5,0)</f>
        <v>25648.98</v>
      </c>
      <c r="P405" s="7" t="str">
        <f t="shared" ref="P405:P468" si="2420">VLOOKUP($A405,hospital_details,6,0)</f>
        <v>tier - 2</v>
      </c>
      <c r="Q405" s="7" t="str">
        <f t="shared" ref="Q405:Q468" si="2421">VLOOKUP($A405,hospital_details,7,0)</f>
        <v>tier - 1</v>
      </c>
      <c r="R405" s="7" t="str">
        <f t="shared" ref="R405:R468" si="2422">VLOOKUP($A405,hospital_details,8,0)</f>
        <v>R1011</v>
      </c>
    </row>
    <row r="406" spans="1:18" ht="14.4" customHeight="1" x14ac:dyDescent="0.3">
      <c r="A406" s="5" t="s">
        <v>425</v>
      </c>
      <c r="B406" s="5" t="str">
        <f>VLOOKUP($A406,[1]!Customer_Names[#Data],3,0)</f>
        <v xml:space="preserve">  Elliot</v>
      </c>
      <c r="C406" s="5">
        <v>25.46</v>
      </c>
      <c r="D406" s="5" t="str" cm="1">
        <f t="array" ref="D406">_xlfn.IFS(Healthcare!$C406&lt;18.5,"under weight",Healthcare!$C406&lt;=24.9,"Normal Weight",Healthcare!$C406&gt;=25,"overweight",Healthcare!$C406&gt;=30,"obese")</f>
        <v>overweight</v>
      </c>
      <c r="E406" s="5">
        <v>11.75</v>
      </c>
      <c r="F406" s="5" t="str" cm="1">
        <f t="array" ref="F406">_xlfn.IFS(Healthcare!$E406&lt;5.7,"normal",Healthcare!$E406&lt;=6.4,"prediabetes",Healthcare!$E406&gt;=6.5,"diabetes")</f>
        <v>diabetes</v>
      </c>
      <c r="G406" s="5" t="s">
        <v>19</v>
      </c>
      <c r="H406" s="5" t="s">
        <v>19</v>
      </c>
      <c r="I406" s="5" t="s">
        <v>19</v>
      </c>
      <c r="J406" s="5">
        <v>0</v>
      </c>
      <c r="K406" s="5" t="s">
        <v>19</v>
      </c>
      <c r="L406" s="5" t="str">
        <f>VLOOKUP(Healthcare!$A406,hospital_details,2,0)</f>
        <v>11-Dec-1968</v>
      </c>
      <c r="M406" s="5">
        <f t="shared" ref="M406:M469" ca="1" si="2423">VLOOKUP(A406,hospital_details,3,0)</f>
        <v>57</v>
      </c>
      <c r="N406" s="5">
        <f t="shared" ref="N406:N469" si="2424">VLOOKUP($A406,hospital_details,4,0)</f>
        <v>1</v>
      </c>
      <c r="O406" s="6">
        <f t="shared" ref="O406:O469" si="2425">VLOOKUP($A406,hospital_details,5,0)</f>
        <v>25517.11</v>
      </c>
      <c r="P406" s="5" t="str">
        <f t="shared" ref="P406:P469" si="2426">VLOOKUP($A406,hospital_details,6,0)</f>
        <v>tier - 2</v>
      </c>
      <c r="Q406" s="5" t="str">
        <f t="shared" ref="Q406:Q469" si="2427">VLOOKUP($A406,hospital_details,7,0)</f>
        <v>tier - 3</v>
      </c>
      <c r="R406" s="5" t="str">
        <f t="shared" ref="R406:R469" si="2428">VLOOKUP($A406,hospital_details,8,0)</f>
        <v>R1017</v>
      </c>
    </row>
    <row r="407" spans="1:18" ht="14.4" customHeight="1" x14ac:dyDescent="0.3">
      <c r="A407" s="7" t="s">
        <v>426</v>
      </c>
      <c r="B407" s="7" t="str">
        <f>VLOOKUP($A407,[1]!Customer_Names[#Data],3,0)</f>
        <v xml:space="preserve">  Christopher D</v>
      </c>
      <c r="C407" s="7">
        <v>25.1</v>
      </c>
      <c r="D407" s="7" t="str" cm="1">
        <f t="array" ref="D407">_xlfn.IFS(Healthcare!$C407&lt;18.5,"under weight",Healthcare!$C407&lt;=24.9,"Normal Weight",Healthcare!$C407&gt;=25,"overweight",Healthcare!$C407&gt;=30,"obese")</f>
        <v>overweight</v>
      </c>
      <c r="E407" s="7">
        <v>6.97</v>
      </c>
      <c r="F407" s="7" t="str" cm="1">
        <f t="array" ref="F407">_xlfn.IFS(Healthcare!$E407&lt;5.7,"normal",Healthcare!$E407&lt;=6.4,"prediabetes",Healthcare!$E407&gt;=6.5,"diabetes")</f>
        <v>diabetes</v>
      </c>
      <c r="G407" s="7" t="s">
        <v>19</v>
      </c>
      <c r="H407" s="7" t="s">
        <v>19</v>
      </c>
      <c r="I407" s="7" t="s">
        <v>19</v>
      </c>
      <c r="J407" s="7">
        <v>0</v>
      </c>
      <c r="K407" s="7" t="s">
        <v>20</v>
      </c>
      <c r="L407" s="7" t="str">
        <f>VLOOKUP(Healthcare!$A407,hospital_details,2,0)</f>
        <v>22-Aug-1968</v>
      </c>
      <c r="M407" s="7">
        <f t="shared" ref="M407:M470" ca="1" si="2429">VLOOKUP(A407,hospital_details,3,0)</f>
        <v>58</v>
      </c>
      <c r="N407" s="7">
        <f t="shared" ref="N407:N470" si="2430">VLOOKUP($A407,hospital_details,4,0)</f>
        <v>3</v>
      </c>
      <c r="O407" s="8">
        <f t="shared" ref="O407:O470" si="2431">VLOOKUP($A407,hospital_details,5,0)</f>
        <v>25382.3</v>
      </c>
      <c r="P407" s="7" t="str">
        <f t="shared" ref="P407:P470" si="2432">VLOOKUP($A407,hospital_details,6,0)</f>
        <v>tier - 2</v>
      </c>
      <c r="Q407" s="7" t="str">
        <f t="shared" ref="Q407:Q470" si="2433">VLOOKUP($A407,hospital_details,7,0)</f>
        <v>tier - 2</v>
      </c>
      <c r="R407" s="7" t="str">
        <f t="shared" ref="R407:R470" si="2434">VLOOKUP($A407,hospital_details,8,0)</f>
        <v>R1011</v>
      </c>
    </row>
    <row r="408" spans="1:18" ht="14.4" customHeight="1" x14ac:dyDescent="0.3">
      <c r="A408" s="5" t="s">
        <v>427</v>
      </c>
      <c r="B408" s="5" t="str">
        <f>VLOOKUP($A408,[1]!Customer_Names[#Data],3,0)</f>
        <v xml:space="preserve">  Corey</v>
      </c>
      <c r="C408" s="5">
        <v>32.11</v>
      </c>
      <c r="D408" s="5" t="str" cm="1">
        <f t="array" ref="D408">_xlfn.IFS(Healthcare!$C408&lt;18.5,"under weight",Healthcare!$C408&lt;=24.9,"Normal Weight",Healthcare!$C408&gt;=25,"overweight",Healthcare!$C408&gt;=30,"obese")</f>
        <v>overweight</v>
      </c>
      <c r="E408" s="5">
        <v>4.76</v>
      </c>
      <c r="F408" s="5" t="str" cm="1">
        <f t="array" ref="F408">_xlfn.IFS(Healthcare!$E408&lt;5.7,"normal",Healthcare!$E408&lt;=6.4,"prediabetes",Healthcare!$E408&gt;=6.5,"diabetes")</f>
        <v>normal</v>
      </c>
      <c r="G408" s="5" t="s">
        <v>19</v>
      </c>
      <c r="H408" s="5" t="s">
        <v>19</v>
      </c>
      <c r="I408" s="5" t="s">
        <v>19</v>
      </c>
      <c r="J408" s="5">
        <v>2</v>
      </c>
      <c r="K408" s="5" t="s">
        <v>19</v>
      </c>
      <c r="L408" s="5" t="str">
        <f>VLOOKUP(Healthcare!$A408,hospital_details,2,0)</f>
        <v>26-Sep-1972</v>
      </c>
      <c r="M408" s="5">
        <f t="shared" ref="M408:M471" ca="1" si="2435">VLOOKUP(A408,hospital_details,3,0)</f>
        <v>54</v>
      </c>
      <c r="N408" s="5">
        <f t="shared" ref="N408:N471" si="2436">VLOOKUP($A408,hospital_details,4,0)</f>
        <v>2</v>
      </c>
      <c r="O408" s="6">
        <f t="shared" ref="O408:O471" si="2437">VLOOKUP($A408,hospital_details,5,0)</f>
        <v>25333.33</v>
      </c>
      <c r="P408" s="5" t="str">
        <f t="shared" ref="P408:P471" si="2438">VLOOKUP($A408,hospital_details,6,0)</f>
        <v>tier - 2</v>
      </c>
      <c r="Q408" s="5" t="str">
        <f t="shared" ref="Q408:Q471" si="2439">VLOOKUP($A408,hospital_details,7,0)</f>
        <v>tier - 2</v>
      </c>
      <c r="R408" s="5" t="str">
        <f t="shared" ref="R408:R471" si="2440">VLOOKUP($A408,hospital_details,8,0)</f>
        <v>R1017</v>
      </c>
    </row>
    <row r="409" spans="1:18" ht="14.4" customHeight="1" x14ac:dyDescent="0.3">
      <c r="A409" s="7" t="s">
        <v>428</v>
      </c>
      <c r="B409" s="7" t="str">
        <f>VLOOKUP($A409,[1]!Customer_Names[#Data],3,0)</f>
        <v xml:space="preserve">  Patrick D</v>
      </c>
      <c r="C409" s="7">
        <v>29.8</v>
      </c>
      <c r="D409" s="7" t="str" cm="1">
        <f t="array" ref="D409">_xlfn.IFS(Healthcare!$C409&lt;18.5,"under weight",Healthcare!$C409&lt;=24.9,"Normal Weight",Healthcare!$C409&gt;=25,"overweight",Healthcare!$C409&gt;=30,"obese")</f>
        <v>overweight</v>
      </c>
      <c r="E409" s="7">
        <v>8.24</v>
      </c>
      <c r="F409" s="7" t="str" cm="1">
        <f t="array" ref="F409">_xlfn.IFS(Healthcare!$E409&lt;5.7,"normal",Healthcare!$E409&lt;=6.4,"prediabetes",Healthcare!$E409&gt;=6.5,"diabetes")</f>
        <v>diabetes</v>
      </c>
      <c r="G409" s="7" t="s">
        <v>20</v>
      </c>
      <c r="H409" s="7" t="s">
        <v>19</v>
      </c>
      <c r="I409" s="7" t="s">
        <v>19</v>
      </c>
      <c r="J409" s="7">
        <v>1</v>
      </c>
      <c r="K409" s="7" t="s">
        <v>20</v>
      </c>
      <c r="L409" s="7" t="str">
        <f>VLOOKUP(Healthcare!$A409,hospital_details,2,0)</f>
        <v>14-Dec-1975</v>
      </c>
      <c r="M409" s="7">
        <f t="shared" ref="M409:M472" ca="1" si="2441">VLOOKUP(A409,hospital_details,3,0)</f>
        <v>50</v>
      </c>
      <c r="N409" s="7">
        <f t="shared" ref="N409:N472" si="2442">VLOOKUP($A409,hospital_details,4,0)</f>
        <v>3</v>
      </c>
      <c r="O409" s="8">
        <f t="shared" ref="O409:O472" si="2443">VLOOKUP($A409,hospital_details,5,0)</f>
        <v>25309.49</v>
      </c>
      <c r="P409" s="7" t="str">
        <f t="shared" ref="P409:P472" si="2444">VLOOKUP($A409,hospital_details,6,0)</f>
        <v>tier - 2</v>
      </c>
      <c r="Q409" s="7" t="str">
        <f t="shared" ref="Q409:Q472" si="2445">VLOOKUP($A409,hospital_details,7,0)</f>
        <v>tier - 1</v>
      </c>
      <c r="R409" s="7" t="str">
        <f t="shared" ref="R409:R472" si="2446">VLOOKUP($A409,hospital_details,8,0)</f>
        <v>R1011</v>
      </c>
    </row>
    <row r="410" spans="1:18" ht="14.4" customHeight="1" x14ac:dyDescent="0.3">
      <c r="A410" s="5" t="s">
        <v>429</v>
      </c>
      <c r="B410" s="5" t="str">
        <f>VLOOKUP($A410,[1]!Customer_Names[#Data],3,0)</f>
        <v xml:space="preserve">  Anthony D</v>
      </c>
      <c r="C410" s="5">
        <v>24.01</v>
      </c>
      <c r="D410" s="5" t="str" cm="1">
        <f t="array" ref="D410">_xlfn.IFS(Healthcare!$C410&lt;18.5,"under weight",Healthcare!$C410&lt;=24.9,"Normal Weight",Healthcare!$C410&gt;=25,"overweight",Healthcare!$C410&gt;=30,"obese")</f>
        <v>Normal Weight</v>
      </c>
      <c r="E410" s="5">
        <v>4.76</v>
      </c>
      <c r="F410" s="5" t="str" cm="1">
        <f t="array" ref="F410">_xlfn.IFS(Healthcare!$E410&lt;5.7,"normal",Healthcare!$E410&lt;=6.4,"prediabetes",Healthcare!$E410&gt;=6.5,"diabetes")</f>
        <v>normal</v>
      </c>
      <c r="G410" s="5" t="s">
        <v>19</v>
      </c>
      <c r="H410" s="5" t="s">
        <v>19</v>
      </c>
      <c r="I410" s="5" t="s">
        <v>19</v>
      </c>
      <c r="J410" s="5">
        <v>1</v>
      </c>
      <c r="K410" s="5" t="s">
        <v>20</v>
      </c>
      <c r="L410" s="5" t="str">
        <f>VLOOKUP(Healthcare!$A410,hospital_details,2,0)</f>
        <v>24-Nov-1998</v>
      </c>
      <c r="M410" s="5">
        <f t="shared" ref="M410:M473" ca="1" si="2447">VLOOKUP(A410,hospital_details,3,0)</f>
        <v>27</v>
      </c>
      <c r="N410" s="5">
        <f t="shared" ref="N410:N473" si="2448">VLOOKUP($A410,hospital_details,4,0)</f>
        <v>0</v>
      </c>
      <c r="O410" s="6">
        <f t="shared" ref="O410:O473" si="2449">VLOOKUP($A410,hospital_details,5,0)</f>
        <v>25127.22</v>
      </c>
      <c r="P410" s="5" t="str">
        <f t="shared" ref="P410:P473" si="2450">VLOOKUP($A410,hospital_details,6,0)</f>
        <v>tier - 2</v>
      </c>
      <c r="Q410" s="5" t="str">
        <f t="shared" ref="Q410:Q473" si="2451">VLOOKUP($A410,hospital_details,7,0)</f>
        <v>tier - 3</v>
      </c>
      <c r="R410" s="5" t="str">
        <f t="shared" ref="R410:R473" si="2452">VLOOKUP($A410,hospital_details,8,0)</f>
        <v>R1011</v>
      </c>
    </row>
    <row r="411" spans="1:18" ht="14.4" customHeight="1" x14ac:dyDescent="0.3">
      <c r="A411" s="7" t="s">
        <v>430</v>
      </c>
      <c r="B411" s="7" t="str">
        <f>VLOOKUP($A411,[1]!Customer_Names[#Data],3,0)</f>
        <v xml:space="preserve">  Melissa</v>
      </c>
      <c r="C411" s="7">
        <v>23.21</v>
      </c>
      <c r="D411" s="7" t="str" cm="1">
        <f t="array" ref="D411">_xlfn.IFS(Healthcare!$C411&lt;18.5,"under weight",Healthcare!$C411&lt;=24.9,"Normal Weight",Healthcare!$C411&gt;=25,"overweight",Healthcare!$C411&gt;=30,"obese")</f>
        <v>Normal Weight</v>
      </c>
      <c r="E411" s="7">
        <v>6.03</v>
      </c>
      <c r="F411" s="7" t="str" cm="1">
        <f t="array" ref="F411">_xlfn.IFS(Healthcare!$E411&lt;5.7,"normal",Healthcare!$E411&lt;=6.4,"prediabetes",Healthcare!$E411&gt;=6.5,"diabetes")</f>
        <v>prediabetes</v>
      </c>
      <c r="G411" s="7" t="s">
        <v>19</v>
      </c>
      <c r="H411" s="7" t="s">
        <v>19</v>
      </c>
      <c r="I411" s="7" t="s">
        <v>19</v>
      </c>
      <c r="J411" s="7">
        <v>1</v>
      </c>
      <c r="K411" s="7" t="s">
        <v>19</v>
      </c>
      <c r="L411" s="7" t="str">
        <f>VLOOKUP(Healthcare!$A411,hospital_details,2,0)</f>
        <v>14-Jun-1998</v>
      </c>
      <c r="M411" s="7">
        <f t="shared" ref="M411:M474" ca="1" si="2453">VLOOKUP(A411,hospital_details,3,0)</f>
        <v>28</v>
      </c>
      <c r="N411" s="7">
        <f t="shared" ref="N411:N474" si="2454">VLOOKUP($A411,hospital_details,4,0)</f>
        <v>0</v>
      </c>
      <c r="O411" s="8">
        <f t="shared" ref="O411:O474" si="2455">VLOOKUP($A411,hospital_details,5,0)</f>
        <v>25081.77</v>
      </c>
      <c r="P411" s="7" t="str">
        <f t="shared" ref="P411:P474" si="2456">VLOOKUP($A411,hospital_details,6,0)</f>
        <v>tier - 2</v>
      </c>
      <c r="Q411" s="7" t="str">
        <f t="shared" ref="Q411:Q474" si="2457">VLOOKUP($A411,hospital_details,7,0)</f>
        <v>tier - 2</v>
      </c>
      <c r="R411" s="7" t="str">
        <f t="shared" ref="R411:R474" si="2458">VLOOKUP($A411,hospital_details,8,0)</f>
        <v>R1013</v>
      </c>
    </row>
    <row r="412" spans="1:18" ht="14.4" customHeight="1" x14ac:dyDescent="0.3">
      <c r="A412" s="5" t="s">
        <v>431</v>
      </c>
      <c r="B412" s="5" t="str">
        <f>VLOOKUP($A412,[1]!Customer_Names[#Data],3,0)</f>
        <v xml:space="preserve">  Raven</v>
      </c>
      <c r="C412" s="5">
        <v>21.2</v>
      </c>
      <c r="D412" s="5" t="str" cm="1">
        <f t="array" ref="D412">_xlfn.IFS(Healthcare!$C412&lt;18.5,"under weight",Healthcare!$C412&lt;=24.9,"Normal Weight",Healthcare!$C412&gt;=25,"overweight",Healthcare!$C412&gt;=30,"obese")</f>
        <v>Normal Weight</v>
      </c>
      <c r="E412" s="5">
        <v>4.07</v>
      </c>
      <c r="F412" s="5" t="str" cm="1">
        <f t="array" ref="F412">_xlfn.IFS(Healthcare!$E412&lt;5.7,"normal",Healthcare!$E412&lt;=6.4,"prediabetes",Healthcare!$E412&gt;=6.5,"diabetes")</f>
        <v>normal</v>
      </c>
      <c r="G412" s="5" t="s">
        <v>20</v>
      </c>
      <c r="H412" s="5" t="s">
        <v>19</v>
      </c>
      <c r="I412" s="5" t="s">
        <v>19</v>
      </c>
      <c r="J412" s="5">
        <v>1</v>
      </c>
      <c r="K412" s="5" t="s">
        <v>20</v>
      </c>
      <c r="L412" s="5" t="str">
        <f>VLOOKUP(Healthcare!$A412,hospital_details,2,0)</f>
        <v>4-Dec-1995</v>
      </c>
      <c r="M412" s="5">
        <f t="shared" ref="M412:M475" ca="1" si="2459">VLOOKUP(A412,hospital_details,3,0)</f>
        <v>30</v>
      </c>
      <c r="N412" s="5">
        <f t="shared" ref="N412:N475" si="2460">VLOOKUP($A412,hospital_details,4,0)</f>
        <v>0</v>
      </c>
      <c r="O412" s="6">
        <f t="shared" ref="O412:O475" si="2461">VLOOKUP($A412,hospital_details,5,0)</f>
        <v>25075.97</v>
      </c>
      <c r="P412" s="5" t="str">
        <f t="shared" ref="P412:P475" si="2462">VLOOKUP($A412,hospital_details,6,0)</f>
        <v>tier - 2</v>
      </c>
      <c r="Q412" s="5" t="str">
        <f t="shared" ref="Q412:Q475" si="2463">VLOOKUP($A412,hospital_details,7,0)</f>
        <v>tier - 2</v>
      </c>
      <c r="R412" s="5" t="str">
        <f t="shared" ref="R412:R475" si="2464">VLOOKUP($A412,hospital_details,8,0)</f>
        <v>R1011</v>
      </c>
    </row>
    <row r="413" spans="1:18" ht="14.4" customHeight="1" x14ac:dyDescent="0.3">
      <c r="A413" s="7" t="s">
        <v>432</v>
      </c>
      <c r="B413" s="7" t="str">
        <f>VLOOKUP($A413,[1]!Customer_Names[#Data],3,0)</f>
        <v xml:space="preserve">  Christopher</v>
      </c>
      <c r="C413" s="7">
        <v>28.215</v>
      </c>
      <c r="D413" s="7" t="str" cm="1">
        <f t="array" ref="D413">_xlfn.IFS(Healthcare!$C413&lt;18.5,"under weight",Healthcare!$C413&lt;=24.9,"Normal Weight",Healthcare!$C413&gt;=25,"overweight",Healthcare!$C413&gt;=30,"obese")</f>
        <v>overweight</v>
      </c>
      <c r="E413" s="7">
        <v>8.26</v>
      </c>
      <c r="F413" s="7" t="str" cm="1">
        <f t="array" ref="F413">_xlfn.IFS(Healthcare!$E413&lt;5.7,"normal",Healthcare!$E413&lt;=6.4,"prediabetes",Healthcare!$E413&gt;=6.5,"diabetes")</f>
        <v>diabetes</v>
      </c>
      <c r="G413" s="7" t="s">
        <v>20</v>
      </c>
      <c r="H413" s="7" t="s">
        <v>19</v>
      </c>
      <c r="I413" s="7" t="s">
        <v>19</v>
      </c>
      <c r="J413" s="7">
        <v>1</v>
      </c>
      <c r="K413" s="7" t="s">
        <v>20</v>
      </c>
      <c r="L413" s="7" t="str">
        <f>VLOOKUP(Healthcare!$A413,hospital_details,2,0)</f>
        <v>14-Nov-1975</v>
      </c>
      <c r="M413" s="7">
        <f t="shared" ref="M413:M476" ca="1" si="2465">VLOOKUP(A413,hospital_details,3,0)</f>
        <v>50</v>
      </c>
      <c r="N413" s="7">
        <f t="shared" ref="N413:N476" si="2466">VLOOKUP($A413,hospital_details,4,0)</f>
        <v>3</v>
      </c>
      <c r="O413" s="8">
        <f t="shared" ref="O413:O476" si="2467">VLOOKUP($A413,hospital_details,5,0)</f>
        <v>24915.22</v>
      </c>
      <c r="P413" s="7" t="str">
        <f t="shared" ref="P413:P476" si="2468">VLOOKUP($A413,hospital_details,6,0)</f>
        <v>tier - 2</v>
      </c>
      <c r="Q413" s="7" t="str">
        <f t="shared" ref="Q413:Q476" si="2469">VLOOKUP($A413,hospital_details,7,0)</f>
        <v>tier - 3</v>
      </c>
      <c r="R413" s="7" t="str">
        <f t="shared" ref="R413:R476" si="2470">VLOOKUP($A413,hospital_details,8,0)</f>
        <v>R1012</v>
      </c>
    </row>
    <row r="414" spans="1:18" ht="14.4" customHeight="1" x14ac:dyDescent="0.3">
      <c r="A414" s="5" t="s">
        <v>433</v>
      </c>
      <c r="B414" s="5" t="str">
        <f>VLOOKUP($A414,[1]!Customer_Names[#Data],3,0)</f>
        <v xml:space="preserve">  Kendra A</v>
      </c>
      <c r="C414" s="5">
        <v>38.094999999999999</v>
      </c>
      <c r="D414" s="5" t="str" cm="1">
        <f t="array" ref="D414">_xlfn.IFS(Healthcare!$C414&lt;18.5,"under weight",Healthcare!$C414&lt;=24.9,"Normal Weight",Healthcare!$C414&gt;=25,"overweight",Healthcare!$C414&gt;=30,"obese")</f>
        <v>overweight</v>
      </c>
      <c r="E414" s="5">
        <v>4.76</v>
      </c>
      <c r="F414" s="5" t="str" cm="1">
        <f t="array" ref="F414">_xlfn.IFS(Healthcare!$E414&lt;5.7,"normal",Healthcare!$E414&lt;=6.4,"prediabetes",Healthcare!$E414&gt;=6.5,"diabetes")</f>
        <v>normal</v>
      </c>
      <c r="G414" s="5" t="s">
        <v>19</v>
      </c>
      <c r="H414" s="5" t="s">
        <v>19</v>
      </c>
      <c r="I414" s="5" t="s">
        <v>19</v>
      </c>
      <c r="J414" s="5">
        <v>1</v>
      </c>
      <c r="K414" s="5" t="s">
        <v>19</v>
      </c>
      <c r="L414" s="5" t="str">
        <f>VLOOKUP(Healthcare!$A414,hospital_details,2,0)</f>
        <v>14-Jun-1987</v>
      </c>
      <c r="M414" s="5">
        <f t="shared" ref="M414:M477" ca="1" si="2471">VLOOKUP(A414,hospital_details,3,0)</f>
        <v>39</v>
      </c>
      <c r="N414" s="5">
        <f t="shared" ref="N414:N477" si="2472">VLOOKUP($A414,hospital_details,4,0)</f>
        <v>2</v>
      </c>
      <c r="O414" s="6">
        <f t="shared" ref="O414:O477" si="2473">VLOOKUP($A414,hospital_details,5,0)</f>
        <v>24915.05</v>
      </c>
      <c r="P414" s="5" t="str">
        <f t="shared" ref="P414:P477" si="2474">VLOOKUP($A414,hospital_details,6,0)</f>
        <v>tier - 2</v>
      </c>
      <c r="Q414" s="5" t="str">
        <f t="shared" ref="Q414:Q477" si="2475">VLOOKUP($A414,hospital_details,7,0)</f>
        <v>tier - 1</v>
      </c>
      <c r="R414" s="5" t="str">
        <f t="shared" ref="R414:R477" si="2476">VLOOKUP($A414,hospital_details,8,0)</f>
        <v>R1024</v>
      </c>
    </row>
    <row r="415" spans="1:18" ht="14.4" customHeight="1" x14ac:dyDescent="0.3">
      <c r="A415" s="7" t="s">
        <v>434</v>
      </c>
      <c r="B415" s="7" t="str">
        <f>VLOOKUP($A415,[1]!Customer_Names[#Data],3,0)</f>
        <v xml:space="preserve">  Jordan</v>
      </c>
      <c r="C415" s="7">
        <v>22.61</v>
      </c>
      <c r="D415" s="7" t="str" cm="1">
        <f t="array" ref="D415">_xlfn.IFS(Healthcare!$C415&lt;18.5,"under weight",Healthcare!$C415&lt;=24.9,"Normal Weight",Healthcare!$C415&gt;=25,"overweight",Healthcare!$C415&gt;=30,"obese")</f>
        <v>Normal Weight</v>
      </c>
      <c r="E415" s="7">
        <v>6.13</v>
      </c>
      <c r="F415" s="7" t="str" cm="1">
        <f t="array" ref="F415">_xlfn.IFS(Healthcare!$E415&lt;5.7,"normal",Healthcare!$E415&lt;=6.4,"prediabetes",Healthcare!$E415&gt;=6.5,"diabetes")</f>
        <v>prediabetes</v>
      </c>
      <c r="G415" s="7" t="s">
        <v>20</v>
      </c>
      <c r="H415" s="7" t="s">
        <v>19</v>
      </c>
      <c r="I415" s="7" t="s">
        <v>29</v>
      </c>
      <c r="J415" s="7">
        <v>1</v>
      </c>
      <c r="K415" s="7" t="s">
        <v>20</v>
      </c>
      <c r="L415" s="7" t="str">
        <f>VLOOKUP(Healthcare!$A415,hospital_details,2,0)</f>
        <v>23-Jul-1969</v>
      </c>
      <c r="M415" s="7">
        <f t="shared" ref="M415:M478" ca="1" si="2477">VLOOKUP(A415,hospital_details,3,0)</f>
        <v>57</v>
      </c>
      <c r="N415" s="7">
        <f t="shared" ref="N415:N478" si="2478">VLOOKUP($A415,hospital_details,4,0)</f>
        <v>3</v>
      </c>
      <c r="O415" s="8">
        <f t="shared" ref="O415:O478" si="2479">VLOOKUP($A415,hospital_details,5,0)</f>
        <v>24873.38</v>
      </c>
      <c r="P415" s="7" t="str">
        <f t="shared" ref="P415:P478" si="2480">VLOOKUP($A415,hospital_details,6,0)</f>
        <v>tier - 2</v>
      </c>
      <c r="Q415" s="7" t="str">
        <f t="shared" ref="Q415:Q478" si="2481">VLOOKUP($A415,hospital_details,7,0)</f>
        <v>tier - 1</v>
      </c>
      <c r="R415" s="7" t="str">
        <f t="shared" ref="R415:R478" si="2482">VLOOKUP($A415,hospital_details,8,0)</f>
        <v>R1024</v>
      </c>
    </row>
    <row r="416" spans="1:18" ht="14.4" customHeight="1" x14ac:dyDescent="0.3">
      <c r="A416" s="5" t="s">
        <v>435</v>
      </c>
      <c r="B416" s="5" t="str">
        <f>VLOOKUP($A416,[1]!Customer_Names[#Data],3,0)</f>
        <v xml:space="preserve">  Nils</v>
      </c>
      <c r="C416" s="5">
        <v>24.32</v>
      </c>
      <c r="D416" s="5" t="str" cm="1">
        <f t="array" ref="D416">_xlfn.IFS(Healthcare!$C416&lt;18.5,"under weight",Healthcare!$C416&lt;=24.9,"Normal Weight",Healthcare!$C416&gt;=25,"overweight",Healthcare!$C416&gt;=30,"obese")</f>
        <v>Normal Weight</v>
      </c>
      <c r="E416" s="5">
        <v>10.47</v>
      </c>
      <c r="F416" s="5" t="str" cm="1">
        <f t="array" ref="F416">_xlfn.IFS(Healthcare!$E416&lt;5.7,"normal",Healthcare!$E416&lt;=6.4,"prediabetes",Healthcare!$E416&gt;=6.5,"diabetes")</f>
        <v>diabetes</v>
      </c>
      <c r="G416" s="5" t="s">
        <v>20</v>
      </c>
      <c r="H416" s="5" t="s">
        <v>19</v>
      </c>
      <c r="I416" s="5" t="s">
        <v>19</v>
      </c>
      <c r="J416" s="5">
        <v>2</v>
      </c>
      <c r="K416" s="5" t="s">
        <v>20</v>
      </c>
      <c r="L416" s="5" t="str">
        <f>VLOOKUP(Healthcare!$A416,hospital_details,2,0)</f>
        <v>26-Nov-1970</v>
      </c>
      <c r="M416" s="5">
        <f t="shared" ref="M416:M479" ca="1" si="2483">VLOOKUP(A416,hospital_details,3,0)</f>
        <v>55</v>
      </c>
      <c r="N416" s="5">
        <f t="shared" ref="N416:N479" si="2484">VLOOKUP($A416,hospital_details,4,0)</f>
        <v>3</v>
      </c>
      <c r="O416" s="6">
        <f t="shared" ref="O416:O479" si="2485">VLOOKUP($A416,hospital_details,5,0)</f>
        <v>24869.84</v>
      </c>
      <c r="P416" s="5" t="str">
        <f t="shared" ref="P416:P479" si="2486">VLOOKUP($A416,hospital_details,6,0)</f>
        <v>tier - 2</v>
      </c>
      <c r="Q416" s="5" t="str">
        <f t="shared" ref="Q416:Q479" si="2487">VLOOKUP($A416,hospital_details,7,0)</f>
        <v>tier - 2</v>
      </c>
      <c r="R416" s="5" t="str">
        <f t="shared" ref="R416:R479" si="2488">VLOOKUP($A416,hospital_details,8,0)</f>
        <v>R1016</v>
      </c>
    </row>
    <row r="417" spans="1:18" ht="14.4" customHeight="1" x14ac:dyDescent="0.3">
      <c r="A417" s="7" t="s">
        <v>436</v>
      </c>
      <c r="B417" s="7" t="str">
        <f>VLOOKUP($A417,[1]!Customer_Names[#Data],3,0)</f>
        <v xml:space="preserve">  Scott</v>
      </c>
      <c r="C417" s="7">
        <v>20.96</v>
      </c>
      <c r="D417" s="7" t="str" cm="1">
        <f t="array" ref="D417">_xlfn.IFS(Healthcare!$C417&lt;18.5,"under weight",Healthcare!$C417&lt;=24.9,"Normal Weight",Healthcare!$C417&gt;=25,"overweight",Healthcare!$C417&gt;=30,"obese")</f>
        <v>Normal Weight</v>
      </c>
      <c r="E417" s="7">
        <v>4.04</v>
      </c>
      <c r="F417" s="7" t="str" cm="1">
        <f t="array" ref="F417">_xlfn.IFS(Healthcare!$E417&lt;5.7,"normal",Healthcare!$E417&lt;=6.4,"prediabetes",Healthcare!$E417&gt;=6.5,"diabetes")</f>
        <v>normal</v>
      </c>
      <c r="G417" s="7" t="s">
        <v>20</v>
      </c>
      <c r="H417" s="7" t="s">
        <v>19</v>
      </c>
      <c r="I417" s="7" t="s">
        <v>19</v>
      </c>
      <c r="J417" s="7">
        <v>1</v>
      </c>
      <c r="K417" s="7" t="s">
        <v>20</v>
      </c>
      <c r="L417" s="7" t="str">
        <f>VLOOKUP(Healthcare!$A417,hospital_details,2,0)</f>
        <v>10-Jun-1995</v>
      </c>
      <c r="M417" s="7">
        <f t="shared" ref="M417:M480" ca="1" si="2489">VLOOKUP(A417,hospital_details,3,0)</f>
        <v>31</v>
      </c>
      <c r="N417" s="7">
        <f t="shared" ref="N417:N480" si="2490">VLOOKUP($A417,hospital_details,4,0)</f>
        <v>0</v>
      </c>
      <c r="O417" s="8">
        <f t="shared" ref="O417:O480" si="2491">VLOOKUP($A417,hospital_details,5,0)</f>
        <v>24863.25</v>
      </c>
      <c r="P417" s="7" t="str">
        <f t="shared" ref="P417:P480" si="2492">VLOOKUP($A417,hospital_details,6,0)</f>
        <v>tier - 2</v>
      </c>
      <c r="Q417" s="7" t="str">
        <f t="shared" ref="Q417:Q480" si="2493">VLOOKUP($A417,hospital_details,7,0)</f>
        <v>tier - 3</v>
      </c>
      <c r="R417" s="7" t="str">
        <f t="shared" ref="R417:R480" si="2494">VLOOKUP($A417,hospital_details,8,0)</f>
        <v>R1011</v>
      </c>
    </row>
    <row r="418" spans="1:18" ht="14.4" customHeight="1" x14ac:dyDescent="0.3">
      <c r="A418" s="5" t="s">
        <v>437</v>
      </c>
      <c r="B418" s="5" t="str">
        <f>VLOOKUP($A418,[1]!Customer_Names[#Data],3,0)</f>
        <v xml:space="preserve">  Angela</v>
      </c>
      <c r="C418" s="5">
        <v>19.68</v>
      </c>
      <c r="D418" s="5" t="str" cm="1">
        <f t="array" ref="D418">_xlfn.IFS(Healthcare!$C418&lt;18.5,"under weight",Healthcare!$C418&lt;=24.9,"Normal Weight",Healthcare!$C418&gt;=25,"overweight",Healthcare!$C418&gt;=30,"obese")</f>
        <v>Normal Weight</v>
      </c>
      <c r="E418" s="5">
        <v>5.74</v>
      </c>
      <c r="F418" s="5" t="str" cm="1">
        <f t="array" ref="F418">_xlfn.IFS(Healthcare!$E418&lt;5.7,"normal",Healthcare!$E418&lt;=6.4,"prediabetes",Healthcare!$E418&gt;=6.5,"diabetes")</f>
        <v>prediabetes</v>
      </c>
      <c r="G418" s="5" t="s">
        <v>19</v>
      </c>
      <c r="H418" s="5" t="s">
        <v>19</v>
      </c>
      <c r="I418" s="5" t="s">
        <v>19</v>
      </c>
      <c r="J418" s="5">
        <v>0</v>
      </c>
      <c r="K418" s="5" t="s">
        <v>20</v>
      </c>
      <c r="L418" s="5" t="str">
        <f>VLOOKUP(Healthcare!$A418,hospital_details,2,0)</f>
        <v>9-Sep-1994</v>
      </c>
      <c r="M418" s="5">
        <f t="shared" ref="M418:M481" ca="1" si="2495">VLOOKUP(A418,hospital_details,3,0)</f>
        <v>32</v>
      </c>
      <c r="N418" s="5">
        <f t="shared" ref="N418:N481" si="2496">VLOOKUP($A418,hospital_details,4,0)</f>
        <v>0</v>
      </c>
      <c r="O418" s="6">
        <f t="shared" ref="O418:O481" si="2497">VLOOKUP($A418,hospital_details,5,0)</f>
        <v>24817.25</v>
      </c>
      <c r="P418" s="5" t="str">
        <f t="shared" ref="P418:P481" si="2498">VLOOKUP($A418,hospital_details,6,0)</f>
        <v>tier - 2</v>
      </c>
      <c r="Q418" s="5" t="str">
        <f t="shared" ref="Q418:Q481" si="2499">VLOOKUP($A418,hospital_details,7,0)</f>
        <v>tier - 2</v>
      </c>
      <c r="R418" s="5" t="str">
        <f t="shared" ref="R418:R481" si="2500">VLOOKUP($A418,hospital_details,8,0)</f>
        <v>R1011</v>
      </c>
    </row>
    <row r="419" spans="1:18" ht="14.4" customHeight="1" x14ac:dyDescent="0.3">
      <c r="A419" s="7" t="s">
        <v>438</v>
      </c>
      <c r="B419" s="7" t="str">
        <f>VLOOKUP($A419,[1]!Customer_Names[#Data],3,0)</f>
        <v xml:space="preserve">  Allison</v>
      </c>
      <c r="C419" s="7">
        <v>18.100000000000001</v>
      </c>
      <c r="D419" s="7" t="str" cm="1">
        <f t="array" ref="D419">_xlfn.IFS(Healthcare!$C419&lt;18.5,"under weight",Healthcare!$C419&lt;=24.9,"Normal Weight",Healthcare!$C419&gt;=25,"overweight",Healthcare!$C419&gt;=30,"obese")</f>
        <v>under weight</v>
      </c>
      <c r="E419" s="7">
        <v>6.33</v>
      </c>
      <c r="F419" s="7" t="str" cm="1">
        <f t="array" ref="F419">_xlfn.IFS(Healthcare!$E419&lt;5.7,"normal",Healthcare!$E419&lt;=6.4,"prediabetes",Healthcare!$E419&gt;=6.5,"diabetes")</f>
        <v>prediabetes</v>
      </c>
      <c r="G419" s="7" t="s">
        <v>19</v>
      </c>
      <c r="H419" s="7" t="s">
        <v>19</v>
      </c>
      <c r="I419" s="7" t="s">
        <v>19</v>
      </c>
      <c r="J419" s="7">
        <v>1</v>
      </c>
      <c r="K419" s="7" t="s">
        <v>20</v>
      </c>
      <c r="L419" s="7" t="str">
        <f>VLOOKUP(Healthcare!$A419,hospital_details,2,0)</f>
        <v>11-Oct-1992</v>
      </c>
      <c r="M419" s="7">
        <f t="shared" ref="M419:M482" ca="1" si="2501">VLOOKUP(A419,hospital_details,3,0)</f>
        <v>34</v>
      </c>
      <c r="N419" s="7">
        <f t="shared" ref="N419:N482" si="2502">VLOOKUP($A419,hospital_details,4,0)</f>
        <v>0</v>
      </c>
      <c r="O419" s="8">
        <f t="shared" ref="O419:O482" si="2503">VLOOKUP($A419,hospital_details,5,0)</f>
        <v>24795.040000000001</v>
      </c>
      <c r="P419" s="7" t="str">
        <f t="shared" ref="P419:P482" si="2504">VLOOKUP($A419,hospital_details,6,0)</f>
        <v>tier - 2</v>
      </c>
      <c r="Q419" s="7" t="str">
        <f t="shared" ref="Q419:Q482" si="2505">VLOOKUP($A419,hospital_details,7,0)</f>
        <v>tier - 3</v>
      </c>
      <c r="R419" s="7" t="str">
        <f t="shared" ref="R419:R482" si="2506">VLOOKUP($A419,hospital_details,8,0)</f>
        <v>R1011</v>
      </c>
    </row>
    <row r="420" spans="1:18" ht="14.4" customHeight="1" x14ac:dyDescent="0.3">
      <c r="A420" s="5" t="s">
        <v>439</v>
      </c>
      <c r="B420" s="5" t="str">
        <f>VLOOKUP($A420,[1]!Customer_Names[#Data],3,0)</f>
        <v xml:space="preserve">  Caitlin O</v>
      </c>
      <c r="C420" s="5">
        <v>29.64</v>
      </c>
      <c r="D420" s="5" t="str" cm="1">
        <f t="array" ref="D420">_xlfn.IFS(Healthcare!$C420&lt;18.5,"under weight",Healthcare!$C420&lt;=24.9,"Normal Weight",Healthcare!$C420&gt;=25,"overweight",Healthcare!$C420&gt;=30,"obese")</f>
        <v>overweight</v>
      </c>
      <c r="E420" s="5">
        <v>4.28</v>
      </c>
      <c r="F420" s="5" t="str" cm="1">
        <f t="array" ref="F420">_xlfn.IFS(Healthcare!$E420&lt;5.7,"normal",Healthcare!$E420&lt;=6.4,"prediabetes",Healthcare!$E420&gt;=6.5,"diabetes")</f>
        <v>normal</v>
      </c>
      <c r="G420" s="5" t="s">
        <v>20</v>
      </c>
      <c r="H420" s="5" t="s">
        <v>19</v>
      </c>
      <c r="I420" s="5" t="s">
        <v>19</v>
      </c>
      <c r="J420" s="5">
        <v>0</v>
      </c>
      <c r="K420" s="5" t="s">
        <v>19</v>
      </c>
      <c r="L420" s="5" t="str">
        <f>VLOOKUP(Healthcare!$A420,hospital_details,2,0)</f>
        <v>28-Aug-1996</v>
      </c>
      <c r="M420" s="5">
        <f t="shared" ref="M420:M483" ca="1" si="2507">VLOOKUP(A420,hospital_details,3,0)</f>
        <v>30</v>
      </c>
      <c r="N420" s="5">
        <f t="shared" ref="N420:N483" si="2508">VLOOKUP($A420,hospital_details,4,0)</f>
        <v>4</v>
      </c>
      <c r="O420" s="6">
        <f t="shared" ref="O420:O483" si="2509">VLOOKUP($A420,hospital_details,5,0)</f>
        <v>24671.66</v>
      </c>
      <c r="P420" s="5" t="str">
        <f t="shared" ref="P420:P483" si="2510">VLOOKUP($A420,hospital_details,6,0)</f>
        <v>tier - 2</v>
      </c>
      <c r="Q420" s="5" t="str">
        <f t="shared" ref="Q420:Q483" si="2511">VLOOKUP($A420,hospital_details,7,0)</f>
        <v>tier - 1</v>
      </c>
      <c r="R420" s="5" t="str">
        <f t="shared" ref="R420:R483" si="2512">VLOOKUP($A420,hospital_details,8,0)</f>
        <v>R1024</v>
      </c>
    </row>
    <row r="421" spans="1:18" ht="14.4" customHeight="1" x14ac:dyDescent="0.3">
      <c r="A421" s="7" t="s">
        <v>440</v>
      </c>
      <c r="B421" s="7" t="str">
        <f>VLOOKUP($A421,[1]!Customer_Names[#Data],3,0)</f>
        <v xml:space="preserve">  Tracy M</v>
      </c>
      <c r="C421" s="7">
        <v>25.3</v>
      </c>
      <c r="D421" s="7" t="str" cm="1">
        <f t="array" ref="D421">_xlfn.IFS(Healthcare!$C421&lt;18.5,"under weight",Healthcare!$C421&lt;=24.9,"Normal Weight",Healthcare!$C421&gt;=25,"overweight",Healthcare!$C421&gt;=30,"obese")</f>
        <v>overweight</v>
      </c>
      <c r="E421" s="7">
        <v>9.4700000000000006</v>
      </c>
      <c r="F421" s="7" t="str" cm="1">
        <f t="array" ref="F421">_xlfn.IFS(Healthcare!$E421&lt;5.7,"normal",Healthcare!$E421&lt;=6.4,"prediabetes",Healthcare!$E421&gt;=6.5,"diabetes")</f>
        <v>diabetes</v>
      </c>
      <c r="G421" s="7" t="s">
        <v>20</v>
      </c>
      <c r="H421" s="7" t="s">
        <v>19</v>
      </c>
      <c r="I421" s="7" t="s">
        <v>19</v>
      </c>
      <c r="J421" s="7">
        <v>2</v>
      </c>
      <c r="K421" s="7" t="s">
        <v>20</v>
      </c>
      <c r="L421" s="7" t="str">
        <f>VLOOKUP(Healthcare!$A421,hospital_details,2,0)</f>
        <v>12-Jun-1970</v>
      </c>
      <c r="M421" s="7">
        <f t="shared" ref="M421:M484" ca="1" si="2513">VLOOKUP(A421,hospital_details,3,0)</f>
        <v>56</v>
      </c>
      <c r="N421" s="7">
        <f t="shared" ref="N421:N484" si="2514">VLOOKUP($A421,hospital_details,4,0)</f>
        <v>2</v>
      </c>
      <c r="O421" s="8">
        <f t="shared" ref="O421:O484" si="2515">VLOOKUP($A421,hospital_details,5,0)</f>
        <v>24667.42</v>
      </c>
      <c r="P421" s="7" t="str">
        <f t="shared" ref="P421:P484" si="2516">VLOOKUP($A421,hospital_details,6,0)</f>
        <v>tier - 2</v>
      </c>
      <c r="Q421" s="7" t="str">
        <f t="shared" ref="Q421:Q484" si="2517">VLOOKUP($A421,hospital_details,7,0)</f>
        <v>tier - 3</v>
      </c>
      <c r="R421" s="7" t="str">
        <f t="shared" ref="R421:R484" si="2518">VLOOKUP($A421,hospital_details,8,0)</f>
        <v>R1013</v>
      </c>
    </row>
    <row r="422" spans="1:18" ht="14.4" customHeight="1" x14ac:dyDescent="0.3">
      <c r="A422" s="5" t="s">
        <v>441</v>
      </c>
      <c r="B422" s="5" t="str">
        <f>VLOOKUP($A422,[1]!Customer_Names[#Data],3,0)</f>
        <v xml:space="preserve">  Dustin M</v>
      </c>
      <c r="C422" s="5">
        <v>27.6</v>
      </c>
      <c r="D422" s="5" t="str" cm="1">
        <f t="array" ref="D422">_xlfn.IFS(Healthcare!$C422&lt;18.5,"under weight",Healthcare!$C422&lt;=24.9,"Normal Weight",Healthcare!$C422&gt;=25,"overweight",Healthcare!$C422&gt;=30,"obese")</f>
        <v>overweight</v>
      </c>
      <c r="E422" s="5">
        <v>4.8499999999999996</v>
      </c>
      <c r="F422" s="5" t="str" cm="1">
        <f t="array" ref="F422">_xlfn.IFS(Healthcare!$E422&lt;5.7,"normal",Healthcare!$E422&lt;=6.4,"prediabetes",Healthcare!$E422&gt;=6.5,"diabetes")</f>
        <v>normal</v>
      </c>
      <c r="G422" s="5" t="s">
        <v>20</v>
      </c>
      <c r="H422" s="5" t="s">
        <v>19</v>
      </c>
      <c r="I422" s="5" t="s">
        <v>19</v>
      </c>
      <c r="J422" s="5">
        <v>0</v>
      </c>
      <c r="K422" s="5" t="s">
        <v>19</v>
      </c>
      <c r="L422" s="5" t="str">
        <f>VLOOKUP(Healthcare!$A422,hospital_details,2,0)</f>
        <v>12-Oct-1976</v>
      </c>
      <c r="M422" s="5">
        <f t="shared" ref="M422:M485" ca="1" si="2519">VLOOKUP(A422,hospital_details,3,0)</f>
        <v>50</v>
      </c>
      <c r="N422" s="5">
        <f t="shared" ref="N422:N485" si="2520">VLOOKUP($A422,hospital_details,4,0)</f>
        <v>0</v>
      </c>
      <c r="O422" s="6">
        <f t="shared" ref="O422:O485" si="2521">VLOOKUP($A422,hospital_details,5,0)</f>
        <v>24603.05</v>
      </c>
      <c r="P422" s="5" t="str">
        <f t="shared" ref="P422:P485" si="2522">VLOOKUP($A422,hospital_details,6,0)</f>
        <v>tier - 2</v>
      </c>
      <c r="Q422" s="5" t="str">
        <f t="shared" ref="Q422:Q485" si="2523">VLOOKUP($A422,hospital_details,7,0)</f>
        <v>tier - 2</v>
      </c>
      <c r="R422" s="5" t="str">
        <f t="shared" ref="R422:R485" si="2524">VLOOKUP($A422,hospital_details,8,0)</f>
        <v>R1011</v>
      </c>
    </row>
    <row r="423" spans="1:18" ht="14.4" customHeight="1" x14ac:dyDescent="0.3">
      <c r="A423" s="7" t="s">
        <v>442</v>
      </c>
      <c r="B423" s="7" t="str">
        <f>VLOOKUP($A423,[1]!Customer_Names[#Data],3,0)</f>
        <v xml:space="preserve">  Jenny</v>
      </c>
      <c r="C423" s="7">
        <v>27.645</v>
      </c>
      <c r="D423" s="7" t="str" cm="1">
        <f t="array" ref="D423">_xlfn.IFS(Healthcare!$C423&lt;18.5,"under weight",Healthcare!$C423&lt;=24.9,"Normal Weight",Healthcare!$C423&gt;=25,"overweight",Healthcare!$C423&gt;=30,"obese")</f>
        <v>overweight</v>
      </c>
      <c r="E423" s="7">
        <v>11.03</v>
      </c>
      <c r="F423" s="7" t="str" cm="1">
        <f t="array" ref="F423">_xlfn.IFS(Healthcare!$E423&lt;5.7,"normal",Healthcare!$E423&lt;=6.4,"prediabetes",Healthcare!$E423&gt;=6.5,"diabetes")</f>
        <v>diabetes</v>
      </c>
      <c r="G423" s="7" t="s">
        <v>20</v>
      </c>
      <c r="H423" s="7" t="s">
        <v>19</v>
      </c>
      <c r="I423" s="7" t="s">
        <v>19</v>
      </c>
      <c r="J423" s="7">
        <v>1</v>
      </c>
      <c r="K423" s="7" t="s">
        <v>20</v>
      </c>
      <c r="L423" s="7" t="str">
        <f>VLOOKUP(Healthcare!$A423,hospital_details,2,0)</f>
        <v>13-Jun-1975</v>
      </c>
      <c r="M423" s="7">
        <f t="shared" ref="M423:M486" ca="1" si="2525">VLOOKUP(A423,hospital_details,3,0)</f>
        <v>51</v>
      </c>
      <c r="N423" s="7">
        <f t="shared" ref="N423:N486" si="2526">VLOOKUP($A423,hospital_details,4,0)</f>
        <v>2</v>
      </c>
      <c r="O423" s="8">
        <f t="shared" ref="O423:O486" si="2527">VLOOKUP($A423,hospital_details,5,0)</f>
        <v>24535.7</v>
      </c>
      <c r="P423" s="7" t="str">
        <f t="shared" ref="P423:P486" si="2528">VLOOKUP($A423,hospital_details,6,0)</f>
        <v>tier - 2</v>
      </c>
      <c r="Q423" s="7" t="str">
        <f t="shared" ref="Q423:Q486" si="2529">VLOOKUP($A423,hospital_details,7,0)</f>
        <v>tier - 2</v>
      </c>
      <c r="R423" s="7" t="str">
        <f t="shared" ref="R423:R486" si="2530">VLOOKUP($A423,hospital_details,8,0)</f>
        <v>R1012</v>
      </c>
    </row>
    <row r="424" spans="1:18" ht="14.4" customHeight="1" x14ac:dyDescent="0.3">
      <c r="A424" s="5" t="s">
        <v>443</v>
      </c>
      <c r="B424" s="5" t="str">
        <f>VLOOKUP($A424,[1]!Customer_Names[#Data],3,0)</f>
        <v xml:space="preserve">  Emily</v>
      </c>
      <c r="C424" s="5">
        <v>27.6</v>
      </c>
      <c r="D424" s="5" t="str" cm="1">
        <f t="array" ref="D424">_xlfn.IFS(Healthcare!$C424&lt;18.5,"under weight",Healthcare!$C424&lt;=24.9,"Normal Weight",Healthcare!$C424&gt;=25,"overweight",Healthcare!$C424&gt;=30,"obese")</f>
        <v>overweight</v>
      </c>
      <c r="E424" s="5">
        <v>5.22</v>
      </c>
      <c r="F424" s="5" t="str" cm="1">
        <f t="array" ref="F424">_xlfn.IFS(Healthcare!$E424&lt;5.7,"normal",Healthcare!$E424&lt;=6.4,"prediabetes",Healthcare!$E424&gt;=6.5,"diabetes")</f>
        <v>normal</v>
      </c>
      <c r="G424" s="5" t="s">
        <v>19</v>
      </c>
      <c r="H424" s="5" t="s">
        <v>19</v>
      </c>
      <c r="I424" s="5" t="s">
        <v>19</v>
      </c>
      <c r="J424" s="5">
        <v>2</v>
      </c>
      <c r="K424" s="5" t="s">
        <v>20</v>
      </c>
      <c r="L424" s="5" t="str">
        <f>VLOOKUP(Healthcare!$A424,hospital_details,2,0)</f>
        <v>14-Sep-1972</v>
      </c>
      <c r="M424" s="5">
        <f t="shared" ref="M424:M487" ca="1" si="2531">VLOOKUP(A424,hospital_details,3,0)</f>
        <v>54</v>
      </c>
      <c r="N424" s="5">
        <f t="shared" ref="N424:N487" si="2532">VLOOKUP($A424,hospital_details,4,0)</f>
        <v>1</v>
      </c>
      <c r="O424" s="6">
        <f t="shared" ref="O424:O487" si="2533">VLOOKUP($A424,hospital_details,5,0)</f>
        <v>24520.26</v>
      </c>
      <c r="P424" s="5" t="str">
        <f t="shared" ref="P424:P487" si="2534">VLOOKUP($A424,hospital_details,6,0)</f>
        <v>tier - 2</v>
      </c>
      <c r="Q424" s="5" t="str">
        <f t="shared" ref="Q424:Q487" si="2535">VLOOKUP($A424,hospital_details,7,0)</f>
        <v>tier - 3</v>
      </c>
      <c r="R424" s="5" t="str">
        <f t="shared" ref="R424:R487" si="2536">VLOOKUP($A424,hospital_details,8,0)</f>
        <v>R1011</v>
      </c>
    </row>
    <row r="425" spans="1:18" ht="14.4" customHeight="1" x14ac:dyDescent="0.3">
      <c r="A425" s="7" t="s">
        <v>444</v>
      </c>
      <c r="B425" s="7" t="str">
        <f>VLOOKUP($A425,[1]!Customer_Names[#Data],3,0)</f>
        <v xml:space="preserve">  Fabienne</v>
      </c>
      <c r="C425" s="7">
        <v>25.08</v>
      </c>
      <c r="D425" s="7" t="str" cm="1">
        <f t="array" ref="D425">_xlfn.IFS(Healthcare!$C425&lt;18.5,"under weight",Healthcare!$C425&lt;=24.9,"Normal Weight",Healthcare!$C425&gt;=25,"overweight",Healthcare!$C425&gt;=30,"obese")</f>
        <v>overweight</v>
      </c>
      <c r="E425" s="7">
        <v>9.52</v>
      </c>
      <c r="F425" s="7" t="str" cm="1">
        <f t="array" ref="F425">_xlfn.IFS(Healthcare!$E425&lt;5.7,"normal",Healthcare!$E425&lt;=6.4,"prediabetes",Healthcare!$E425&gt;=6.5,"diabetes")</f>
        <v>diabetes</v>
      </c>
      <c r="G425" s="7" t="s">
        <v>20</v>
      </c>
      <c r="H425" s="7" t="s">
        <v>19</v>
      </c>
      <c r="I425" s="7" t="s">
        <v>19</v>
      </c>
      <c r="J425" s="7">
        <v>2</v>
      </c>
      <c r="K425" s="7" t="s">
        <v>19</v>
      </c>
      <c r="L425" s="7" t="str">
        <f>VLOOKUP(Healthcare!$A425,hospital_details,2,0)</f>
        <v>21-Oct-1961</v>
      </c>
      <c r="M425" s="7">
        <f t="shared" ref="M425:M488" ca="1" si="2537">VLOOKUP(A425,hospital_details,3,0)</f>
        <v>64</v>
      </c>
      <c r="N425" s="7">
        <f t="shared" ref="N425:N488" si="2538">VLOOKUP($A425,hospital_details,4,0)</f>
        <v>0</v>
      </c>
      <c r="O425" s="8">
        <f t="shared" ref="O425:O488" si="2539">VLOOKUP($A425,hospital_details,5,0)</f>
        <v>24513.09</v>
      </c>
      <c r="P425" s="7" t="str">
        <f t="shared" ref="P425:P488" si="2540">VLOOKUP($A425,hospital_details,6,0)</f>
        <v>tier - 2</v>
      </c>
      <c r="Q425" s="7" t="str">
        <f t="shared" ref="Q425:Q488" si="2541">VLOOKUP($A425,hospital_details,7,0)</f>
        <v>tier - 2</v>
      </c>
      <c r="R425" s="7" t="str">
        <f t="shared" ref="R425:R488" si="2542">VLOOKUP($A425,hospital_details,8,0)</f>
        <v>R1013</v>
      </c>
    </row>
    <row r="426" spans="1:18" ht="14.4" customHeight="1" x14ac:dyDescent="0.3">
      <c r="A426" s="5" t="s">
        <v>445</v>
      </c>
      <c r="B426" s="5" t="str">
        <f>VLOOKUP($A426,[1]!Customer_Names[#Data],3,0)</f>
        <v xml:space="preserve">  Jordan</v>
      </c>
      <c r="C426" s="5">
        <v>30.02</v>
      </c>
      <c r="D426" s="5" t="str" cm="1">
        <f t="array" ref="D426">_xlfn.IFS(Healthcare!$C426&lt;18.5,"under weight",Healthcare!$C426&lt;=24.9,"Normal Weight",Healthcare!$C426&gt;=25,"overweight",Healthcare!$C426&gt;=30,"obese")</f>
        <v>overweight</v>
      </c>
      <c r="E426" s="5">
        <v>11.09</v>
      </c>
      <c r="F426" s="5" t="str" cm="1">
        <f t="array" ref="F426">_xlfn.IFS(Healthcare!$E426&lt;5.7,"normal",Healthcare!$E426&lt;=6.4,"prediabetes",Healthcare!$E426&gt;=6.5,"diabetes")</f>
        <v>diabetes</v>
      </c>
      <c r="G426" s="5" t="s">
        <v>19</v>
      </c>
      <c r="H426" s="5" t="s">
        <v>19</v>
      </c>
      <c r="I426" s="5" t="s">
        <v>19</v>
      </c>
      <c r="J426" s="5">
        <v>0</v>
      </c>
      <c r="K426" s="5" t="s">
        <v>19</v>
      </c>
      <c r="L426" s="5" t="str">
        <f>VLOOKUP(Healthcare!$A426,hospital_details,2,0)</f>
        <v>6-Jul-1968</v>
      </c>
      <c r="M426" s="5">
        <f t="shared" ref="M426:M489" ca="1" si="2543">VLOOKUP(A426,hospital_details,3,0)</f>
        <v>58</v>
      </c>
      <c r="N426" s="5">
        <f t="shared" ref="N426:N489" si="2544">VLOOKUP($A426,hospital_details,4,0)</f>
        <v>0</v>
      </c>
      <c r="O426" s="6">
        <f t="shared" ref="O426:O489" si="2545">VLOOKUP($A426,hospital_details,5,0)</f>
        <v>24476.48</v>
      </c>
      <c r="P426" s="5" t="str">
        <f t="shared" ref="P426:P489" si="2546">VLOOKUP($A426,hospital_details,6,0)</f>
        <v>tier - 2</v>
      </c>
      <c r="Q426" s="5" t="str">
        <f t="shared" ref="Q426:Q489" si="2547">VLOOKUP($A426,hospital_details,7,0)</f>
        <v>tier - 2</v>
      </c>
      <c r="R426" s="5" t="str">
        <f t="shared" ref="R426:R489" si="2548">VLOOKUP($A426,hospital_details,8,0)</f>
        <v>R1012</v>
      </c>
    </row>
    <row r="427" spans="1:18" ht="14.4" customHeight="1" x14ac:dyDescent="0.3">
      <c r="A427" s="7" t="s">
        <v>446</v>
      </c>
      <c r="B427" s="7" t="str">
        <f>VLOOKUP($A427,[1]!Customer_Names[#Data],3,0)</f>
        <v xml:space="preserve">  Matt</v>
      </c>
      <c r="C427" s="7">
        <v>27.36</v>
      </c>
      <c r="D427" s="7" t="str" cm="1">
        <f t="array" ref="D427">_xlfn.IFS(Healthcare!$C427&lt;18.5,"under weight",Healthcare!$C427&lt;=24.9,"Normal Weight",Healthcare!$C427&gt;=25,"overweight",Healthcare!$C427&gt;=30,"obese")</f>
        <v>overweight</v>
      </c>
      <c r="E427" s="7">
        <v>9.4499999999999993</v>
      </c>
      <c r="F427" s="7" t="str" cm="1">
        <f t="array" ref="F427">_xlfn.IFS(Healthcare!$E427&lt;5.7,"normal",Healthcare!$E427&lt;=6.4,"prediabetes",Healthcare!$E427&gt;=6.5,"diabetes")</f>
        <v>diabetes</v>
      </c>
      <c r="G427" s="7" t="s">
        <v>20</v>
      </c>
      <c r="H427" s="7" t="s">
        <v>19</v>
      </c>
      <c r="I427" s="7" t="s">
        <v>19</v>
      </c>
      <c r="J427" s="7">
        <v>2</v>
      </c>
      <c r="K427" s="7" t="s">
        <v>20</v>
      </c>
      <c r="L427" s="7" t="str">
        <f>VLOOKUP(Healthcare!$A427,hospital_details,2,0)</f>
        <v>30-Nov-1970</v>
      </c>
      <c r="M427" s="7">
        <f t="shared" ref="M427:M490" ca="1" si="2549">VLOOKUP(A427,hospital_details,3,0)</f>
        <v>55</v>
      </c>
      <c r="N427" s="7">
        <f t="shared" ref="N427:N490" si="2550">VLOOKUP($A427,hospital_details,4,0)</f>
        <v>0</v>
      </c>
      <c r="O427" s="8">
        <f t="shared" ref="O427:O490" si="2551">VLOOKUP($A427,hospital_details,5,0)</f>
        <v>24393.62</v>
      </c>
      <c r="P427" s="7" t="str">
        <f t="shared" ref="P427:P490" si="2552">VLOOKUP($A427,hospital_details,6,0)</f>
        <v>tier - 2</v>
      </c>
      <c r="Q427" s="7" t="str">
        <f t="shared" ref="Q427:Q490" si="2553">VLOOKUP($A427,hospital_details,7,0)</f>
        <v>tier - 3</v>
      </c>
      <c r="R427" s="7" t="str">
        <f t="shared" ref="R427:R490" si="2554">VLOOKUP($A427,hospital_details,8,0)</f>
        <v>R1012</v>
      </c>
    </row>
    <row r="428" spans="1:18" ht="14.4" customHeight="1" x14ac:dyDescent="0.3">
      <c r="A428" s="5" t="s">
        <v>447</v>
      </c>
      <c r="B428" s="5" t="str">
        <f>VLOOKUP($A428,[1]!Customer_Names[#Data],3,0)</f>
        <v xml:space="preserve">  Taryn L</v>
      </c>
      <c r="C428" s="5">
        <v>22.2</v>
      </c>
      <c r="D428" s="5" t="str" cm="1">
        <f t="array" ref="D428">_xlfn.IFS(Healthcare!$C428&lt;18.5,"under weight",Healthcare!$C428&lt;=24.9,"Normal Weight",Healthcare!$C428&gt;=25,"overweight",Healthcare!$C428&gt;=30,"obese")</f>
        <v>Normal Weight</v>
      </c>
      <c r="E428" s="5">
        <v>5.51</v>
      </c>
      <c r="F428" s="5" t="str" cm="1">
        <f t="array" ref="F428">_xlfn.IFS(Healthcare!$E428&lt;5.7,"normal",Healthcare!$E428&lt;=6.4,"prediabetes",Healthcare!$E428&gt;=6.5,"diabetes")</f>
        <v>normal</v>
      </c>
      <c r="G428" s="5" t="s">
        <v>19</v>
      </c>
      <c r="H428" s="5" t="s">
        <v>19</v>
      </c>
      <c r="I428" s="5" t="s">
        <v>19</v>
      </c>
      <c r="J428" s="5">
        <v>0</v>
      </c>
      <c r="K428" s="5" t="s">
        <v>20</v>
      </c>
      <c r="L428" s="5" t="str">
        <f>VLOOKUP(Healthcare!$A428,hospital_details,2,0)</f>
        <v>7-Oct-1999</v>
      </c>
      <c r="M428" s="5">
        <f t="shared" ref="M428:M491" ca="1" si="2555">VLOOKUP(A428,hospital_details,3,0)</f>
        <v>27</v>
      </c>
      <c r="N428" s="5">
        <f t="shared" ref="N428:N491" si="2556">VLOOKUP($A428,hospital_details,4,0)</f>
        <v>0</v>
      </c>
      <c r="O428" s="6">
        <f t="shared" ref="O428:O491" si="2557">VLOOKUP($A428,hospital_details,5,0)</f>
        <v>24387.74</v>
      </c>
      <c r="P428" s="5" t="str">
        <f t="shared" ref="P428:P491" si="2558">VLOOKUP($A428,hospital_details,6,0)</f>
        <v>tier - 2</v>
      </c>
      <c r="Q428" s="5" t="str">
        <f t="shared" ref="Q428:Q491" si="2559">VLOOKUP($A428,hospital_details,7,0)</f>
        <v>tier - 1</v>
      </c>
      <c r="R428" s="5" t="str">
        <f t="shared" ref="R428:R491" si="2560">VLOOKUP($A428,hospital_details,8,0)</f>
        <v>R1011</v>
      </c>
    </row>
    <row r="429" spans="1:18" ht="14.4" customHeight="1" x14ac:dyDescent="0.3">
      <c r="A429" s="7" t="s">
        <v>448</v>
      </c>
      <c r="B429" s="7" t="str">
        <f>VLOOKUP($A429,[1]!Customer_Names[#Data],3,0)</f>
        <v xml:space="preserve">  Temima</v>
      </c>
      <c r="C429" s="7">
        <v>25.71</v>
      </c>
      <c r="D429" s="7" t="str" cm="1">
        <f t="array" ref="D429">_xlfn.IFS(Healthcare!$C429&lt;18.5,"under weight",Healthcare!$C429&lt;=24.9,"Normal Weight",Healthcare!$C429&gt;=25,"overweight",Healthcare!$C429&gt;=30,"obese")</f>
        <v>overweight</v>
      </c>
      <c r="E429" s="7">
        <v>4.18</v>
      </c>
      <c r="F429" s="7" t="str" cm="1">
        <f t="array" ref="F429">_xlfn.IFS(Healthcare!$E429&lt;5.7,"normal",Healthcare!$E429&lt;=6.4,"prediabetes",Healthcare!$E429&gt;=6.5,"diabetes")</f>
        <v>normal</v>
      </c>
      <c r="G429" s="7" t="s">
        <v>19</v>
      </c>
      <c r="H429" s="7" t="s">
        <v>20</v>
      </c>
      <c r="I429" s="7" t="s">
        <v>19</v>
      </c>
      <c r="J429" s="7">
        <v>1</v>
      </c>
      <c r="K429" s="7" t="s">
        <v>20</v>
      </c>
      <c r="L429" s="7" t="str">
        <f>VLOOKUP(Healthcare!$A429,hospital_details,2,0)</f>
        <v>3-Aug-2004</v>
      </c>
      <c r="M429" s="7">
        <f t="shared" ref="M429:M492" ca="1" si="2561">VLOOKUP(A429,hospital_details,3,0)</f>
        <v>22</v>
      </c>
      <c r="N429" s="7">
        <f t="shared" ref="N429:N492" si="2562">VLOOKUP($A429,hospital_details,4,0)</f>
        <v>0</v>
      </c>
      <c r="O429" s="8">
        <f t="shared" ref="O429:O492" si="2563">VLOOKUP($A429,hospital_details,5,0)</f>
        <v>24294.02</v>
      </c>
      <c r="P429" s="7" t="str">
        <f t="shared" ref="P429:P492" si="2564">VLOOKUP($A429,hospital_details,6,0)</f>
        <v>tier - 2</v>
      </c>
      <c r="Q429" s="7" t="str">
        <f t="shared" ref="Q429:Q492" si="2565">VLOOKUP($A429,hospital_details,7,0)</f>
        <v>tier - 1</v>
      </c>
      <c r="R429" s="7" t="str">
        <f t="shared" ref="R429:R492" si="2566">VLOOKUP($A429,hospital_details,8,0)</f>
        <v>R1011</v>
      </c>
    </row>
    <row r="430" spans="1:18" ht="14.4" customHeight="1" x14ac:dyDescent="0.3">
      <c r="A430" s="5" t="s">
        <v>449</v>
      </c>
      <c r="B430" s="5" t="str">
        <f>VLOOKUP($A430,[1]!Customer_Names[#Data],3,0)</f>
        <v xml:space="preserve">  Jennifer</v>
      </c>
      <c r="C430" s="5">
        <v>41.91</v>
      </c>
      <c r="D430" s="5" t="str" cm="1">
        <f t="array" ref="D430">_xlfn.IFS(Healthcare!$C430&lt;18.5,"under weight",Healthcare!$C430&lt;=24.9,"Normal Weight",Healthcare!$C430&gt;=25,"overweight",Healthcare!$C430&gt;=30,"obese")</f>
        <v>overweight</v>
      </c>
      <c r="E430" s="5">
        <v>5.98</v>
      </c>
      <c r="F430" s="5" t="str" cm="1">
        <f t="array" ref="F430">_xlfn.IFS(Healthcare!$E430&lt;5.7,"normal",Healthcare!$E430&lt;=6.4,"prediabetes",Healthcare!$E430&gt;=6.5,"diabetes")</f>
        <v>prediabetes</v>
      </c>
      <c r="G430" s="5" t="s">
        <v>20</v>
      </c>
      <c r="H430" s="5" t="s">
        <v>19</v>
      </c>
      <c r="I430" s="5" t="s">
        <v>19</v>
      </c>
      <c r="J430" s="5">
        <v>1</v>
      </c>
      <c r="K430" s="5" t="s">
        <v>19</v>
      </c>
      <c r="L430" s="5" t="str">
        <f>VLOOKUP(Healthcare!$A430,hospital_details,2,0)</f>
        <v>16-Dec-1964</v>
      </c>
      <c r="M430" s="5">
        <f t="shared" ref="M430:M493" ca="1" si="2567">VLOOKUP(A430,hospital_details,3,0)</f>
        <v>61</v>
      </c>
      <c r="N430" s="5">
        <f t="shared" ref="N430:N493" si="2568">VLOOKUP($A430,hospital_details,4,0)</f>
        <v>0</v>
      </c>
      <c r="O430" s="6">
        <f t="shared" ref="O430:O493" si="2569">VLOOKUP($A430,hospital_details,5,0)</f>
        <v>24227.34</v>
      </c>
      <c r="P430" s="5" t="str">
        <f t="shared" ref="P430:P493" si="2570">VLOOKUP($A430,hospital_details,6,0)</f>
        <v>tier - 2</v>
      </c>
      <c r="Q430" s="5" t="str">
        <f t="shared" ref="Q430:Q493" si="2571">VLOOKUP($A430,hospital_details,7,0)</f>
        <v>tier - 1</v>
      </c>
      <c r="R430" s="5" t="str">
        <f t="shared" ref="R430:R493" si="2572">VLOOKUP($A430,hospital_details,8,0)</f>
        <v>R1013</v>
      </c>
    </row>
    <row r="431" spans="1:18" ht="14.4" customHeight="1" x14ac:dyDescent="0.3">
      <c r="A431" s="7" t="s">
        <v>450</v>
      </c>
      <c r="B431" s="7" t="str">
        <f>VLOOKUP($A431,[1]!Customer_Names[#Data],3,0)</f>
        <v xml:space="preserve">  Serena M</v>
      </c>
      <c r="C431" s="7">
        <v>25.85</v>
      </c>
      <c r="D431" s="7" t="str" cm="1">
        <f t="array" ref="D431">_xlfn.IFS(Healthcare!$C431&lt;18.5,"under weight",Healthcare!$C431&lt;=24.9,"Normal Weight",Healthcare!$C431&gt;=25,"overweight",Healthcare!$C431&gt;=30,"obese")</f>
        <v>overweight</v>
      </c>
      <c r="E431" s="7">
        <v>10.16</v>
      </c>
      <c r="F431" s="7" t="str" cm="1">
        <f t="array" ref="F431">_xlfn.IFS(Healthcare!$E431&lt;5.7,"normal",Healthcare!$E431&lt;=6.4,"prediabetes",Healthcare!$E431&gt;=6.5,"diabetes")</f>
        <v>diabetes</v>
      </c>
      <c r="G431" s="7" t="s">
        <v>19</v>
      </c>
      <c r="H431" s="7" t="s">
        <v>19</v>
      </c>
      <c r="I431" s="7" t="s">
        <v>19</v>
      </c>
      <c r="J431" s="7">
        <v>0</v>
      </c>
      <c r="K431" s="7" t="s">
        <v>20</v>
      </c>
      <c r="L431" s="7" t="str">
        <f>VLOOKUP(Healthcare!$A431,hospital_details,2,0)</f>
        <v>10-Sep-1974</v>
      </c>
      <c r="M431" s="7">
        <f t="shared" ref="M431:M494" ca="1" si="2573">VLOOKUP(A431,hospital_details,3,0)</f>
        <v>52</v>
      </c>
      <c r="N431" s="7">
        <f t="shared" ref="N431:N494" si="2574">VLOOKUP($A431,hospital_details,4,0)</f>
        <v>3</v>
      </c>
      <c r="O431" s="8">
        <f t="shared" ref="O431:O494" si="2575">VLOOKUP($A431,hospital_details,5,0)</f>
        <v>24180.93</v>
      </c>
      <c r="P431" s="7" t="str">
        <f t="shared" ref="P431:P494" si="2576">VLOOKUP($A431,hospital_details,6,0)</f>
        <v>tier - 2</v>
      </c>
      <c r="Q431" s="7" t="str">
        <f t="shared" ref="Q431:Q494" si="2577">VLOOKUP($A431,hospital_details,7,0)</f>
        <v>tier - 1</v>
      </c>
      <c r="R431" s="7" t="str">
        <f t="shared" ref="R431:R494" si="2578">VLOOKUP($A431,hospital_details,8,0)</f>
        <v>R1013</v>
      </c>
    </row>
    <row r="432" spans="1:18" ht="14.4" customHeight="1" x14ac:dyDescent="0.3">
      <c r="A432" s="5" t="s">
        <v>451</v>
      </c>
      <c r="B432" s="5" t="str">
        <f>VLOOKUP($A432,[1]!Customer_Names[#Data],3,0)</f>
        <v xml:space="preserve">  Victoria M</v>
      </c>
      <c r="C432" s="5">
        <v>23.844999999999999</v>
      </c>
      <c r="D432" s="5" t="str" cm="1">
        <f t="array" ref="D432">_xlfn.IFS(Healthcare!$C432&lt;18.5,"under weight",Healthcare!$C432&lt;=24.9,"Normal Weight",Healthcare!$C432&gt;=25,"overweight",Healthcare!$C432&gt;=30,"obese")</f>
        <v>Normal Weight</v>
      </c>
      <c r="E432" s="5">
        <v>11.71</v>
      </c>
      <c r="F432" s="5" t="str" cm="1">
        <f t="array" ref="F432">_xlfn.IFS(Healthcare!$E432&lt;5.7,"normal",Healthcare!$E432&lt;=6.4,"prediabetes",Healthcare!$E432&gt;=6.5,"diabetes")</f>
        <v>diabetes</v>
      </c>
      <c r="G432" s="5" t="s">
        <v>19</v>
      </c>
      <c r="H432" s="5" t="s">
        <v>19</v>
      </c>
      <c r="I432" s="5" t="s">
        <v>19</v>
      </c>
      <c r="J432" s="5">
        <v>2</v>
      </c>
      <c r="K432" s="5" t="s">
        <v>20</v>
      </c>
      <c r="L432" s="5" t="str">
        <f>VLOOKUP(Healthcare!$A432,hospital_details,2,0)</f>
        <v>13-Jun-1973</v>
      </c>
      <c r="M432" s="5">
        <f t="shared" ref="M432:M495" ca="1" si="2579">VLOOKUP(A432,hospital_details,3,0)</f>
        <v>53</v>
      </c>
      <c r="N432" s="5">
        <f t="shared" ref="N432:N495" si="2580">VLOOKUP($A432,hospital_details,4,0)</f>
        <v>3</v>
      </c>
      <c r="O432" s="6">
        <f t="shared" ref="O432:O495" si="2581">VLOOKUP($A432,hospital_details,5,0)</f>
        <v>24106.91</v>
      </c>
      <c r="P432" s="5" t="str">
        <f t="shared" ref="P432:P495" si="2582">VLOOKUP($A432,hospital_details,6,0)</f>
        <v>tier - 2</v>
      </c>
      <c r="Q432" s="5" t="str">
        <f t="shared" ref="Q432:Q495" si="2583">VLOOKUP($A432,hospital_details,7,0)</f>
        <v>tier - 2</v>
      </c>
      <c r="R432" s="5" t="str">
        <f t="shared" ref="R432:R495" si="2584">VLOOKUP($A432,hospital_details,8,0)</f>
        <v>R1024</v>
      </c>
    </row>
    <row r="433" spans="1:18" ht="14.4" customHeight="1" x14ac:dyDescent="0.3">
      <c r="A433" s="7" t="s">
        <v>452</v>
      </c>
      <c r="B433" s="7" t="str">
        <f>VLOOKUP($A433,[1]!Customer_Names[#Data],3,0)</f>
        <v xml:space="preserve">  Phoebe</v>
      </c>
      <c r="C433" s="7">
        <v>30.59</v>
      </c>
      <c r="D433" s="7" t="str" cm="1">
        <f t="array" ref="D433">_xlfn.IFS(Healthcare!$C433&lt;18.5,"under weight",Healthcare!$C433&lt;=24.9,"Normal Weight",Healthcare!$C433&gt;=25,"overweight",Healthcare!$C433&gt;=30,"obese")</f>
        <v>overweight</v>
      </c>
      <c r="E433" s="7">
        <v>5.23</v>
      </c>
      <c r="F433" s="7" t="str" cm="1">
        <f t="array" ref="F433">_xlfn.IFS(Healthcare!$E433&lt;5.7,"normal",Healthcare!$E433&lt;=6.4,"prediabetes",Healthcare!$E433&gt;=6.5,"diabetes")</f>
        <v>normal</v>
      </c>
      <c r="G433" s="7" t="s">
        <v>19</v>
      </c>
      <c r="H433" s="7" t="s">
        <v>19</v>
      </c>
      <c r="I433" s="7" t="s">
        <v>29</v>
      </c>
      <c r="J433" s="7">
        <v>1</v>
      </c>
      <c r="K433" s="7" t="s">
        <v>19</v>
      </c>
      <c r="L433" s="7" t="str">
        <f>VLOOKUP(Healthcare!$A433,hospital_details,2,0)</f>
        <v>30-Dec-2003</v>
      </c>
      <c r="M433" s="7">
        <f t="shared" ref="M433:M496" ca="1" si="2585">VLOOKUP(A433,hospital_details,3,0)</f>
        <v>22</v>
      </c>
      <c r="N433" s="7">
        <f t="shared" ref="N433:N496" si="2586">VLOOKUP($A433,hospital_details,4,0)</f>
        <v>2</v>
      </c>
      <c r="O433" s="8">
        <f t="shared" ref="O433:O496" si="2587">VLOOKUP($A433,hospital_details,5,0)</f>
        <v>24059.68</v>
      </c>
      <c r="P433" s="7" t="str">
        <f t="shared" ref="P433:P496" si="2588">VLOOKUP($A433,hospital_details,6,0)</f>
        <v>tier - 2</v>
      </c>
      <c r="Q433" s="7" t="str">
        <f t="shared" ref="Q433:Q496" si="2589">VLOOKUP($A433,hospital_details,7,0)</f>
        <v>tier - 2</v>
      </c>
      <c r="R433" s="7" t="str">
        <f t="shared" ref="R433:R496" si="2590">VLOOKUP($A433,hospital_details,8,0)</f>
        <v>R1012</v>
      </c>
    </row>
    <row r="434" spans="1:18" ht="14.4" customHeight="1" x14ac:dyDescent="0.3">
      <c r="A434" s="5" t="s">
        <v>453</v>
      </c>
      <c r="B434" s="5" t="str">
        <f>VLOOKUP($A434,[1]!Customer_Names[#Data],3,0)</f>
        <v xml:space="preserve">  Corey</v>
      </c>
      <c r="C434" s="5">
        <v>24.795000000000002</v>
      </c>
      <c r="D434" s="5" t="str" cm="1">
        <f t="array" ref="D434">_xlfn.IFS(Healthcare!$C434&lt;18.5,"under weight",Healthcare!$C434&lt;=24.9,"Normal Weight",Healthcare!$C434&gt;=25,"overweight",Healthcare!$C434&gt;=30,"obese")</f>
        <v>Normal Weight</v>
      </c>
      <c r="E434" s="5">
        <v>6.85</v>
      </c>
      <c r="F434" s="5" t="str" cm="1">
        <f t="array" ref="F434">_xlfn.IFS(Healthcare!$E434&lt;5.7,"normal",Healthcare!$E434&lt;=6.4,"prediabetes",Healthcare!$E434&gt;=6.5,"diabetes")</f>
        <v>diabetes</v>
      </c>
      <c r="G434" s="5" t="s">
        <v>19</v>
      </c>
      <c r="H434" s="5" t="s">
        <v>19</v>
      </c>
      <c r="I434" s="5" t="s">
        <v>19</v>
      </c>
      <c r="J434" s="5">
        <v>0</v>
      </c>
      <c r="K434" s="5" t="s">
        <v>20</v>
      </c>
      <c r="L434" s="5" t="str">
        <f>VLOOKUP(Healthcare!$A434,hospital_details,2,0)</f>
        <v>10-Jul-1971</v>
      </c>
      <c r="M434" s="5">
        <f t="shared" ref="M434:M497" ca="1" si="2591">VLOOKUP(A434,hospital_details,3,0)</f>
        <v>55</v>
      </c>
      <c r="N434" s="5">
        <f t="shared" ref="N434:N497" si="2592">VLOOKUP($A434,hospital_details,4,0)</f>
        <v>2</v>
      </c>
      <c r="O434" s="6">
        <f t="shared" ref="O434:O497" si="2593">VLOOKUP($A434,hospital_details,5,0)</f>
        <v>23967.38</v>
      </c>
      <c r="P434" s="5" t="str">
        <f t="shared" ref="P434:P497" si="2594">VLOOKUP($A434,hospital_details,6,0)</f>
        <v>tier - 2</v>
      </c>
      <c r="Q434" s="5" t="str">
        <f t="shared" ref="Q434:Q497" si="2595">VLOOKUP($A434,hospital_details,7,0)</f>
        <v>tier - 2</v>
      </c>
      <c r="R434" s="5" t="str">
        <f t="shared" ref="R434:R497" si="2596">VLOOKUP($A434,hospital_details,8,0)</f>
        <v>R1012</v>
      </c>
    </row>
    <row r="435" spans="1:18" ht="14.4" customHeight="1" x14ac:dyDescent="0.3">
      <c r="A435" s="7" t="s">
        <v>454</v>
      </c>
      <c r="B435" s="7" t="str">
        <f>VLOOKUP($A435,[1]!Customer_Names[#Data],3,0)</f>
        <v xml:space="preserve">  Rebecca</v>
      </c>
      <c r="C435" s="7">
        <v>24.13</v>
      </c>
      <c r="D435" s="7" t="str" cm="1">
        <f t="array" ref="D435">_xlfn.IFS(Healthcare!$C435&lt;18.5,"under weight",Healthcare!$C435&lt;=24.9,"Normal Weight",Healthcare!$C435&gt;=25,"overweight",Healthcare!$C435&gt;=30,"obese")</f>
        <v>Normal Weight</v>
      </c>
      <c r="E435" s="7">
        <v>7.05</v>
      </c>
      <c r="F435" s="7" t="str" cm="1">
        <f t="array" ref="F435">_xlfn.IFS(Healthcare!$E435&lt;5.7,"normal",Healthcare!$E435&lt;=6.4,"prediabetes",Healthcare!$E435&gt;=6.5,"diabetes")</f>
        <v>diabetes</v>
      </c>
      <c r="G435" s="7" t="s">
        <v>20</v>
      </c>
      <c r="H435" s="7" t="s">
        <v>19</v>
      </c>
      <c r="I435" s="7" t="s">
        <v>19</v>
      </c>
      <c r="J435" s="7">
        <v>2</v>
      </c>
      <c r="K435" s="7" t="s">
        <v>20</v>
      </c>
      <c r="L435" s="7" t="str">
        <f>VLOOKUP(Healthcare!$A435,hospital_details,2,0)</f>
        <v>8-Aug-1970</v>
      </c>
      <c r="M435" s="7">
        <f t="shared" ref="M435:M498" ca="1" si="2597">VLOOKUP(A435,hospital_details,3,0)</f>
        <v>56</v>
      </c>
      <c r="N435" s="7">
        <f t="shared" ref="N435:N498" si="2598">VLOOKUP($A435,hospital_details,4,0)</f>
        <v>1</v>
      </c>
      <c r="O435" s="8">
        <f t="shared" ref="O435:O498" si="2599">VLOOKUP($A435,hospital_details,5,0)</f>
        <v>23887.66</v>
      </c>
      <c r="P435" s="7" t="str">
        <f t="shared" ref="P435:P498" si="2600">VLOOKUP($A435,hospital_details,6,0)</f>
        <v>tier - 2</v>
      </c>
      <c r="Q435" s="7" t="str">
        <f t="shared" ref="Q435:Q498" si="2601">VLOOKUP($A435,hospital_details,7,0)</f>
        <v>tier - 3</v>
      </c>
      <c r="R435" s="7" t="str">
        <f t="shared" ref="R435:R498" si="2602">VLOOKUP($A435,hospital_details,8,0)</f>
        <v>R1012</v>
      </c>
    </row>
    <row r="436" spans="1:18" ht="14.4" customHeight="1" x14ac:dyDescent="0.3">
      <c r="A436" s="5" t="s">
        <v>455</v>
      </c>
      <c r="B436" s="5" t="str">
        <f>VLOOKUP($A436,[1]!Customer_Names[#Data],3,0)</f>
        <v xml:space="preserve">  Nicholas D</v>
      </c>
      <c r="C436" s="5">
        <v>25.84</v>
      </c>
      <c r="D436" s="5" t="str" cm="1">
        <f t="array" ref="D436">_xlfn.IFS(Healthcare!$C436&lt;18.5,"under weight",Healthcare!$C436&lt;=24.9,"Normal Weight",Healthcare!$C436&gt;=25,"overweight",Healthcare!$C436&gt;=30,"obese")</f>
        <v>overweight</v>
      </c>
      <c r="E436" s="5">
        <v>11.64</v>
      </c>
      <c r="F436" s="5" t="str" cm="1">
        <f t="array" ref="F436">_xlfn.IFS(Healthcare!$E436&lt;5.7,"normal",Healthcare!$E436&lt;=6.4,"prediabetes",Healthcare!$E436&gt;=6.5,"diabetes")</f>
        <v>diabetes</v>
      </c>
      <c r="G436" s="5" t="s">
        <v>19</v>
      </c>
      <c r="H436" s="5" t="s">
        <v>19</v>
      </c>
      <c r="I436" s="5" t="s">
        <v>19</v>
      </c>
      <c r="J436" s="5">
        <v>2</v>
      </c>
      <c r="K436" s="5" t="s">
        <v>20</v>
      </c>
      <c r="L436" s="5" t="str">
        <f>VLOOKUP(Healthcare!$A436,hospital_details,2,0)</f>
        <v>27-Jun-1973</v>
      </c>
      <c r="M436" s="5">
        <f t="shared" ref="M436:M499" ca="1" si="2603">VLOOKUP(A436,hospital_details,3,0)</f>
        <v>53</v>
      </c>
      <c r="N436" s="5">
        <f t="shared" ref="N436:N499" si="2604">VLOOKUP($A436,hospital_details,4,0)</f>
        <v>2</v>
      </c>
      <c r="O436" s="6">
        <f t="shared" ref="O436:O499" si="2605">VLOOKUP($A436,hospital_details,5,0)</f>
        <v>23807.24</v>
      </c>
      <c r="P436" s="5" t="str">
        <f t="shared" ref="P436:P499" si="2606">VLOOKUP($A436,hospital_details,6,0)</f>
        <v>tier - 2</v>
      </c>
      <c r="Q436" s="5" t="str">
        <f t="shared" ref="Q436:Q499" si="2607">VLOOKUP($A436,hospital_details,7,0)</f>
        <v>tier - 3</v>
      </c>
      <c r="R436" s="5" t="str">
        <f t="shared" ref="R436:R499" si="2608">VLOOKUP($A436,hospital_details,8,0)</f>
        <v>R1012</v>
      </c>
    </row>
    <row r="437" spans="1:18" ht="14.4" customHeight="1" x14ac:dyDescent="0.3">
      <c r="A437" s="7" t="s">
        <v>456</v>
      </c>
      <c r="B437" s="7" t="str">
        <f>VLOOKUP($A437,[1]!Customer_Names[#Data],3,0)</f>
        <v xml:space="preserve">  Christian</v>
      </c>
      <c r="C437" s="7">
        <v>28</v>
      </c>
      <c r="D437" s="7" t="str" cm="1">
        <f t="array" ref="D437">_xlfn.IFS(Healthcare!$C437&lt;18.5,"under weight",Healthcare!$C437&lt;=24.9,"Normal Weight",Healthcare!$C437&gt;=25,"overweight",Healthcare!$C437&gt;=30,"obese")</f>
        <v>overweight</v>
      </c>
      <c r="E437" s="7">
        <v>10.52</v>
      </c>
      <c r="F437" s="7" t="str" cm="1">
        <f t="array" ref="F437">_xlfn.IFS(Healthcare!$E437&lt;5.7,"normal",Healthcare!$E437&lt;=6.4,"prediabetes",Healthcare!$E437&gt;=6.5,"diabetes")</f>
        <v>diabetes</v>
      </c>
      <c r="G437" s="7" t="s">
        <v>19</v>
      </c>
      <c r="H437" s="7" t="s">
        <v>19</v>
      </c>
      <c r="I437" s="7" t="s">
        <v>19</v>
      </c>
      <c r="J437" s="7">
        <v>0</v>
      </c>
      <c r="K437" s="7" t="s">
        <v>20</v>
      </c>
      <c r="L437" s="7" t="str">
        <f>VLOOKUP(Healthcare!$A437,hospital_details,2,0)</f>
        <v>2-Jun-1974</v>
      </c>
      <c r="M437" s="7">
        <f t="shared" ref="M437:M500" ca="1" si="2609">VLOOKUP(A437,hospital_details,3,0)</f>
        <v>52</v>
      </c>
      <c r="N437" s="7">
        <f t="shared" ref="N437:N500" si="2610">VLOOKUP($A437,hospital_details,4,0)</f>
        <v>1</v>
      </c>
      <c r="O437" s="8">
        <f t="shared" ref="O437:O500" si="2611">VLOOKUP($A437,hospital_details,5,0)</f>
        <v>23568.27</v>
      </c>
      <c r="P437" s="7" t="str">
        <f t="shared" ref="P437:P500" si="2612">VLOOKUP($A437,hospital_details,6,0)</f>
        <v>tier - 2</v>
      </c>
      <c r="Q437" s="7" t="str">
        <f t="shared" ref="Q437:Q500" si="2613">VLOOKUP($A437,hospital_details,7,0)</f>
        <v>tier - 2</v>
      </c>
      <c r="R437" s="7" t="str">
        <f t="shared" ref="R437:R500" si="2614">VLOOKUP($A437,hospital_details,8,0)</f>
        <v>R1011</v>
      </c>
    </row>
    <row r="438" spans="1:18" ht="14.4" customHeight="1" x14ac:dyDescent="0.3">
      <c r="A438" s="5" t="s">
        <v>457</v>
      </c>
      <c r="B438" s="5" t="str">
        <f>VLOOKUP($A438,[1]!Customer_Names[#Data],3,0)</f>
        <v xml:space="preserve">  Jonathon S</v>
      </c>
      <c r="C438" s="5">
        <v>34.1</v>
      </c>
      <c r="D438" s="5" t="str" cm="1">
        <f t="array" ref="D438">_xlfn.IFS(Healthcare!$C438&lt;18.5,"under weight",Healthcare!$C438&lt;=24.9,"Normal Weight",Healthcare!$C438&gt;=25,"overweight",Healthcare!$C438&gt;=30,"obese")</f>
        <v>overweight</v>
      </c>
      <c r="E438" s="5">
        <v>4.01</v>
      </c>
      <c r="F438" s="5" t="str" cm="1">
        <f t="array" ref="F438">_xlfn.IFS(Healthcare!$E438&lt;5.7,"normal",Healthcare!$E438&lt;=6.4,"prediabetes",Healthcare!$E438&gt;=6.5,"diabetes")</f>
        <v>normal</v>
      </c>
      <c r="G438" s="5" t="s">
        <v>20</v>
      </c>
      <c r="H438" s="5" t="s">
        <v>19</v>
      </c>
      <c r="I438" s="5" t="s">
        <v>29</v>
      </c>
      <c r="J438" s="5">
        <v>1</v>
      </c>
      <c r="K438" s="5" t="s">
        <v>19</v>
      </c>
      <c r="L438" s="5" t="str">
        <f>VLOOKUP(Healthcare!$A438,hospital_details,2,0)</f>
        <v>26-Aug-1983</v>
      </c>
      <c r="M438" s="5">
        <f t="shared" ref="M438:M501" ca="1" si="2615">VLOOKUP(A438,hospital_details,3,0)</f>
        <v>43</v>
      </c>
      <c r="N438" s="5">
        <f t="shared" ref="N438:N501" si="2616">VLOOKUP($A438,hospital_details,4,0)</f>
        <v>2</v>
      </c>
      <c r="O438" s="6">
        <f t="shared" ref="O438:O501" si="2617">VLOOKUP($A438,hospital_details,5,0)</f>
        <v>23563.02</v>
      </c>
      <c r="P438" s="5" t="str">
        <f t="shared" ref="P438:P501" si="2618">VLOOKUP($A438,hospital_details,6,0)</f>
        <v>tier - 2</v>
      </c>
      <c r="Q438" s="5" t="str">
        <f t="shared" ref="Q438:Q501" si="2619">VLOOKUP($A438,hospital_details,7,0)</f>
        <v>tier - 2</v>
      </c>
      <c r="R438" s="5" t="str">
        <f t="shared" ref="R438:R501" si="2620">VLOOKUP($A438,hospital_details,8,0)</f>
        <v>R1013</v>
      </c>
    </row>
    <row r="439" spans="1:18" ht="14.4" customHeight="1" x14ac:dyDescent="0.3">
      <c r="A439" s="7" t="s">
        <v>458</v>
      </c>
      <c r="B439" s="7" t="str">
        <f>VLOOKUP($A439,[1]!Customer_Names[#Data],3,0)</f>
        <v xml:space="preserve">  Caroline</v>
      </c>
      <c r="C439" s="7">
        <v>26.125</v>
      </c>
      <c r="D439" s="7" t="str" cm="1">
        <f t="array" ref="D439">_xlfn.IFS(Healthcare!$C439&lt;18.5,"under weight",Healthcare!$C439&lt;=24.9,"Normal Weight",Healthcare!$C439&gt;=25,"overweight",Healthcare!$C439&gt;=30,"obese")</f>
        <v>overweight</v>
      </c>
      <c r="E439" s="7">
        <v>8.56</v>
      </c>
      <c r="F439" s="7" t="str" cm="1">
        <f t="array" ref="F439">_xlfn.IFS(Healthcare!$E439&lt;5.7,"normal",Healthcare!$E439&lt;=6.4,"prediabetes",Healthcare!$E439&gt;=6.5,"diabetes")</f>
        <v>diabetes</v>
      </c>
      <c r="G439" s="7" t="s">
        <v>20</v>
      </c>
      <c r="H439" s="7" t="s">
        <v>19</v>
      </c>
      <c r="I439" s="7" t="s">
        <v>19</v>
      </c>
      <c r="J439" s="7">
        <v>1</v>
      </c>
      <c r="K439" s="7" t="s">
        <v>20</v>
      </c>
      <c r="L439" s="7" t="str">
        <f>VLOOKUP(Healthcare!$A439,hospital_details,2,0)</f>
        <v>13-Nov-1975</v>
      </c>
      <c r="M439" s="7">
        <f t="shared" ref="M439:M502" ca="1" si="2621">VLOOKUP(A439,hospital_details,3,0)</f>
        <v>50</v>
      </c>
      <c r="N439" s="7">
        <f t="shared" ref="N439:N502" si="2622">VLOOKUP($A439,hospital_details,4,0)</f>
        <v>1</v>
      </c>
      <c r="O439" s="8">
        <f t="shared" ref="O439:O502" si="2623">VLOOKUP($A439,hospital_details,5,0)</f>
        <v>23401.31</v>
      </c>
      <c r="P439" s="7" t="str">
        <f t="shared" ref="P439:P502" si="2624">VLOOKUP($A439,hospital_details,6,0)</f>
        <v>tier - 2</v>
      </c>
      <c r="Q439" s="7" t="str">
        <f t="shared" ref="Q439:Q502" si="2625">VLOOKUP($A439,hospital_details,7,0)</f>
        <v>tier - 3</v>
      </c>
      <c r="R439" s="7" t="str">
        <f t="shared" ref="R439:R502" si="2626">VLOOKUP($A439,hospital_details,8,0)</f>
        <v>R1024</v>
      </c>
    </row>
    <row r="440" spans="1:18" ht="14.4" customHeight="1" x14ac:dyDescent="0.3">
      <c r="A440" s="5" t="s">
        <v>459</v>
      </c>
      <c r="B440" s="5" t="str">
        <f>VLOOKUP($A440,[1]!Customer_Names[#Data],3,0)</f>
        <v xml:space="preserve">  Joshua D</v>
      </c>
      <c r="C440" s="5">
        <v>25.6</v>
      </c>
      <c r="D440" s="5" t="str" cm="1">
        <f t="array" ref="D440">_xlfn.IFS(Healthcare!$C440&lt;18.5,"under weight",Healthcare!$C440&lt;=24.9,"Normal Weight",Healthcare!$C440&gt;=25,"overweight",Healthcare!$C440&gt;=30,"obese")</f>
        <v>overweight</v>
      </c>
      <c r="E440" s="5">
        <v>10.5</v>
      </c>
      <c r="F440" s="5" t="str" cm="1">
        <f t="array" ref="F440">_xlfn.IFS(Healthcare!$E440&lt;5.7,"normal",Healthcare!$E440&lt;=6.4,"prediabetes",Healthcare!$E440&gt;=6.5,"diabetes")</f>
        <v>diabetes</v>
      </c>
      <c r="G440" s="5" t="s">
        <v>19</v>
      </c>
      <c r="H440" s="5" t="s">
        <v>19</v>
      </c>
      <c r="I440" s="5" t="s">
        <v>19</v>
      </c>
      <c r="J440" s="5">
        <v>2</v>
      </c>
      <c r="K440" s="5" t="s">
        <v>20</v>
      </c>
      <c r="L440" s="5" t="str">
        <f>VLOOKUP(Healthcare!$A440,hospital_details,2,0)</f>
        <v>22-Oct-1973</v>
      </c>
      <c r="M440" s="5">
        <f t="shared" ref="M440:M503" ca="1" si="2627">VLOOKUP(A440,hospital_details,3,0)</f>
        <v>52</v>
      </c>
      <c r="N440" s="5">
        <f t="shared" ref="N440:N503" si="2628">VLOOKUP($A440,hospital_details,4,0)</f>
        <v>2</v>
      </c>
      <c r="O440" s="6">
        <f t="shared" ref="O440:O503" si="2629">VLOOKUP($A440,hospital_details,5,0)</f>
        <v>23306.55</v>
      </c>
      <c r="P440" s="5" t="str">
        <f t="shared" ref="P440:P503" si="2630">VLOOKUP($A440,hospital_details,6,0)</f>
        <v>tier - 2</v>
      </c>
      <c r="Q440" s="5" t="str">
        <f t="shared" ref="Q440:Q503" si="2631">VLOOKUP($A440,hospital_details,7,0)</f>
        <v>tier - 2</v>
      </c>
      <c r="R440" s="5" t="str">
        <f t="shared" ref="R440:R503" si="2632">VLOOKUP($A440,hospital_details,8,0)</f>
        <v>R1011</v>
      </c>
    </row>
    <row r="441" spans="1:18" ht="14.4" customHeight="1" x14ac:dyDescent="0.3">
      <c r="A441" s="7" t="s">
        <v>460</v>
      </c>
      <c r="B441" s="7" t="str">
        <f>VLOOKUP($A441,[1]!Customer_Names[#Data],3,0)</f>
        <v xml:space="preserve">  Nichole</v>
      </c>
      <c r="C441" s="7">
        <v>24.32</v>
      </c>
      <c r="D441" s="7" t="str" cm="1">
        <f t="array" ref="D441">_xlfn.IFS(Healthcare!$C441&lt;18.5,"under weight",Healthcare!$C441&lt;=24.9,"Normal Weight",Healthcare!$C441&gt;=25,"overweight",Healthcare!$C441&gt;=30,"obese")</f>
        <v>Normal Weight</v>
      </c>
      <c r="E441" s="7">
        <v>6.39</v>
      </c>
      <c r="F441" s="7" t="str" cm="1">
        <f t="array" ref="F441">_xlfn.IFS(Healthcare!$E441&lt;5.7,"normal",Healthcare!$E441&lt;=6.4,"prediabetes",Healthcare!$E441&gt;=6.5,"diabetes")</f>
        <v>prediabetes</v>
      </c>
      <c r="G441" s="7" t="s">
        <v>19</v>
      </c>
      <c r="H441" s="7" t="s">
        <v>19</v>
      </c>
      <c r="I441" s="7" t="s">
        <v>19</v>
      </c>
      <c r="J441" s="7">
        <v>0</v>
      </c>
      <c r="K441" s="7" t="s">
        <v>19</v>
      </c>
      <c r="L441" s="7" t="str">
        <f>VLOOKUP(Healthcare!$A441,hospital_details,2,0)</f>
        <v>3-Oct-1994</v>
      </c>
      <c r="M441" s="7">
        <f t="shared" ref="M441:M504" ca="1" si="2633">VLOOKUP(A441,hospital_details,3,0)</f>
        <v>32</v>
      </c>
      <c r="N441" s="7">
        <f t="shared" ref="N441:N504" si="2634">VLOOKUP($A441,hospital_details,4,0)</f>
        <v>1</v>
      </c>
      <c r="O441" s="8">
        <f t="shared" ref="O441:O504" si="2635">VLOOKUP($A441,hospital_details,5,0)</f>
        <v>23288.93</v>
      </c>
      <c r="P441" s="7" t="str">
        <f t="shared" ref="P441:P504" si="2636">VLOOKUP($A441,hospital_details,6,0)</f>
        <v>tier - 2</v>
      </c>
      <c r="Q441" s="7" t="str">
        <f t="shared" ref="Q441:Q504" si="2637">VLOOKUP($A441,hospital_details,7,0)</f>
        <v>tier - 3</v>
      </c>
      <c r="R441" s="7" t="str">
        <f t="shared" ref="R441:R504" si="2638">VLOOKUP($A441,hospital_details,8,0)</f>
        <v>R1024</v>
      </c>
    </row>
    <row r="442" spans="1:18" ht="14.4" customHeight="1" x14ac:dyDescent="0.3">
      <c r="A442" s="5" t="s">
        <v>461</v>
      </c>
      <c r="B442" s="5" t="str">
        <f>VLOOKUP($A442,[1]!Customer_Names[#Data],3,0)</f>
        <v xml:space="preserve">  Denise M</v>
      </c>
      <c r="C442" s="5">
        <v>22.88</v>
      </c>
      <c r="D442" s="5" t="str" cm="1">
        <f t="array" ref="D442">_xlfn.IFS(Healthcare!$C442&lt;18.5,"under weight",Healthcare!$C442&lt;=24.9,"Normal Weight",Healthcare!$C442&gt;=25,"overweight",Healthcare!$C442&gt;=30,"obese")</f>
        <v>Normal Weight</v>
      </c>
      <c r="E442" s="5">
        <v>5.71</v>
      </c>
      <c r="F442" s="5" t="str" cm="1">
        <f t="array" ref="F442">_xlfn.IFS(Healthcare!$E442&lt;5.7,"normal",Healthcare!$E442&lt;=6.4,"prediabetes",Healthcare!$E442&gt;=6.5,"diabetes")</f>
        <v>prediabetes</v>
      </c>
      <c r="G442" s="5" t="s">
        <v>20</v>
      </c>
      <c r="H442" s="5" t="s">
        <v>19</v>
      </c>
      <c r="I442" s="5" t="s">
        <v>29</v>
      </c>
      <c r="J442" s="5">
        <v>1</v>
      </c>
      <c r="K442" s="5" t="s">
        <v>20</v>
      </c>
      <c r="L442" s="5" t="str">
        <f>VLOOKUP(Healthcare!$A442,hospital_details,2,0)</f>
        <v>14-Nov-1969</v>
      </c>
      <c r="M442" s="5">
        <f t="shared" ref="M442:M505" ca="1" si="2639">VLOOKUP(A442,hospital_details,3,0)</f>
        <v>56</v>
      </c>
      <c r="N442" s="5">
        <f t="shared" ref="N442:N505" si="2640">VLOOKUP($A442,hospital_details,4,0)</f>
        <v>1</v>
      </c>
      <c r="O442" s="6">
        <f t="shared" ref="O442:O505" si="2641">VLOOKUP($A442,hospital_details,5,0)</f>
        <v>23244.79</v>
      </c>
      <c r="P442" s="5" t="str">
        <f t="shared" ref="P442:P505" si="2642">VLOOKUP($A442,hospital_details,6,0)</f>
        <v>tier - 2</v>
      </c>
      <c r="Q442" s="5" t="str">
        <f t="shared" ref="Q442:Q505" si="2643">VLOOKUP($A442,hospital_details,7,0)</f>
        <v>tier - 3</v>
      </c>
      <c r="R442" s="5" t="str">
        <f t="shared" ref="R442:R505" si="2644">VLOOKUP($A442,hospital_details,8,0)</f>
        <v>R1013</v>
      </c>
    </row>
    <row r="443" spans="1:18" ht="14.4" customHeight="1" x14ac:dyDescent="0.3">
      <c r="A443" s="7" t="s">
        <v>462</v>
      </c>
      <c r="B443" s="7" t="str">
        <f>VLOOKUP($A443,[1]!Customer_Names[#Data],3,0)</f>
        <v xml:space="preserve">  Peter R</v>
      </c>
      <c r="C443" s="7">
        <v>24.984999999999999</v>
      </c>
      <c r="D443" s="7" t="str" cm="1">
        <f t="array" ref="D443">_xlfn.IFS(Healthcare!$C2&lt;18.5,"under weight",Healthcare!$C2&lt;=24.9,"Normal Weight",Healthcare!$C2&gt;=25,"overweight",Healthcare!$C2&gt;=30,"obese")</f>
        <v>overweight</v>
      </c>
      <c r="E443" s="7">
        <v>4.43</v>
      </c>
      <c r="F443" s="7" t="str" cm="1">
        <f t="array" ref="F443">_xlfn.IFS(Healthcare!$E443&lt;5.7,"normal",Healthcare!$E443&lt;=6.4,"prediabetes",Healthcare!$E443&gt;=6.5,"diabetes")</f>
        <v>normal</v>
      </c>
      <c r="G443" s="7" t="s">
        <v>20</v>
      </c>
      <c r="H443" s="7" t="s">
        <v>19</v>
      </c>
      <c r="I443" s="7" t="s">
        <v>29</v>
      </c>
      <c r="J443" s="7">
        <v>1</v>
      </c>
      <c r="K443" s="7" t="s">
        <v>19</v>
      </c>
      <c r="L443" s="7" t="str">
        <f>VLOOKUP(Healthcare!$A443,hospital_details,2,0)</f>
        <v>7-Aug-1997</v>
      </c>
      <c r="M443" s="7">
        <f t="shared" ref="M443:M506" ca="1" si="2645">VLOOKUP(A443,hospital_details,3,0)</f>
        <v>29</v>
      </c>
      <c r="N443" s="7">
        <f t="shared" ref="N443:N506" si="2646">VLOOKUP($A443,hospital_details,4,0)</f>
        <v>2</v>
      </c>
      <c r="O443" s="8">
        <f t="shared" ref="O443:O506" si="2647">VLOOKUP($A443,hospital_details,5,0)</f>
        <v>23241.47</v>
      </c>
      <c r="P443" s="7" t="str">
        <f t="shared" ref="P443:P506" si="2648">VLOOKUP($A443,hospital_details,6,0)</f>
        <v>tier - 2</v>
      </c>
      <c r="Q443" s="7" t="str">
        <f t="shared" ref="Q443:Q506" si="2649">VLOOKUP($A443,hospital_details,7,0)</f>
        <v>tier - 3</v>
      </c>
      <c r="R443" s="7" t="str">
        <f t="shared" ref="R443:R506" si="2650">VLOOKUP($A443,hospital_details,8,0)</f>
        <v>R1018</v>
      </c>
    </row>
    <row r="444" spans="1:18" ht="14.4" customHeight="1" x14ac:dyDescent="0.3">
      <c r="A444" s="5" t="s">
        <v>463</v>
      </c>
      <c r="B444" s="5" t="str">
        <f>VLOOKUP($A444,[1]!Customer_Names[#Data],3,0)</f>
        <v xml:space="preserve">  Johnson K</v>
      </c>
      <c r="C444" s="5">
        <v>33.1</v>
      </c>
      <c r="D444" s="5" t="str" cm="1">
        <f t="array" ref="D444">_xlfn.IFS(Healthcare!$C444&lt;18.5,"under weight",Healthcare!$C444&lt;=24.9,"Normal Weight",Healthcare!$C444&gt;=25,"overweight",Healthcare!$C444&gt;=30,"obese")</f>
        <v>overweight</v>
      </c>
      <c r="E444" s="5">
        <v>5.52</v>
      </c>
      <c r="F444" s="5" t="str" cm="1">
        <f t="array" ref="F444">_xlfn.IFS(Healthcare!$E444&lt;5.7,"normal",Healthcare!$E444&lt;=6.4,"prediabetes",Healthcare!$E444&gt;=6.5,"diabetes")</f>
        <v>normal</v>
      </c>
      <c r="G444" s="5" t="s">
        <v>19</v>
      </c>
      <c r="H444" s="5" t="s">
        <v>19</v>
      </c>
      <c r="I444" s="5" t="s">
        <v>29</v>
      </c>
      <c r="J444" s="5">
        <v>1</v>
      </c>
      <c r="K444" s="5" t="s">
        <v>19</v>
      </c>
      <c r="L444" s="5" t="str">
        <f>VLOOKUP(Healthcare!$A444,hospital_details,2,0)</f>
        <v>14-Dec-2003</v>
      </c>
      <c r="M444" s="5">
        <f t="shared" ref="M444:M507" ca="1" si="2651">VLOOKUP(A444,hospital_details,3,0)</f>
        <v>22</v>
      </c>
      <c r="N444" s="5">
        <f t="shared" ref="N444:N507" si="2652">VLOOKUP($A444,hospital_details,4,0)</f>
        <v>0</v>
      </c>
      <c r="O444" s="6">
        <f t="shared" ref="O444:O507" si="2653">VLOOKUP($A444,hospital_details,5,0)</f>
        <v>23082.959999999999</v>
      </c>
      <c r="P444" s="5" t="str">
        <f t="shared" ref="P444:P507" si="2654">VLOOKUP($A444,hospital_details,6,0)</f>
        <v>tier - 2</v>
      </c>
      <c r="Q444" s="5" t="str">
        <f t="shared" ref="Q444:Q507" si="2655">VLOOKUP($A444,hospital_details,7,0)</f>
        <v>tier - 2</v>
      </c>
      <c r="R444" s="5" t="str">
        <f t="shared" ref="R444:R507" si="2656">VLOOKUP($A444,hospital_details,8,0)</f>
        <v>R1011</v>
      </c>
    </row>
    <row r="445" spans="1:18" ht="14.4" customHeight="1" x14ac:dyDescent="0.3">
      <c r="A445" s="7" t="s">
        <v>464</v>
      </c>
      <c r="B445" s="7" t="str">
        <f>VLOOKUP($A445,[1]!Customer_Names[#Data],3,0)</f>
        <v xml:space="preserve">  Katherine</v>
      </c>
      <c r="C445" s="7">
        <v>27.83</v>
      </c>
      <c r="D445" s="7" t="str" cm="1">
        <f t="array" ref="D445">_xlfn.IFS(Healthcare!$C445&lt;18.5,"under weight",Healthcare!$C445&lt;=24.9,"Normal Weight",Healthcare!$C445&gt;=25,"overweight",Healthcare!$C445&gt;=30,"obese")</f>
        <v>overweight</v>
      </c>
      <c r="E445" s="7">
        <v>9.1999999999999993</v>
      </c>
      <c r="F445" s="7" t="str" cm="1">
        <f t="array" ref="F445">_xlfn.IFS(Healthcare!$E445&lt;5.7,"normal",Healthcare!$E445&lt;=6.4,"prediabetes",Healthcare!$E445&gt;=6.5,"diabetes")</f>
        <v>diabetes</v>
      </c>
      <c r="G445" s="7" t="s">
        <v>20</v>
      </c>
      <c r="H445" s="7" t="s">
        <v>19</v>
      </c>
      <c r="I445" s="7" t="s">
        <v>19</v>
      </c>
      <c r="J445" s="7">
        <v>1</v>
      </c>
      <c r="K445" s="7" t="s">
        <v>20</v>
      </c>
      <c r="L445" s="7" t="str">
        <f>VLOOKUP(Healthcare!$A445,hospital_details,2,0)</f>
        <v>9-Sep-1975</v>
      </c>
      <c r="M445" s="7">
        <f t="shared" ref="M445:M508" ca="1" si="2657">VLOOKUP(A445,hospital_details,3,0)</f>
        <v>51</v>
      </c>
      <c r="N445" s="7">
        <f t="shared" ref="N445:N508" si="2658">VLOOKUP($A445,hospital_details,4,0)</f>
        <v>0</v>
      </c>
      <c r="O445" s="8">
        <f t="shared" ref="O445:O508" si="2659">VLOOKUP($A445,hospital_details,5,0)</f>
        <v>23065.42</v>
      </c>
      <c r="P445" s="7" t="str">
        <f t="shared" ref="P445:P508" si="2660">VLOOKUP($A445,hospital_details,6,0)</f>
        <v>tier - 2</v>
      </c>
      <c r="Q445" s="7" t="str">
        <f t="shared" ref="Q445:Q508" si="2661">VLOOKUP($A445,hospital_details,7,0)</f>
        <v>tier - 2</v>
      </c>
      <c r="R445" s="7" t="str">
        <f t="shared" ref="R445:R508" si="2662">VLOOKUP($A445,hospital_details,8,0)</f>
        <v>R1013</v>
      </c>
    </row>
    <row r="446" spans="1:18" ht="14.4" customHeight="1" x14ac:dyDescent="0.3">
      <c r="A446" s="5" t="s">
        <v>465</v>
      </c>
      <c r="B446" s="5" t="str">
        <f>VLOOKUP($A446,[1]!Customer_Names[#Data],3,0)</f>
        <v xml:space="preserve">  Lynda</v>
      </c>
      <c r="C446" s="5">
        <v>30.875</v>
      </c>
      <c r="D446" s="5" t="str" cm="1">
        <f t="array" ref="D446">_xlfn.IFS(Healthcare!$C446&lt;18.5,"under weight",Healthcare!$C446&lt;=24.9,"Normal Weight",Healthcare!$C446&gt;=25,"overweight",Healthcare!$C446&gt;=30,"obese")</f>
        <v>overweight</v>
      </c>
      <c r="E446" s="5">
        <v>10.97</v>
      </c>
      <c r="F446" s="5" t="str" cm="1">
        <f t="array" ref="F446">_xlfn.IFS(Healthcare!$E446&lt;5.7,"normal",Healthcare!$E446&lt;=6.4,"prediabetes",Healthcare!$E446&gt;=6.5,"diabetes")</f>
        <v>diabetes</v>
      </c>
      <c r="G446" s="5" t="s">
        <v>20</v>
      </c>
      <c r="H446" s="5" t="s">
        <v>19</v>
      </c>
      <c r="I446" s="5" t="s">
        <v>19</v>
      </c>
      <c r="J446" s="5">
        <v>2</v>
      </c>
      <c r="K446" s="5" t="s">
        <v>19</v>
      </c>
      <c r="L446" s="5" t="str">
        <f>VLOOKUP(Healthcare!$A446,hospital_details,2,0)</f>
        <v>9-Nov-1970</v>
      </c>
      <c r="M446" s="5">
        <f t="shared" ref="M446:M509" ca="1" si="2663">VLOOKUP(A446,hospital_details,3,0)</f>
        <v>55</v>
      </c>
      <c r="N446" s="5">
        <f t="shared" ref="N446:N509" si="2664">VLOOKUP($A446,hospital_details,4,0)</f>
        <v>0</v>
      </c>
      <c r="O446" s="6">
        <f t="shared" ref="O446:O509" si="2665">VLOOKUP($A446,hospital_details,5,0)</f>
        <v>23045.57</v>
      </c>
      <c r="P446" s="5" t="str">
        <f t="shared" ref="P446:P509" si="2666">VLOOKUP($A446,hospital_details,6,0)</f>
        <v>tier - 2</v>
      </c>
      <c r="Q446" s="5" t="str">
        <f t="shared" ref="Q446:Q509" si="2667">VLOOKUP($A446,hospital_details,7,0)</f>
        <v>tier - 2</v>
      </c>
      <c r="R446" s="5" t="str">
        <f t="shared" ref="R446:R509" si="2668">VLOOKUP($A446,hospital_details,8,0)</f>
        <v>R1024</v>
      </c>
    </row>
    <row r="447" spans="1:18" ht="14.4" customHeight="1" x14ac:dyDescent="0.3">
      <c r="A447" s="7" t="s">
        <v>466</v>
      </c>
      <c r="B447" s="7" t="str">
        <f>VLOOKUP($A447,[1]!Customer_Names[#Data],3,0)</f>
        <v xml:space="preserve">  Anthony</v>
      </c>
      <c r="C447" s="7">
        <v>27.265000000000001</v>
      </c>
      <c r="D447" s="7" t="str" cm="1">
        <f t="array" ref="D447">_xlfn.IFS(Healthcare!$C447&lt;18.5,"under weight",Healthcare!$C447&lt;=24.9,"Normal Weight",Healthcare!$C447&gt;=25,"overweight",Healthcare!$C447&gt;=30,"obese")</f>
        <v>overweight</v>
      </c>
      <c r="E447" s="7">
        <v>4.25</v>
      </c>
      <c r="F447" s="7" t="str" cm="1">
        <f t="array" ref="F447">_xlfn.IFS(Healthcare!$E447&lt;5.7,"normal",Healthcare!$E447&lt;=6.4,"prediabetes",Healthcare!$E447&gt;=6.5,"diabetes")</f>
        <v>normal</v>
      </c>
      <c r="G447" s="7" t="s">
        <v>19</v>
      </c>
      <c r="H447" s="7" t="s">
        <v>19</v>
      </c>
      <c r="I447" s="7" t="s">
        <v>29</v>
      </c>
      <c r="J447" s="7">
        <v>1</v>
      </c>
      <c r="K447" s="7" t="s">
        <v>19</v>
      </c>
      <c r="L447" s="7" t="str">
        <f>VLOOKUP(Healthcare!$A447,hospital_details,2,0)</f>
        <v>25-Jul-2003</v>
      </c>
      <c r="M447" s="7">
        <f t="shared" ref="M447:M510" ca="1" si="2669">VLOOKUP(A447,hospital_details,3,0)</f>
        <v>23</v>
      </c>
      <c r="N447" s="7">
        <f t="shared" ref="N447:N510" si="2670">VLOOKUP($A447,hospital_details,4,0)</f>
        <v>2</v>
      </c>
      <c r="O447" s="8">
        <f t="shared" ref="O447:O510" si="2671">VLOOKUP($A447,hospital_details,5,0)</f>
        <v>22493.66</v>
      </c>
      <c r="P447" s="7" t="str">
        <f t="shared" ref="P447:P510" si="2672">VLOOKUP($A447,hospital_details,6,0)</f>
        <v>tier - 2</v>
      </c>
      <c r="Q447" s="7" t="str">
        <f t="shared" ref="Q447:Q510" si="2673">VLOOKUP($A447,hospital_details,7,0)</f>
        <v>tier - 1</v>
      </c>
      <c r="R447" s="7" t="str">
        <f t="shared" ref="R447:R510" si="2674">VLOOKUP($A447,hospital_details,8,0)</f>
        <v>R1012</v>
      </c>
    </row>
    <row r="448" spans="1:18" ht="14.4" customHeight="1" x14ac:dyDescent="0.3">
      <c r="A448" s="5" t="s">
        <v>467</v>
      </c>
      <c r="B448" s="5" t="str">
        <f>VLOOKUP($A448,[1]!Customer_Names[#Data],3,0)</f>
        <v xml:space="preserve">  Linnea C</v>
      </c>
      <c r="C448" s="5">
        <v>26.7</v>
      </c>
      <c r="D448" s="5" t="str" cm="1">
        <f t="array" ref="D448">_xlfn.IFS(Healthcare!$C448&lt;18.5,"under weight",Healthcare!$C448&lt;=24.9,"Normal Weight",Healthcare!$C448&gt;=25,"overweight",Healthcare!$C448&gt;=30,"obese")</f>
        <v>overweight</v>
      </c>
      <c r="E448" s="5">
        <v>5.23</v>
      </c>
      <c r="F448" s="5" t="str" cm="1">
        <f t="array" ref="F448">_xlfn.IFS(Healthcare!$E448&lt;5.7,"normal",Healthcare!$E448&lt;=6.4,"prediabetes",Healthcare!$E448&gt;=6.5,"diabetes")</f>
        <v>normal</v>
      </c>
      <c r="G448" s="5" t="s">
        <v>19</v>
      </c>
      <c r="H448" s="5" t="s">
        <v>19</v>
      </c>
      <c r="I448" s="5" t="s">
        <v>29</v>
      </c>
      <c r="J448" s="5">
        <v>1</v>
      </c>
      <c r="K448" s="5" t="s">
        <v>20</v>
      </c>
      <c r="L448" s="5" t="str">
        <f>VLOOKUP(Healthcare!$A448,hospital_details,2,0)</f>
        <v>14-Nov-1979</v>
      </c>
      <c r="M448" s="5">
        <f t="shared" ref="M448:M511" ca="1" si="2675">VLOOKUP(A448,hospital_details,3,0)</f>
        <v>46</v>
      </c>
      <c r="N448" s="5">
        <f t="shared" ref="N448:N511" si="2676">VLOOKUP($A448,hospital_details,4,0)</f>
        <v>2</v>
      </c>
      <c r="O448" s="6">
        <f t="shared" ref="O448:O511" si="2677">VLOOKUP($A448,hospital_details,5,0)</f>
        <v>22478.6</v>
      </c>
      <c r="P448" s="5" t="str">
        <f t="shared" ref="P448:P511" si="2678">VLOOKUP($A448,hospital_details,6,0)</f>
        <v>tier - 3</v>
      </c>
      <c r="Q448" s="5" t="str">
        <f t="shared" ref="Q448:Q511" si="2679">VLOOKUP($A448,hospital_details,7,0)</f>
        <v>tier - 2</v>
      </c>
      <c r="R448" s="5" t="str">
        <f t="shared" ref="R448:R511" si="2680">VLOOKUP($A448,hospital_details,8,0)</f>
        <v>R1011</v>
      </c>
    </row>
    <row r="449" spans="1:18" ht="14.4" customHeight="1" x14ac:dyDescent="0.3">
      <c r="A449" s="7" t="s">
        <v>468</v>
      </c>
      <c r="B449" s="7" t="str">
        <f>VLOOKUP($A449,[1]!Customer_Names[#Data],3,0)</f>
        <v xml:space="preserve">  Massimiliano A</v>
      </c>
      <c r="C449" s="7">
        <v>29.925000000000001</v>
      </c>
      <c r="D449" s="7" t="str" cm="1">
        <f t="array" ref="D449">_xlfn.IFS(Healthcare!$C449&lt;18.5,"under weight",Healthcare!$C449&lt;=24.9,"Normal Weight",Healthcare!$C449&gt;=25,"overweight",Healthcare!$C449&gt;=30,"obese")</f>
        <v>overweight</v>
      </c>
      <c r="E449" s="7">
        <v>5.96</v>
      </c>
      <c r="F449" s="7" t="str" cm="1">
        <f t="array" ref="F449">_xlfn.IFS(Healthcare!$E449&lt;5.7,"normal",Healthcare!$E449&lt;=6.4,"prediabetes",Healthcare!$E449&gt;=6.5,"diabetes")</f>
        <v>prediabetes</v>
      </c>
      <c r="G449" s="7" t="s">
        <v>20</v>
      </c>
      <c r="H449" s="7" t="s">
        <v>19</v>
      </c>
      <c r="I449" s="7" t="s">
        <v>29</v>
      </c>
      <c r="J449" s="7">
        <v>1</v>
      </c>
      <c r="K449" s="7" t="s">
        <v>20</v>
      </c>
      <c r="L449" s="7" t="str">
        <f>VLOOKUP(Healthcare!$A449,hospital_details,2,0)</f>
        <v>21-Dec-1983</v>
      </c>
      <c r="M449" s="7">
        <f t="shared" ref="M449:M512" ca="1" si="2681">VLOOKUP(A449,hospital_details,3,0)</f>
        <v>42</v>
      </c>
      <c r="N449" s="7">
        <f t="shared" ref="N449:N512" si="2682">VLOOKUP($A449,hospital_details,4,0)</f>
        <v>1</v>
      </c>
      <c r="O449" s="8">
        <f t="shared" ref="O449:O512" si="2683">VLOOKUP($A449,hospital_details,5,0)</f>
        <v>22462.04</v>
      </c>
      <c r="P449" s="7" t="str">
        <f t="shared" ref="P449:P512" si="2684">VLOOKUP($A449,hospital_details,6,0)</f>
        <v>tier - 3</v>
      </c>
      <c r="Q449" s="7" t="str">
        <f t="shared" ref="Q449:Q512" si="2685">VLOOKUP($A449,hospital_details,7,0)</f>
        <v>tier - 1</v>
      </c>
      <c r="R449" s="7" t="str">
        <f t="shared" ref="R449:R512" si="2686">VLOOKUP($A449,hospital_details,8,0)</f>
        <v>R1019</v>
      </c>
    </row>
    <row r="450" spans="1:18" ht="14.4" customHeight="1" x14ac:dyDescent="0.3">
      <c r="A450" s="5" t="s">
        <v>469</v>
      </c>
      <c r="B450" s="5" t="str">
        <f>VLOOKUP($A450,[1]!Customer_Names[#Data],3,0)</f>
        <v xml:space="preserve">  James M</v>
      </c>
      <c r="C450" s="5">
        <v>19.95</v>
      </c>
      <c r="D450" s="5" t="str" cm="1">
        <f t="array" ref="D450">_xlfn.IFS(Healthcare!$C450&lt;18.5,"under weight",Healthcare!$C450&lt;=24.9,"Normal Weight",Healthcare!$C450&gt;=25,"overweight",Healthcare!$C450&gt;=30,"obese")</f>
        <v>Normal Weight</v>
      </c>
      <c r="E450" s="5">
        <v>4.29</v>
      </c>
      <c r="F450" s="5" t="str" cm="1">
        <f t="array" ref="F450">_xlfn.IFS(Healthcare!$E450&lt;5.7,"normal",Healthcare!$E450&lt;=6.4,"prediabetes",Healthcare!$E450&gt;=6.5,"diabetes")</f>
        <v>normal</v>
      </c>
      <c r="G450" s="5" t="s">
        <v>20</v>
      </c>
      <c r="H450" s="5" t="s">
        <v>19</v>
      </c>
      <c r="I450" s="5" t="s">
        <v>19</v>
      </c>
      <c r="J450" s="5">
        <v>2</v>
      </c>
      <c r="K450" s="5" t="s">
        <v>20</v>
      </c>
      <c r="L450" s="5" t="str">
        <f>VLOOKUP(Healthcare!$A450,hospital_details,2,0)</f>
        <v>18-Aug-1966</v>
      </c>
      <c r="M450" s="5">
        <f t="shared" ref="M450:M513" ca="1" si="2687">VLOOKUP(A450,hospital_details,3,0)</f>
        <v>60</v>
      </c>
      <c r="N450" s="5">
        <f t="shared" ref="N450:N513" si="2688">VLOOKUP($A450,hospital_details,4,0)</f>
        <v>0</v>
      </c>
      <c r="O450" s="6">
        <f t="shared" ref="O450:O513" si="2689">VLOOKUP($A450,hospital_details,5,0)</f>
        <v>22412.65</v>
      </c>
      <c r="P450" s="5" t="str">
        <f t="shared" ref="P450:P513" si="2690">VLOOKUP($A450,hospital_details,6,0)</f>
        <v>tier - 3</v>
      </c>
      <c r="Q450" s="5" t="str">
        <f t="shared" ref="Q450:Q513" si="2691">VLOOKUP($A450,hospital_details,7,0)</f>
        <v>tier - 3</v>
      </c>
      <c r="R450" s="5" t="str">
        <f t="shared" ref="R450:R513" si="2692">VLOOKUP($A450,hospital_details,8,0)</f>
        <v>R1014</v>
      </c>
    </row>
    <row r="451" spans="1:18" ht="14.4" customHeight="1" x14ac:dyDescent="0.3">
      <c r="A451" s="7" t="s">
        <v>470</v>
      </c>
      <c r="B451" s="7" t="str">
        <f>VLOOKUP($A451,[1]!Customer_Names[#Data],3,0)</f>
        <v xml:space="preserve">  Lauren</v>
      </c>
      <c r="C451" s="7">
        <v>24.225000000000001</v>
      </c>
      <c r="D451" s="7" t="str" cm="1">
        <f t="array" ref="D451">_xlfn.IFS(Healthcare!$C451&lt;18.5,"under weight",Healthcare!$C451&lt;=24.9,"Normal Weight",Healthcare!$C451&gt;=25,"overweight",Healthcare!$C451&gt;=30,"obese")</f>
        <v>Normal Weight</v>
      </c>
      <c r="E451" s="7">
        <v>4.09</v>
      </c>
      <c r="F451" s="7" t="str" cm="1">
        <f t="array" ref="F451">_xlfn.IFS(Healthcare!$E451&lt;5.7,"normal",Healthcare!$E451&lt;=6.4,"prediabetes",Healthcare!$E451&gt;=6.5,"diabetes")</f>
        <v>normal</v>
      </c>
      <c r="G451" s="7" t="s">
        <v>19</v>
      </c>
      <c r="H451" s="7" t="s">
        <v>19</v>
      </c>
      <c r="I451" s="7" t="s">
        <v>19</v>
      </c>
      <c r="J451" s="7">
        <v>0</v>
      </c>
      <c r="K451" s="7" t="s">
        <v>19</v>
      </c>
      <c r="L451" s="7" t="str">
        <f>VLOOKUP(Healthcare!$A451,hospital_details,2,0)</f>
        <v>26-Aug-1999</v>
      </c>
      <c r="M451" s="7">
        <f t="shared" ref="M451:M514" ca="1" si="2693">VLOOKUP(A451,hospital_details,3,0)</f>
        <v>27</v>
      </c>
      <c r="N451" s="7">
        <f t="shared" ref="N451:N514" si="2694">VLOOKUP($A451,hospital_details,4,0)</f>
        <v>2</v>
      </c>
      <c r="O451" s="8">
        <f t="shared" ref="O451:O514" si="2695">VLOOKUP($A451,hospital_details,5,0)</f>
        <v>22395.74</v>
      </c>
      <c r="P451" s="7" t="str">
        <f t="shared" ref="P451:P514" si="2696">VLOOKUP($A451,hospital_details,6,0)</f>
        <v>tier - 3</v>
      </c>
      <c r="Q451" s="7" t="str">
        <f t="shared" ref="Q451:Q514" si="2697">VLOOKUP($A451,hospital_details,7,0)</f>
        <v>tier - 2</v>
      </c>
      <c r="R451" s="7" t="str">
        <f t="shared" ref="R451:R514" si="2698">VLOOKUP($A451,hospital_details,8,0)</f>
        <v>R1024</v>
      </c>
    </row>
    <row r="452" spans="1:18" ht="14.4" customHeight="1" x14ac:dyDescent="0.3">
      <c r="A452" s="5" t="s">
        <v>471</v>
      </c>
      <c r="B452" s="5" t="str">
        <f>VLOOKUP($A452,[1]!Customer_Names[#Data],3,0)</f>
        <v xml:space="preserve">  Michele V</v>
      </c>
      <c r="C452" s="5">
        <v>28.12</v>
      </c>
      <c r="D452" s="5" t="str" cm="1">
        <f t="array" ref="D452">_xlfn.IFS(Healthcare!$C452&lt;18.5,"under weight",Healthcare!$C452&lt;=24.9,"Normal Weight",Healthcare!$C452&gt;=25,"overweight",Healthcare!$C452&gt;=30,"obese")</f>
        <v>overweight</v>
      </c>
      <c r="E452" s="5">
        <v>4.88</v>
      </c>
      <c r="F452" s="5" t="str" cm="1">
        <f t="array" ref="F452">_xlfn.IFS(Healthcare!$E452&lt;5.7,"normal",Healthcare!$E452&lt;=6.4,"prediabetes",Healthcare!$E452&gt;=6.5,"diabetes")</f>
        <v>normal</v>
      </c>
      <c r="G452" s="5" t="s">
        <v>19</v>
      </c>
      <c r="H452" s="5" t="s">
        <v>19</v>
      </c>
      <c r="I452" s="5" t="s">
        <v>19</v>
      </c>
      <c r="J452" s="5">
        <v>0</v>
      </c>
      <c r="K452" s="5" t="s">
        <v>20</v>
      </c>
      <c r="L452" s="5" t="str">
        <f>VLOOKUP(Healthcare!$A452,hospital_details,2,0)</f>
        <v>27-Dec-1982</v>
      </c>
      <c r="M452" s="5">
        <f t="shared" ref="M452:M515" ca="1" si="2699">VLOOKUP(A452,hospital_details,3,0)</f>
        <v>43</v>
      </c>
      <c r="N452" s="5">
        <f t="shared" ref="N452:N515" si="2700">VLOOKUP($A452,hospital_details,4,0)</f>
        <v>1</v>
      </c>
      <c r="O452" s="6">
        <f t="shared" ref="O452:O515" si="2701">VLOOKUP($A452,hospital_details,5,0)</f>
        <v>22331.57</v>
      </c>
      <c r="P452" s="5" t="str">
        <f t="shared" ref="P452:P515" si="2702">VLOOKUP($A452,hospital_details,6,0)</f>
        <v>tier - 2</v>
      </c>
      <c r="Q452" s="5" t="str">
        <f t="shared" ref="Q452:Q515" si="2703">VLOOKUP($A452,hospital_details,7,0)</f>
        <v>tier - 3</v>
      </c>
      <c r="R452" s="5" t="str">
        <f t="shared" ref="R452:R515" si="2704">VLOOKUP($A452,hospital_details,8,0)</f>
        <v>R1024</v>
      </c>
    </row>
    <row r="453" spans="1:18" ht="14.4" customHeight="1" x14ac:dyDescent="0.3">
      <c r="A453" s="7" t="s">
        <v>472</v>
      </c>
      <c r="B453" s="7" t="str">
        <f>VLOOKUP($A453,[1]!Customer_Names[#Data],3,0)</f>
        <v xml:space="preserve">  Xiao</v>
      </c>
      <c r="C453" s="7">
        <v>23.21</v>
      </c>
      <c r="D453" s="7" t="str" cm="1">
        <f t="array" ref="D453">_xlfn.IFS(Healthcare!$C453&lt;18.5,"under weight",Healthcare!$C453&lt;=24.9,"Normal Weight",Healthcare!$C453&gt;=25,"overweight",Healthcare!$C453&gt;=30,"obese")</f>
        <v>Normal Weight</v>
      </c>
      <c r="E453" s="7">
        <v>6.76</v>
      </c>
      <c r="F453" s="7" t="str" cm="1">
        <f t="array" ref="F453">_xlfn.IFS(Healthcare!$E453&lt;5.7,"normal",Healthcare!$E453&lt;=6.4,"prediabetes",Healthcare!$E453&gt;=6.5,"diabetes")</f>
        <v>diabetes</v>
      </c>
      <c r="G453" s="7" t="s">
        <v>19</v>
      </c>
      <c r="H453" s="7" t="s">
        <v>19</v>
      </c>
      <c r="I453" s="7" t="s">
        <v>19</v>
      </c>
      <c r="J453" s="7">
        <v>0</v>
      </c>
      <c r="K453" s="7" t="s">
        <v>20</v>
      </c>
      <c r="L453" s="7" t="str">
        <f>VLOOKUP(Healthcare!$A453,hospital_details,2,0)</f>
        <v>16-Jun-1971</v>
      </c>
      <c r="M453" s="7">
        <f t="shared" ref="M453:M516" ca="1" si="2705">VLOOKUP(A453,hospital_details,3,0)</f>
        <v>55</v>
      </c>
      <c r="N453" s="7">
        <f t="shared" ref="N453:N516" si="2706">VLOOKUP($A453,hospital_details,4,0)</f>
        <v>1</v>
      </c>
      <c r="O453" s="8">
        <f t="shared" ref="O453:O516" si="2707">VLOOKUP($A453,hospital_details,5,0)</f>
        <v>22218.11</v>
      </c>
      <c r="P453" s="7" t="str">
        <f t="shared" ref="P453:P516" si="2708">VLOOKUP($A453,hospital_details,6,0)</f>
        <v>tier - 2</v>
      </c>
      <c r="Q453" s="7" t="str">
        <f t="shared" ref="Q453:Q516" si="2709">VLOOKUP($A453,hospital_details,7,0)</f>
        <v>tier - 3</v>
      </c>
      <c r="R453" s="7" t="str">
        <f t="shared" ref="R453:R516" si="2710">VLOOKUP($A453,hospital_details,8,0)</f>
        <v>R1013</v>
      </c>
    </row>
    <row r="454" spans="1:18" ht="14.4" customHeight="1" x14ac:dyDescent="0.3">
      <c r="A454" s="5" t="s">
        <v>473</v>
      </c>
      <c r="B454" s="5" t="str">
        <f>VLOOKUP($A454,[1]!Customer_Names[#Data],3,0)</f>
        <v xml:space="preserve">  Harper L</v>
      </c>
      <c r="C454" s="5">
        <v>23.98</v>
      </c>
      <c r="D454" s="5" t="str" cm="1">
        <f t="array" ref="D454">_xlfn.IFS(Healthcare!$C454&lt;18.5,"under weight",Healthcare!$C454&lt;=24.9,"Normal Weight",Healthcare!$C454&gt;=25,"overweight",Healthcare!$C454&gt;=30,"obese")</f>
        <v>Normal Weight</v>
      </c>
      <c r="E454" s="5">
        <v>10.67</v>
      </c>
      <c r="F454" s="5" t="str" cm="1">
        <f t="array" ref="F454">_xlfn.IFS(Healthcare!$E454&lt;5.7,"normal",Healthcare!$E454&lt;=6.4,"prediabetes",Healthcare!$E454&gt;=6.5,"diabetes")</f>
        <v>diabetes</v>
      </c>
      <c r="G454" s="5" t="s">
        <v>19</v>
      </c>
      <c r="H454" s="5" t="s">
        <v>19</v>
      </c>
      <c r="I454" s="5" t="s">
        <v>19</v>
      </c>
      <c r="J454" s="5">
        <v>0</v>
      </c>
      <c r="K454" s="5" t="s">
        <v>19</v>
      </c>
      <c r="L454" s="5" t="str">
        <f>VLOOKUP(Healthcare!$A454,hospital_details,2,0)</f>
        <v>24-Aug-1965</v>
      </c>
      <c r="M454" s="5">
        <f t="shared" ref="M454:M517" ca="1" si="2711">VLOOKUP(A454,hospital_details,3,0)</f>
        <v>61</v>
      </c>
      <c r="N454" s="5">
        <f t="shared" ref="N454:N517" si="2712">VLOOKUP($A454,hospital_details,4,0)</f>
        <v>1</v>
      </c>
      <c r="O454" s="6">
        <f t="shared" ref="O454:O517" si="2713">VLOOKUP($A454,hospital_details,5,0)</f>
        <v>22192.44</v>
      </c>
      <c r="P454" s="5" t="str">
        <f t="shared" ref="P454:P517" si="2714">VLOOKUP($A454,hospital_details,6,0)</f>
        <v>tier - 3</v>
      </c>
      <c r="Q454" s="5" t="str">
        <f t="shared" ref="Q454:Q517" si="2715">VLOOKUP($A454,hospital_details,7,0)</f>
        <v>tier - 1</v>
      </c>
      <c r="R454" s="5" t="str">
        <f t="shared" ref="R454:R517" si="2716">VLOOKUP($A454,hospital_details,8,0)</f>
        <v>R1013</v>
      </c>
    </row>
    <row r="455" spans="1:18" ht="14.4" customHeight="1" x14ac:dyDescent="0.3">
      <c r="A455" s="7" t="s">
        <v>474</v>
      </c>
      <c r="B455" s="7" t="str">
        <f>VLOOKUP($A455,[1]!Customer_Names[#Data],3,0)</f>
        <v xml:space="preserve">  Nick</v>
      </c>
      <c r="C455" s="7">
        <v>30</v>
      </c>
      <c r="D455" s="7" t="str" cm="1">
        <f t="array" ref="D455">_xlfn.IFS(Healthcare!$C455&lt;18.5,"under weight",Healthcare!$C455&lt;=24.9,"Normal Weight",Healthcare!$C455&gt;=25,"overweight",Healthcare!$C455&gt;=30,"obese")</f>
        <v>overweight</v>
      </c>
      <c r="E455" s="7">
        <v>6.21</v>
      </c>
      <c r="F455" s="7" t="str" cm="1">
        <f t="array" ref="F455">_xlfn.IFS(Healthcare!$E455&lt;5.7,"normal",Healthcare!$E455&lt;=6.4,"prediabetes",Healthcare!$E455&gt;=6.5,"diabetes")</f>
        <v>prediabetes</v>
      </c>
      <c r="G455" s="7" t="s">
        <v>19</v>
      </c>
      <c r="H455" s="7" t="s">
        <v>19</v>
      </c>
      <c r="I455" s="7" t="s">
        <v>19</v>
      </c>
      <c r="J455" s="7">
        <v>0</v>
      </c>
      <c r="K455" s="7" t="s">
        <v>20</v>
      </c>
      <c r="L455" s="7" t="str">
        <f>VLOOKUP(Healthcare!$A455,hospital_details,2,0)</f>
        <v>12-Sep-1980</v>
      </c>
      <c r="M455" s="7">
        <f t="shared" ref="M455:M518" ca="1" si="2717">VLOOKUP(A455,hospital_details,3,0)</f>
        <v>46</v>
      </c>
      <c r="N455" s="7">
        <f t="shared" ref="N455:N518" si="2718">VLOOKUP($A455,hospital_details,4,0)</f>
        <v>0</v>
      </c>
      <c r="O455" s="8">
        <f t="shared" ref="O455:O518" si="2719">VLOOKUP($A455,hospital_details,5,0)</f>
        <v>22144.03</v>
      </c>
      <c r="P455" s="7" t="str">
        <f t="shared" ref="P455:P518" si="2720">VLOOKUP($A455,hospital_details,6,0)</f>
        <v>tier - 2</v>
      </c>
      <c r="Q455" s="7" t="str">
        <f t="shared" ref="Q455:Q518" si="2721">VLOOKUP($A455,hospital_details,7,0)</f>
        <v>tier - 2</v>
      </c>
      <c r="R455" s="7" t="str">
        <f t="shared" ref="R455:R518" si="2722">VLOOKUP($A455,hospital_details,8,0)</f>
        <v>R1011</v>
      </c>
    </row>
    <row r="456" spans="1:18" ht="14.4" customHeight="1" x14ac:dyDescent="0.3">
      <c r="A456" s="5" t="s">
        <v>475</v>
      </c>
      <c r="B456" s="5" t="str">
        <f>VLOOKUP($A456,[1]!Customer_Names[#Data],3,0)</f>
        <v xml:space="preserve">  Scott</v>
      </c>
      <c r="C456" s="5">
        <v>17.350000000000001</v>
      </c>
      <c r="D456" s="5" t="str" cm="1">
        <f t="array" ref="D456">_xlfn.IFS(Healthcare!$C456&lt;18.5,"under weight",Healthcare!$C456&lt;=24.9,"Normal Weight",Healthcare!$C456&gt;=25,"overweight",Healthcare!$C456&gt;=30,"obese")</f>
        <v>under weight</v>
      </c>
      <c r="E456" s="5">
        <v>5.03</v>
      </c>
      <c r="F456" s="5" t="str" cm="1">
        <f t="array" ref="F456">_xlfn.IFS(Healthcare!$E456&lt;5.7,"normal",Healthcare!$E456&lt;=6.4,"prediabetes",Healthcare!$E456&gt;=6.5,"diabetes")</f>
        <v>normal</v>
      </c>
      <c r="G456" s="5" t="s">
        <v>20</v>
      </c>
      <c r="H456" s="5" t="s">
        <v>19</v>
      </c>
      <c r="I456" s="5" t="s">
        <v>19</v>
      </c>
      <c r="J456" s="5">
        <v>0</v>
      </c>
      <c r="K456" s="5" t="s">
        <v>20</v>
      </c>
      <c r="L456" s="5" t="str">
        <f>VLOOKUP(Healthcare!$A456,hospital_details,2,0)</f>
        <v>28-Aug-2001</v>
      </c>
      <c r="M456" s="5">
        <f t="shared" ref="M456:M519" ca="1" si="2723">VLOOKUP(A456,hospital_details,3,0)</f>
        <v>25</v>
      </c>
      <c r="N456" s="5">
        <f t="shared" ref="N456:N519" si="2724">VLOOKUP($A456,hospital_details,4,0)</f>
        <v>0</v>
      </c>
      <c r="O456" s="6">
        <f t="shared" ref="O456:O519" si="2725">VLOOKUP($A456,hospital_details,5,0)</f>
        <v>22097.62</v>
      </c>
      <c r="P456" s="5" t="str">
        <f t="shared" ref="P456:P519" si="2726">VLOOKUP($A456,hospital_details,6,0)</f>
        <v>tier - 3</v>
      </c>
      <c r="Q456" s="5" t="str">
        <f t="shared" ref="Q456:Q519" si="2727">VLOOKUP($A456,hospital_details,7,0)</f>
        <v>tier - 1</v>
      </c>
      <c r="R456" s="5" t="str">
        <f t="shared" ref="R456:R519" si="2728">VLOOKUP($A456,hospital_details,8,0)</f>
        <v>R1011</v>
      </c>
    </row>
    <row r="457" spans="1:18" ht="14.4" customHeight="1" x14ac:dyDescent="0.3">
      <c r="A457" s="7" t="s">
        <v>476</v>
      </c>
      <c r="B457" s="7" t="str">
        <f>VLOOKUP($A457,[1]!Customer_Names[#Data],3,0)</f>
        <v xml:space="preserve">  Wilson</v>
      </c>
      <c r="C457" s="7">
        <v>22.704999999999998</v>
      </c>
      <c r="D457" s="7" t="str" cm="1">
        <f t="array" ref="D457">_xlfn.IFS(Healthcare!$C457&lt;18.5,"under weight",Healthcare!$C457&lt;=24.9,"Normal Weight",Healthcare!$C457&gt;=25,"overweight",Healthcare!$C457&gt;=30,"obese")</f>
        <v>Normal Weight</v>
      </c>
      <c r="E457" s="7">
        <v>5.27</v>
      </c>
      <c r="F457" s="7" t="str" cm="1">
        <f t="array" ref="F457">_xlfn.IFS(Healthcare!$E457&lt;5.7,"normal",Healthcare!$E457&lt;=6.4,"prediabetes",Healthcare!$E457&gt;=6.5,"diabetes")</f>
        <v>normal</v>
      </c>
      <c r="G457" s="7" t="s">
        <v>19</v>
      </c>
      <c r="H457" s="7" t="s">
        <v>19</v>
      </c>
      <c r="I457" s="7" t="s">
        <v>19</v>
      </c>
      <c r="J457" s="7">
        <v>0</v>
      </c>
      <c r="K457" s="7" t="s">
        <v>19</v>
      </c>
      <c r="L457" s="7" t="str">
        <f>VLOOKUP(Healthcare!$A457,hospital_details,2,0)</f>
        <v>14-Oct-1989</v>
      </c>
      <c r="M457" s="7">
        <f t="shared" ref="M457:M520" ca="1" si="2729">VLOOKUP(A457,hospital_details,3,0)</f>
        <v>37</v>
      </c>
      <c r="N457" s="7">
        <f t="shared" ref="N457:N520" si="2730">VLOOKUP($A457,hospital_details,4,0)</f>
        <v>0</v>
      </c>
      <c r="O457" s="8">
        <f t="shared" ref="O457:O520" si="2731">VLOOKUP($A457,hospital_details,5,0)</f>
        <v>21984.47</v>
      </c>
      <c r="P457" s="7" t="str">
        <f t="shared" ref="P457:P520" si="2732">VLOOKUP($A457,hospital_details,6,0)</f>
        <v>tier - 3</v>
      </c>
      <c r="Q457" s="7" t="str">
        <f t="shared" ref="Q457:Q520" si="2733">VLOOKUP($A457,hospital_details,7,0)</f>
        <v>tier - 1</v>
      </c>
      <c r="R457" s="7" t="str">
        <f t="shared" ref="R457:R520" si="2734">VLOOKUP($A457,hospital_details,8,0)</f>
        <v>R1012</v>
      </c>
    </row>
    <row r="458" spans="1:18" ht="14.4" customHeight="1" x14ac:dyDescent="0.3">
      <c r="A458" s="5" t="s">
        <v>477</v>
      </c>
      <c r="B458" s="5" t="str">
        <f>VLOOKUP($A458,[1]!Customer_Names[#Data],3,0)</f>
        <v xml:space="preserve">  Lee</v>
      </c>
      <c r="C458" s="5">
        <v>25.41</v>
      </c>
      <c r="D458" s="5" t="str" cm="1">
        <f t="array" ref="D458">_xlfn.IFS(Healthcare!$C458&lt;18.5,"under weight",Healthcare!$C458&lt;=24.9,"Normal Weight",Healthcare!$C458&gt;=25,"overweight",Healthcare!$C458&gt;=30,"obese")</f>
        <v>overweight</v>
      </c>
      <c r="E458" s="5">
        <v>10.53</v>
      </c>
      <c r="F458" s="5" t="str" cm="1">
        <f t="array" ref="F458">_xlfn.IFS(Healthcare!$E458&lt;5.7,"normal",Healthcare!$E458&lt;=6.4,"prediabetes",Healthcare!$E458&gt;=6.5,"diabetes")</f>
        <v>diabetes</v>
      </c>
      <c r="G458" s="5" t="s">
        <v>20</v>
      </c>
      <c r="H458" s="5" t="s">
        <v>19</v>
      </c>
      <c r="I458" s="5" t="s">
        <v>19</v>
      </c>
      <c r="J458" s="5">
        <v>1</v>
      </c>
      <c r="K458" s="5" t="s">
        <v>20</v>
      </c>
      <c r="L458" s="5" t="str">
        <f>VLOOKUP(Healthcare!$A458,hospital_details,2,0)</f>
        <v>19-Dec-1975</v>
      </c>
      <c r="M458" s="5">
        <f t="shared" ref="M458:M521" ca="1" si="2735">VLOOKUP(A458,hospital_details,3,0)</f>
        <v>50</v>
      </c>
      <c r="N458" s="5">
        <f t="shared" ref="N458:N521" si="2736">VLOOKUP($A458,hospital_details,4,0)</f>
        <v>1</v>
      </c>
      <c r="O458" s="6">
        <f t="shared" ref="O458:O521" si="2737">VLOOKUP($A458,hospital_details,5,0)</f>
        <v>21978.68</v>
      </c>
      <c r="P458" s="5" t="str">
        <f t="shared" ref="P458:P521" si="2738">VLOOKUP($A458,hospital_details,6,0)</f>
        <v>tier - 3</v>
      </c>
      <c r="Q458" s="5" t="str">
        <f t="shared" ref="Q458:Q521" si="2739">VLOOKUP($A458,hospital_details,7,0)</f>
        <v>tier - 3</v>
      </c>
      <c r="R458" s="5" t="str">
        <f t="shared" ref="R458:R521" si="2740">VLOOKUP($A458,hospital_details,8,0)</f>
        <v>R1013</v>
      </c>
    </row>
    <row r="459" spans="1:18" ht="14.4" customHeight="1" x14ac:dyDescent="0.3">
      <c r="A459" s="7" t="s">
        <v>478</v>
      </c>
      <c r="B459" s="7" t="str">
        <f>VLOOKUP($A459,[1]!Customer_Names[#Data],3,0)</f>
        <v xml:space="preserve">  Shizhong</v>
      </c>
      <c r="C459" s="7">
        <v>18.23</v>
      </c>
      <c r="D459" s="7" t="str" cm="1">
        <f t="array" ref="D459">_xlfn.IFS(Healthcare!$C459&lt;18.5,"under weight",Healthcare!$C459&lt;=24.9,"Normal Weight",Healthcare!$C459&gt;=25,"overweight",Healthcare!$C459&gt;=30,"obese")</f>
        <v>under weight</v>
      </c>
      <c r="E459" s="7">
        <v>5.78</v>
      </c>
      <c r="F459" s="7" t="str" cm="1">
        <f t="array" ref="F459">_xlfn.IFS(Healthcare!$E459&lt;5.7,"normal",Healthcare!$E459&lt;=6.4,"prediabetes",Healthcare!$E459&gt;=6.5,"diabetes")</f>
        <v>prediabetes</v>
      </c>
      <c r="G459" s="7" t="s">
        <v>19</v>
      </c>
      <c r="H459" s="7" t="s">
        <v>19</v>
      </c>
      <c r="I459" s="7" t="s">
        <v>29</v>
      </c>
      <c r="J459" s="7">
        <v>1</v>
      </c>
      <c r="K459" s="7" t="s">
        <v>20</v>
      </c>
      <c r="L459" s="7" t="str">
        <f>VLOOKUP(Healthcare!$A459,hospital_details,2,0)</f>
        <v>28-Sep-2003</v>
      </c>
      <c r="M459" s="7">
        <f t="shared" ref="M459:M522" ca="1" si="2741">VLOOKUP(A459,hospital_details,3,0)</f>
        <v>23</v>
      </c>
      <c r="N459" s="7">
        <f t="shared" ref="N459:N522" si="2742">VLOOKUP($A459,hospital_details,4,0)</f>
        <v>0</v>
      </c>
      <c r="O459" s="8">
        <f t="shared" ref="O459:O522" si="2743">VLOOKUP($A459,hospital_details,5,0)</f>
        <v>21882.400000000001</v>
      </c>
      <c r="P459" s="7" t="str">
        <f t="shared" ref="P459:P522" si="2744">VLOOKUP($A459,hospital_details,6,0)</f>
        <v>tier - 2</v>
      </c>
      <c r="Q459" s="7" t="str">
        <f t="shared" ref="Q459:Q522" si="2745">VLOOKUP($A459,hospital_details,7,0)</f>
        <v>tier - 1</v>
      </c>
      <c r="R459" s="7" t="str">
        <f t="shared" ref="R459:R522" si="2746">VLOOKUP($A459,hospital_details,8,0)</f>
        <v>R1011</v>
      </c>
    </row>
    <row r="460" spans="1:18" ht="14.4" customHeight="1" x14ac:dyDescent="0.3">
      <c r="A460" s="5" t="s">
        <v>479</v>
      </c>
      <c r="B460" s="5" t="str">
        <f>VLOOKUP($A460,[1]!Customer_Names[#Data],3,0)</f>
        <v xml:space="preserve">  Marie-Claire</v>
      </c>
      <c r="C460" s="5">
        <v>24.7</v>
      </c>
      <c r="D460" s="5" t="str" cm="1">
        <f t="array" ref="D460">_xlfn.IFS(Healthcare!$C460&lt;18.5,"under weight",Healthcare!$C460&lt;=24.9,"Normal Weight",Healthcare!$C460&gt;=25,"overweight",Healthcare!$C460&gt;=30,"obese")</f>
        <v>Normal Weight</v>
      </c>
      <c r="E460" s="5">
        <v>4.3600000000000003</v>
      </c>
      <c r="F460" s="5" t="str" cm="1">
        <f t="array" ref="F460">_xlfn.IFS(Healthcare!$E460&lt;5.7,"normal",Healthcare!$E460&lt;=6.4,"prediabetes",Healthcare!$E460&gt;=6.5,"diabetes")</f>
        <v>normal</v>
      </c>
      <c r="G460" s="5" t="s">
        <v>19</v>
      </c>
      <c r="H460" s="5" t="s">
        <v>19</v>
      </c>
      <c r="I460" s="5" t="s">
        <v>29</v>
      </c>
      <c r="J460" s="5">
        <v>1</v>
      </c>
      <c r="K460" s="5" t="s">
        <v>20</v>
      </c>
      <c r="L460" s="5" t="str">
        <f>VLOOKUP(Healthcare!$A460,hospital_details,2,0)</f>
        <v>17-Aug-1979</v>
      </c>
      <c r="M460" s="5">
        <f t="shared" ref="M460:M523" ca="1" si="2747">VLOOKUP(A460,hospital_details,3,0)</f>
        <v>47</v>
      </c>
      <c r="N460" s="5">
        <f t="shared" ref="N460:N523" si="2748">VLOOKUP($A460,hospital_details,4,0)</f>
        <v>2</v>
      </c>
      <c r="O460" s="6">
        <f t="shared" ref="O460:O523" si="2749">VLOOKUP($A460,hospital_details,5,0)</f>
        <v>21880.82</v>
      </c>
      <c r="P460" s="5" t="str">
        <f t="shared" ref="P460:P523" si="2750">VLOOKUP($A460,hospital_details,6,0)</f>
        <v>tier - 3</v>
      </c>
      <c r="Q460" s="5" t="str">
        <f t="shared" ref="Q460:Q523" si="2751">VLOOKUP($A460,hospital_details,7,0)</f>
        <v>tier - 1</v>
      </c>
      <c r="R460" s="5" t="str">
        <f t="shared" ref="R460:R523" si="2752">VLOOKUP($A460,hospital_details,8,0)</f>
        <v>R1012</v>
      </c>
    </row>
    <row r="461" spans="1:18" ht="14.4" customHeight="1" x14ac:dyDescent="0.3">
      <c r="A461" s="7" t="s">
        <v>480</v>
      </c>
      <c r="B461" s="7" t="str">
        <f>VLOOKUP($A461,[1]!Customer_Names[#Data],3,0)</f>
        <v xml:space="preserve">  Todd J</v>
      </c>
      <c r="C461" s="7">
        <v>37.4</v>
      </c>
      <c r="D461" s="7" t="str" cm="1">
        <f t="array" ref="D461">_xlfn.IFS(Healthcare!$C461&lt;18.5,"under weight",Healthcare!$C461&lt;=24.9,"Normal Weight",Healthcare!$C461&gt;=25,"overweight",Healthcare!$C461&gt;=30,"obese")</f>
        <v>overweight</v>
      </c>
      <c r="E461" s="7">
        <v>9.7200000000000006</v>
      </c>
      <c r="F461" s="7" t="str" cm="1">
        <f t="array" ref="F461">_xlfn.IFS(Healthcare!$E461&lt;5.7,"normal",Healthcare!$E461&lt;=6.4,"prediabetes",Healthcare!$E461&gt;=6.5,"diabetes")</f>
        <v>diabetes</v>
      </c>
      <c r="G461" s="7" t="s">
        <v>20</v>
      </c>
      <c r="H461" s="7" t="s">
        <v>19</v>
      </c>
      <c r="I461" s="7" t="s">
        <v>29</v>
      </c>
      <c r="J461" s="7">
        <v>1</v>
      </c>
      <c r="K461" s="7" t="s">
        <v>19</v>
      </c>
      <c r="L461" s="7" t="str">
        <f>VLOOKUP(Healthcare!$A461,hospital_details,2,0)</f>
        <v>27-Aug-1963</v>
      </c>
      <c r="M461" s="7">
        <f t="shared" ref="M461:M524" ca="1" si="2753">VLOOKUP(A461,hospital_details,3,0)</f>
        <v>63</v>
      </c>
      <c r="N461" s="7">
        <f t="shared" ref="N461:N524" si="2754">VLOOKUP($A461,hospital_details,4,0)</f>
        <v>0</v>
      </c>
      <c r="O461" s="8">
        <f t="shared" ref="O461:O524" si="2755">VLOOKUP($A461,hospital_details,5,0)</f>
        <v>21797</v>
      </c>
      <c r="P461" s="7" t="str">
        <f t="shared" ref="P461:P524" si="2756">VLOOKUP($A461,hospital_details,6,0)</f>
        <v>tier - 3</v>
      </c>
      <c r="Q461" s="7" t="str">
        <f t="shared" ref="Q461:Q524" si="2757">VLOOKUP($A461,hospital_details,7,0)</f>
        <v>tier - 1</v>
      </c>
      <c r="R461" s="7" t="str">
        <f t="shared" ref="R461:R524" si="2758">VLOOKUP($A461,hospital_details,8,0)</f>
        <v>R1011</v>
      </c>
    </row>
    <row r="462" spans="1:18" ht="14.4" customHeight="1" x14ac:dyDescent="0.3">
      <c r="A462" s="5" t="s">
        <v>481</v>
      </c>
      <c r="B462" s="5" t="str">
        <f>VLOOKUP($A462,[1]!Customer_Names[#Data],3,0)</f>
        <v xml:space="preserve">  Carolyn</v>
      </c>
      <c r="C462" s="5">
        <v>26.885000000000002</v>
      </c>
      <c r="D462" s="5" t="str" cm="1">
        <f t="array" ref="D462">_xlfn.IFS(Healthcare!$C462&lt;18.5,"under weight",Healthcare!$C462&lt;=24.9,"Normal Weight",Healthcare!$C462&gt;=25,"overweight",Healthcare!$C462&gt;=30,"obese")</f>
        <v>overweight</v>
      </c>
      <c r="E462" s="5">
        <v>5.18</v>
      </c>
      <c r="F462" s="5" t="str" cm="1">
        <f t="array" ref="F462">_xlfn.IFS(Healthcare!$E462&lt;5.7,"normal",Healthcare!$E462&lt;=6.4,"prediabetes",Healthcare!$E462&gt;=6.5,"diabetes")</f>
        <v>normal</v>
      </c>
      <c r="G462" s="5" t="s">
        <v>19</v>
      </c>
      <c r="H462" s="5" t="s">
        <v>19</v>
      </c>
      <c r="I462" s="5" t="s">
        <v>29</v>
      </c>
      <c r="J462" s="5">
        <v>1</v>
      </c>
      <c r="K462" s="5" t="s">
        <v>20</v>
      </c>
      <c r="L462" s="5" t="str">
        <f>VLOOKUP(Healthcare!$A462,hospital_details,2,0)</f>
        <v>28-Sep-1979</v>
      </c>
      <c r="M462" s="5">
        <f t="shared" ref="M462:M525" ca="1" si="2759">VLOOKUP(A462,hospital_details,3,0)</f>
        <v>47</v>
      </c>
      <c r="N462" s="5">
        <f t="shared" ref="N462:N525" si="2760">VLOOKUP($A462,hospital_details,4,0)</f>
        <v>0</v>
      </c>
      <c r="O462" s="6">
        <f t="shared" ref="O462:O525" si="2761">VLOOKUP($A462,hospital_details,5,0)</f>
        <v>21774.32</v>
      </c>
      <c r="P462" s="5" t="str">
        <f t="shared" ref="P462:P525" si="2762">VLOOKUP($A462,hospital_details,6,0)</f>
        <v>tier - 3</v>
      </c>
      <c r="Q462" s="5" t="str">
        <f t="shared" ref="Q462:Q525" si="2763">VLOOKUP($A462,hospital_details,7,0)</f>
        <v>tier - 2</v>
      </c>
      <c r="R462" s="5" t="str">
        <f t="shared" ref="R462:R525" si="2764">VLOOKUP($A462,hospital_details,8,0)</f>
        <v>R1012</v>
      </c>
    </row>
    <row r="463" spans="1:18" ht="14.4" customHeight="1" x14ac:dyDescent="0.3">
      <c r="A463" s="7" t="s">
        <v>482</v>
      </c>
      <c r="B463" s="7" t="str">
        <f>VLOOKUP($A463,[1]!Customer_Names[#Data],3,0)</f>
        <v xml:space="preserve">  Lindsey</v>
      </c>
      <c r="C463" s="7">
        <v>25.27</v>
      </c>
      <c r="D463" s="7" t="str" cm="1">
        <f t="array" ref="D463">_xlfn.IFS(Healthcare!$C463&lt;18.5,"under weight",Healthcare!$C463&lt;=24.9,"Normal Weight",Healthcare!$C463&gt;=25,"overweight",Healthcare!$C463&gt;=30,"obese")</f>
        <v>overweight</v>
      </c>
      <c r="E463" s="7">
        <v>5.29</v>
      </c>
      <c r="F463" s="7" t="str" cm="1">
        <f t="array" ref="F463">_xlfn.IFS(Healthcare!$E463&lt;5.7,"normal",Healthcare!$E463&lt;=6.4,"prediabetes",Healthcare!$E463&gt;=6.5,"diabetes")</f>
        <v>normal</v>
      </c>
      <c r="G463" s="7" t="s">
        <v>19</v>
      </c>
      <c r="H463" s="7" t="s">
        <v>19</v>
      </c>
      <c r="I463" s="7" t="s">
        <v>29</v>
      </c>
      <c r="J463" s="7">
        <v>1</v>
      </c>
      <c r="K463" s="7" t="s">
        <v>20</v>
      </c>
      <c r="L463" s="7" t="str">
        <f>VLOOKUP(Healthcare!$A463,hospital_details,2,0)</f>
        <v>20-Sep-1979</v>
      </c>
      <c r="M463" s="7">
        <f t="shared" ref="M463:M526" ca="1" si="2765">VLOOKUP(A463,hospital_details,3,0)</f>
        <v>47</v>
      </c>
      <c r="N463" s="7">
        <f t="shared" ref="N463:N526" si="2766">VLOOKUP($A463,hospital_details,4,0)</f>
        <v>1</v>
      </c>
      <c r="O463" s="8">
        <f t="shared" ref="O463:O526" si="2767">VLOOKUP($A463,hospital_details,5,0)</f>
        <v>21771.34</v>
      </c>
      <c r="P463" s="7" t="str">
        <f t="shared" ref="P463:P526" si="2768">VLOOKUP($A463,hospital_details,6,0)</f>
        <v>tier - 3</v>
      </c>
      <c r="Q463" s="7" t="str">
        <f t="shared" ref="Q463:Q526" si="2769">VLOOKUP($A463,hospital_details,7,0)</f>
        <v>tier - 1</v>
      </c>
      <c r="R463" s="7" t="str">
        <f t="shared" ref="R463:R526" si="2770">VLOOKUP($A463,hospital_details,8,0)</f>
        <v>R1024</v>
      </c>
    </row>
    <row r="464" spans="1:18" ht="14.4" customHeight="1" x14ac:dyDescent="0.3">
      <c r="A464" s="5" t="s">
        <v>483</v>
      </c>
      <c r="B464" s="5" t="str">
        <f>VLOOKUP($A464,[1]!Customer_Names[#Data],3,0)</f>
        <v xml:space="preserve">  Marissa D</v>
      </c>
      <c r="C464" s="5">
        <v>23.655000000000001</v>
      </c>
      <c r="D464" s="5" t="str" cm="1">
        <f t="array" ref="D464">_xlfn.IFS(Healthcare!$C464&lt;18.5,"under weight",Healthcare!$C464&lt;=24.9,"Normal Weight",Healthcare!$C464&gt;=25,"overweight",Healthcare!$C464&gt;=30,"obese")</f>
        <v>Normal Weight</v>
      </c>
      <c r="E464" s="5">
        <v>4.8600000000000003</v>
      </c>
      <c r="F464" s="5" t="str" cm="1">
        <f t="array" ref="F464">_xlfn.IFS(Healthcare!$E464&lt;5.7,"normal",Healthcare!$E464&lt;=6.4,"prediabetes",Healthcare!$E464&gt;=6.5,"diabetes")</f>
        <v>normal</v>
      </c>
      <c r="G464" s="5" t="s">
        <v>20</v>
      </c>
      <c r="H464" s="5" t="s">
        <v>19</v>
      </c>
      <c r="I464" s="5" t="s">
        <v>19</v>
      </c>
      <c r="J464" s="5">
        <v>0</v>
      </c>
      <c r="K464" s="5" t="s">
        <v>20</v>
      </c>
      <c r="L464" s="5" t="str">
        <f>VLOOKUP(Healthcare!$A464,hospital_details,2,0)</f>
        <v>18-Jul-1976</v>
      </c>
      <c r="M464" s="5">
        <f t="shared" ref="M464:M527" ca="1" si="2771">VLOOKUP(A464,hospital_details,3,0)</f>
        <v>50</v>
      </c>
      <c r="N464" s="5">
        <f t="shared" ref="N464:N527" si="2772">VLOOKUP($A464,hospital_details,4,0)</f>
        <v>1</v>
      </c>
      <c r="O464" s="6">
        <f t="shared" ref="O464:O527" si="2773">VLOOKUP($A464,hospital_details,5,0)</f>
        <v>21677.279999999999</v>
      </c>
      <c r="P464" s="5" t="str">
        <f t="shared" ref="P464:P527" si="2774">VLOOKUP($A464,hospital_details,6,0)</f>
        <v>tier - 3</v>
      </c>
      <c r="Q464" s="5" t="str">
        <f t="shared" ref="Q464:Q527" si="2775">VLOOKUP($A464,hospital_details,7,0)</f>
        <v>tier - 1</v>
      </c>
      <c r="R464" s="5" t="str">
        <f t="shared" ref="R464:R527" si="2776">VLOOKUP($A464,hospital_details,8,0)</f>
        <v>R1012</v>
      </c>
    </row>
    <row r="465" spans="1:18" ht="14.4" customHeight="1" x14ac:dyDescent="0.3">
      <c r="A465" s="7" t="s">
        <v>484</v>
      </c>
      <c r="B465" s="7" t="str">
        <f>VLOOKUP($A465,[1]!Customer_Names[#Data],3,0)</f>
        <v xml:space="preserve">  Jean Luc</v>
      </c>
      <c r="C465" s="7">
        <v>55.05</v>
      </c>
      <c r="D465" s="7" t="str" cm="1">
        <f t="array" ref="D465">_xlfn.IFS(Healthcare!$C465&lt;18.5,"under weight",Healthcare!$C465&lt;=24.9,"Normal Weight",Healthcare!$C465&gt;=25,"overweight",Healthcare!$C465&gt;=30,"obese")</f>
        <v>overweight</v>
      </c>
      <c r="E465" s="7">
        <v>7.66</v>
      </c>
      <c r="F465" s="7" t="str" cm="1">
        <f t="array" ref="F465">_xlfn.IFS(Healthcare!$E465&lt;5.7,"normal",Healthcare!$E465&lt;=6.4,"prediabetes",Healthcare!$E465&gt;=6.5,"diabetes")</f>
        <v>diabetes</v>
      </c>
      <c r="G465" s="7" t="s">
        <v>19</v>
      </c>
      <c r="H465" s="7" t="s">
        <v>19</v>
      </c>
      <c r="I465" s="7" t="s">
        <v>19</v>
      </c>
      <c r="J465" s="7">
        <v>0</v>
      </c>
      <c r="K465" s="7" t="s">
        <v>19</v>
      </c>
      <c r="L465" s="7" t="str">
        <f>VLOOKUP(Healthcare!$A465,hospital_details,2,0)</f>
        <v>16-Nov-1962</v>
      </c>
      <c r="M465" s="7">
        <f t="shared" ref="M465:M528" ca="1" si="2777">VLOOKUP(A465,hospital_details,3,0)</f>
        <v>63</v>
      </c>
      <c r="N465" s="7">
        <f t="shared" ref="N465:N528" si="2778">VLOOKUP($A465,hospital_details,4,0)</f>
        <v>0</v>
      </c>
      <c r="O465" s="8">
        <f t="shared" ref="O465:O528" si="2779">VLOOKUP($A465,hospital_details,5,0)</f>
        <v>21661.16</v>
      </c>
      <c r="P465" s="7" t="str">
        <f t="shared" ref="P465:P528" si="2780">VLOOKUP($A465,hospital_details,6,0)</f>
        <v>tier - 2</v>
      </c>
      <c r="Q465" s="7" t="str">
        <f t="shared" ref="Q465:Q528" si="2781">VLOOKUP($A465,hospital_details,7,0)</f>
        <v>tier - 2</v>
      </c>
      <c r="R465" s="7" t="str">
        <f t="shared" ref="R465:R528" si="2782">VLOOKUP($A465,hospital_details,8,0)</f>
        <v>R1012</v>
      </c>
    </row>
    <row r="466" spans="1:18" ht="14.4" customHeight="1" x14ac:dyDescent="0.3">
      <c r="A466" s="5" t="s">
        <v>485</v>
      </c>
      <c r="B466" s="5" t="str">
        <f>VLOOKUP($A466,[1]!Customer_Names[#Data],3,0)</f>
        <v xml:space="preserve">  Danielle</v>
      </c>
      <c r="C466" s="5">
        <v>24.89</v>
      </c>
      <c r="D466" s="5" t="str" cm="1">
        <f t="array" ref="D466">_xlfn.IFS(Healthcare!$C466&lt;18.5,"under weight",Healthcare!$C466&lt;=24.9,"Normal Weight",Healthcare!$C466&gt;=25,"overweight",Healthcare!$C466&gt;=30,"obese")</f>
        <v>Normal Weight</v>
      </c>
      <c r="E466" s="5">
        <v>6.1</v>
      </c>
      <c r="F466" s="5" t="str" cm="1">
        <f t="array" ref="F466">_xlfn.IFS(Healthcare!$E466&lt;5.7,"normal",Healthcare!$E466&lt;=6.4,"prediabetes",Healthcare!$E466&gt;=6.5,"diabetes")</f>
        <v>prediabetes</v>
      </c>
      <c r="G466" s="5" t="s">
        <v>20</v>
      </c>
      <c r="H466" s="5" t="s">
        <v>19</v>
      </c>
      <c r="I466" s="5" t="s">
        <v>29</v>
      </c>
      <c r="J466" s="5">
        <v>1</v>
      </c>
      <c r="K466" s="5" t="s">
        <v>20</v>
      </c>
      <c r="L466" s="5" t="str">
        <f>VLOOKUP(Healthcare!$A466,hospital_details,2,0)</f>
        <v>25-Dec-1983</v>
      </c>
      <c r="M466" s="5">
        <f t="shared" ref="M466:M529" ca="1" si="2783">VLOOKUP(A466,hospital_details,3,0)</f>
        <v>42</v>
      </c>
      <c r="N466" s="5">
        <f t="shared" ref="N466:N529" si="2784">VLOOKUP($A466,hospital_details,4,0)</f>
        <v>3</v>
      </c>
      <c r="O466" s="6">
        <f t="shared" ref="O466:O529" si="2785">VLOOKUP($A466,hospital_details,5,0)</f>
        <v>21659.93</v>
      </c>
      <c r="P466" s="5" t="str">
        <f t="shared" ref="P466:P529" si="2786">VLOOKUP($A466,hospital_details,6,0)</f>
        <v>tier - 3</v>
      </c>
      <c r="Q466" s="5" t="str">
        <f t="shared" ref="Q466:Q529" si="2787">VLOOKUP($A466,hospital_details,7,0)</f>
        <v>tier - 3</v>
      </c>
      <c r="R466" s="5" t="str">
        <f t="shared" ref="R466:R529" si="2788">VLOOKUP($A466,hospital_details,8,0)</f>
        <v>R1024</v>
      </c>
    </row>
    <row r="467" spans="1:18" ht="14.4" customHeight="1" x14ac:dyDescent="0.3">
      <c r="A467" s="7" t="s">
        <v>486</v>
      </c>
      <c r="B467" s="7" t="str">
        <f>VLOOKUP($A467,[1]!Customer_Names[#Data],3,0)</f>
        <v xml:space="preserve">  Jim</v>
      </c>
      <c r="C467" s="7">
        <v>18.715</v>
      </c>
      <c r="D467" s="7" t="str" cm="1">
        <f t="array" ref="D467">_xlfn.IFS(Healthcare!$C467&lt;18.5,"under weight",Healthcare!$C467&lt;=24.9,"Normal Weight",Healthcare!$C467&gt;=25,"overweight",Healthcare!$C467&gt;=30,"obese")</f>
        <v>Normal Weight</v>
      </c>
      <c r="E467" s="7">
        <v>4.4400000000000004</v>
      </c>
      <c r="F467" s="7" t="str" cm="1">
        <f t="array" ref="F467">_xlfn.IFS(Healthcare!$E467&lt;5.7,"normal",Healthcare!$E467&lt;=6.4,"prediabetes",Healthcare!$E467&gt;=6.5,"diabetes")</f>
        <v>normal</v>
      </c>
      <c r="G467" s="7" t="s">
        <v>19</v>
      </c>
      <c r="H467" s="7" t="s">
        <v>19</v>
      </c>
      <c r="I467" s="7" t="s">
        <v>19</v>
      </c>
      <c r="J467" s="7">
        <v>0</v>
      </c>
      <c r="K467" s="7" t="s">
        <v>19</v>
      </c>
      <c r="L467" s="7" t="str">
        <f>VLOOKUP(Healthcare!$A467,hospital_details,2,0)</f>
        <v>12-Jun-1999</v>
      </c>
      <c r="M467" s="7">
        <f t="shared" ref="M467:M530" ca="1" si="2789">VLOOKUP(A467,hospital_details,3,0)</f>
        <v>27</v>
      </c>
      <c r="N467" s="7">
        <f t="shared" ref="N467:N530" si="2790">VLOOKUP($A467,hospital_details,4,0)</f>
        <v>0</v>
      </c>
      <c r="O467" s="8">
        <f t="shared" ref="O467:O530" si="2791">VLOOKUP($A467,hospital_details,5,0)</f>
        <v>21595.38</v>
      </c>
      <c r="P467" s="7" t="str">
        <f t="shared" ref="P467:P530" si="2792">VLOOKUP($A467,hospital_details,6,0)</f>
        <v>tier - 2</v>
      </c>
      <c r="Q467" s="7" t="str">
        <f t="shared" ref="Q467:Q530" si="2793">VLOOKUP($A467,hospital_details,7,0)</f>
        <v>tier - 3</v>
      </c>
      <c r="R467" s="7" t="str">
        <f t="shared" ref="R467:R530" si="2794">VLOOKUP($A467,hospital_details,8,0)</f>
        <v>R1012</v>
      </c>
    </row>
    <row r="468" spans="1:18" ht="14.4" customHeight="1" x14ac:dyDescent="0.3">
      <c r="A468" s="5" t="s">
        <v>487</v>
      </c>
      <c r="B468" s="5" t="str">
        <f>VLOOKUP($A468,[1]!Customer_Names[#Data],3,0)</f>
        <v xml:space="preserve">  Matthew T</v>
      </c>
      <c r="C468" s="5">
        <v>28.12</v>
      </c>
      <c r="D468" s="5" t="str" cm="1">
        <f t="array" ref="D468">_xlfn.IFS(Healthcare!$C468&lt;18.5,"under weight",Healthcare!$C468&lt;=24.9,"Normal Weight",Healthcare!$C468&gt;=25,"overweight",Healthcare!$C468&gt;=30,"obese")</f>
        <v>overweight</v>
      </c>
      <c r="E468" s="5">
        <v>6.15</v>
      </c>
      <c r="F468" s="5" t="str" cm="1">
        <f t="array" ref="F468">_xlfn.IFS(Healthcare!$E468&lt;5.7,"normal",Healthcare!$E468&lt;=6.4,"prediabetes",Healthcare!$E468&gt;=6.5,"diabetes")</f>
        <v>prediabetes</v>
      </c>
      <c r="G468" s="5" t="s">
        <v>19</v>
      </c>
      <c r="H468" s="5" t="s">
        <v>19</v>
      </c>
      <c r="I468" s="5" t="s">
        <v>19</v>
      </c>
      <c r="J468" s="5">
        <v>0</v>
      </c>
      <c r="K468" s="5" t="s">
        <v>20</v>
      </c>
      <c r="L468" s="5" t="str">
        <f>VLOOKUP(Healthcare!$A468,hospital_details,2,0)</f>
        <v>21-Nov-1990</v>
      </c>
      <c r="M468" s="5">
        <f t="shared" ref="M468:M531" ca="1" si="2795">VLOOKUP(A468,hospital_details,3,0)</f>
        <v>35</v>
      </c>
      <c r="N468" s="5">
        <f t="shared" ref="N468:N531" si="2796">VLOOKUP($A468,hospital_details,4,0)</f>
        <v>4</v>
      </c>
      <c r="O468" s="6">
        <f t="shared" ref="O468:O531" si="2797">VLOOKUP($A468,hospital_details,5,0)</f>
        <v>21472.48</v>
      </c>
      <c r="P468" s="5" t="str">
        <f t="shared" ref="P468:P531" si="2798">VLOOKUP($A468,hospital_details,6,0)</f>
        <v>tier - 2</v>
      </c>
      <c r="Q468" s="5" t="str">
        <f t="shared" ref="Q468:Q531" si="2799">VLOOKUP($A468,hospital_details,7,0)</f>
        <v>tier - 2</v>
      </c>
      <c r="R468" s="5" t="str">
        <f t="shared" ref="R468:R531" si="2800">VLOOKUP($A468,hospital_details,8,0)</f>
        <v>R1012</v>
      </c>
    </row>
    <row r="469" spans="1:18" ht="14.4" customHeight="1" x14ac:dyDescent="0.3">
      <c r="A469" s="7" t="s">
        <v>488</v>
      </c>
      <c r="B469" s="7" t="str">
        <f>VLOOKUP($A469,[1]!Customer_Names[#Data],3,0)</f>
        <v xml:space="preserve">  Rachel L</v>
      </c>
      <c r="C469" s="7">
        <v>26.6</v>
      </c>
      <c r="D469" s="7" t="str" cm="1">
        <f t="array" ref="D469">_xlfn.IFS(Healthcare!$C469&lt;18.5,"under weight",Healthcare!$C469&lt;=24.9,"Normal Weight",Healthcare!$C469&gt;=25,"overweight",Healthcare!$C469&gt;=30,"obese")</f>
        <v>overweight</v>
      </c>
      <c r="E469" s="7">
        <v>4.53</v>
      </c>
      <c r="F469" s="7" t="str" cm="1">
        <f t="array" ref="F469">_xlfn.IFS(Healthcare!$E469&lt;5.7,"normal",Healthcare!$E469&lt;=6.4,"prediabetes",Healthcare!$E469&gt;=6.5,"diabetes")</f>
        <v>normal</v>
      </c>
      <c r="G469" s="7" t="s">
        <v>19</v>
      </c>
      <c r="H469" s="7" t="s">
        <v>19</v>
      </c>
      <c r="I469" s="7" t="s">
        <v>19</v>
      </c>
      <c r="J469" s="7">
        <v>0</v>
      </c>
      <c r="K469" s="7" t="s">
        <v>20</v>
      </c>
      <c r="L469" s="7" t="str">
        <f>VLOOKUP(Healthcare!$A469,hospital_details,2,0)</f>
        <v>4-Sep-1980</v>
      </c>
      <c r="M469" s="7">
        <f t="shared" ref="M469:M532" ca="1" si="2801">VLOOKUP(A469,hospital_details,3,0)</f>
        <v>46</v>
      </c>
      <c r="N469" s="7">
        <f t="shared" ref="N469:N532" si="2802">VLOOKUP($A469,hospital_details,4,0)</f>
        <v>0</v>
      </c>
      <c r="O469" s="8">
        <f t="shared" ref="O469:O532" si="2803">VLOOKUP($A469,hospital_details,5,0)</f>
        <v>21348.71</v>
      </c>
      <c r="P469" s="7" t="str">
        <f t="shared" ref="P469:P532" si="2804">VLOOKUP($A469,hospital_details,6,0)</f>
        <v>tier - 2</v>
      </c>
      <c r="Q469" s="7" t="str">
        <f t="shared" ref="Q469:Q532" si="2805">VLOOKUP($A469,hospital_details,7,0)</f>
        <v>tier - 1</v>
      </c>
      <c r="R469" s="7" t="str">
        <f t="shared" ref="R469:R532" si="2806">VLOOKUP($A469,hospital_details,8,0)</f>
        <v>R1012</v>
      </c>
    </row>
    <row r="470" spans="1:18" ht="14.4" customHeight="1" x14ac:dyDescent="0.3">
      <c r="A470" s="5" t="s">
        <v>489</v>
      </c>
      <c r="B470" s="5" t="str">
        <f>VLOOKUP($A470,[1]!Customer_Names[#Data],3,0)</f>
        <v xml:space="preserve">  Corina</v>
      </c>
      <c r="C470" s="5">
        <v>30.114999999999998</v>
      </c>
      <c r="D470" s="5" t="str" cm="1">
        <f t="array" ref="D470">_xlfn.IFS(Healthcare!$C470&lt;18.5,"under weight",Healthcare!$C470&lt;=24.9,"Normal Weight",Healthcare!$C470&gt;=25,"overweight",Healthcare!$C470&gt;=30,"obese")</f>
        <v>overweight</v>
      </c>
      <c r="E470" s="5">
        <v>5.48</v>
      </c>
      <c r="F470" s="5" t="str" cm="1">
        <f t="array" ref="F470">_xlfn.IFS(Healthcare!$E470&lt;5.7,"normal",Healthcare!$E470&lt;=6.4,"prediabetes",Healthcare!$E470&gt;=6.5,"diabetes")</f>
        <v>normal</v>
      </c>
      <c r="G470" s="5" t="s">
        <v>19</v>
      </c>
      <c r="H470" s="5" t="s">
        <v>20</v>
      </c>
      <c r="I470" s="5" t="s">
        <v>19</v>
      </c>
      <c r="J470" s="5">
        <v>1</v>
      </c>
      <c r="K470" s="5" t="s">
        <v>19</v>
      </c>
      <c r="L470" s="5" t="str">
        <f>VLOOKUP(Healthcare!$A470,hospital_details,2,0)</f>
        <v>4-Aug-2004</v>
      </c>
      <c r="M470" s="5">
        <f t="shared" ref="M470:M533" ca="1" si="2807">VLOOKUP(A470,hospital_details,3,0)</f>
        <v>22</v>
      </c>
      <c r="N470" s="5">
        <f t="shared" ref="N470:N533" si="2808">VLOOKUP($A470,hospital_details,4,0)</f>
        <v>0</v>
      </c>
      <c r="O470" s="6">
        <f t="shared" ref="O470:O533" si="2809">VLOOKUP($A470,hospital_details,5,0)</f>
        <v>21344.85</v>
      </c>
      <c r="P470" s="5" t="str">
        <f t="shared" ref="P470:P533" si="2810">VLOOKUP($A470,hospital_details,6,0)</f>
        <v>tier - 3</v>
      </c>
      <c r="Q470" s="5" t="str">
        <f t="shared" ref="Q470:Q533" si="2811">VLOOKUP($A470,hospital_details,7,0)</f>
        <v>tier - 1</v>
      </c>
      <c r="R470" s="5" t="str">
        <f t="shared" ref="R470:R533" si="2812">VLOOKUP($A470,hospital_details,8,0)</f>
        <v>R1024</v>
      </c>
    </row>
    <row r="471" spans="1:18" ht="14.4" customHeight="1" x14ac:dyDescent="0.3">
      <c r="A471" s="7" t="s">
        <v>490</v>
      </c>
      <c r="B471" s="7" t="str">
        <f>VLOOKUP($A471,[1]!Customer_Names[#Data],3,0)</f>
        <v xml:space="preserve">  Guannan</v>
      </c>
      <c r="C471" s="7">
        <v>24.605</v>
      </c>
      <c r="D471" s="7" t="str" cm="1">
        <f t="array" ref="D471">_xlfn.IFS(Healthcare!$C471&lt;18.5,"under weight",Healthcare!$C471&lt;=24.9,"Normal Weight",Healthcare!$C471&gt;=25,"overweight",Healthcare!$C471&gt;=30,"obese")</f>
        <v>Normal Weight</v>
      </c>
      <c r="E471" s="7">
        <v>5.48</v>
      </c>
      <c r="F471" s="7" t="str" cm="1">
        <f t="array" ref="F471">_xlfn.IFS(Healthcare!$E471&lt;5.7,"normal",Healthcare!$E471&lt;=6.4,"prediabetes",Healthcare!$E471&gt;=6.5,"diabetes")</f>
        <v>normal</v>
      </c>
      <c r="G471" s="7" t="s">
        <v>19</v>
      </c>
      <c r="H471" s="7" t="s">
        <v>19</v>
      </c>
      <c r="I471" s="7" t="s">
        <v>19</v>
      </c>
      <c r="J471" s="7">
        <v>0</v>
      </c>
      <c r="K471" s="7" t="s">
        <v>20</v>
      </c>
      <c r="L471" s="7" t="str">
        <f>VLOOKUP(Healthcare!$A471,hospital_details,2,0)</f>
        <v>10-Dec-1980</v>
      </c>
      <c r="M471" s="7">
        <f t="shared" ref="M471:M534" ca="1" si="2813">VLOOKUP(A471,hospital_details,3,0)</f>
        <v>45</v>
      </c>
      <c r="N471" s="7">
        <f t="shared" ref="N471:N534" si="2814">VLOOKUP($A471,hospital_details,4,0)</f>
        <v>2</v>
      </c>
      <c r="O471" s="8">
        <f t="shared" ref="O471:O534" si="2815">VLOOKUP($A471,hospital_details,5,0)</f>
        <v>21259.38</v>
      </c>
      <c r="P471" s="7" t="str">
        <f t="shared" ref="P471:P534" si="2816">VLOOKUP($A471,hospital_details,6,0)</f>
        <v>tier - 3</v>
      </c>
      <c r="Q471" s="7" t="str">
        <f t="shared" ref="Q471:Q534" si="2817">VLOOKUP($A471,hospital_details,7,0)</f>
        <v>tier - 3</v>
      </c>
      <c r="R471" s="7" t="str">
        <f t="shared" ref="R471:R534" si="2818">VLOOKUP($A471,hospital_details,8,0)</f>
        <v>R1019</v>
      </c>
    </row>
    <row r="472" spans="1:18" ht="14.4" customHeight="1" x14ac:dyDescent="0.3">
      <c r="A472" s="5" t="s">
        <v>491</v>
      </c>
      <c r="B472" s="5" t="str">
        <f>VLOOKUP($A472,[1]!Customer_Names[#Data],3,0)</f>
        <v xml:space="preserve">  Don</v>
      </c>
      <c r="C472" s="5">
        <v>29.6</v>
      </c>
      <c r="D472" s="5" t="str" cm="1">
        <f t="array" ref="D472">_xlfn.IFS(Healthcare!$C472&lt;18.5,"under weight",Healthcare!$C472&lt;=24.9,"Normal Weight",Healthcare!$C472&gt;=25,"overweight",Healthcare!$C472&gt;=30,"obese")</f>
        <v>overweight</v>
      </c>
      <c r="E472" s="5">
        <v>8.1</v>
      </c>
      <c r="F472" s="5" t="str" cm="1">
        <f t="array" ref="F472">_xlfn.IFS(Healthcare!$E472&lt;5.7,"normal",Healthcare!$E472&lt;=6.4,"prediabetes",Healthcare!$E472&gt;=6.5,"diabetes")</f>
        <v>diabetes</v>
      </c>
      <c r="G472" s="5" t="s">
        <v>19</v>
      </c>
      <c r="H472" s="5" t="s">
        <v>19</v>
      </c>
      <c r="I472" s="5" t="s">
        <v>19</v>
      </c>
      <c r="J472" s="5">
        <v>0</v>
      </c>
      <c r="K472" s="5" t="s">
        <v>19</v>
      </c>
      <c r="L472" s="5" t="str">
        <f>VLOOKUP(Healthcare!$A472,hospital_details,2,0)</f>
        <v>3-Sep-1974</v>
      </c>
      <c r="M472" s="5">
        <f t="shared" ref="M472:M535" ca="1" si="2819">VLOOKUP(A472,hospital_details,3,0)</f>
        <v>52</v>
      </c>
      <c r="N472" s="5">
        <f t="shared" ref="N472:N535" si="2820">VLOOKUP($A472,hospital_details,4,0)</f>
        <v>0</v>
      </c>
      <c r="O472" s="6">
        <f t="shared" ref="O472:O535" si="2821">VLOOKUP($A472,hospital_details,5,0)</f>
        <v>21232.18</v>
      </c>
      <c r="P472" s="5" t="str">
        <f t="shared" ref="P472:P535" si="2822">VLOOKUP($A472,hospital_details,6,0)</f>
        <v>tier - 3</v>
      </c>
      <c r="Q472" s="5" t="str">
        <f t="shared" ref="Q472:Q535" si="2823">VLOOKUP($A472,hospital_details,7,0)</f>
        <v>tier - 2</v>
      </c>
      <c r="R472" s="5" t="str">
        <f t="shared" ref="R472:R535" si="2824">VLOOKUP($A472,hospital_details,8,0)</f>
        <v>R1011</v>
      </c>
    </row>
    <row r="473" spans="1:18" ht="14.4" customHeight="1" x14ac:dyDescent="0.3">
      <c r="A473" s="7" t="s">
        <v>492</v>
      </c>
      <c r="B473" s="7" t="str">
        <f>VLOOKUP($A473,[1]!Customer_Names[#Data],3,0)</f>
        <v xml:space="preserve">  Chris</v>
      </c>
      <c r="C473" s="7">
        <v>24.42</v>
      </c>
      <c r="D473" s="7" t="str" cm="1">
        <f t="array" ref="D473">_xlfn.IFS(Healthcare!$C473&lt;18.5,"under weight",Healthcare!$C473&lt;=24.9,"Normal Weight",Healthcare!$C473&gt;=25,"overweight",Healthcare!$C473&gt;=30,"obese")</f>
        <v>Normal Weight</v>
      </c>
      <c r="E473" s="7">
        <v>7.16</v>
      </c>
      <c r="F473" s="7" t="str" cm="1">
        <f t="array" ref="F473">_xlfn.IFS(Healthcare!$E473&lt;5.7,"normal",Healthcare!$E473&lt;=6.4,"prediabetes",Healthcare!$E473&gt;=6.5,"diabetes")</f>
        <v>diabetes</v>
      </c>
      <c r="G473" s="7" t="s">
        <v>19</v>
      </c>
      <c r="H473" s="7" t="s">
        <v>19</v>
      </c>
      <c r="I473" s="7" t="s">
        <v>19</v>
      </c>
      <c r="J473" s="7">
        <v>0</v>
      </c>
      <c r="K473" s="7" t="s">
        <v>20</v>
      </c>
      <c r="L473" s="7" t="str">
        <f>VLOOKUP(Healthcare!$A473,hospital_details,2,0)</f>
        <v>14-Oct-1974</v>
      </c>
      <c r="M473" s="7">
        <f t="shared" ref="M473:M536" ca="1" si="2825">VLOOKUP(A473,hospital_details,3,0)</f>
        <v>52</v>
      </c>
      <c r="N473" s="7">
        <f t="shared" ref="N473:N536" si="2826">VLOOKUP($A473,hospital_details,4,0)</f>
        <v>0</v>
      </c>
      <c r="O473" s="8">
        <f t="shared" ref="O473:O536" si="2827">VLOOKUP($A473,hospital_details,5,0)</f>
        <v>21223.68</v>
      </c>
      <c r="P473" s="7" t="str">
        <f t="shared" ref="P473:P536" si="2828">VLOOKUP($A473,hospital_details,6,0)</f>
        <v>tier - 3</v>
      </c>
      <c r="Q473" s="7" t="str">
        <f t="shared" ref="Q473:Q536" si="2829">VLOOKUP($A473,hospital_details,7,0)</f>
        <v>tier - 2</v>
      </c>
      <c r="R473" s="7" t="str">
        <f t="shared" ref="R473:R536" si="2830">VLOOKUP($A473,hospital_details,8,0)</f>
        <v>R1013</v>
      </c>
    </row>
    <row r="474" spans="1:18" ht="14.4" customHeight="1" x14ac:dyDescent="0.3">
      <c r="A474" s="5" t="s">
        <v>493</v>
      </c>
      <c r="B474" s="5" t="str">
        <f>VLOOKUP($A474,[1]!Customer_Names[#Data],3,0)</f>
        <v xml:space="preserve">  Gavin V</v>
      </c>
      <c r="C474" s="5">
        <v>20.9</v>
      </c>
      <c r="D474" s="5" t="str" cm="1">
        <f t="array" ref="D474">_xlfn.IFS(Healthcare!$C474&lt;18.5,"under weight",Healthcare!$C474&lt;=24.9,"Normal Weight",Healthcare!$C474&gt;=25,"overweight",Healthcare!$C474&gt;=30,"obese")</f>
        <v>Normal Weight</v>
      </c>
      <c r="E474" s="5">
        <v>4.55</v>
      </c>
      <c r="F474" s="5" t="str" cm="1">
        <f t="array" ref="F474">_xlfn.IFS(Healthcare!$E474&lt;5.7,"normal",Healthcare!$E474&lt;=6.4,"prediabetes",Healthcare!$E474&gt;=6.5,"diabetes")</f>
        <v>normal</v>
      </c>
      <c r="G474" s="5" t="s">
        <v>20</v>
      </c>
      <c r="H474" s="5" t="s">
        <v>19</v>
      </c>
      <c r="I474" s="5" t="s">
        <v>29</v>
      </c>
      <c r="J474" s="5">
        <v>1</v>
      </c>
      <c r="K474" s="5" t="s">
        <v>20</v>
      </c>
      <c r="L474" s="5" t="str">
        <f>VLOOKUP(Healthcare!$A474,hospital_details,2,0)</f>
        <v>26-Aug-1969</v>
      </c>
      <c r="M474" s="5">
        <f t="shared" ref="M474:M537" ca="1" si="2831">VLOOKUP(A474,hospital_details,3,0)</f>
        <v>57</v>
      </c>
      <c r="N474" s="5">
        <f t="shared" ref="N474:N537" si="2832">VLOOKUP($A474,hospital_details,4,0)</f>
        <v>0</v>
      </c>
      <c r="O474" s="6">
        <f t="shared" ref="O474:O537" si="2833">VLOOKUP($A474,hospital_details,5,0)</f>
        <v>21195.82</v>
      </c>
      <c r="P474" s="5" t="str">
        <f t="shared" ref="P474:P537" si="2834">VLOOKUP($A474,hospital_details,6,0)</f>
        <v>tier - 3</v>
      </c>
      <c r="Q474" s="5" t="str">
        <f t="shared" ref="Q474:Q537" si="2835">VLOOKUP($A474,hospital_details,7,0)</f>
        <v>tier - 1</v>
      </c>
      <c r="R474" s="5" t="str">
        <f t="shared" ref="R474:R537" si="2836">VLOOKUP($A474,hospital_details,8,0)</f>
        <v>R1013</v>
      </c>
    </row>
    <row r="475" spans="1:18" ht="14.4" customHeight="1" x14ac:dyDescent="0.3">
      <c r="A475" s="7" t="s">
        <v>494</v>
      </c>
      <c r="B475" s="7" t="str">
        <f>VLOOKUP($A475,[1]!Customer_Names[#Data],3,0)</f>
        <v xml:space="preserve">  David</v>
      </c>
      <c r="C475" s="7">
        <v>22.895</v>
      </c>
      <c r="D475" s="7" t="str" cm="1">
        <f t="array" ref="D475">_xlfn.IFS(Healthcare!$C475&lt;18.5,"under weight",Healthcare!$C475&lt;=24.9,"Normal Weight",Healthcare!$C475&gt;=25,"overweight",Healthcare!$C475&gt;=30,"obese")</f>
        <v>Normal Weight</v>
      </c>
      <c r="E475" s="7">
        <v>6.03</v>
      </c>
      <c r="F475" s="7" t="str" cm="1">
        <f t="array" ref="F475">_xlfn.IFS(Healthcare!$E475&lt;5.7,"normal",Healthcare!$E475&lt;=6.4,"prediabetes",Healthcare!$E475&gt;=6.5,"diabetes")</f>
        <v>prediabetes</v>
      </c>
      <c r="G475" s="7" t="s">
        <v>19</v>
      </c>
      <c r="H475" s="7" t="s">
        <v>19</v>
      </c>
      <c r="I475" s="7" t="s">
        <v>19</v>
      </c>
      <c r="J475" s="7">
        <v>0</v>
      </c>
      <c r="K475" s="7" t="s">
        <v>20</v>
      </c>
      <c r="L475" s="7" t="str">
        <f>VLOOKUP(Healthcare!$A475,hospital_details,2,0)</f>
        <v>23-Nov-1977</v>
      </c>
      <c r="M475" s="7">
        <f t="shared" ref="M475:M538" ca="1" si="2837">VLOOKUP(A475,hospital_details,3,0)</f>
        <v>48</v>
      </c>
      <c r="N475" s="7">
        <f t="shared" ref="N475:N538" si="2838">VLOOKUP($A475,hospital_details,4,0)</f>
        <v>2</v>
      </c>
      <c r="O475" s="8">
        <f t="shared" ref="O475:O538" si="2839">VLOOKUP($A475,hospital_details,5,0)</f>
        <v>21098.55</v>
      </c>
      <c r="P475" s="7" t="str">
        <f t="shared" ref="P475:P538" si="2840">VLOOKUP($A475,hospital_details,6,0)</f>
        <v>tier - 3</v>
      </c>
      <c r="Q475" s="7" t="str">
        <f t="shared" ref="Q475:Q538" si="2841">VLOOKUP($A475,hospital_details,7,0)</f>
        <v>tier - 3</v>
      </c>
      <c r="R475" s="7" t="str">
        <f t="shared" ref="R475:R538" si="2842">VLOOKUP($A475,hospital_details,8,0)</f>
        <v>R1012</v>
      </c>
    </row>
    <row r="476" spans="1:18" ht="14.4" customHeight="1" x14ac:dyDescent="0.3">
      <c r="A476" s="5" t="s">
        <v>495</v>
      </c>
      <c r="B476" s="5" t="str">
        <f>VLOOKUP($A476,[1]!Customer_Names[#Data],3,0)</f>
        <v xml:space="preserve">  Jatin</v>
      </c>
      <c r="C476" s="5">
        <v>28.3</v>
      </c>
      <c r="D476" s="5" t="str" cm="1">
        <f t="array" ref="D476">_xlfn.IFS(Healthcare!$C476&lt;18.5,"under weight",Healthcare!$C476&lt;=24.9,"Normal Weight",Healthcare!$C476&gt;=25,"overweight",Healthcare!$C476&gt;=30,"obese")</f>
        <v>overweight</v>
      </c>
      <c r="E476" s="5">
        <v>5.47</v>
      </c>
      <c r="F476" s="5" t="str" cm="1">
        <f t="array" ref="F476">_xlfn.IFS(Healthcare!$E476&lt;5.7,"normal",Healthcare!$E476&lt;=6.4,"prediabetes",Healthcare!$E476&gt;=6.5,"diabetes")</f>
        <v>normal</v>
      </c>
      <c r="G476" s="5" t="s">
        <v>20</v>
      </c>
      <c r="H476" s="5" t="s">
        <v>19</v>
      </c>
      <c r="I476" s="5" t="s">
        <v>29</v>
      </c>
      <c r="J476" s="5">
        <v>1</v>
      </c>
      <c r="K476" s="5" t="s">
        <v>20</v>
      </c>
      <c r="L476" s="5" t="str">
        <f>VLOOKUP(Healthcare!$A476,hospital_details,2,0)</f>
        <v>2-Jul-1983</v>
      </c>
      <c r="M476" s="5">
        <f t="shared" ref="M476:M539" ca="1" si="2843">VLOOKUP(A476,hospital_details,3,0)</f>
        <v>43</v>
      </c>
      <c r="N476" s="5">
        <f t="shared" ref="N476:N539" si="2844">VLOOKUP($A476,hospital_details,4,0)</f>
        <v>1</v>
      </c>
      <c r="O476" s="6">
        <f t="shared" ref="O476:O539" si="2845">VLOOKUP($A476,hospital_details,5,0)</f>
        <v>21082.16</v>
      </c>
      <c r="P476" s="5" t="str">
        <f t="shared" ref="P476:P539" si="2846">VLOOKUP($A476,hospital_details,6,0)</f>
        <v>tier - 3</v>
      </c>
      <c r="Q476" s="5" t="str">
        <f t="shared" ref="Q476:Q539" si="2847">VLOOKUP($A476,hospital_details,7,0)</f>
        <v>tier - 2</v>
      </c>
      <c r="R476" s="5" t="str">
        <f t="shared" ref="R476:R539" si="2848">VLOOKUP($A476,hospital_details,8,0)</f>
        <v>R1011</v>
      </c>
    </row>
    <row r="477" spans="1:18" ht="14.4" customHeight="1" x14ac:dyDescent="0.3">
      <c r="A477" s="7" t="s">
        <v>496</v>
      </c>
      <c r="B477" s="7" t="str">
        <f>VLOOKUP($A477,[1]!Customer_Names[#Data],3,0)</f>
        <v xml:space="preserve">  J P</v>
      </c>
      <c r="C477" s="7">
        <v>54.3</v>
      </c>
      <c r="D477" s="7" t="str" cm="1">
        <f t="array" ref="D477">_xlfn.IFS(Healthcare!$C477&lt;18.5,"under weight",Healthcare!$C477&lt;=24.9,"Normal Weight",Healthcare!$C477&gt;=25,"overweight",Healthcare!$C477&gt;=30,"obese")</f>
        <v>overweight</v>
      </c>
      <c r="E477" s="7">
        <v>4.1500000000000004</v>
      </c>
      <c r="F477" s="7" t="str" cm="1">
        <f t="array" ref="F477">_xlfn.IFS(Healthcare!$E477&lt;5.7,"normal",Healthcare!$E477&lt;=6.4,"prediabetes",Healthcare!$E477&gt;=6.5,"diabetes")</f>
        <v>normal</v>
      </c>
      <c r="G477" s="7" t="s">
        <v>20</v>
      </c>
      <c r="H477" s="7" t="s">
        <v>19</v>
      </c>
      <c r="I477" s="7" t="s">
        <v>19</v>
      </c>
      <c r="J477" s="7">
        <v>1</v>
      </c>
      <c r="K477" s="7" t="s">
        <v>19</v>
      </c>
      <c r="L477" s="7" t="str">
        <f>VLOOKUP(Healthcare!$A477,hospital_details,2,0)</f>
        <v>19-Nov-1964</v>
      </c>
      <c r="M477" s="7">
        <f t="shared" ref="M477:M540" ca="1" si="2849">VLOOKUP(A477,hospital_details,3,0)</f>
        <v>61</v>
      </c>
      <c r="N477" s="7">
        <f t="shared" ref="N477:N540" si="2850">VLOOKUP($A477,hospital_details,4,0)</f>
        <v>0</v>
      </c>
      <c r="O477" s="8">
        <f t="shared" ref="O477:O540" si="2851">VLOOKUP($A477,hospital_details,5,0)</f>
        <v>20893.060000000001</v>
      </c>
      <c r="P477" s="7" t="str">
        <f t="shared" ref="P477:P540" si="2852">VLOOKUP($A477,hospital_details,6,0)</f>
        <v>tier - 2</v>
      </c>
      <c r="Q477" s="7" t="str">
        <f t="shared" ref="Q477:Q540" si="2853">VLOOKUP($A477,hospital_details,7,0)</f>
        <v>tier - 3</v>
      </c>
      <c r="R477" s="7" t="str">
        <f t="shared" ref="R477:R540" si="2854">VLOOKUP($A477,hospital_details,8,0)</f>
        <v>R1012</v>
      </c>
    </row>
    <row r="478" spans="1:18" ht="14.4" customHeight="1" x14ac:dyDescent="0.3">
      <c r="A478" s="5" t="s">
        <v>497</v>
      </c>
      <c r="B478" s="5" t="str">
        <f>VLOOKUP($A478,[1]!Customer_Names[#Data],3,0)</f>
        <v xml:space="preserve">  Angela M</v>
      </c>
      <c r="C478" s="5">
        <v>33.344999999999999</v>
      </c>
      <c r="D478" s="5" t="str" cm="1">
        <f t="array" ref="D478">_xlfn.IFS(Healthcare!$C478&lt;18.5,"under weight",Healthcare!$C478&lt;=24.9,"Normal Weight",Healthcare!$C478&gt;=25,"overweight",Healthcare!$C478&gt;=30,"obese")</f>
        <v>overweight</v>
      </c>
      <c r="E478" s="5">
        <v>11.32</v>
      </c>
      <c r="F478" s="5" t="str" cm="1">
        <f t="array" ref="F478">_xlfn.IFS(Healthcare!$E478&lt;5.7,"normal",Healthcare!$E478&lt;=6.4,"prediabetes",Healthcare!$E478&gt;=6.5,"diabetes")</f>
        <v>diabetes</v>
      </c>
      <c r="G478" s="5" t="s">
        <v>20</v>
      </c>
      <c r="H478" s="5" t="s">
        <v>19</v>
      </c>
      <c r="I478" s="5" t="s">
        <v>19</v>
      </c>
      <c r="J478" s="5">
        <v>1</v>
      </c>
      <c r="K478" s="5" t="s">
        <v>19</v>
      </c>
      <c r="L478" s="5" t="str">
        <f>VLOOKUP(Healthcare!$A478,hospital_details,2,0)</f>
        <v>8-Dec-1975</v>
      </c>
      <c r="M478" s="5">
        <f t="shared" ref="M478:M541" ca="1" si="2855">VLOOKUP(A478,hospital_details,3,0)</f>
        <v>50</v>
      </c>
      <c r="N478" s="5">
        <f t="shared" ref="N478:N541" si="2856">VLOOKUP($A478,hospital_details,4,0)</f>
        <v>0</v>
      </c>
      <c r="O478" s="6">
        <f t="shared" ref="O478:O541" si="2857">VLOOKUP($A478,hospital_details,5,0)</f>
        <v>20878.78</v>
      </c>
      <c r="P478" s="5" t="str">
        <f t="shared" ref="P478:P541" si="2858">VLOOKUP($A478,hospital_details,6,0)</f>
        <v>tier - 2</v>
      </c>
      <c r="Q478" s="5" t="str">
        <f t="shared" ref="Q478:Q541" si="2859">VLOOKUP($A478,hospital_details,7,0)</f>
        <v>tier - 1</v>
      </c>
      <c r="R478" s="5" t="str">
        <f t="shared" ref="R478:R541" si="2860">VLOOKUP($A478,hospital_details,8,0)</f>
        <v>R1024</v>
      </c>
    </row>
    <row r="479" spans="1:18" ht="14.4" customHeight="1" x14ac:dyDescent="0.3">
      <c r="A479" s="7" t="s">
        <v>498</v>
      </c>
      <c r="B479" s="7" t="str">
        <f>VLOOKUP($A479,[1]!Customer_Names[#Data],3,0)</f>
        <v xml:space="preserve">  Blake K</v>
      </c>
      <c r="C479" s="7">
        <v>33</v>
      </c>
      <c r="D479" s="7" t="str" cm="1">
        <f t="array" ref="D479">_xlfn.IFS(Healthcare!$C479&lt;18.5,"under weight",Healthcare!$C479&lt;=24.9,"Normal Weight",Healthcare!$C479&gt;=25,"overweight",Healthcare!$C479&gt;=30,"obese")</f>
        <v>overweight</v>
      </c>
      <c r="E479" s="7">
        <v>9.51</v>
      </c>
      <c r="F479" s="7" t="str" cm="1">
        <f t="array" ref="F479">_xlfn.IFS(Healthcare!$E479&lt;5.7,"normal",Healthcare!$E479&lt;=6.4,"prediabetes",Healthcare!$E479&gt;=6.5,"diabetes")</f>
        <v>diabetes</v>
      </c>
      <c r="G479" s="7" t="s">
        <v>20</v>
      </c>
      <c r="H479" s="7" t="s">
        <v>19</v>
      </c>
      <c r="I479" s="7" t="s">
        <v>19</v>
      </c>
      <c r="J479" s="7">
        <v>0</v>
      </c>
      <c r="K479" s="7" t="s">
        <v>19</v>
      </c>
      <c r="L479" s="7" t="str">
        <f>VLOOKUP(Healthcare!$A479,hospital_details,2,0)</f>
        <v>8-Sep-1967</v>
      </c>
      <c r="M479" s="7">
        <f t="shared" ref="M479:M542" ca="1" si="2861">VLOOKUP(A479,hospital_details,3,0)</f>
        <v>59</v>
      </c>
      <c r="N479" s="7">
        <f t="shared" ref="N479:N542" si="2862">VLOOKUP($A479,hospital_details,4,0)</f>
        <v>0</v>
      </c>
      <c r="O479" s="8">
        <f t="shared" ref="O479:O542" si="2863">VLOOKUP($A479,hospital_details,5,0)</f>
        <v>20781.490000000002</v>
      </c>
      <c r="P479" s="7" t="str">
        <f t="shared" ref="P479:P542" si="2864">VLOOKUP($A479,hospital_details,6,0)</f>
        <v>tier - 2</v>
      </c>
      <c r="Q479" s="7" t="str">
        <f t="shared" ref="Q479:Q542" si="2865">VLOOKUP($A479,hospital_details,7,0)</f>
        <v>tier - 3</v>
      </c>
      <c r="R479" s="7" t="str">
        <f t="shared" ref="R479:R542" si="2866">VLOOKUP($A479,hospital_details,8,0)</f>
        <v>R1013</v>
      </c>
    </row>
    <row r="480" spans="1:18" ht="14.4" customHeight="1" x14ac:dyDescent="0.3">
      <c r="A480" s="5" t="s">
        <v>499</v>
      </c>
      <c r="B480" s="5" t="str">
        <f>VLOOKUP($A480,[1]!Customer_Names[#Data],3,0)</f>
        <v xml:space="preserve">  Brian T</v>
      </c>
      <c r="C480" s="5">
        <v>28.024999999999999</v>
      </c>
      <c r="D480" s="5" t="str" cm="1">
        <f t="array" ref="D480">_xlfn.IFS(Healthcare!$C480&lt;18.5,"under weight",Healthcare!$C480&lt;=24.9,"Normal Weight",Healthcare!$C480&gt;=25,"overweight",Healthcare!$C480&gt;=30,"obese")</f>
        <v>overweight</v>
      </c>
      <c r="E480" s="5">
        <v>7.67</v>
      </c>
      <c r="F480" s="5" t="str" cm="1">
        <f t="array" ref="F480">_xlfn.IFS(Healthcare!$E480&lt;5.7,"normal",Healthcare!$E480&lt;=6.4,"prediabetes",Healthcare!$E480&gt;=6.5,"diabetes")</f>
        <v>diabetes</v>
      </c>
      <c r="G480" s="5" t="s">
        <v>20</v>
      </c>
      <c r="H480" s="5" t="s">
        <v>19</v>
      </c>
      <c r="I480" s="5" t="s">
        <v>19</v>
      </c>
      <c r="J480" s="5">
        <v>1</v>
      </c>
      <c r="K480" s="5" t="s">
        <v>20</v>
      </c>
      <c r="L480" s="5" t="str">
        <f>VLOOKUP(Healthcare!$A480,hospital_details,2,0)</f>
        <v>4-Aug-1986</v>
      </c>
      <c r="M480" s="5">
        <f t="shared" ref="M480:M543" ca="1" si="2867">VLOOKUP(A480,hospital_details,3,0)</f>
        <v>40</v>
      </c>
      <c r="N480" s="5">
        <f t="shared" ref="N480:N543" si="2868">VLOOKUP($A480,hospital_details,4,0)</f>
        <v>1</v>
      </c>
      <c r="O480" s="6">
        <f t="shared" ref="O480:O543" si="2869">VLOOKUP($A480,hospital_details,5,0)</f>
        <v>20773.63</v>
      </c>
      <c r="P480" s="5" t="str">
        <f t="shared" ref="P480:P543" si="2870">VLOOKUP($A480,hospital_details,6,0)</f>
        <v>tier - 2</v>
      </c>
      <c r="Q480" s="5" t="str">
        <f t="shared" ref="Q480:Q543" si="2871">VLOOKUP($A480,hospital_details,7,0)</f>
        <v>tier - 3</v>
      </c>
      <c r="R480" s="5" t="str">
        <f t="shared" ref="R480:R543" si="2872">VLOOKUP($A480,hospital_details,8,0)</f>
        <v>R1017</v>
      </c>
    </row>
    <row r="481" spans="1:18" ht="14.4" customHeight="1" x14ac:dyDescent="0.3">
      <c r="A481" s="7" t="s">
        <v>500</v>
      </c>
      <c r="B481" s="7" t="str">
        <f>VLOOKUP($A481,[1]!Customer_Names[#Data],3,0)</f>
        <v xml:space="preserve">  Damon</v>
      </c>
      <c r="C481" s="7">
        <v>28.69</v>
      </c>
      <c r="D481" s="7" t="str" cm="1">
        <f t="array" ref="D481">_xlfn.IFS(Healthcare!$C481&lt;18.5,"under weight",Healthcare!$C481&lt;=24.9,"Normal Weight",Healthcare!$C481&gt;=25,"overweight",Healthcare!$C481&gt;=30,"obese")</f>
        <v>overweight</v>
      </c>
      <c r="E481" s="7">
        <v>6.23</v>
      </c>
      <c r="F481" s="7" t="str" cm="1">
        <f t="array" ref="F481">_xlfn.IFS(Healthcare!$E481&lt;5.7,"normal",Healthcare!$E481&lt;=6.4,"prediabetes",Healthcare!$E481&gt;=6.5,"diabetes")</f>
        <v>prediabetes</v>
      </c>
      <c r="G481" s="7" t="s">
        <v>19</v>
      </c>
      <c r="H481" s="7" t="s">
        <v>19</v>
      </c>
      <c r="I481" s="7" t="s">
        <v>19</v>
      </c>
      <c r="J481" s="7">
        <v>1</v>
      </c>
      <c r="K481" s="7" t="s">
        <v>20</v>
      </c>
      <c r="L481" s="7" t="str">
        <f>VLOOKUP(Healthcare!$A481,hospital_details,2,0)</f>
        <v>14-Sep-1992</v>
      </c>
      <c r="M481" s="7">
        <f t="shared" ref="M481:M544" ca="1" si="2873">VLOOKUP(A481,hospital_details,3,0)</f>
        <v>34</v>
      </c>
      <c r="N481" s="7">
        <f t="shared" ref="N481:N544" si="2874">VLOOKUP($A481,hospital_details,4,0)</f>
        <v>3</v>
      </c>
      <c r="O481" s="8">
        <f t="shared" ref="O481:O544" si="2875">VLOOKUP($A481,hospital_details,5,0)</f>
        <v>20745.990000000002</v>
      </c>
      <c r="P481" s="7" t="str">
        <f t="shared" ref="P481:P544" si="2876">VLOOKUP($A481,hospital_details,6,0)</f>
        <v>tier - 3</v>
      </c>
      <c r="Q481" s="7" t="str">
        <f t="shared" ref="Q481:Q544" si="2877">VLOOKUP($A481,hospital_details,7,0)</f>
        <v>tier - 1</v>
      </c>
      <c r="R481" s="7" t="str">
        <f t="shared" ref="R481:R544" si="2878">VLOOKUP($A481,hospital_details,8,0)</f>
        <v>R1012</v>
      </c>
    </row>
    <row r="482" spans="1:18" ht="14.4" customHeight="1" x14ac:dyDescent="0.3">
      <c r="A482" s="5" t="s">
        <v>501</v>
      </c>
      <c r="B482" s="5" t="str">
        <f>VLOOKUP($A482,[1]!Customer_Names[#Data],3,0)</f>
        <v xml:space="preserve">  Jeffrey</v>
      </c>
      <c r="C482" s="5">
        <v>40.28</v>
      </c>
      <c r="D482" s="5" t="str" cm="1">
        <f t="array" ref="D482">_xlfn.IFS(Healthcare!$C482&lt;18.5,"under weight",Healthcare!$C482&lt;=24.9,"Normal Weight",Healthcare!$C482&gt;=25,"overweight",Healthcare!$C482&gt;=30,"obese")</f>
        <v>overweight</v>
      </c>
      <c r="E482" s="5">
        <v>8.9</v>
      </c>
      <c r="F482" s="5" t="str" cm="1">
        <f t="array" ref="F482">_xlfn.IFS(Healthcare!$E482&lt;5.7,"normal",Healthcare!$E482&lt;=6.4,"prediabetes",Healthcare!$E482&gt;=6.5,"diabetes")</f>
        <v>diabetes</v>
      </c>
      <c r="G482" s="5" t="s">
        <v>19</v>
      </c>
      <c r="H482" s="5" t="s">
        <v>19</v>
      </c>
      <c r="I482" s="5" t="s">
        <v>19</v>
      </c>
      <c r="J482" s="5">
        <v>0</v>
      </c>
      <c r="K482" s="5" t="s">
        <v>19</v>
      </c>
      <c r="L482" s="5" t="str">
        <f>VLOOKUP(Healthcare!$A482,hospital_details,2,0)</f>
        <v>1-Aug-1965</v>
      </c>
      <c r="M482" s="5">
        <f t="shared" ref="M482:M545" ca="1" si="2879">VLOOKUP(A482,hospital_details,3,0)</f>
        <v>61</v>
      </c>
      <c r="N482" s="5">
        <f t="shared" ref="N482:N545" si="2880">VLOOKUP($A482,hospital_details,4,0)</f>
        <v>0</v>
      </c>
      <c r="O482" s="6">
        <f t="shared" ref="O482:O545" si="2881">VLOOKUP($A482,hospital_details,5,0)</f>
        <v>20709.02</v>
      </c>
      <c r="P482" s="5" t="str">
        <f t="shared" ref="P482:P545" si="2882">VLOOKUP($A482,hospital_details,6,0)</f>
        <v>tier - 3</v>
      </c>
      <c r="Q482" s="5" t="str">
        <f t="shared" ref="Q482:Q545" si="2883">VLOOKUP($A482,hospital_details,7,0)</f>
        <v>tier - 2</v>
      </c>
      <c r="R482" s="5" t="str">
        <f t="shared" ref="R482:R545" si="2884">VLOOKUP($A482,hospital_details,8,0)</f>
        <v>R1019</v>
      </c>
    </row>
    <row r="483" spans="1:18" ht="14.4" customHeight="1" x14ac:dyDescent="0.3">
      <c r="A483" s="7" t="s">
        <v>502</v>
      </c>
      <c r="B483" s="7" t="str">
        <f>VLOOKUP($A483,[1]!Customer_Names[#Data],3,0)</f>
        <v xml:space="preserve">  Malcolm J</v>
      </c>
      <c r="C483" s="7">
        <v>37.299999999999997</v>
      </c>
      <c r="D483" s="7" t="str" cm="1">
        <f t="array" ref="D483">_xlfn.IFS(Healthcare!$C483&lt;18.5,"under weight",Healthcare!$C483&lt;=24.9,"Normal Weight",Healthcare!$C483&gt;=25,"overweight",Healthcare!$C483&gt;=30,"obese")</f>
        <v>overweight</v>
      </c>
      <c r="E483" s="7">
        <v>7.79</v>
      </c>
      <c r="F483" s="7" t="str" cm="1">
        <f t="array" ref="F483">_xlfn.IFS(Healthcare!$E483&lt;5.7,"normal",Healthcare!$E483&lt;=6.4,"prediabetes",Healthcare!$E483&gt;=6.5,"diabetes")</f>
        <v>diabetes</v>
      </c>
      <c r="G483" s="7" t="s">
        <v>20</v>
      </c>
      <c r="H483" s="7" t="s">
        <v>19</v>
      </c>
      <c r="I483" s="7" t="s">
        <v>19</v>
      </c>
      <c r="J483" s="7">
        <v>0</v>
      </c>
      <c r="K483" s="7" t="s">
        <v>19</v>
      </c>
      <c r="L483" s="7" t="str">
        <f>VLOOKUP(Healthcare!$A483,hospital_details,2,0)</f>
        <v>17-Dec-1967</v>
      </c>
      <c r="M483" s="7">
        <f t="shared" ref="M483:M546" ca="1" si="2885">VLOOKUP(A483,hospital_details,3,0)</f>
        <v>58</v>
      </c>
      <c r="N483" s="7">
        <f t="shared" ref="N483:N546" si="2886">VLOOKUP($A483,hospital_details,4,0)</f>
        <v>0</v>
      </c>
      <c r="O483" s="8">
        <f t="shared" ref="O483:O546" si="2887">VLOOKUP($A483,hospital_details,5,0)</f>
        <v>20630.28</v>
      </c>
      <c r="P483" s="7" t="str">
        <f t="shared" ref="P483:P546" si="2888">VLOOKUP($A483,hospital_details,6,0)</f>
        <v>tier - 2</v>
      </c>
      <c r="Q483" s="7" t="str">
        <f t="shared" ref="Q483:Q546" si="2889">VLOOKUP($A483,hospital_details,7,0)</f>
        <v>tier - 3</v>
      </c>
      <c r="R483" s="7" t="str">
        <f t="shared" ref="R483:R546" si="2890">VLOOKUP($A483,hospital_details,8,0)</f>
        <v>R1011</v>
      </c>
    </row>
    <row r="484" spans="1:18" ht="14.4" customHeight="1" x14ac:dyDescent="0.3">
      <c r="A484" s="5" t="s">
        <v>503</v>
      </c>
      <c r="B484" s="5" t="str">
        <f>VLOOKUP($A484,[1]!Customer_Names[#Data],3,0)</f>
        <v xml:space="preserve">  Margaret B</v>
      </c>
      <c r="C484" s="5">
        <v>54.47</v>
      </c>
      <c r="D484" s="5" t="str" cm="1">
        <f t="array" ref="D484">_xlfn.IFS(Healthcare!$C484&lt;18.5,"under weight",Healthcare!$C484&lt;=24.9,"Normal Weight",Healthcare!$C484&gt;=25,"overweight",Healthcare!$C484&gt;=30,"obese")</f>
        <v>overweight</v>
      </c>
      <c r="E484" s="5">
        <v>4.49</v>
      </c>
      <c r="F484" s="5" t="str" cm="1">
        <f t="array" ref="F484">_xlfn.IFS(Healthcare!$E484&lt;5.7,"normal",Healthcare!$E484&lt;=6.4,"prediabetes",Healthcare!$E484&gt;=6.5,"diabetes")</f>
        <v>normal</v>
      </c>
      <c r="G484" s="5" t="s">
        <v>20</v>
      </c>
      <c r="H484" s="5" t="s">
        <v>19</v>
      </c>
      <c r="I484" s="5" t="s">
        <v>19</v>
      </c>
      <c r="J484" s="5">
        <v>2</v>
      </c>
      <c r="K484" s="5" t="s">
        <v>19</v>
      </c>
      <c r="L484" s="5" t="str">
        <f>VLOOKUP(Healthcare!$A484,hospital_details,2,0)</f>
        <v>9-Jul-1966</v>
      </c>
      <c r="M484" s="5">
        <f t="shared" ref="M484:M547" ca="1" si="2891">VLOOKUP(A484,hospital_details,3,0)</f>
        <v>60</v>
      </c>
      <c r="N484" s="5">
        <f t="shared" ref="N484:N547" si="2892">VLOOKUP($A484,hospital_details,4,0)</f>
        <v>0</v>
      </c>
      <c r="O484" s="6">
        <f t="shared" ref="O484:O547" si="2893">VLOOKUP($A484,hospital_details,5,0)</f>
        <v>20568.32</v>
      </c>
      <c r="P484" s="5" t="str">
        <f t="shared" ref="P484:P547" si="2894">VLOOKUP($A484,hospital_details,6,0)</f>
        <v>tier - 3</v>
      </c>
      <c r="Q484" s="5" t="str">
        <f t="shared" ref="Q484:Q547" si="2895">VLOOKUP($A484,hospital_details,7,0)</f>
        <v>tier - 2</v>
      </c>
      <c r="R484" s="5" t="str">
        <f t="shared" ref="R484:R547" si="2896">VLOOKUP($A484,hospital_details,8,0)</f>
        <v>R1012</v>
      </c>
    </row>
    <row r="485" spans="1:18" ht="14.4" customHeight="1" x14ac:dyDescent="0.3">
      <c r="A485" s="7" t="s">
        <v>504</v>
      </c>
      <c r="B485" s="7" t="str">
        <f>VLOOKUP($A485,[1]!Customer_Names[#Data],3,0)</f>
        <v xml:space="preserve">  Helen</v>
      </c>
      <c r="C485" s="7">
        <v>38.06</v>
      </c>
      <c r="D485" s="7" t="str" cm="1">
        <f t="array" ref="D485">_xlfn.IFS(Healthcare!$C485&lt;18.5,"under weight",Healthcare!$C485&lt;=24.9,"Normal Weight",Healthcare!$C485&gt;=25,"overweight",Healthcare!$C485&gt;=30,"obese")</f>
        <v>overweight</v>
      </c>
      <c r="E485" s="7">
        <v>5.24</v>
      </c>
      <c r="F485" s="7" t="str" cm="1">
        <f t="array" ref="F485">_xlfn.IFS(Healthcare!$E485&lt;5.7,"normal",Healthcare!$E485&lt;=6.4,"prediabetes",Healthcare!$E485&gt;=6.5,"diabetes")</f>
        <v>normal</v>
      </c>
      <c r="G485" s="7" t="s">
        <v>20</v>
      </c>
      <c r="H485" s="7" t="s">
        <v>19</v>
      </c>
      <c r="I485" s="7" t="s">
        <v>29</v>
      </c>
      <c r="J485" s="7">
        <v>1</v>
      </c>
      <c r="K485" s="7" t="s">
        <v>19</v>
      </c>
      <c r="L485" s="7" t="str">
        <f>VLOOKUP(Healthcare!$A485,hospital_details,2,0)</f>
        <v>13-Oct-1969</v>
      </c>
      <c r="M485" s="7">
        <f t="shared" ref="M485:M548" ca="1" si="2897">VLOOKUP(A485,hospital_details,3,0)</f>
        <v>57</v>
      </c>
      <c r="N485" s="7">
        <f t="shared" ref="N485:N548" si="2898">VLOOKUP($A485,hospital_details,4,0)</f>
        <v>3</v>
      </c>
      <c r="O485" s="8">
        <f t="shared" ref="O485:O548" si="2899">VLOOKUP($A485,hospital_details,5,0)</f>
        <v>20463</v>
      </c>
      <c r="P485" s="7" t="str">
        <f t="shared" ref="P485:P548" si="2900">VLOOKUP($A485,hospital_details,6,0)</f>
        <v>tier - 2</v>
      </c>
      <c r="Q485" s="7" t="str">
        <f t="shared" ref="Q485:Q548" si="2901">VLOOKUP($A485,hospital_details,7,0)</f>
        <v>tier - 2</v>
      </c>
      <c r="R485" s="7" t="str">
        <f t="shared" ref="R485:R548" si="2902">VLOOKUP($A485,hospital_details,8,0)</f>
        <v>R1013</v>
      </c>
    </row>
    <row r="486" spans="1:18" ht="14.4" customHeight="1" x14ac:dyDescent="0.3">
      <c r="A486" s="5" t="s">
        <v>505</v>
      </c>
      <c r="B486" s="5" t="str">
        <f>VLOOKUP($A486,[1]!Customer_Names[#Data],3,0)</f>
        <v xml:space="preserve">  Matthew</v>
      </c>
      <c r="C486" s="5">
        <v>51.47</v>
      </c>
      <c r="D486" s="5" t="str" cm="1">
        <f t="array" ref="D486">_xlfn.IFS(Healthcare!$C486&lt;18.5,"under weight",Healthcare!$C486&lt;=24.9,"Normal Weight",Healthcare!$C486&gt;=25,"overweight",Healthcare!$C486&gt;=30,"obese")</f>
        <v>overweight</v>
      </c>
      <c r="E486" s="5">
        <v>9.6</v>
      </c>
      <c r="F486" s="5" t="str" cm="1">
        <f t="array" ref="F486">_xlfn.IFS(Healthcare!$E486&lt;5.7,"normal",Healthcare!$E486&lt;=6.4,"prediabetes",Healthcare!$E486&gt;=6.5,"diabetes")</f>
        <v>diabetes</v>
      </c>
      <c r="G486" s="5" t="s">
        <v>19</v>
      </c>
      <c r="H486" s="5" t="s">
        <v>19</v>
      </c>
      <c r="I486" s="5" t="s">
        <v>19</v>
      </c>
      <c r="J486" s="5">
        <v>0</v>
      </c>
      <c r="K486" s="5" t="s">
        <v>19</v>
      </c>
      <c r="L486" s="5" t="str">
        <f>VLOOKUP(Healthcare!$A486,hospital_details,2,0)</f>
        <v>18-Oct-1962</v>
      </c>
      <c r="M486" s="5">
        <f t="shared" ref="M486:M549" ca="1" si="2903">VLOOKUP(A486,hospital_details,3,0)</f>
        <v>64</v>
      </c>
      <c r="N486" s="5">
        <f t="shared" ref="N486:N549" si="2904">VLOOKUP($A486,hospital_details,4,0)</f>
        <v>0</v>
      </c>
      <c r="O486" s="6">
        <f t="shared" ref="O486:O549" si="2905">VLOOKUP($A486,hospital_details,5,0)</f>
        <v>20446.849999999999</v>
      </c>
      <c r="P486" s="5" t="str">
        <f t="shared" ref="P486:P549" si="2906">VLOOKUP($A486,hospital_details,6,0)</f>
        <v>tier - 2</v>
      </c>
      <c r="Q486" s="5" t="str">
        <f t="shared" ref="Q486:Q549" si="2907">VLOOKUP($A486,hospital_details,7,0)</f>
        <v>tier - 1</v>
      </c>
      <c r="R486" s="5" t="str">
        <f t="shared" ref="R486:R549" si="2908">VLOOKUP($A486,hospital_details,8,0)</f>
        <v>R1012</v>
      </c>
    </row>
    <row r="487" spans="1:18" ht="14.4" customHeight="1" x14ac:dyDescent="0.3">
      <c r="A487" s="7" t="s">
        <v>506</v>
      </c>
      <c r="B487" s="7" t="str">
        <f>VLOOKUP($A487,[1]!Customer_Names[#Data],3,0)</f>
        <v xml:space="preserve">  Jeff</v>
      </c>
      <c r="C487" s="7">
        <v>29.8</v>
      </c>
      <c r="D487" s="7" t="str" cm="1">
        <f t="array" ref="D487">_xlfn.IFS(Healthcare!$C487&lt;18.5,"under weight",Healthcare!$C487&lt;=24.9,"Normal Weight",Healthcare!$C487&gt;=25,"overweight",Healthcare!$C487&gt;=30,"obese")</f>
        <v>overweight</v>
      </c>
      <c r="E487" s="7">
        <v>5.78</v>
      </c>
      <c r="F487" s="7" t="str" cm="1">
        <f t="array" ref="F487">_xlfn.IFS(Healthcare!$E487&lt;5.7,"normal",Healthcare!$E487&lt;=6.4,"prediabetes",Healthcare!$E487&gt;=6.5,"diabetes")</f>
        <v>prediabetes</v>
      </c>
      <c r="G487" s="7" t="s">
        <v>20</v>
      </c>
      <c r="H487" s="7" t="s">
        <v>19</v>
      </c>
      <c r="I487" s="7" t="s">
        <v>19</v>
      </c>
      <c r="J487" s="7">
        <v>0</v>
      </c>
      <c r="K487" s="7" t="s">
        <v>19</v>
      </c>
      <c r="L487" s="7" t="str">
        <f>VLOOKUP(Healthcare!$A487,hospital_details,2,0)</f>
        <v>12-Jul-1985</v>
      </c>
      <c r="M487" s="7">
        <f t="shared" ref="M487:M550" ca="1" si="2909">VLOOKUP(A487,hospital_details,3,0)</f>
        <v>41</v>
      </c>
      <c r="N487" s="7">
        <f t="shared" ref="N487:N550" si="2910">VLOOKUP($A487,hospital_details,4,0)</f>
        <v>0</v>
      </c>
      <c r="O487" s="8">
        <f t="shared" ref="O487:O550" si="2911">VLOOKUP($A487,hospital_details,5,0)</f>
        <v>20420.599999999999</v>
      </c>
      <c r="P487" s="7" t="str">
        <f t="shared" ref="P487:P550" si="2912">VLOOKUP($A487,hospital_details,6,0)</f>
        <v>tier - 3</v>
      </c>
      <c r="Q487" s="7" t="str">
        <f t="shared" ref="Q487:Q550" si="2913">VLOOKUP($A487,hospital_details,7,0)</f>
        <v>tier - 2</v>
      </c>
      <c r="R487" s="7" t="str">
        <f t="shared" ref="R487:R550" si="2914">VLOOKUP($A487,hospital_details,8,0)</f>
        <v>R1011</v>
      </c>
    </row>
    <row r="488" spans="1:18" ht="14.4" customHeight="1" x14ac:dyDescent="0.3">
      <c r="A488" s="5" t="s">
        <v>507</v>
      </c>
      <c r="B488" s="5" t="str">
        <f>VLOOKUP($A488,[1]!Customer_Names[#Data],3,0)</f>
        <v xml:space="preserve">  Tara R</v>
      </c>
      <c r="C488" s="5">
        <v>49.77</v>
      </c>
      <c r="D488" s="5" t="str" cm="1">
        <f t="array" ref="D488">_xlfn.IFS(Healthcare!$C488&lt;18.5,"under weight",Healthcare!$C488&lt;=24.9,"Normal Weight",Healthcare!$C488&gt;=25,"overweight",Healthcare!$C488&gt;=30,"obese")</f>
        <v>overweight</v>
      </c>
      <c r="E488" s="5">
        <v>7.02</v>
      </c>
      <c r="F488" s="5" t="str" cm="1">
        <f t="array" ref="F488">_xlfn.IFS(Healthcare!$E488&lt;5.7,"normal",Healthcare!$E488&lt;=6.4,"prediabetes",Healthcare!$E488&gt;=6.5,"diabetes")</f>
        <v>diabetes</v>
      </c>
      <c r="G488" s="5" t="s">
        <v>19</v>
      </c>
      <c r="H488" s="5" t="s">
        <v>19</v>
      </c>
      <c r="I488" s="5" t="s">
        <v>19</v>
      </c>
      <c r="J488" s="5">
        <v>0</v>
      </c>
      <c r="K488" s="5" t="s">
        <v>19</v>
      </c>
      <c r="L488" s="5" t="str">
        <f>VLOOKUP(Healthcare!$A488,hospital_details,2,0)</f>
        <v>2-Jul-1962</v>
      </c>
      <c r="M488" s="5">
        <f t="shared" ref="M488:M551" ca="1" si="2915">VLOOKUP(A488,hospital_details,3,0)</f>
        <v>64</v>
      </c>
      <c r="N488" s="5">
        <f t="shared" ref="N488:N551" si="2916">VLOOKUP($A488,hospital_details,4,0)</f>
        <v>0</v>
      </c>
      <c r="O488" s="6">
        <f t="shared" ref="O488:O551" si="2917">VLOOKUP($A488,hospital_details,5,0)</f>
        <v>20354.5</v>
      </c>
      <c r="P488" s="5" t="str">
        <f t="shared" ref="P488:P551" si="2918">VLOOKUP($A488,hospital_details,6,0)</f>
        <v>tier - 3</v>
      </c>
      <c r="Q488" s="5" t="str">
        <f t="shared" ref="Q488:Q551" si="2919">VLOOKUP($A488,hospital_details,7,0)</f>
        <v>tier - 2</v>
      </c>
      <c r="R488" s="5" t="str">
        <f t="shared" ref="R488:R551" si="2920">VLOOKUP($A488,hospital_details,8,0)</f>
        <v>R1026</v>
      </c>
    </row>
    <row r="489" spans="1:18" ht="14.4" customHeight="1" x14ac:dyDescent="0.3">
      <c r="A489" s="7" t="s">
        <v>508</v>
      </c>
      <c r="B489" s="7" t="str">
        <f>VLOOKUP($A489,[1]!Customer_Names[#Data],3,0)</f>
        <v xml:space="preserve">  Kristin</v>
      </c>
      <c r="C489" s="7">
        <v>25.555</v>
      </c>
      <c r="D489" s="7" t="str" cm="1">
        <f t="array" ref="D489">_xlfn.IFS(Healthcare!$C489&lt;18.5,"under weight",Healthcare!$C489&lt;=24.9,"Normal Weight",Healthcare!$C489&gt;=25,"overweight",Healthcare!$C489&gt;=30,"obese")</f>
        <v>overweight</v>
      </c>
      <c r="E489" s="7">
        <v>4.09</v>
      </c>
      <c r="F489" s="7" t="str" cm="1">
        <f t="array" ref="F489">_xlfn.IFS(Healthcare!$E489&lt;5.7,"normal",Healthcare!$E489&lt;=6.4,"prediabetes",Healthcare!$E489&gt;=6.5,"diabetes")</f>
        <v>normal</v>
      </c>
      <c r="G489" s="7" t="s">
        <v>20</v>
      </c>
      <c r="H489" s="7" t="s">
        <v>19</v>
      </c>
      <c r="I489" s="7" t="s">
        <v>19</v>
      </c>
      <c r="J489" s="7">
        <v>0</v>
      </c>
      <c r="K489" s="7" t="s">
        <v>20</v>
      </c>
      <c r="L489" s="7" t="str">
        <f>VLOOKUP(Healthcare!$A489,hospital_details,2,0)</f>
        <v>17-Sep-1985</v>
      </c>
      <c r="M489" s="7">
        <f t="shared" ref="M489:M552" ca="1" si="2921">VLOOKUP(A489,hospital_details,3,0)</f>
        <v>41</v>
      </c>
      <c r="N489" s="7">
        <f t="shared" ref="N489:N552" si="2922">VLOOKUP($A489,hospital_details,4,0)</f>
        <v>1</v>
      </c>
      <c r="O489" s="8">
        <f t="shared" ref="O489:O552" si="2923">VLOOKUP($A489,hospital_details,5,0)</f>
        <v>20296.86</v>
      </c>
      <c r="P489" s="7" t="str">
        <f t="shared" ref="P489:P552" si="2924">VLOOKUP($A489,hospital_details,6,0)</f>
        <v>tier - 3</v>
      </c>
      <c r="Q489" s="7" t="str">
        <f t="shared" ref="Q489:Q552" si="2925">VLOOKUP($A489,hospital_details,7,0)</f>
        <v>tier - 1</v>
      </c>
      <c r="R489" s="7" t="str">
        <f t="shared" ref="R489:R552" si="2926">VLOOKUP($A489,hospital_details,8,0)</f>
        <v>R1024</v>
      </c>
    </row>
    <row r="490" spans="1:18" ht="14.4" customHeight="1" x14ac:dyDescent="0.3">
      <c r="A490" s="5" t="s">
        <v>509</v>
      </c>
      <c r="B490" s="5" t="str">
        <f>VLOOKUP($A490,[1]!Customer_Names[#Data],3,0)</f>
        <v xml:space="preserve">  Timothy</v>
      </c>
      <c r="C490" s="5">
        <v>29.64</v>
      </c>
      <c r="D490" s="5" t="str" cm="1">
        <f t="array" ref="D490">_xlfn.IFS(Healthcare!$C490&lt;18.5,"under weight",Healthcare!$C490&lt;=24.9,"Normal Weight",Healthcare!$C490&gt;=25,"overweight",Healthcare!$C490&gt;=30,"obese")</f>
        <v>overweight</v>
      </c>
      <c r="E490" s="5">
        <v>4.93</v>
      </c>
      <c r="F490" s="5" t="str" cm="1">
        <f t="array" ref="F490">_xlfn.IFS(Healthcare!$E490&lt;5.7,"normal",Healthcare!$E490&lt;=6.4,"prediabetes",Healthcare!$E490&gt;=6.5,"diabetes")</f>
        <v>normal</v>
      </c>
      <c r="G490" s="5" t="s">
        <v>19</v>
      </c>
      <c r="H490" s="5" t="s">
        <v>19</v>
      </c>
      <c r="I490" s="5" t="s">
        <v>29</v>
      </c>
      <c r="J490" s="5">
        <v>1</v>
      </c>
      <c r="K490" s="5" t="s">
        <v>19</v>
      </c>
      <c r="L490" s="5" t="str">
        <f>VLOOKUP(Healthcare!$A490,hospital_details,2,0)</f>
        <v>7-Sep-1993</v>
      </c>
      <c r="M490" s="5">
        <f t="shared" ref="M490:M553" ca="1" si="2927">VLOOKUP(A490,hospital_details,3,0)</f>
        <v>33</v>
      </c>
      <c r="N490" s="5">
        <f t="shared" ref="N490:N553" si="2928">VLOOKUP($A490,hospital_details,4,0)</f>
        <v>1</v>
      </c>
      <c r="O490" s="6">
        <f t="shared" ref="O490:O553" si="2929">VLOOKUP($A490,hospital_details,5,0)</f>
        <v>20277.810000000001</v>
      </c>
      <c r="P490" s="5" t="str">
        <f t="shared" ref="P490:P553" si="2930">VLOOKUP($A490,hospital_details,6,0)</f>
        <v>tier - 3</v>
      </c>
      <c r="Q490" s="5" t="str">
        <f t="shared" ref="Q490:Q553" si="2931">VLOOKUP($A490,hospital_details,7,0)</f>
        <v>tier - 3</v>
      </c>
      <c r="R490" s="5" t="str">
        <f t="shared" ref="R490:R553" si="2932">VLOOKUP($A490,hospital_details,8,0)</f>
        <v>R1016</v>
      </c>
    </row>
    <row r="491" spans="1:18" ht="14.4" customHeight="1" x14ac:dyDescent="0.3">
      <c r="A491" s="7" t="s">
        <v>510</v>
      </c>
      <c r="B491" s="7" t="str">
        <f>VLOOKUP($A491,[1]!Customer_Names[#Data],3,0)</f>
        <v xml:space="preserve">  Scott</v>
      </c>
      <c r="C491" s="7">
        <v>53.93</v>
      </c>
      <c r="D491" s="7" t="str" cm="1">
        <f t="array" ref="D491">_xlfn.IFS(Healthcare!$C491&lt;18.5,"under weight",Healthcare!$C491&lt;=24.9,"Normal Weight",Healthcare!$C491&gt;=25,"overweight",Healthcare!$C491&gt;=30,"obese")</f>
        <v>overweight</v>
      </c>
      <c r="E491" s="7">
        <v>5.34</v>
      </c>
      <c r="F491" s="7" t="str" cm="1">
        <f t="array" ref="F491">_xlfn.IFS(Healthcare!$E491&lt;5.7,"normal",Healthcare!$E491&lt;=6.4,"prediabetes",Healthcare!$E491&gt;=6.5,"diabetes")</f>
        <v>normal</v>
      </c>
      <c r="G491" s="7" t="s">
        <v>20</v>
      </c>
      <c r="H491" s="7" t="s">
        <v>19</v>
      </c>
      <c r="I491" s="7" t="s">
        <v>19</v>
      </c>
      <c r="J491" s="7">
        <v>2</v>
      </c>
      <c r="K491" s="7" t="s">
        <v>19</v>
      </c>
      <c r="L491" s="7" t="str">
        <f>VLOOKUP(Healthcare!$A491,hospital_details,2,0)</f>
        <v>22-Aug-1966</v>
      </c>
      <c r="M491" s="7">
        <f t="shared" ref="M491:M554" ca="1" si="2933">VLOOKUP(A491,hospital_details,3,0)</f>
        <v>60</v>
      </c>
      <c r="N491" s="7">
        <f t="shared" ref="N491:N554" si="2934">VLOOKUP($A491,hospital_details,4,0)</f>
        <v>0</v>
      </c>
      <c r="O491" s="8">
        <f t="shared" ref="O491:O554" si="2935">VLOOKUP($A491,hospital_details,5,0)</f>
        <v>20253.84</v>
      </c>
      <c r="P491" s="7" t="str">
        <f t="shared" ref="P491:P554" si="2936">VLOOKUP($A491,hospital_details,6,0)</f>
        <v>tier - 2</v>
      </c>
      <c r="Q491" s="7" t="str">
        <f t="shared" ref="Q491:Q554" si="2937">VLOOKUP($A491,hospital_details,7,0)</f>
        <v>tier - 3</v>
      </c>
      <c r="R491" s="7" t="str">
        <f t="shared" ref="R491:R554" si="2938">VLOOKUP($A491,hospital_details,8,0)</f>
        <v>R1012</v>
      </c>
    </row>
    <row r="492" spans="1:18" ht="14.4" customHeight="1" x14ac:dyDescent="0.3">
      <c r="A492" s="5" t="s">
        <v>511</v>
      </c>
      <c r="B492" s="5" t="str">
        <f>VLOOKUP($A492,[1]!Customer_Names[#Data],3,0)</f>
        <v xml:space="preserve">  Carly E</v>
      </c>
      <c r="C492" s="5">
        <v>28.024999999999999</v>
      </c>
      <c r="D492" s="5" t="str" cm="1">
        <f t="array" ref="D492">_xlfn.IFS(Healthcare!$C492&lt;18.5,"under weight",Healthcare!$C492&lt;=24.9,"Normal Weight",Healthcare!$C492&gt;=25,"overweight",Healthcare!$C492&gt;=30,"obese")</f>
        <v>overweight</v>
      </c>
      <c r="E492" s="5">
        <v>5.65</v>
      </c>
      <c r="F492" s="5" t="str" cm="1">
        <f t="array" ref="F492">_xlfn.IFS(Healthcare!$E492&lt;5.7,"normal",Healthcare!$E492&lt;=6.4,"prediabetes",Healthcare!$E492&gt;=6.5,"diabetes")</f>
        <v>normal</v>
      </c>
      <c r="G492" s="5" t="s">
        <v>19</v>
      </c>
      <c r="H492" s="5" t="s">
        <v>19</v>
      </c>
      <c r="I492" s="5" t="s">
        <v>19</v>
      </c>
      <c r="J492" s="5">
        <v>1</v>
      </c>
      <c r="K492" s="5" t="s">
        <v>20</v>
      </c>
      <c r="L492" s="5" t="str">
        <f>VLOOKUP(Healthcare!$A492,hospital_details,2,0)</f>
        <v>17-Oct-1987</v>
      </c>
      <c r="M492" s="5">
        <f t="shared" ref="M492:M555" ca="1" si="2939">VLOOKUP(A492,hospital_details,3,0)</f>
        <v>39</v>
      </c>
      <c r="N492" s="5">
        <f t="shared" ref="N492:N555" si="2940">VLOOKUP($A492,hospital_details,4,0)</f>
        <v>0</v>
      </c>
      <c r="O492" s="6">
        <f t="shared" ref="O492:O555" si="2941">VLOOKUP($A492,hospital_details,5,0)</f>
        <v>20234.849999999999</v>
      </c>
      <c r="P492" s="5" t="str">
        <f t="shared" ref="P492:P555" si="2942">VLOOKUP($A492,hospital_details,6,0)</f>
        <v>tier - 2</v>
      </c>
      <c r="Q492" s="5" t="str">
        <f t="shared" ref="Q492:Q555" si="2943">VLOOKUP($A492,hospital_details,7,0)</f>
        <v>tier - 3</v>
      </c>
      <c r="R492" s="5" t="str">
        <f t="shared" ref="R492:R555" si="2944">VLOOKUP($A492,hospital_details,8,0)</f>
        <v>R1012</v>
      </c>
    </row>
    <row r="493" spans="1:18" ht="14.4" customHeight="1" x14ac:dyDescent="0.3">
      <c r="A493" s="7" t="s">
        <v>512</v>
      </c>
      <c r="B493" s="7" t="str">
        <f>VLOOKUP($A493,[1]!Customer_Names[#Data],3,0)</f>
        <v xml:space="preserve">  Lisa</v>
      </c>
      <c r="C493" s="7">
        <v>27.5</v>
      </c>
      <c r="D493" s="7" t="str" cm="1">
        <f t="array" ref="D493">_xlfn.IFS(Healthcare!$C493&lt;18.5,"under weight",Healthcare!$C493&lt;=24.9,"Normal Weight",Healthcare!$C493&gt;=25,"overweight",Healthcare!$C493&gt;=30,"obese")</f>
        <v>overweight</v>
      </c>
      <c r="E493" s="7">
        <v>4.49</v>
      </c>
      <c r="F493" s="7" t="str" cm="1">
        <f t="array" ref="F493">_xlfn.IFS(Healthcare!$E493&lt;5.7,"normal",Healthcare!$E493&lt;=6.4,"prediabetes",Healthcare!$E493&gt;=6.5,"diabetes")</f>
        <v>normal</v>
      </c>
      <c r="G493" s="7" t="s">
        <v>19</v>
      </c>
      <c r="H493" s="7" t="s">
        <v>19</v>
      </c>
      <c r="I493" s="7" t="s">
        <v>19</v>
      </c>
      <c r="J493" s="7">
        <v>0</v>
      </c>
      <c r="K493" s="7" t="s">
        <v>19</v>
      </c>
      <c r="L493" s="7" t="str">
        <f>VLOOKUP(Healthcare!$A493,hospital_details,2,0)</f>
        <v>8-Jun-1994</v>
      </c>
      <c r="M493" s="7">
        <f t="shared" ref="M493:M556" ca="1" si="2945">VLOOKUP(A493,hospital_details,3,0)</f>
        <v>32</v>
      </c>
      <c r="N493" s="7">
        <f t="shared" ref="N493:N556" si="2946">VLOOKUP($A493,hospital_details,4,0)</f>
        <v>2</v>
      </c>
      <c r="O493" s="8">
        <f t="shared" ref="O493:O556" si="2947">VLOOKUP($A493,hospital_details,5,0)</f>
        <v>20177.669999999998</v>
      </c>
      <c r="P493" s="7" t="str">
        <f t="shared" ref="P493:P556" si="2948">VLOOKUP($A493,hospital_details,6,0)</f>
        <v>tier - 2</v>
      </c>
      <c r="Q493" s="7" t="str">
        <f t="shared" ref="Q493:Q556" si="2949">VLOOKUP($A493,hospital_details,7,0)</f>
        <v>tier - 1</v>
      </c>
      <c r="R493" s="7" t="str">
        <f t="shared" ref="R493:R556" si="2950">VLOOKUP($A493,hospital_details,8,0)</f>
        <v>R1011</v>
      </c>
    </row>
    <row r="494" spans="1:18" ht="14.4" customHeight="1" x14ac:dyDescent="0.3">
      <c r="A494" s="5" t="s">
        <v>513</v>
      </c>
      <c r="B494" s="5" t="str">
        <f>VLOOKUP($A494,[1]!Customer_Names[#Data],3,0)</f>
        <v xml:space="preserve">  Stacey</v>
      </c>
      <c r="C494" s="5">
        <v>21.8</v>
      </c>
      <c r="D494" s="5" t="str" cm="1">
        <f t="array" ref="D494">_xlfn.IFS(Healthcare!$C494&lt;18.5,"under weight",Healthcare!$C494&lt;=24.9,"Normal Weight",Healthcare!$C494&gt;=25,"overweight",Healthcare!$C494&gt;=30,"obese")</f>
        <v>Normal Weight</v>
      </c>
      <c r="E494" s="5">
        <v>10.55</v>
      </c>
      <c r="F494" s="5" t="str" cm="1">
        <f t="array" ref="F494">_xlfn.IFS(Healthcare!$E494&lt;5.7,"normal",Healthcare!$E494&lt;=6.4,"prediabetes",Healthcare!$E494&gt;=6.5,"diabetes")</f>
        <v>diabetes</v>
      </c>
      <c r="G494" s="5" t="s">
        <v>19</v>
      </c>
      <c r="H494" s="5" t="s">
        <v>19</v>
      </c>
      <c r="I494" s="5" t="s">
        <v>19</v>
      </c>
      <c r="J494" s="5">
        <v>0</v>
      </c>
      <c r="K494" s="5" t="s">
        <v>20</v>
      </c>
      <c r="L494" s="5" t="str">
        <f>VLOOKUP(Healthcare!$A494,hospital_details,2,0)</f>
        <v>9-Jul-2002</v>
      </c>
      <c r="M494" s="5">
        <f t="shared" ref="M494:M557" ca="1" si="2951">VLOOKUP(A494,hospital_details,3,0)</f>
        <v>24</v>
      </c>
      <c r="N494" s="5">
        <f t="shared" ref="N494:N557" si="2952">VLOOKUP($A494,hospital_details,4,0)</f>
        <v>0</v>
      </c>
      <c r="O494" s="6">
        <f t="shared" ref="O494:O557" si="2953">VLOOKUP($A494,hospital_details,5,0)</f>
        <v>20167.34</v>
      </c>
      <c r="P494" s="5" t="str">
        <f t="shared" ref="P494:P557" si="2954">VLOOKUP($A494,hospital_details,6,0)</f>
        <v>tier - 3</v>
      </c>
      <c r="Q494" s="5" t="str">
        <f t="shared" ref="Q494:Q557" si="2955">VLOOKUP($A494,hospital_details,7,0)</f>
        <v>tier - 3</v>
      </c>
      <c r="R494" s="5" t="str">
        <f t="shared" ref="R494:R557" si="2956">VLOOKUP($A494,hospital_details,8,0)</f>
        <v>R1011</v>
      </c>
    </row>
    <row r="495" spans="1:18" ht="14.4" customHeight="1" x14ac:dyDescent="0.3">
      <c r="A495" s="7" t="s">
        <v>514</v>
      </c>
      <c r="B495" s="7" t="str">
        <f>VLOOKUP($A495,[1]!Customer_Names[#Data],3,0)</f>
        <v xml:space="preserve">  Louis</v>
      </c>
      <c r="C495" s="7">
        <v>26.41</v>
      </c>
      <c r="D495" s="7" t="str" cm="1">
        <f t="array" ref="D495">_xlfn.IFS(Healthcare!$C495&lt;18.5,"under weight",Healthcare!$C495&lt;=24.9,"Normal Weight",Healthcare!$C495&gt;=25,"overweight",Healthcare!$C495&gt;=30,"obese")</f>
        <v>overweight</v>
      </c>
      <c r="E495" s="7">
        <v>4.92</v>
      </c>
      <c r="F495" s="7" t="str" cm="1">
        <f t="array" ref="F495">_xlfn.IFS(Healthcare!$E495&lt;5.7,"normal",Healthcare!$E495&lt;=6.4,"prediabetes",Healthcare!$E495&gt;=6.5,"diabetes")</f>
        <v>normal</v>
      </c>
      <c r="G495" s="7" t="s">
        <v>20</v>
      </c>
      <c r="H495" s="7" t="s">
        <v>19</v>
      </c>
      <c r="I495" s="7" t="s">
        <v>29</v>
      </c>
      <c r="J495" s="7">
        <v>1</v>
      </c>
      <c r="K495" s="7" t="s">
        <v>20</v>
      </c>
      <c r="L495" s="7" t="str">
        <f>VLOOKUP(Healthcare!$A495,hospital_details,2,0)</f>
        <v>6-Oct-1983</v>
      </c>
      <c r="M495" s="7">
        <f t="shared" ref="M495:M558" ca="1" si="2957">VLOOKUP(A495,hospital_details,3,0)</f>
        <v>43</v>
      </c>
      <c r="N495" s="7">
        <f t="shared" ref="N495:N558" si="2958">VLOOKUP($A495,hospital_details,4,0)</f>
        <v>0</v>
      </c>
      <c r="O495" s="8">
        <f t="shared" ref="O495:O558" si="2959">VLOOKUP($A495,hospital_details,5,0)</f>
        <v>20149.32</v>
      </c>
      <c r="P495" s="7" t="str">
        <f t="shared" ref="P495:P558" si="2960">VLOOKUP($A495,hospital_details,6,0)</f>
        <v>tier - 2</v>
      </c>
      <c r="Q495" s="7" t="str">
        <f t="shared" ref="Q495:Q558" si="2961">VLOOKUP($A495,hospital_details,7,0)</f>
        <v>tier - 1</v>
      </c>
      <c r="R495" s="7" t="str">
        <f t="shared" ref="R495:R558" si="2962">VLOOKUP($A495,hospital_details,8,0)</f>
        <v>R1016</v>
      </c>
    </row>
    <row r="496" spans="1:18" ht="14.4" customHeight="1" x14ac:dyDescent="0.3">
      <c r="A496" s="5" t="s">
        <v>515</v>
      </c>
      <c r="B496" s="5" t="str">
        <f>VLOOKUP($A496,[1]!Customer_Names[#Data],3,0)</f>
        <v xml:space="preserve">  Brian R</v>
      </c>
      <c r="C496" s="5">
        <v>27.835000000000001</v>
      </c>
      <c r="D496" s="5" t="str" cm="1">
        <f t="array" ref="D496">_xlfn.IFS(Healthcare!$C496&lt;18.5,"under weight",Healthcare!$C496&lt;=24.9,"Normal Weight",Healthcare!$C496&gt;=25,"overweight",Healthcare!$C496&gt;=30,"obese")</f>
        <v>overweight</v>
      </c>
      <c r="E496" s="5">
        <v>5.9</v>
      </c>
      <c r="F496" s="5" t="str" cm="1">
        <f t="array" ref="F496">_xlfn.IFS(Healthcare!$E496&lt;5.7,"normal",Healthcare!$E496&lt;=6.4,"prediabetes",Healthcare!$E496&gt;=6.5,"diabetes")</f>
        <v>prediabetes</v>
      </c>
      <c r="G496" s="5" t="s">
        <v>20</v>
      </c>
      <c r="H496" s="5" t="s">
        <v>19</v>
      </c>
      <c r="I496" s="5" t="s">
        <v>19</v>
      </c>
      <c r="J496" s="5">
        <v>1</v>
      </c>
      <c r="K496" s="5" t="s">
        <v>20</v>
      </c>
      <c r="L496" s="5" t="str">
        <f>VLOOKUP(Healthcare!$A496,hospital_details,2,0)</f>
        <v>25-Jul-1988</v>
      </c>
      <c r="M496" s="5">
        <f t="shared" ref="M496:M559" ca="1" si="2963">VLOOKUP(A496,hospital_details,3,0)</f>
        <v>38</v>
      </c>
      <c r="N496" s="5">
        <f t="shared" ref="N496:N559" si="2964">VLOOKUP($A496,hospital_details,4,0)</f>
        <v>1</v>
      </c>
      <c r="O496" s="6">
        <f t="shared" ref="O496:O559" si="2965">VLOOKUP($A496,hospital_details,5,0)</f>
        <v>20009.63</v>
      </c>
      <c r="P496" s="5" t="str">
        <f t="shared" ref="P496:P559" si="2966">VLOOKUP($A496,hospital_details,6,0)</f>
        <v>tier - 2</v>
      </c>
      <c r="Q496" s="5" t="str">
        <f t="shared" ref="Q496:Q559" si="2967">VLOOKUP($A496,hospital_details,7,0)</f>
        <v>tier - 1</v>
      </c>
      <c r="R496" s="5" t="str">
        <f t="shared" ref="R496:R559" si="2968">VLOOKUP($A496,hospital_details,8,0)</f>
        <v>R1012</v>
      </c>
    </row>
    <row r="497" spans="1:18" ht="14.4" customHeight="1" x14ac:dyDescent="0.3">
      <c r="A497" s="7" t="s">
        <v>516</v>
      </c>
      <c r="B497" s="7" t="str">
        <f>VLOOKUP($A497,[1]!Customer_Names[#Data],3,0)</f>
        <v xml:space="preserve">  Jessica</v>
      </c>
      <c r="C497" s="7">
        <v>51.74</v>
      </c>
      <c r="D497" s="7" t="str" cm="1">
        <f t="array" ref="D497">_xlfn.IFS(Healthcare!$C497&lt;18.5,"under weight",Healthcare!$C497&lt;=24.9,"Normal Weight",Healthcare!$C497&gt;=25,"overweight",Healthcare!$C497&gt;=30,"obese")</f>
        <v>overweight</v>
      </c>
      <c r="E497" s="7">
        <v>4.9800000000000004</v>
      </c>
      <c r="F497" s="7" t="str" cm="1">
        <f t="array" ref="F497">_xlfn.IFS(Healthcare!$E497&lt;5.7,"normal",Healthcare!$E497&lt;=6.4,"prediabetes",Healthcare!$E497&gt;=6.5,"diabetes")</f>
        <v>normal</v>
      </c>
      <c r="G497" s="7" t="s">
        <v>20</v>
      </c>
      <c r="H497" s="7" t="s">
        <v>19</v>
      </c>
      <c r="I497" s="7" t="s">
        <v>19</v>
      </c>
      <c r="J497" s="7">
        <v>2</v>
      </c>
      <c r="K497" s="7" t="s">
        <v>19</v>
      </c>
      <c r="L497" s="7" t="str">
        <f>VLOOKUP(Healthcare!$A497,hospital_details,2,0)</f>
        <v>10-Aug-1966</v>
      </c>
      <c r="M497" s="7">
        <f t="shared" ref="M497:M560" ca="1" si="2969">VLOOKUP(A497,hospital_details,3,0)</f>
        <v>60</v>
      </c>
      <c r="N497" s="7">
        <f t="shared" ref="N497:N560" si="2970">VLOOKUP($A497,hospital_details,4,0)</f>
        <v>0</v>
      </c>
      <c r="O497" s="8">
        <f t="shared" ref="O497:O560" si="2971">VLOOKUP($A497,hospital_details,5,0)</f>
        <v>19995.29</v>
      </c>
      <c r="P497" s="7" t="str">
        <f t="shared" ref="P497:P560" si="2972">VLOOKUP($A497,hospital_details,6,0)</f>
        <v>tier - 1</v>
      </c>
      <c r="Q497" s="7" t="str">
        <f t="shared" ref="Q497:Q560" si="2973">VLOOKUP($A497,hospital_details,7,0)</f>
        <v>tier - 3</v>
      </c>
      <c r="R497" s="7" t="str">
        <f t="shared" ref="R497:R560" si="2974">VLOOKUP($A497,hospital_details,8,0)</f>
        <v>R1026</v>
      </c>
    </row>
    <row r="498" spans="1:18" ht="14.4" customHeight="1" x14ac:dyDescent="0.3">
      <c r="A498" s="5" t="s">
        <v>517</v>
      </c>
      <c r="B498" s="5" t="str">
        <f>VLOOKUP($A498,[1]!Customer_Names[#Data],3,0)</f>
        <v xml:space="preserve">  Dawn M</v>
      </c>
      <c r="C498" s="5">
        <v>23.37</v>
      </c>
      <c r="D498" s="5" t="str" cm="1">
        <f t="array" ref="D498">_xlfn.IFS(Healthcare!$C498&lt;18.5,"under weight",Healthcare!$C498&lt;=24.9,"Normal Weight",Healthcare!$C498&gt;=25,"overweight",Healthcare!$C498&gt;=30,"obese")</f>
        <v>Normal Weight</v>
      </c>
      <c r="E498" s="5">
        <v>5.8</v>
      </c>
      <c r="F498" s="5" t="str" cm="1">
        <f t="array" ref="F498">_xlfn.IFS(Healthcare!$E498&lt;5.7,"normal",Healthcare!$E498&lt;=6.4,"prediabetes",Healthcare!$E498&gt;=6.5,"diabetes")</f>
        <v>prediabetes</v>
      </c>
      <c r="G498" s="5" t="s">
        <v>19</v>
      </c>
      <c r="H498" s="5" t="s">
        <v>19</v>
      </c>
      <c r="I498" s="5" t="s">
        <v>19</v>
      </c>
      <c r="J498" s="5">
        <v>0</v>
      </c>
      <c r="K498" s="5" t="s">
        <v>20</v>
      </c>
      <c r="L498" s="5" t="str">
        <f>VLOOKUP(Healthcare!$A498,hospital_details,2,0)</f>
        <v>9-Oct-1980</v>
      </c>
      <c r="M498" s="5">
        <f t="shared" ref="M498:M561" ca="1" si="2975">VLOOKUP(A498,hospital_details,3,0)</f>
        <v>46</v>
      </c>
      <c r="N498" s="5">
        <f t="shared" ref="N498:N561" si="2976">VLOOKUP($A498,hospital_details,4,0)</f>
        <v>0</v>
      </c>
      <c r="O498" s="6">
        <f t="shared" ref="O498:O561" si="2977">VLOOKUP($A498,hospital_details,5,0)</f>
        <v>19964.75</v>
      </c>
      <c r="P498" s="5" t="str">
        <f t="shared" ref="P498:P561" si="2978">VLOOKUP($A498,hospital_details,6,0)</f>
        <v>tier - 1</v>
      </c>
      <c r="Q498" s="5" t="str">
        <f t="shared" ref="Q498:Q561" si="2979">VLOOKUP($A498,hospital_details,7,0)</f>
        <v>tier - 2</v>
      </c>
      <c r="R498" s="5" t="str">
        <f t="shared" ref="R498:R561" si="2980">VLOOKUP($A498,hospital_details,8,0)</f>
        <v>R1024</v>
      </c>
    </row>
    <row r="499" spans="1:18" ht="14.4" customHeight="1" x14ac:dyDescent="0.3">
      <c r="A499" s="7" t="s">
        <v>518</v>
      </c>
      <c r="B499" s="7" t="str">
        <f>VLOOKUP($A499,[1]!Customer_Names[#Data],3,0)</f>
        <v xml:space="preserve">  Chris</v>
      </c>
      <c r="C499" s="7">
        <v>29.7</v>
      </c>
      <c r="D499" s="7" t="str" cm="1">
        <f t="array" ref="D499">_xlfn.IFS(Healthcare!$C499&lt;18.5,"under weight",Healthcare!$C499&lt;=24.9,"Normal Weight",Healthcare!$C499&gt;=25,"overweight",Healthcare!$C499&gt;=30,"obese")</f>
        <v>overweight</v>
      </c>
      <c r="E499" s="7">
        <v>6.21</v>
      </c>
      <c r="F499" s="7" t="str" cm="1">
        <f t="array" ref="F499">_xlfn.IFS(Healthcare!$E499&lt;5.7,"normal",Healthcare!$E499&lt;=6.4,"prediabetes",Healthcare!$E499&gt;=6.5,"diabetes")</f>
        <v>prediabetes</v>
      </c>
      <c r="G499" s="7" t="s">
        <v>20</v>
      </c>
      <c r="H499" s="7" t="s">
        <v>19</v>
      </c>
      <c r="I499" s="7" t="s">
        <v>29</v>
      </c>
      <c r="J499" s="7">
        <v>1</v>
      </c>
      <c r="K499" s="7" t="s">
        <v>20</v>
      </c>
      <c r="L499" s="7" t="str">
        <f>VLOOKUP(Healthcare!$A499,hospital_details,2,0)</f>
        <v>18-Oct-1997</v>
      </c>
      <c r="M499" s="7">
        <f t="shared" ref="M499:M562" ca="1" si="2981">VLOOKUP(A499,hospital_details,3,0)</f>
        <v>29</v>
      </c>
      <c r="N499" s="7">
        <f t="shared" ref="N499:N562" si="2982">VLOOKUP($A499,hospital_details,4,0)</f>
        <v>3</v>
      </c>
      <c r="O499" s="8">
        <f t="shared" ref="O499:O562" si="2983">VLOOKUP($A499,hospital_details,5,0)</f>
        <v>19933.46</v>
      </c>
      <c r="P499" s="7" t="str">
        <f t="shared" ref="P499:P562" si="2984">VLOOKUP($A499,hospital_details,6,0)</f>
        <v>tier - 1</v>
      </c>
      <c r="Q499" s="7" t="str">
        <f t="shared" ref="Q499:Q562" si="2985">VLOOKUP($A499,hospital_details,7,0)</f>
        <v>tier - 3</v>
      </c>
      <c r="R499" s="7" t="str">
        <f t="shared" ref="R499:R562" si="2986">VLOOKUP($A499,hospital_details,8,0)</f>
        <v>R1011</v>
      </c>
    </row>
    <row r="500" spans="1:18" ht="14.4" customHeight="1" x14ac:dyDescent="0.3">
      <c r="A500" s="5" t="s">
        <v>519</v>
      </c>
      <c r="B500" s="5" t="str">
        <f>VLOOKUP($A500,[1]!Customer_Names[#Data],3,0)</f>
        <v xml:space="preserve">  Karen</v>
      </c>
      <c r="C500" s="5">
        <v>20.045000000000002</v>
      </c>
      <c r="D500" s="5" t="str" cm="1">
        <f t="array" ref="D500">_xlfn.IFS(Healthcare!$C500&lt;18.5,"under weight",Healthcare!$C500&lt;=24.9,"Normal Weight",Healthcare!$C500&gt;=25,"overweight",Healthcare!$C500&gt;=30,"obese")</f>
        <v>Normal Weight</v>
      </c>
      <c r="E500" s="5">
        <v>6.17</v>
      </c>
      <c r="F500" s="5" t="str" cm="1">
        <f t="array" ref="F500">_xlfn.IFS(Healthcare!$E500&lt;5.7,"normal",Healthcare!$E500&lt;=6.4,"prediabetes",Healthcare!$E500&gt;=6.5,"diabetes")</f>
        <v>prediabetes</v>
      </c>
      <c r="G500" s="5" t="s">
        <v>19</v>
      </c>
      <c r="H500" s="5" t="s">
        <v>19</v>
      </c>
      <c r="I500" s="5" t="s">
        <v>29</v>
      </c>
      <c r="J500" s="5">
        <v>1</v>
      </c>
      <c r="K500" s="5" t="s">
        <v>20</v>
      </c>
      <c r="L500" s="5" t="str">
        <f>VLOOKUP(Healthcare!$A500,hospital_details,2,0)</f>
        <v>30-Oct-1979</v>
      </c>
      <c r="M500" s="5">
        <f t="shared" ref="M500:M563" ca="1" si="2987">VLOOKUP(A500,hospital_details,3,0)</f>
        <v>46</v>
      </c>
      <c r="N500" s="5">
        <f t="shared" ref="N500:N563" si="2988">VLOOKUP($A500,hospital_details,4,0)</f>
        <v>2</v>
      </c>
      <c r="O500" s="6">
        <f t="shared" ref="O500:O563" si="2989">VLOOKUP($A500,hospital_details,5,0)</f>
        <v>19798.05</v>
      </c>
      <c r="P500" s="5" t="str">
        <f t="shared" ref="P500:P563" si="2990">VLOOKUP($A500,hospital_details,6,0)</f>
        <v>tier - 1</v>
      </c>
      <c r="Q500" s="5" t="str">
        <f t="shared" ref="Q500:Q563" si="2991">VLOOKUP($A500,hospital_details,7,0)</f>
        <v>tier - 1</v>
      </c>
      <c r="R500" s="5" t="str">
        <f t="shared" ref="R500:R563" si="2992">VLOOKUP($A500,hospital_details,8,0)</f>
        <v>R1024</v>
      </c>
    </row>
    <row r="501" spans="1:18" ht="14.4" customHeight="1" x14ac:dyDescent="0.3">
      <c r="A501" s="7" t="s">
        <v>520</v>
      </c>
      <c r="B501" s="7" t="str">
        <f>VLOOKUP($A501,[1]!Customer_Names[#Data],3,0)</f>
        <v xml:space="preserve">  Jessica</v>
      </c>
      <c r="C501" s="7">
        <v>27.83</v>
      </c>
      <c r="D501" s="7" t="str" cm="1">
        <f t="array" ref="D501">_xlfn.IFS(Healthcare!$C501&lt;18.5,"under weight",Healthcare!$C501&lt;=24.9,"Normal Weight",Healthcare!$C501&gt;=25,"overweight",Healthcare!$C501&gt;=30,"obese")</f>
        <v>overweight</v>
      </c>
      <c r="E501" s="7">
        <v>5.36</v>
      </c>
      <c r="F501" s="7" t="str" cm="1">
        <f t="array" ref="F501">_xlfn.IFS(Healthcare!$E501&lt;5.7,"normal",Healthcare!$E501&lt;=6.4,"prediabetes",Healthcare!$E501&gt;=6.5,"diabetes")</f>
        <v>normal</v>
      </c>
      <c r="G501" s="7" t="s">
        <v>19</v>
      </c>
      <c r="H501" s="7" t="s">
        <v>19</v>
      </c>
      <c r="I501" s="7" t="s">
        <v>19</v>
      </c>
      <c r="J501" s="7">
        <v>2</v>
      </c>
      <c r="K501" s="7" t="s">
        <v>19</v>
      </c>
      <c r="L501" s="7" t="str">
        <f>VLOOKUP(Healthcare!$A501,hospital_details,2,0)</f>
        <v>14-Jun-1972</v>
      </c>
      <c r="M501" s="7">
        <f t="shared" ref="M501:M564" ca="1" si="2993">VLOOKUP(A501,hospital_details,3,0)</f>
        <v>54</v>
      </c>
      <c r="N501" s="7">
        <f t="shared" ref="N501:N564" si="2994">VLOOKUP($A501,hospital_details,4,0)</f>
        <v>3</v>
      </c>
      <c r="O501" s="8">
        <f t="shared" ref="O501:O564" si="2995">VLOOKUP($A501,hospital_details,5,0)</f>
        <v>19749.38</v>
      </c>
      <c r="P501" s="7" t="str">
        <f t="shared" ref="P501:P564" si="2996">VLOOKUP($A501,hospital_details,6,0)</f>
        <v>tier - 1</v>
      </c>
      <c r="Q501" s="7" t="str">
        <f t="shared" ref="Q501:Q564" si="2997">VLOOKUP($A501,hospital_details,7,0)</f>
        <v>tier - 3</v>
      </c>
      <c r="R501" s="7" t="str">
        <f t="shared" ref="R501:R564" si="2998">VLOOKUP($A501,hospital_details,8,0)</f>
        <v>R1013</v>
      </c>
    </row>
    <row r="502" spans="1:18" ht="14.4" customHeight="1" x14ac:dyDescent="0.3">
      <c r="A502" s="5" t="s">
        <v>521</v>
      </c>
      <c r="B502" s="5" t="str">
        <f>VLOOKUP($A502,[1]!Customer_Names[#Data],3,0)</f>
        <v xml:space="preserve">  Mathieu</v>
      </c>
      <c r="C502" s="5">
        <v>28.93</v>
      </c>
      <c r="D502" s="5" t="str" cm="1">
        <f t="array" ref="D502">_xlfn.IFS(Healthcare!$C502&lt;18.5,"under weight",Healthcare!$C502&lt;=24.9,"Normal Weight",Healthcare!$C502&gt;=25,"overweight",Healthcare!$C502&gt;=30,"obese")</f>
        <v>overweight</v>
      </c>
      <c r="E502" s="5">
        <v>5.2</v>
      </c>
      <c r="F502" s="5" t="str" cm="1">
        <f t="array" ref="F502">_xlfn.IFS(Healthcare!$E502&lt;5.7,"normal",Healthcare!$E502&lt;=6.4,"prediabetes",Healthcare!$E502&gt;=6.5,"diabetes")</f>
        <v>normal</v>
      </c>
      <c r="G502" s="5" t="s">
        <v>19</v>
      </c>
      <c r="H502" s="5" t="s">
        <v>19</v>
      </c>
      <c r="I502" s="5" t="s">
        <v>19</v>
      </c>
      <c r="J502" s="5">
        <v>0</v>
      </c>
      <c r="K502" s="5" t="s">
        <v>20</v>
      </c>
      <c r="L502" s="5" t="str">
        <f>VLOOKUP(Healthcare!$A502,hospital_details,2,0)</f>
        <v>8-Aug-1990</v>
      </c>
      <c r="M502" s="5">
        <f t="shared" ref="M502:M565" ca="1" si="2999">VLOOKUP(A502,hospital_details,3,0)</f>
        <v>36</v>
      </c>
      <c r="N502" s="5">
        <f t="shared" ref="N502:N565" si="3000">VLOOKUP($A502,hospital_details,4,0)</f>
        <v>1</v>
      </c>
      <c r="O502" s="6">
        <f t="shared" ref="O502:O565" si="3001">VLOOKUP($A502,hospital_details,5,0)</f>
        <v>19719.689999999999</v>
      </c>
      <c r="P502" s="5" t="str">
        <f t="shared" ref="P502:P565" si="3002">VLOOKUP($A502,hospital_details,6,0)</f>
        <v>tier - 1</v>
      </c>
      <c r="Q502" s="5" t="str">
        <f t="shared" ref="Q502:Q565" si="3003">VLOOKUP($A502,hospital_details,7,0)</f>
        <v>tier - 2</v>
      </c>
      <c r="R502" s="5" t="str">
        <f t="shared" ref="R502:R565" si="3004">VLOOKUP($A502,hospital_details,8,0)</f>
        <v>R1013</v>
      </c>
    </row>
    <row r="503" spans="1:18" ht="14.4" customHeight="1" x14ac:dyDescent="0.3">
      <c r="A503" s="7" t="s">
        <v>522</v>
      </c>
      <c r="B503" s="7" t="str">
        <f>VLOOKUP($A503,[1]!Customer_Names[#Data],3,0)</f>
        <v xml:space="preserve">  Kam S</v>
      </c>
      <c r="C503" s="7">
        <v>33.82</v>
      </c>
      <c r="D503" s="7" t="str" cm="1">
        <f t="array" ref="D503">_xlfn.IFS(Healthcare!$C503&lt;18.5,"under weight",Healthcare!$C503&lt;=24.9,"Normal Weight",Healthcare!$C503&gt;=25,"overweight",Healthcare!$C503&gt;=30,"obese")</f>
        <v>overweight</v>
      </c>
      <c r="E503" s="7">
        <v>5.42</v>
      </c>
      <c r="F503" s="7" t="str" cm="1">
        <f t="array" ref="F503">_xlfn.IFS(Healthcare!$E503&lt;5.7,"normal",Healthcare!$E503&lt;=6.4,"prediabetes",Healthcare!$E503&gt;=6.5,"diabetes")</f>
        <v>normal</v>
      </c>
      <c r="G503" s="7" t="s">
        <v>19</v>
      </c>
      <c r="H503" s="7" t="s">
        <v>19</v>
      </c>
      <c r="I503" s="7" t="s">
        <v>19</v>
      </c>
      <c r="J503" s="7">
        <v>0</v>
      </c>
      <c r="K503" s="7" t="s">
        <v>19</v>
      </c>
      <c r="L503" s="7" t="str">
        <f>VLOOKUP(Healthcare!$A503,hospital_details,2,0)</f>
        <v>27-Aug-1994</v>
      </c>
      <c r="M503" s="7">
        <f t="shared" ref="M503:M566" ca="1" si="3005">VLOOKUP(A503,hospital_details,3,0)</f>
        <v>32</v>
      </c>
      <c r="N503" s="7">
        <f t="shared" ref="N503:N566" si="3006">VLOOKUP($A503,hospital_details,4,0)</f>
        <v>0</v>
      </c>
      <c r="O503" s="8">
        <f t="shared" ref="O503:O566" si="3007">VLOOKUP($A503,hospital_details,5,0)</f>
        <v>19673.34</v>
      </c>
      <c r="P503" s="7" t="str">
        <f t="shared" ref="P503:P566" si="3008">VLOOKUP($A503,hospital_details,6,0)</f>
        <v>tier - 1</v>
      </c>
      <c r="Q503" s="7" t="str">
        <f t="shared" ref="Q503:Q566" si="3009">VLOOKUP($A503,hospital_details,7,0)</f>
        <v>tier - 2</v>
      </c>
      <c r="R503" s="7" t="str">
        <f t="shared" ref="R503:R566" si="3010">VLOOKUP($A503,hospital_details,8,0)</f>
        <v>R1012</v>
      </c>
    </row>
    <row r="504" spans="1:18" ht="14.4" customHeight="1" x14ac:dyDescent="0.3">
      <c r="A504" s="5" t="s">
        <v>523</v>
      </c>
      <c r="B504" s="5" t="str">
        <f>VLOOKUP($A504,[1]!Customer_Names[#Data],3,0)</f>
        <v xml:space="preserve">  Valerie A</v>
      </c>
      <c r="C504" s="5">
        <v>20.234999999999999</v>
      </c>
      <c r="D504" s="5" t="str" cm="1">
        <f t="array" ref="D504">_xlfn.IFS(Healthcare!$C504&lt;18.5,"under weight",Healthcare!$C504&lt;=24.9,"Normal Weight",Healthcare!$C504&gt;=25,"overweight",Healthcare!$C504&gt;=30,"obese")</f>
        <v>Normal Weight</v>
      </c>
      <c r="E504" s="5">
        <v>6.84</v>
      </c>
      <c r="F504" s="5" t="str" cm="1">
        <f t="array" ref="F504">_xlfn.IFS(Healthcare!$E504&lt;5.7,"normal",Healthcare!$E504&lt;=6.4,"prediabetes",Healthcare!$E504&gt;=6.5,"diabetes")</f>
        <v>diabetes</v>
      </c>
      <c r="G504" s="5" t="s">
        <v>19</v>
      </c>
      <c r="H504" s="5" t="s">
        <v>19</v>
      </c>
      <c r="I504" s="5" t="s">
        <v>19</v>
      </c>
      <c r="J504" s="5">
        <v>0</v>
      </c>
      <c r="K504" s="5" t="s">
        <v>20</v>
      </c>
      <c r="L504" s="5" t="str">
        <f>VLOOKUP(Healthcare!$A504,hospital_details,2,0)</f>
        <v>24-Sep-1978</v>
      </c>
      <c r="M504" s="5">
        <f t="shared" ref="M504:M567" ca="1" si="3011">VLOOKUP(A504,hospital_details,3,0)</f>
        <v>48</v>
      </c>
      <c r="N504" s="5">
        <f t="shared" ref="N504:N567" si="3012">VLOOKUP($A504,hospital_details,4,0)</f>
        <v>1</v>
      </c>
      <c r="O504" s="6">
        <f t="shared" ref="O504:O567" si="3013">VLOOKUP($A504,hospital_details,5,0)</f>
        <v>19594.810000000001</v>
      </c>
      <c r="P504" s="5" t="str">
        <f t="shared" ref="P504:P567" si="3014">VLOOKUP($A504,hospital_details,6,0)</f>
        <v>tier - 1</v>
      </c>
      <c r="Q504" s="5" t="str">
        <f t="shared" ref="Q504:Q567" si="3015">VLOOKUP($A504,hospital_details,7,0)</f>
        <v>tier - 1</v>
      </c>
      <c r="R504" s="5" t="str">
        <f t="shared" ref="R504:R567" si="3016">VLOOKUP($A504,hospital_details,8,0)</f>
        <v>R1024</v>
      </c>
    </row>
    <row r="505" spans="1:18" ht="14.4" customHeight="1" x14ac:dyDescent="0.3">
      <c r="A505" s="7" t="s">
        <v>524</v>
      </c>
      <c r="B505" s="7" t="str">
        <f>VLOOKUP($A505,[1]!Customer_Names[#Data],3,0)</f>
        <v xml:space="preserve">  Freya R</v>
      </c>
      <c r="C505" s="7">
        <v>49.2</v>
      </c>
      <c r="D505" s="7" t="str" cm="1">
        <f t="array" ref="D505">_xlfn.IFS(Healthcare!$C505&lt;18.5,"under weight",Healthcare!$C505&lt;=24.9,"Normal Weight",Healthcare!$C505&gt;=25,"overweight",Healthcare!$C505&gt;=30,"obese")</f>
        <v>overweight</v>
      </c>
      <c r="E505" s="7">
        <v>10.9</v>
      </c>
      <c r="F505" s="7" t="str" cm="1">
        <f t="array" ref="F505">_xlfn.IFS(Healthcare!$E505&lt;5.7,"normal",Healthcare!$E505&lt;=6.4,"prediabetes",Healthcare!$E505&gt;=6.5,"diabetes")</f>
        <v>diabetes</v>
      </c>
      <c r="G505" s="7" t="s">
        <v>20</v>
      </c>
      <c r="H505" s="7" t="s">
        <v>19</v>
      </c>
      <c r="I505" s="7" t="s">
        <v>29</v>
      </c>
      <c r="J505" s="7">
        <v>1</v>
      </c>
      <c r="K505" s="7" t="s">
        <v>19</v>
      </c>
      <c r="L505" s="7" t="str">
        <f>VLOOKUP(Healthcare!$A505,hospital_details,2,0)</f>
        <v>14-Jul-1963</v>
      </c>
      <c r="M505" s="7">
        <f t="shared" ref="M505:M568" ca="1" si="3017">VLOOKUP(A505,hospital_details,3,0)</f>
        <v>63</v>
      </c>
      <c r="N505" s="7">
        <f t="shared" ref="N505:N568" si="3018">VLOOKUP($A505,hospital_details,4,0)</f>
        <v>0</v>
      </c>
      <c r="O505" s="8">
        <f t="shared" ref="O505:O568" si="3019">VLOOKUP($A505,hospital_details,5,0)</f>
        <v>19551.34</v>
      </c>
      <c r="P505" s="7" t="str">
        <f t="shared" ref="P505:P568" si="3020">VLOOKUP($A505,hospital_details,6,0)</f>
        <v>tier - 1</v>
      </c>
      <c r="Q505" s="7" t="str">
        <f t="shared" ref="Q505:Q568" si="3021">VLOOKUP($A505,hospital_details,7,0)</f>
        <v>tier - 3</v>
      </c>
      <c r="R505" s="7" t="str">
        <f t="shared" ref="R505:R568" si="3022">VLOOKUP($A505,hospital_details,8,0)</f>
        <v>R1012</v>
      </c>
    </row>
    <row r="506" spans="1:18" ht="14.4" customHeight="1" x14ac:dyDescent="0.3">
      <c r="A506" s="5" t="s">
        <v>525</v>
      </c>
      <c r="B506" s="5" t="str">
        <f>VLOOKUP($A506,[1]!Customer_Names[#Data],3,0)</f>
        <v xml:space="preserve">  Jennifer</v>
      </c>
      <c r="C506" s="5">
        <v>26.4</v>
      </c>
      <c r="D506" s="5" t="str" cm="1">
        <f t="array" ref="D506">_xlfn.IFS(Healthcare!$C506&lt;18.5,"under weight",Healthcare!$C506&lt;=24.9,"Normal Weight",Healthcare!$C506&gt;=25,"overweight",Healthcare!$C506&gt;=30,"obese")</f>
        <v>overweight</v>
      </c>
      <c r="E506" s="5">
        <v>4.87</v>
      </c>
      <c r="F506" s="5" t="str" cm="1">
        <f t="array" ref="F506">_xlfn.IFS(Healthcare!$E506&lt;5.7,"normal",Healthcare!$E506&lt;=6.4,"prediabetes",Healthcare!$E506&gt;=6.5,"diabetes")</f>
        <v>normal</v>
      </c>
      <c r="G506" s="5" t="s">
        <v>20</v>
      </c>
      <c r="H506" s="5" t="s">
        <v>19</v>
      </c>
      <c r="I506" s="5" t="s">
        <v>19</v>
      </c>
      <c r="J506" s="5">
        <v>0</v>
      </c>
      <c r="K506" s="5" t="s">
        <v>20</v>
      </c>
      <c r="L506" s="5" t="str">
        <f>VLOOKUP(Healthcare!$A506,hospital_details,2,0)</f>
        <v>17-Sep-1985</v>
      </c>
      <c r="M506" s="5">
        <f t="shared" ref="M506:M569" ca="1" si="3023">VLOOKUP(A506,hospital_details,3,0)</f>
        <v>41</v>
      </c>
      <c r="N506" s="5">
        <f t="shared" ref="N506:N569" si="3024">VLOOKUP($A506,hospital_details,4,0)</f>
        <v>0</v>
      </c>
      <c r="O506" s="6">
        <f t="shared" ref="O506:O569" si="3025">VLOOKUP($A506,hospital_details,5,0)</f>
        <v>19539.240000000002</v>
      </c>
      <c r="P506" s="5" t="str">
        <f t="shared" ref="P506:P569" si="3026">VLOOKUP($A506,hospital_details,6,0)</f>
        <v>tier - 1</v>
      </c>
      <c r="Q506" s="5" t="str">
        <f t="shared" ref="Q506:Q569" si="3027">VLOOKUP($A506,hospital_details,7,0)</f>
        <v>tier - 1</v>
      </c>
      <c r="R506" s="5" t="str">
        <f t="shared" ref="R506:R569" si="3028">VLOOKUP($A506,hospital_details,8,0)</f>
        <v>R1013</v>
      </c>
    </row>
    <row r="507" spans="1:18" ht="14.4" customHeight="1" x14ac:dyDescent="0.3">
      <c r="A507" s="7" t="s">
        <v>526</v>
      </c>
      <c r="B507" s="7" t="str">
        <f>VLOOKUP($A507,[1]!Customer_Names[#Data],3,0)</f>
        <v xml:space="preserve">  Kara</v>
      </c>
      <c r="C507" s="7">
        <v>28.38</v>
      </c>
      <c r="D507" s="7" t="str" cm="1">
        <f t="array" ref="D507">_xlfn.IFS(Healthcare!$C507&lt;18.5,"under weight",Healthcare!$C507&lt;=24.9,"Normal Weight",Healthcare!$C507&gt;=25,"overweight",Healthcare!$C507&gt;=30,"obese")</f>
        <v>overweight</v>
      </c>
      <c r="E507" s="7">
        <v>6.07</v>
      </c>
      <c r="F507" s="7" t="str" cm="1">
        <f t="array" ref="F507">_xlfn.IFS(Healthcare!$E507&lt;5.7,"normal",Healthcare!$E507&lt;=6.4,"prediabetes",Healthcare!$E507&gt;=6.5,"diabetes")</f>
        <v>prediabetes</v>
      </c>
      <c r="G507" s="7" t="s">
        <v>19</v>
      </c>
      <c r="H507" s="7" t="s">
        <v>19</v>
      </c>
      <c r="I507" s="7" t="s">
        <v>19</v>
      </c>
      <c r="J507" s="7">
        <v>1</v>
      </c>
      <c r="K507" s="7" t="s">
        <v>20</v>
      </c>
      <c r="L507" s="7" t="str">
        <f>VLOOKUP(Healthcare!$A507,hospital_details,2,0)</f>
        <v>19-Aug-1992</v>
      </c>
      <c r="M507" s="7">
        <f t="shared" ref="M507:M570" ca="1" si="3029">VLOOKUP(A507,hospital_details,3,0)</f>
        <v>34</v>
      </c>
      <c r="N507" s="7">
        <f t="shared" ref="N507:N570" si="3030">VLOOKUP($A507,hospital_details,4,0)</f>
        <v>1</v>
      </c>
      <c r="O507" s="8">
        <f t="shared" ref="O507:O570" si="3031">VLOOKUP($A507,hospital_details,5,0)</f>
        <v>19521.97</v>
      </c>
      <c r="P507" s="7" t="str">
        <f t="shared" ref="P507:P570" si="3032">VLOOKUP($A507,hospital_details,6,0)</f>
        <v>tier - 1</v>
      </c>
      <c r="Q507" s="7" t="str">
        <f t="shared" ref="Q507:Q570" si="3033">VLOOKUP($A507,hospital_details,7,0)</f>
        <v>tier - 2</v>
      </c>
      <c r="R507" s="7" t="str">
        <f t="shared" ref="R507:R570" si="3034">VLOOKUP($A507,hospital_details,8,0)</f>
        <v>R1013</v>
      </c>
    </row>
    <row r="508" spans="1:18" ht="14.4" customHeight="1" x14ac:dyDescent="0.3">
      <c r="A508" s="5" t="s">
        <v>527</v>
      </c>
      <c r="B508" s="5" t="str">
        <f>VLOOKUP($A508,[1]!Customer_Names[#Data],3,0)</f>
        <v xml:space="preserve">  Bradley A</v>
      </c>
      <c r="C508" s="5">
        <v>24.64</v>
      </c>
      <c r="D508" s="5" t="str" cm="1">
        <f t="array" ref="D508">_xlfn.IFS(Healthcare!$C508&lt;18.5,"under weight",Healthcare!$C508&lt;=24.9,"Normal Weight",Healthcare!$C508&gt;=25,"overweight",Healthcare!$C508&gt;=30,"obese")</f>
        <v>Normal Weight</v>
      </c>
      <c r="E508" s="5">
        <v>4.33</v>
      </c>
      <c r="F508" s="5" t="str" cm="1">
        <f t="array" ref="F508">_xlfn.IFS(Healthcare!$E508&lt;5.7,"normal",Healthcare!$E508&lt;=6.4,"prediabetes",Healthcare!$E508&gt;=6.5,"diabetes")</f>
        <v>normal</v>
      </c>
      <c r="G508" s="5" t="s">
        <v>19</v>
      </c>
      <c r="H508" s="5" t="s">
        <v>19</v>
      </c>
      <c r="I508" s="5" t="s">
        <v>19</v>
      </c>
      <c r="J508" s="5">
        <v>0</v>
      </c>
      <c r="K508" s="5" t="s">
        <v>20</v>
      </c>
      <c r="L508" s="5" t="str">
        <f>VLOOKUP(Healthcare!$A508,hospital_details,2,0)</f>
        <v>8-Nov-1980</v>
      </c>
      <c r="M508" s="5">
        <f t="shared" ref="M508:M571" ca="1" si="3035">VLOOKUP(A508,hospital_details,3,0)</f>
        <v>45</v>
      </c>
      <c r="N508" s="5">
        <f t="shared" ref="N508:N571" si="3036">VLOOKUP($A508,hospital_details,4,0)</f>
        <v>0</v>
      </c>
      <c r="O508" s="6">
        <f t="shared" ref="O508:O571" si="3037">VLOOKUP($A508,hospital_details,5,0)</f>
        <v>19515.54</v>
      </c>
      <c r="P508" s="5" t="str">
        <f t="shared" ref="P508:P571" si="3038">VLOOKUP($A508,hospital_details,6,0)</f>
        <v>tier - 1</v>
      </c>
      <c r="Q508" s="5" t="str">
        <f t="shared" ref="Q508:Q571" si="3039">VLOOKUP($A508,hospital_details,7,0)</f>
        <v>tier - 1</v>
      </c>
      <c r="R508" s="5" t="str">
        <f t="shared" ref="R508:R571" si="3040">VLOOKUP($A508,hospital_details,8,0)</f>
        <v>R1013</v>
      </c>
    </row>
    <row r="509" spans="1:18" ht="14.4" customHeight="1" x14ac:dyDescent="0.3">
      <c r="A509" s="7" t="s">
        <v>528</v>
      </c>
      <c r="B509" s="7" t="str">
        <f>VLOOKUP($A509,[1]!Customer_Names[#Data],3,0)</f>
        <v xml:space="preserve">  Brendan</v>
      </c>
      <c r="C509" s="7">
        <v>39.71</v>
      </c>
      <c r="D509" s="7" t="str" cm="1">
        <f t="array" ref="D509">_xlfn.IFS(Healthcare!$C509&lt;18.5,"under weight",Healthcare!$C509&lt;=24.9,"Normal Weight",Healthcare!$C509&gt;=25,"overweight",Healthcare!$C509&gt;=30,"obese")</f>
        <v>overweight</v>
      </c>
      <c r="E509" s="7">
        <v>5.83</v>
      </c>
      <c r="F509" s="7" t="str" cm="1">
        <f t="array" ref="F509">_xlfn.IFS(Healthcare!$E509&lt;5.7,"normal",Healthcare!$E509&lt;=6.4,"prediabetes",Healthcare!$E509&gt;=6.5,"diabetes")</f>
        <v>prediabetes</v>
      </c>
      <c r="G509" s="7" t="s">
        <v>19</v>
      </c>
      <c r="H509" s="7" t="s">
        <v>19</v>
      </c>
      <c r="I509" s="7" t="s">
        <v>19</v>
      </c>
      <c r="J509" s="7">
        <v>1</v>
      </c>
      <c r="K509" s="7" t="s">
        <v>19</v>
      </c>
      <c r="L509" s="7" t="str">
        <f>VLOOKUP(Healthcare!$A509,hospital_details,2,0)</f>
        <v>30-Nov-1987</v>
      </c>
      <c r="M509" s="7">
        <f t="shared" ref="M509:M572" ca="1" si="3041">VLOOKUP(A509,hospital_details,3,0)</f>
        <v>38</v>
      </c>
      <c r="N509" s="7">
        <f t="shared" ref="N509:N572" si="3042">VLOOKUP($A509,hospital_details,4,0)</f>
        <v>4</v>
      </c>
      <c r="O509" s="8">
        <f t="shared" ref="O509:O572" si="3043">VLOOKUP($A509,hospital_details,5,0)</f>
        <v>19496.72</v>
      </c>
      <c r="P509" s="7" t="str">
        <f t="shared" ref="P509:P572" si="3044">VLOOKUP($A509,hospital_details,6,0)</f>
        <v>tier - 1</v>
      </c>
      <c r="Q509" s="7" t="str">
        <f t="shared" ref="Q509:Q572" si="3045">VLOOKUP($A509,hospital_details,7,0)</f>
        <v>tier - 3</v>
      </c>
      <c r="R509" s="7" t="str">
        <f t="shared" ref="R509:R572" si="3046">VLOOKUP($A509,hospital_details,8,0)</f>
        <v>R1019</v>
      </c>
    </row>
    <row r="510" spans="1:18" ht="14.4" customHeight="1" x14ac:dyDescent="0.3">
      <c r="A510" s="5" t="s">
        <v>529</v>
      </c>
      <c r="B510" s="5" t="str">
        <f>VLOOKUP($A510,[1]!Customer_Names[#Data],3,0)</f>
        <v xml:space="preserve">  Amber R</v>
      </c>
      <c r="C510" s="5">
        <v>22.22</v>
      </c>
      <c r="D510" s="5" t="str" cm="1">
        <f t="array" ref="D510">_xlfn.IFS(Healthcare!$C510&lt;18.5,"under weight",Healthcare!$C510&lt;=24.9,"Normal Weight",Healthcare!$C510&gt;=25,"overweight",Healthcare!$C510&gt;=30,"obese")</f>
        <v>Normal Weight</v>
      </c>
      <c r="E510" s="5">
        <v>5.5</v>
      </c>
      <c r="F510" s="5" t="str" cm="1">
        <f t="array" ref="F510">_xlfn.IFS(Healthcare!$E510&lt;5.7,"normal",Healthcare!$E510&lt;=6.4,"prediabetes",Healthcare!$E510&gt;=6.5,"diabetes")</f>
        <v>normal</v>
      </c>
      <c r="G510" s="5" t="s">
        <v>19</v>
      </c>
      <c r="H510" s="5" t="s">
        <v>19</v>
      </c>
      <c r="I510" s="5" t="s">
        <v>19</v>
      </c>
      <c r="J510" s="5">
        <v>0</v>
      </c>
      <c r="K510" s="5" t="s">
        <v>20</v>
      </c>
      <c r="L510" s="5" t="str">
        <f>VLOOKUP(Healthcare!$A510,hospital_details,2,0)</f>
        <v>15-Dec-1982</v>
      </c>
      <c r="M510" s="5">
        <f t="shared" ref="M510:M573" ca="1" si="3047">VLOOKUP(A510,hospital_details,3,0)</f>
        <v>43</v>
      </c>
      <c r="N510" s="5">
        <f t="shared" ref="N510:N573" si="3048">VLOOKUP($A510,hospital_details,4,0)</f>
        <v>2</v>
      </c>
      <c r="O510" s="6">
        <f t="shared" ref="O510:O573" si="3049">VLOOKUP($A510,hospital_details,5,0)</f>
        <v>19444.27</v>
      </c>
      <c r="P510" s="5" t="str">
        <f t="shared" ref="P510:P573" si="3050">VLOOKUP($A510,hospital_details,6,0)</f>
        <v>tier - 1</v>
      </c>
      <c r="Q510" s="5" t="str">
        <f t="shared" ref="Q510:Q573" si="3051">VLOOKUP($A510,hospital_details,7,0)</f>
        <v>tier - 1</v>
      </c>
      <c r="R510" s="5" t="str">
        <f t="shared" ref="R510:R573" si="3052">VLOOKUP($A510,hospital_details,8,0)</f>
        <v>R1013</v>
      </c>
    </row>
    <row r="511" spans="1:18" ht="14.4" customHeight="1" x14ac:dyDescent="0.3">
      <c r="A511" s="7" t="s">
        <v>530</v>
      </c>
      <c r="B511" s="7" t="str">
        <f>VLOOKUP($A511,[1]!Customer_Names[#Data],3,0)</f>
        <v xml:space="preserve">  Sean K</v>
      </c>
      <c r="C511" s="7">
        <v>33.344999999999999</v>
      </c>
      <c r="D511" s="7" t="str" cm="1">
        <f t="array" ref="D511">_xlfn.IFS(Healthcare!$C511&lt;18.5,"under weight",Healthcare!$C511&lt;=24.9,"Normal Weight",Healthcare!$C511&gt;=25,"overweight",Healthcare!$C511&gt;=30,"obese")</f>
        <v>overweight</v>
      </c>
      <c r="E511" s="7">
        <v>4.79</v>
      </c>
      <c r="F511" s="7" t="str" cm="1">
        <f t="array" ref="F511">_xlfn.IFS(Healthcare!$E511&lt;5.7,"normal",Healthcare!$E511&lt;=6.4,"prediabetes",Healthcare!$E511&gt;=6.5,"diabetes")</f>
        <v>normal</v>
      </c>
      <c r="G511" s="7" t="s">
        <v>19</v>
      </c>
      <c r="H511" s="7" t="s">
        <v>19</v>
      </c>
      <c r="I511" s="7" t="s">
        <v>29</v>
      </c>
      <c r="J511" s="7">
        <v>1</v>
      </c>
      <c r="K511" s="7" t="s">
        <v>19</v>
      </c>
      <c r="L511" s="7" t="str">
        <f>VLOOKUP(Healthcare!$A511,hospital_details,2,0)</f>
        <v>6-Sep-1993</v>
      </c>
      <c r="M511" s="7">
        <f t="shared" ref="M511:M574" ca="1" si="3053">VLOOKUP(A511,hospital_details,3,0)</f>
        <v>33</v>
      </c>
      <c r="N511" s="7">
        <f t="shared" ref="N511:N574" si="3054">VLOOKUP($A511,hospital_details,4,0)</f>
        <v>2</v>
      </c>
      <c r="O511" s="8">
        <f t="shared" ref="O511:O574" si="3055">VLOOKUP($A511,hospital_details,5,0)</f>
        <v>19442.349999999999</v>
      </c>
      <c r="P511" s="7" t="str">
        <f t="shared" ref="P511:P574" si="3056">VLOOKUP($A511,hospital_details,6,0)</f>
        <v>tier - 1</v>
      </c>
      <c r="Q511" s="7" t="str">
        <f t="shared" ref="Q511:Q574" si="3057">VLOOKUP($A511,hospital_details,7,0)</f>
        <v>tier - 3</v>
      </c>
      <c r="R511" s="7" t="str">
        <f t="shared" ref="R511:R574" si="3058">VLOOKUP($A511,hospital_details,8,0)</f>
        <v>R1012</v>
      </c>
    </row>
    <row r="512" spans="1:18" ht="14.4" customHeight="1" x14ac:dyDescent="0.3">
      <c r="A512" s="5" t="s">
        <v>531</v>
      </c>
      <c r="B512" s="5" t="str">
        <f>VLOOKUP($A512,[1]!Customer_Names[#Data],3,0)</f>
        <v xml:space="preserve">  Rick</v>
      </c>
      <c r="C512" s="5">
        <v>24.42</v>
      </c>
      <c r="D512" s="5" t="str" cm="1">
        <f t="array" ref="D512">_xlfn.IFS(Healthcare!$C512&lt;18.5,"under weight",Healthcare!$C512&lt;=24.9,"Normal Weight",Healthcare!$C512&gt;=25,"overweight",Healthcare!$C512&gt;=30,"obese")</f>
        <v>Normal Weight</v>
      </c>
      <c r="E512" s="5">
        <v>5.81</v>
      </c>
      <c r="F512" s="5" t="str" cm="1">
        <f t="array" ref="F512">_xlfn.IFS(Healthcare!$E512&lt;5.7,"normal",Healthcare!$E512&lt;=6.4,"prediabetes",Healthcare!$E512&gt;=6.5,"diabetes")</f>
        <v>prediabetes</v>
      </c>
      <c r="G512" s="5" t="s">
        <v>19</v>
      </c>
      <c r="H512" s="5" t="s">
        <v>19</v>
      </c>
      <c r="I512" s="5" t="s">
        <v>19</v>
      </c>
      <c r="J512" s="5">
        <v>1</v>
      </c>
      <c r="K512" s="5" t="s">
        <v>20</v>
      </c>
      <c r="L512" s="5" t="str">
        <f>VLOOKUP(Healthcare!$A512,hospital_details,2,0)</f>
        <v>30-Jun-1987</v>
      </c>
      <c r="M512" s="5">
        <f t="shared" ref="M512:M575" ca="1" si="3059">VLOOKUP(A512,hospital_details,3,0)</f>
        <v>39</v>
      </c>
      <c r="N512" s="5">
        <f t="shared" ref="N512:N575" si="3060">VLOOKUP($A512,hospital_details,4,0)</f>
        <v>3</v>
      </c>
      <c r="O512" s="6">
        <f t="shared" ref="O512:O575" si="3061">VLOOKUP($A512,hospital_details,5,0)</f>
        <v>19362</v>
      </c>
      <c r="P512" s="5" t="str">
        <f t="shared" ref="P512:P575" si="3062">VLOOKUP($A512,hospital_details,6,0)</f>
        <v>tier - 1</v>
      </c>
      <c r="Q512" s="5" t="str">
        <f t="shared" ref="Q512:Q575" si="3063">VLOOKUP($A512,hospital_details,7,0)</f>
        <v>tier - 3</v>
      </c>
      <c r="R512" s="5" t="str">
        <f t="shared" ref="R512:R575" si="3064">VLOOKUP($A512,hospital_details,8,0)</f>
        <v>R1013</v>
      </c>
    </row>
    <row r="513" spans="1:18" ht="14.4" customHeight="1" x14ac:dyDescent="0.3">
      <c r="A513" s="7" t="s">
        <v>532</v>
      </c>
      <c r="B513" s="7" t="str">
        <f>VLOOKUP($A513,[1]!Customer_Names[#Data],3,0)</f>
        <v xml:space="preserve">  Matthew</v>
      </c>
      <c r="C513" s="7">
        <v>29.81</v>
      </c>
      <c r="D513" s="7" t="str" cm="1">
        <f t="array" ref="D513">_xlfn.IFS(Healthcare!$C513&lt;18.5,"under weight",Healthcare!$C513&lt;=24.9,"Normal Weight",Healthcare!$C513&gt;=25,"overweight",Healthcare!$C513&gt;=30,"obese")</f>
        <v>overweight</v>
      </c>
      <c r="E513" s="7">
        <v>5.58</v>
      </c>
      <c r="F513" s="7" t="str" cm="1">
        <f t="array" ref="F513">_xlfn.IFS(Healthcare!$E513&lt;5.7,"normal",Healthcare!$E513&lt;=6.4,"prediabetes",Healthcare!$E513&gt;=6.5,"diabetes")</f>
        <v>normal</v>
      </c>
      <c r="G513" s="7" t="s">
        <v>19</v>
      </c>
      <c r="H513" s="7" t="s">
        <v>19</v>
      </c>
      <c r="I513" s="7" t="s">
        <v>19</v>
      </c>
      <c r="J513" s="7">
        <v>0</v>
      </c>
      <c r="K513" s="7" t="s">
        <v>20</v>
      </c>
      <c r="L513" s="7" t="str">
        <f>VLOOKUP(Healthcare!$A513,hospital_details,2,0)</f>
        <v>24-Aug-1991</v>
      </c>
      <c r="M513" s="7">
        <f t="shared" ref="M513:M576" ca="1" si="3065">VLOOKUP(A513,hospital_details,3,0)</f>
        <v>35</v>
      </c>
      <c r="N513" s="7">
        <f t="shared" ref="N513:N576" si="3066">VLOOKUP($A513,hospital_details,4,0)</f>
        <v>0</v>
      </c>
      <c r="O513" s="8">
        <f t="shared" ref="O513:O576" si="3067">VLOOKUP($A513,hospital_details,5,0)</f>
        <v>19350.37</v>
      </c>
      <c r="P513" s="7" t="str">
        <f t="shared" ref="P513:P576" si="3068">VLOOKUP($A513,hospital_details,6,0)</f>
        <v>tier - 1</v>
      </c>
      <c r="Q513" s="7" t="str">
        <f t="shared" ref="Q513:Q576" si="3069">VLOOKUP($A513,hospital_details,7,0)</f>
        <v>tier - 3</v>
      </c>
      <c r="R513" s="7" t="str">
        <f t="shared" ref="R513:R576" si="3070">VLOOKUP($A513,hospital_details,8,0)</f>
        <v>R1013</v>
      </c>
    </row>
    <row r="514" spans="1:18" ht="14.4" customHeight="1" x14ac:dyDescent="0.3">
      <c r="A514" s="5" t="s">
        <v>533</v>
      </c>
      <c r="B514" s="5" t="str">
        <f>VLOOKUP($A514,[1]!Customer_Names[#Data],3,0)</f>
        <v xml:space="preserve">  Brady</v>
      </c>
      <c r="C514" s="5">
        <v>51.18</v>
      </c>
      <c r="D514" s="5" t="str" cm="1">
        <f t="array" ref="D514">_xlfn.IFS(Healthcare!$C514&lt;18.5,"under weight",Healthcare!$C514&lt;=24.9,"Normal Weight",Healthcare!$C514&gt;=25,"overweight",Healthcare!$C514&gt;=30,"obese")</f>
        <v>overweight</v>
      </c>
      <c r="E514" s="5">
        <v>4.4000000000000004</v>
      </c>
      <c r="F514" s="5" t="str" cm="1">
        <f t="array" ref="F514">_xlfn.IFS(Healthcare!$E514&lt;5.7,"normal",Healthcare!$E514&lt;=6.4,"prediabetes",Healthcare!$E514&gt;=6.5,"diabetes")</f>
        <v>normal</v>
      </c>
      <c r="G514" s="5" t="s">
        <v>20</v>
      </c>
      <c r="H514" s="5" t="s">
        <v>19</v>
      </c>
      <c r="I514" s="5" t="s">
        <v>19</v>
      </c>
      <c r="J514" s="5">
        <v>2</v>
      </c>
      <c r="K514" s="5" t="s">
        <v>19</v>
      </c>
      <c r="L514" s="5" t="str">
        <f>VLOOKUP(Healthcare!$A514,hospital_details,2,0)</f>
        <v>15-Nov-1966</v>
      </c>
      <c r="M514" s="5">
        <f t="shared" ref="M514:M577" ca="1" si="3071">VLOOKUP(A514,hospital_details,3,0)</f>
        <v>59</v>
      </c>
      <c r="N514" s="5">
        <f t="shared" ref="N514:N577" si="3072">VLOOKUP($A514,hospital_details,4,0)</f>
        <v>0</v>
      </c>
      <c r="O514" s="6">
        <f t="shared" ref="O514:O577" si="3073">VLOOKUP($A514,hospital_details,5,0)</f>
        <v>19321.060000000001</v>
      </c>
      <c r="P514" s="5" t="str">
        <f t="shared" ref="P514:P577" si="3074">VLOOKUP($A514,hospital_details,6,0)</f>
        <v>tier - 1</v>
      </c>
      <c r="Q514" s="5" t="str">
        <f t="shared" ref="Q514:Q577" si="3075">VLOOKUP($A514,hospital_details,7,0)</f>
        <v>tier - 1</v>
      </c>
      <c r="R514" s="5" t="str">
        <f t="shared" ref="R514:R577" si="3076">VLOOKUP($A514,hospital_details,8,0)</f>
        <v>R1012</v>
      </c>
    </row>
    <row r="515" spans="1:18" ht="14.4" customHeight="1" x14ac:dyDescent="0.3">
      <c r="A515" s="7" t="s">
        <v>534</v>
      </c>
      <c r="B515" s="7" t="str">
        <f>VLOOKUP($A515,[1]!Customer_Names[#Data],3,0)</f>
        <v xml:space="preserve">  Kameko</v>
      </c>
      <c r="C515" s="7">
        <v>51.37</v>
      </c>
      <c r="D515" s="7" t="str" cm="1">
        <f t="array" ref="D515">_xlfn.IFS(Healthcare!$C515&lt;18.5,"under weight",Healthcare!$C515&lt;=24.9,"Normal Weight",Healthcare!$C515&gt;=25,"overweight",Healthcare!$C515&gt;=30,"obese")</f>
        <v>overweight</v>
      </c>
      <c r="E515" s="7">
        <v>8.18</v>
      </c>
      <c r="F515" s="7" t="str" cm="1">
        <f t="array" ref="F515">_xlfn.IFS(Healthcare!$E515&lt;5.7,"normal",Healthcare!$E515&lt;=6.4,"prediabetes",Healthcare!$E515&gt;=6.5,"diabetes")</f>
        <v>diabetes</v>
      </c>
      <c r="G515" s="7" t="s">
        <v>20</v>
      </c>
      <c r="H515" s="7" t="s">
        <v>19</v>
      </c>
      <c r="I515" s="7" t="s">
        <v>19</v>
      </c>
      <c r="J515" s="7">
        <v>0</v>
      </c>
      <c r="K515" s="7" t="s">
        <v>19</v>
      </c>
      <c r="L515" s="7" t="str">
        <f>VLOOKUP(Healthcare!$A515,hospital_details,2,0)</f>
        <v>29-Jul-1967</v>
      </c>
      <c r="M515" s="7">
        <f t="shared" ref="M515:M578" ca="1" si="3077">VLOOKUP(A515,hospital_details,3,0)</f>
        <v>59</v>
      </c>
      <c r="N515" s="7">
        <f t="shared" ref="N515:N578" si="3078">VLOOKUP($A515,hospital_details,4,0)</f>
        <v>0</v>
      </c>
      <c r="O515" s="8">
        <f t="shared" ref="O515:O578" si="3079">VLOOKUP($A515,hospital_details,5,0)</f>
        <v>19259.96</v>
      </c>
      <c r="P515" s="7" t="str">
        <f t="shared" ref="P515:P578" si="3080">VLOOKUP($A515,hospital_details,6,0)</f>
        <v>tier - 1</v>
      </c>
      <c r="Q515" s="7" t="str">
        <f t="shared" ref="Q515:Q578" si="3081">VLOOKUP($A515,hospital_details,7,0)</f>
        <v>tier - 1</v>
      </c>
      <c r="R515" s="7" t="str">
        <f t="shared" ref="R515:R578" si="3082">VLOOKUP($A515,hospital_details,8,0)</f>
        <v>R1012</v>
      </c>
    </row>
    <row r="516" spans="1:18" ht="14.4" customHeight="1" x14ac:dyDescent="0.3">
      <c r="A516" s="5" t="s">
        <v>535</v>
      </c>
      <c r="B516" s="5" t="str">
        <f>VLOOKUP($A516,[1]!Customer_Names[#Data],3,0)</f>
        <v xml:space="preserve">  Jeremy A</v>
      </c>
      <c r="C516" s="5">
        <v>36.19</v>
      </c>
      <c r="D516" s="5" t="str" cm="1">
        <f t="array" ref="D516">_xlfn.IFS(Healthcare!$C516&lt;18.5,"under weight",Healthcare!$C516&lt;=24.9,"Normal Weight",Healthcare!$C516&gt;=25,"overweight",Healthcare!$C516&gt;=30,"obese")</f>
        <v>overweight</v>
      </c>
      <c r="E516" s="5">
        <v>5.52</v>
      </c>
      <c r="F516" s="5" t="str" cm="1">
        <f t="array" ref="F516">_xlfn.IFS(Healthcare!$E516&lt;5.7,"normal",Healthcare!$E516&lt;=6.4,"prediabetes",Healthcare!$E516&gt;=6.5,"diabetes")</f>
        <v>normal</v>
      </c>
      <c r="G516" s="5" t="s">
        <v>20</v>
      </c>
      <c r="H516" s="5" t="s">
        <v>19</v>
      </c>
      <c r="I516" s="5" t="s">
        <v>19</v>
      </c>
      <c r="J516" s="5">
        <v>0</v>
      </c>
      <c r="K516" s="5" t="s">
        <v>19</v>
      </c>
      <c r="L516" s="5" t="str">
        <f>VLOOKUP(Healthcare!$A516,hospital_details,2,0)</f>
        <v>28-Dec-1985</v>
      </c>
      <c r="M516" s="5">
        <f t="shared" ref="M516:M579" ca="1" si="3083">VLOOKUP(A516,hospital_details,3,0)</f>
        <v>40</v>
      </c>
      <c r="N516" s="5">
        <f t="shared" ref="N516:N579" si="3084">VLOOKUP($A516,hospital_details,4,0)</f>
        <v>0</v>
      </c>
      <c r="O516" s="6">
        <f t="shared" ref="O516:O579" si="3085">VLOOKUP($A516,hospital_details,5,0)</f>
        <v>19214.71</v>
      </c>
      <c r="P516" s="5" t="str">
        <f t="shared" ref="P516:P579" si="3086">VLOOKUP($A516,hospital_details,6,0)</f>
        <v>tier - 1</v>
      </c>
      <c r="Q516" s="5" t="str">
        <f t="shared" ref="Q516:Q579" si="3087">VLOOKUP($A516,hospital_details,7,0)</f>
        <v>tier - 3</v>
      </c>
      <c r="R516" s="5" t="str">
        <f t="shared" ref="R516:R579" si="3088">VLOOKUP($A516,hospital_details,8,0)</f>
        <v>R1013</v>
      </c>
    </row>
    <row r="517" spans="1:18" ht="14.4" customHeight="1" x14ac:dyDescent="0.3">
      <c r="A517" s="7" t="s">
        <v>536</v>
      </c>
      <c r="B517" s="7" t="str">
        <f>VLOOKUP($A517,[1]!Customer_Names[#Data],3,0)</f>
        <v xml:space="preserve">  Daniel</v>
      </c>
      <c r="C517" s="7">
        <v>25.9</v>
      </c>
      <c r="D517" s="7" t="str" cm="1">
        <f t="array" ref="D517">_xlfn.IFS(Healthcare!$C517&lt;18.5,"under weight",Healthcare!$C517&lt;=24.9,"Normal Weight",Healthcare!$C517&gt;=25,"overweight",Healthcare!$C517&gt;=30,"obese")</f>
        <v>overweight</v>
      </c>
      <c r="E517" s="7">
        <v>4.84</v>
      </c>
      <c r="F517" s="7" t="str" cm="1">
        <f t="array" ref="F517">_xlfn.IFS(Healthcare!$E517&lt;5.7,"normal",Healthcare!$E517&lt;=6.4,"prediabetes",Healthcare!$E517&gt;=6.5,"diabetes")</f>
        <v>normal</v>
      </c>
      <c r="G517" s="7" t="s">
        <v>19</v>
      </c>
      <c r="H517" s="7" t="s">
        <v>19</v>
      </c>
      <c r="I517" s="7" t="s">
        <v>19</v>
      </c>
      <c r="J517" s="7">
        <v>0</v>
      </c>
      <c r="K517" s="7" t="s">
        <v>20</v>
      </c>
      <c r="L517" s="7" t="str">
        <f>VLOOKUP(Healthcare!$A517,hospital_details,2,0)</f>
        <v>16-Sep-1991</v>
      </c>
      <c r="M517" s="7">
        <f t="shared" ref="M517:M580" ca="1" si="3089">VLOOKUP(A517,hospital_details,3,0)</f>
        <v>35</v>
      </c>
      <c r="N517" s="7">
        <f t="shared" ref="N517:N580" si="3090">VLOOKUP($A517,hospital_details,4,0)</f>
        <v>3</v>
      </c>
      <c r="O517" s="8">
        <f t="shared" ref="O517:O580" si="3091">VLOOKUP($A517,hospital_details,5,0)</f>
        <v>19199.939999999999</v>
      </c>
      <c r="P517" s="7" t="str">
        <f t="shared" ref="P517:P580" si="3092">VLOOKUP($A517,hospital_details,6,0)</f>
        <v>tier - 1</v>
      </c>
      <c r="Q517" s="7" t="str">
        <f t="shared" ref="Q517:Q580" si="3093">VLOOKUP($A517,hospital_details,7,0)</f>
        <v>tier - 3</v>
      </c>
      <c r="R517" s="7" t="str">
        <f t="shared" ref="R517:R580" si="3094">VLOOKUP($A517,hospital_details,8,0)</f>
        <v>R1011</v>
      </c>
    </row>
    <row r="518" spans="1:18" ht="14.4" customHeight="1" x14ac:dyDescent="0.3">
      <c r="A518" s="5" t="s">
        <v>537</v>
      </c>
      <c r="B518" s="5" t="str">
        <f>VLOOKUP($A518,[1]!Customer_Names[#Data],3,0)</f>
        <v xml:space="preserve">  Amanda</v>
      </c>
      <c r="C518" s="5">
        <v>35.72</v>
      </c>
      <c r="D518" s="5" t="str" cm="1">
        <f t="array" ref="D518">_xlfn.IFS(Healthcare!$C518&lt;18.5,"under weight",Healthcare!$C518&lt;=24.9,"Normal Weight",Healthcare!$C518&gt;=25,"overweight",Healthcare!$C518&gt;=30,"obese")</f>
        <v>overweight</v>
      </c>
      <c r="E518" s="5">
        <v>4.08</v>
      </c>
      <c r="F518" s="5" t="str" cm="1">
        <f t="array" ref="F518">_xlfn.IFS(Healthcare!$E518&lt;5.7,"normal",Healthcare!$E518&lt;=6.4,"prediabetes",Healthcare!$E518&gt;=6.5,"diabetes")</f>
        <v>normal</v>
      </c>
      <c r="G518" s="5" t="s">
        <v>19</v>
      </c>
      <c r="H518" s="5" t="s">
        <v>19</v>
      </c>
      <c r="I518" s="5" t="s">
        <v>29</v>
      </c>
      <c r="J518" s="5">
        <v>1</v>
      </c>
      <c r="K518" s="5" t="s">
        <v>19</v>
      </c>
      <c r="L518" s="5" t="str">
        <f>VLOOKUP(Healthcare!$A518,hospital_details,2,0)</f>
        <v>2-Jul-1979</v>
      </c>
      <c r="M518" s="5">
        <f t="shared" ref="M518:M581" ca="1" si="3095">VLOOKUP(A518,hospital_details,3,0)</f>
        <v>47</v>
      </c>
      <c r="N518" s="5">
        <f t="shared" ref="N518:N581" si="3096">VLOOKUP($A518,hospital_details,4,0)</f>
        <v>2</v>
      </c>
      <c r="O518" s="6">
        <f t="shared" ref="O518:O581" si="3097">VLOOKUP($A518,hospital_details,5,0)</f>
        <v>19144.580000000002</v>
      </c>
      <c r="P518" s="5" t="str">
        <f t="shared" ref="P518:P581" si="3098">VLOOKUP($A518,hospital_details,6,0)</f>
        <v>tier - 1</v>
      </c>
      <c r="Q518" s="5" t="str">
        <f t="shared" ref="Q518:Q581" si="3099">VLOOKUP($A518,hospital_details,7,0)</f>
        <v>tier - 1</v>
      </c>
      <c r="R518" s="5" t="str">
        <f t="shared" ref="R518:R581" si="3100">VLOOKUP($A518,hospital_details,8,0)</f>
        <v>R1024</v>
      </c>
    </row>
    <row r="519" spans="1:18" ht="14.4" customHeight="1" x14ac:dyDescent="0.3">
      <c r="A519" s="7" t="s">
        <v>538</v>
      </c>
      <c r="B519" s="7" t="str">
        <f>VLOOKUP($A519,[1]!Customer_Names[#Data],3,0)</f>
        <v xml:space="preserve">  Karen</v>
      </c>
      <c r="C519" s="7">
        <v>27.94</v>
      </c>
      <c r="D519" s="7" t="str" cm="1">
        <f t="array" ref="D519">_xlfn.IFS(Healthcare!$C519&lt;18.5,"under weight",Healthcare!$C519&lt;=24.9,"Normal Weight",Healthcare!$C519&gt;=25,"overweight",Healthcare!$C519&gt;=30,"obese")</f>
        <v>overweight</v>
      </c>
      <c r="E519" s="7">
        <v>4.4800000000000004</v>
      </c>
      <c r="F519" s="7" t="str" cm="1">
        <f t="array" ref="F519">_xlfn.IFS(Healthcare!$E519&lt;5.7,"normal",Healthcare!$E519&lt;=6.4,"prediabetes",Healthcare!$E519&gt;=6.5,"diabetes")</f>
        <v>normal</v>
      </c>
      <c r="G519" s="7" t="s">
        <v>19</v>
      </c>
      <c r="H519" s="7" t="s">
        <v>19</v>
      </c>
      <c r="I519" s="7" t="s">
        <v>29</v>
      </c>
      <c r="J519" s="7">
        <v>1</v>
      </c>
      <c r="K519" s="7" t="s">
        <v>20</v>
      </c>
      <c r="L519" s="7" t="str">
        <f>VLOOKUP(Healthcare!$A519,hospital_details,2,0)</f>
        <v>28-Sep-1993</v>
      </c>
      <c r="M519" s="7">
        <f t="shared" ref="M519:M582" ca="1" si="3101">VLOOKUP(A519,hospital_details,3,0)</f>
        <v>33</v>
      </c>
      <c r="N519" s="7">
        <f t="shared" ref="N519:N582" si="3102">VLOOKUP($A519,hospital_details,4,0)</f>
        <v>1</v>
      </c>
      <c r="O519" s="8">
        <f t="shared" ref="O519:O582" si="3103">VLOOKUP($A519,hospital_details,5,0)</f>
        <v>19107.78</v>
      </c>
      <c r="P519" s="7" t="str">
        <f t="shared" ref="P519:P582" si="3104">VLOOKUP($A519,hospital_details,6,0)</f>
        <v>tier - 1</v>
      </c>
      <c r="Q519" s="7" t="str">
        <f t="shared" ref="Q519:Q582" si="3105">VLOOKUP($A519,hospital_details,7,0)</f>
        <v>tier - 2</v>
      </c>
      <c r="R519" s="7" t="str">
        <f t="shared" ref="R519:R582" si="3106">VLOOKUP($A519,hospital_details,8,0)</f>
        <v>R1013</v>
      </c>
    </row>
    <row r="520" spans="1:18" ht="14.4" customHeight="1" x14ac:dyDescent="0.3">
      <c r="A520" s="5" t="s">
        <v>539</v>
      </c>
      <c r="B520" s="5" t="str">
        <f>VLOOKUP($A520,[1]!Customer_Names[#Data],3,0)</f>
        <v xml:space="preserve">  Gregory</v>
      </c>
      <c r="C520" s="5">
        <v>27.1</v>
      </c>
      <c r="D520" s="5" t="str" cm="1">
        <f t="array" ref="D520">_xlfn.IFS(Healthcare!$C520&lt;18.5,"under weight",Healthcare!$C520&lt;=24.9,"Normal Weight",Healthcare!$C520&gt;=25,"overweight",Healthcare!$C520&gt;=30,"obese")</f>
        <v>overweight</v>
      </c>
      <c r="E520" s="5">
        <v>5.73</v>
      </c>
      <c r="F520" s="5" t="str" cm="1">
        <f t="array" ref="F520">_xlfn.IFS(Healthcare!$E520&lt;5.7,"normal",Healthcare!$E520&lt;=6.4,"prediabetes",Healthcare!$E520&gt;=6.5,"diabetes")</f>
        <v>prediabetes</v>
      </c>
      <c r="G520" s="5" t="s">
        <v>19</v>
      </c>
      <c r="H520" s="5" t="s">
        <v>19</v>
      </c>
      <c r="I520" s="5" t="s">
        <v>19</v>
      </c>
      <c r="J520" s="5">
        <v>0</v>
      </c>
      <c r="K520" s="5" t="s">
        <v>20</v>
      </c>
      <c r="L520" s="5" t="str">
        <f>VLOOKUP(Healthcare!$A520,hospital_details,2,0)</f>
        <v>5-Jun-1989</v>
      </c>
      <c r="M520" s="5">
        <f t="shared" ref="M520:M583" ca="1" si="3107">VLOOKUP(A520,hospital_details,3,0)</f>
        <v>37</v>
      </c>
      <c r="N520" s="5">
        <f t="shared" ref="N520:N583" si="3108">VLOOKUP($A520,hospital_details,4,0)</f>
        <v>1</v>
      </c>
      <c r="O520" s="6">
        <f t="shared" ref="O520:O583" si="3109">VLOOKUP($A520,hospital_details,5,0)</f>
        <v>19040.88</v>
      </c>
      <c r="P520" s="5" t="str">
        <f t="shared" ref="P520:P583" si="3110">VLOOKUP($A520,hospital_details,6,0)</f>
        <v>tier - 1</v>
      </c>
      <c r="Q520" s="5" t="str">
        <f t="shared" ref="Q520:Q583" si="3111">VLOOKUP($A520,hospital_details,7,0)</f>
        <v>tier - 3</v>
      </c>
      <c r="R520" s="5" t="str">
        <f t="shared" ref="R520:R583" si="3112">VLOOKUP($A520,hospital_details,8,0)</f>
        <v>R1011</v>
      </c>
    </row>
    <row r="521" spans="1:18" ht="14.4" customHeight="1" x14ac:dyDescent="0.3">
      <c r="A521" s="7" t="s">
        <v>540</v>
      </c>
      <c r="B521" s="7" t="str">
        <f>VLOOKUP($A521,[1]!Customer_Names[#Data],3,0)</f>
        <v xml:space="preserve">  Sabine</v>
      </c>
      <c r="C521" s="7">
        <v>18.3</v>
      </c>
      <c r="D521" s="7" t="str" cm="1">
        <f t="array" ref="D521">_xlfn.IFS(Healthcare!$C521&lt;18.5,"under weight",Healthcare!$C521&lt;=24.9,"Normal Weight",Healthcare!$C521&gt;=25,"overweight",Healthcare!$C521&gt;=30,"obese")</f>
        <v>under weight</v>
      </c>
      <c r="E521" s="7">
        <v>5.46</v>
      </c>
      <c r="F521" s="7" t="str" cm="1">
        <f t="array" ref="F521">_xlfn.IFS(Healthcare!$E521&lt;5.7,"normal",Healthcare!$E521&lt;=6.4,"prediabetes",Healthcare!$E521&gt;=6.5,"diabetes")</f>
        <v>normal</v>
      </c>
      <c r="G521" s="7" t="s">
        <v>20</v>
      </c>
      <c r="H521" s="7" t="s">
        <v>19</v>
      </c>
      <c r="I521" s="7" t="s">
        <v>29</v>
      </c>
      <c r="J521" s="7">
        <v>1</v>
      </c>
      <c r="K521" s="7" t="s">
        <v>20</v>
      </c>
      <c r="L521" s="7" t="str">
        <f>VLOOKUP(Healthcare!$A521,hospital_details,2,0)</f>
        <v>19-Dec-1983</v>
      </c>
      <c r="M521" s="7">
        <f t="shared" ref="M521:M584" ca="1" si="3113">VLOOKUP(A521,hospital_details,3,0)</f>
        <v>42</v>
      </c>
      <c r="N521" s="7">
        <f t="shared" ref="N521:N584" si="3114">VLOOKUP($A521,hospital_details,4,0)</f>
        <v>5</v>
      </c>
      <c r="O521" s="8">
        <f t="shared" ref="O521:O584" si="3115">VLOOKUP($A521,hospital_details,5,0)</f>
        <v>19023.259999999998</v>
      </c>
      <c r="P521" s="7" t="str">
        <f t="shared" ref="P521:P584" si="3116">VLOOKUP($A521,hospital_details,6,0)</f>
        <v>tier - 1</v>
      </c>
      <c r="Q521" s="7" t="str">
        <f t="shared" ref="Q521:Q584" si="3117">VLOOKUP($A521,hospital_details,7,0)</f>
        <v>tier - 3</v>
      </c>
      <c r="R521" s="7" t="str">
        <f t="shared" ref="R521:R584" si="3118">VLOOKUP($A521,hospital_details,8,0)</f>
        <v>R1011</v>
      </c>
    </row>
    <row r="522" spans="1:18" ht="14.4" customHeight="1" x14ac:dyDescent="0.3">
      <c r="A522" s="5" t="s">
        <v>541</v>
      </c>
      <c r="B522" s="5" t="str">
        <f>VLOOKUP($A522,[1]!Customer_Names[#Data],3,0)</f>
        <v xml:space="preserve">  Joseph</v>
      </c>
      <c r="C522" s="5">
        <v>25.3</v>
      </c>
      <c r="D522" s="5" t="str" cm="1">
        <f t="array" ref="D522">_xlfn.IFS(Healthcare!$C522&lt;18.5,"under weight",Healthcare!$C522&lt;=24.9,"Normal Weight",Healthcare!$C522&gt;=25,"overweight",Healthcare!$C522&gt;=30,"obese")</f>
        <v>overweight</v>
      </c>
      <c r="E522" s="5">
        <v>5.0199999999999996</v>
      </c>
      <c r="F522" s="5" t="str" cm="1">
        <f t="array" ref="F522">_xlfn.IFS(Healthcare!$E522&lt;5.7,"normal",Healthcare!$E522&lt;=6.4,"prediabetes",Healthcare!$E522&gt;=6.5,"diabetes")</f>
        <v>normal</v>
      </c>
      <c r="G522" s="5" t="s">
        <v>20</v>
      </c>
      <c r="H522" s="5" t="s">
        <v>19</v>
      </c>
      <c r="I522" s="5" t="s">
        <v>19</v>
      </c>
      <c r="J522" s="5">
        <v>1</v>
      </c>
      <c r="K522" s="5" t="s">
        <v>20</v>
      </c>
      <c r="L522" s="5" t="str">
        <f>VLOOKUP(Healthcare!$A522,hospital_details,2,0)</f>
        <v>24-Oct-1988</v>
      </c>
      <c r="M522" s="5">
        <f t="shared" ref="M522:M585" ca="1" si="3119">VLOOKUP(A522,hospital_details,3,0)</f>
        <v>37</v>
      </c>
      <c r="N522" s="5">
        <f t="shared" ref="N522:N585" si="3120">VLOOKUP($A522,hospital_details,4,0)</f>
        <v>2</v>
      </c>
      <c r="O522" s="6">
        <f t="shared" ref="O522:O585" si="3121">VLOOKUP($A522,hospital_details,5,0)</f>
        <v>18972.5</v>
      </c>
      <c r="P522" s="5" t="str">
        <f t="shared" ref="P522:P585" si="3122">VLOOKUP($A522,hospital_details,6,0)</f>
        <v>tier - 1</v>
      </c>
      <c r="Q522" s="5" t="str">
        <f t="shared" ref="Q522:Q585" si="3123">VLOOKUP($A522,hospital_details,7,0)</f>
        <v>tier - 3</v>
      </c>
      <c r="R522" s="5" t="str">
        <f t="shared" ref="R522:R585" si="3124">VLOOKUP($A522,hospital_details,8,0)</f>
        <v>R1013</v>
      </c>
    </row>
    <row r="523" spans="1:18" ht="14.4" customHeight="1" x14ac:dyDescent="0.3">
      <c r="A523" s="7" t="s">
        <v>542</v>
      </c>
      <c r="B523" s="7" t="str">
        <f>VLOOKUP($A523,[1]!Customer_Names[#Data],3,0)</f>
        <v xml:space="preserve">  Adam</v>
      </c>
      <c r="C523" s="7">
        <v>38.83</v>
      </c>
      <c r="D523" s="7" t="str" cm="1">
        <f t="array" ref="D523">_xlfn.IFS(Healthcare!$C523&lt;18.5,"under weight",Healthcare!$C523&lt;=24.9,"Normal Weight",Healthcare!$C523&gt;=25,"overweight",Healthcare!$C523&gt;=30,"obese")</f>
        <v>overweight</v>
      </c>
      <c r="E523" s="7">
        <v>6.36</v>
      </c>
      <c r="F523" s="7" t="str" cm="1">
        <f t="array" ref="F523">_xlfn.IFS(Healthcare!$E523&lt;5.7,"normal",Healthcare!$E523&lt;=6.4,"prediabetes",Healthcare!$E523&gt;=6.5,"diabetes")</f>
        <v>prediabetes</v>
      </c>
      <c r="G523" s="7" t="s">
        <v>19</v>
      </c>
      <c r="H523" s="7" t="s">
        <v>19</v>
      </c>
      <c r="I523" s="7" t="s">
        <v>19</v>
      </c>
      <c r="J523" s="7">
        <v>1</v>
      </c>
      <c r="K523" s="7" t="s">
        <v>19</v>
      </c>
      <c r="L523" s="7" t="str">
        <f>VLOOKUP(Healthcare!$A523,hospital_details,2,0)</f>
        <v>30-Nov-1992</v>
      </c>
      <c r="M523" s="7">
        <f t="shared" ref="M523:M586" ca="1" si="3125">VLOOKUP(A523,hospital_details,3,0)</f>
        <v>33</v>
      </c>
      <c r="N523" s="7">
        <f t="shared" ref="N523:N586" si="3126">VLOOKUP($A523,hospital_details,4,0)</f>
        <v>1</v>
      </c>
      <c r="O523" s="8">
        <f t="shared" ref="O523:O586" si="3127">VLOOKUP($A523,hospital_details,5,0)</f>
        <v>18963.169999999998</v>
      </c>
      <c r="P523" s="7" t="str">
        <f t="shared" ref="P523:P586" si="3128">VLOOKUP($A523,hospital_details,6,0)</f>
        <v>tier - 1</v>
      </c>
      <c r="Q523" s="7" t="str">
        <f t="shared" ref="Q523:Q586" si="3129">VLOOKUP($A523,hospital_details,7,0)</f>
        <v>tier - 1</v>
      </c>
      <c r="R523" s="7" t="str">
        <f t="shared" ref="R523:R586" si="3130">VLOOKUP($A523,hospital_details,8,0)</f>
        <v>R1013</v>
      </c>
    </row>
    <row r="524" spans="1:18" ht="14.4" customHeight="1" x14ac:dyDescent="0.3">
      <c r="A524" s="5" t="s">
        <v>543</v>
      </c>
      <c r="B524" s="5" t="str">
        <f>VLOOKUP($A524,[1]!Customer_Names[#Data],3,0)</f>
        <v xml:space="preserve">  Karolyn A</v>
      </c>
      <c r="C524" s="5">
        <v>27.6</v>
      </c>
      <c r="D524" s="5" t="str" cm="1">
        <f t="array" ref="D524">_xlfn.IFS(Healthcare!$C524&lt;18.5,"under weight",Healthcare!$C524&lt;=24.9,"Normal Weight",Healthcare!$C524&gt;=25,"overweight",Healthcare!$C524&gt;=30,"obese")</f>
        <v>overweight</v>
      </c>
      <c r="E524" s="5">
        <v>5.36</v>
      </c>
      <c r="F524" s="5" t="str" cm="1">
        <f t="array" ref="F524">_xlfn.IFS(Healthcare!$E524&lt;5.7,"normal",Healthcare!$E524&lt;=6.4,"prediabetes",Healthcare!$E524&gt;=6.5,"diabetes")</f>
        <v>normal</v>
      </c>
      <c r="G524" s="5" t="s">
        <v>19</v>
      </c>
      <c r="H524" s="5" t="s">
        <v>19</v>
      </c>
      <c r="I524" s="5" t="s">
        <v>19</v>
      </c>
      <c r="J524" s="5">
        <v>1</v>
      </c>
      <c r="K524" s="5" t="s">
        <v>19</v>
      </c>
      <c r="L524" s="5" t="str">
        <f>VLOOKUP(Healthcare!$A524,hospital_details,2,0)</f>
        <v>6-Aug-1998</v>
      </c>
      <c r="M524" s="5">
        <f t="shared" ref="M524:M587" ca="1" si="3131">VLOOKUP(A524,hospital_details,3,0)</f>
        <v>28</v>
      </c>
      <c r="N524" s="5">
        <f t="shared" ref="N524:N587" si="3132">VLOOKUP($A524,hospital_details,4,0)</f>
        <v>0</v>
      </c>
      <c r="O524" s="6">
        <f t="shared" ref="O524:O587" si="3133">VLOOKUP($A524,hospital_details,5,0)</f>
        <v>18955.22</v>
      </c>
      <c r="P524" s="5" t="str">
        <f t="shared" ref="P524:P587" si="3134">VLOOKUP($A524,hospital_details,6,0)</f>
        <v>tier - 1</v>
      </c>
      <c r="Q524" s="5" t="str">
        <f t="shared" ref="Q524:Q587" si="3135">VLOOKUP($A524,hospital_details,7,0)</f>
        <v>tier - 3</v>
      </c>
      <c r="R524" s="5" t="str">
        <f t="shared" ref="R524:R587" si="3136">VLOOKUP($A524,hospital_details,8,0)</f>
        <v>R1011</v>
      </c>
    </row>
    <row r="525" spans="1:18" ht="14.4" customHeight="1" x14ac:dyDescent="0.3">
      <c r="A525" s="7" t="s">
        <v>544</v>
      </c>
      <c r="B525" s="7" t="str">
        <f>VLOOKUP($A525,[1]!Customer_Names[#Data],3,0)</f>
        <v xml:space="preserve">  Anita L</v>
      </c>
      <c r="C525" s="7">
        <v>46.4</v>
      </c>
      <c r="D525" s="7" t="str" cm="1">
        <f t="array" ref="D525">_xlfn.IFS(Healthcare!$C525&lt;18.5,"under weight",Healthcare!$C525&lt;=24.9,"Normal Weight",Healthcare!$C525&gt;=25,"overweight",Healthcare!$C525&gt;=30,"obese")</f>
        <v>overweight</v>
      </c>
      <c r="E525" s="7">
        <v>8.3699999999999992</v>
      </c>
      <c r="F525" s="7" t="str" cm="1">
        <f t="array" ref="F525">_xlfn.IFS(Healthcare!$E525&lt;5.7,"normal",Healthcare!$E525&lt;=6.4,"prediabetes",Healthcare!$E525&gt;=6.5,"diabetes")</f>
        <v>diabetes</v>
      </c>
      <c r="G525" s="7" t="s">
        <v>20</v>
      </c>
      <c r="H525" s="7" t="s">
        <v>19</v>
      </c>
      <c r="I525" s="7" t="s">
        <v>29</v>
      </c>
      <c r="J525" s="7">
        <v>1</v>
      </c>
      <c r="K525" s="7" t="s">
        <v>19</v>
      </c>
      <c r="L525" s="7" t="str">
        <f>VLOOKUP(Healthcare!$A525,hospital_details,2,0)</f>
        <v>20-Oct-1963</v>
      </c>
      <c r="M525" s="7">
        <f t="shared" ref="M525:M588" ca="1" si="3137">VLOOKUP(A525,hospital_details,3,0)</f>
        <v>62</v>
      </c>
      <c r="N525" s="7">
        <f t="shared" ref="N525:N588" si="3138">VLOOKUP($A525,hospital_details,4,0)</f>
        <v>0</v>
      </c>
      <c r="O525" s="8">
        <f t="shared" ref="O525:O588" si="3139">VLOOKUP($A525,hospital_details,5,0)</f>
        <v>18954.560000000001</v>
      </c>
      <c r="P525" s="7" t="str">
        <f t="shared" ref="P525:P588" si="3140">VLOOKUP($A525,hospital_details,6,0)</f>
        <v>tier - 1</v>
      </c>
      <c r="Q525" s="7" t="str">
        <f t="shared" ref="Q525:Q588" si="3141">VLOOKUP($A525,hospital_details,7,0)</f>
        <v>tier - 1</v>
      </c>
      <c r="R525" s="7" t="str">
        <f t="shared" ref="R525:R588" si="3142">VLOOKUP($A525,hospital_details,8,0)</f>
        <v>R1026</v>
      </c>
    </row>
    <row r="526" spans="1:18" ht="14.4" customHeight="1" x14ac:dyDescent="0.3">
      <c r="A526" s="5" t="s">
        <v>545</v>
      </c>
      <c r="B526" s="5" t="str">
        <f>VLOOKUP($A526,[1]!Customer_Names[#Data],3,0)</f>
        <v xml:space="preserve">  Laura E</v>
      </c>
      <c r="C526" s="5">
        <v>51.92</v>
      </c>
      <c r="D526" s="5" t="str" cm="1">
        <f t="array" ref="D526">_xlfn.IFS(Healthcare!$C526&lt;18.5,"under weight",Healthcare!$C526&lt;=24.9,"Normal Weight",Healthcare!$C526&gt;=25,"overweight",Healthcare!$C526&gt;=30,"obese")</f>
        <v>overweight</v>
      </c>
      <c r="E526" s="5">
        <v>5.18</v>
      </c>
      <c r="F526" s="5" t="str" cm="1">
        <f t="array" ref="F526">_xlfn.IFS(Healthcare!$E526&lt;5.7,"normal",Healthcare!$E526&lt;=6.4,"prediabetes",Healthcare!$E526&gt;=6.5,"diabetes")</f>
        <v>normal</v>
      </c>
      <c r="G526" s="5" t="s">
        <v>20</v>
      </c>
      <c r="H526" s="5" t="s">
        <v>19</v>
      </c>
      <c r="I526" s="5" t="s">
        <v>29</v>
      </c>
      <c r="J526" s="5">
        <v>1</v>
      </c>
      <c r="K526" s="5" t="s">
        <v>19</v>
      </c>
      <c r="L526" s="5" t="str">
        <f>VLOOKUP(Healthcare!$A526,hospital_details,2,0)</f>
        <v>3-Aug-1969</v>
      </c>
      <c r="M526" s="5">
        <f t="shared" ref="M526:M589" ca="1" si="3143">VLOOKUP(A526,hospital_details,3,0)</f>
        <v>57</v>
      </c>
      <c r="N526" s="5">
        <f t="shared" ref="N526:N589" si="3144">VLOOKUP($A526,hospital_details,4,0)</f>
        <v>0</v>
      </c>
      <c r="O526" s="6">
        <f t="shared" ref="O526:O589" si="3145">VLOOKUP($A526,hospital_details,5,0)</f>
        <v>18932.810000000001</v>
      </c>
      <c r="P526" s="5" t="str">
        <f t="shared" ref="P526:P589" si="3146">VLOOKUP($A526,hospital_details,6,0)</f>
        <v>tier - 1</v>
      </c>
      <c r="Q526" s="5" t="str">
        <f t="shared" ref="Q526:Q589" si="3147">VLOOKUP($A526,hospital_details,7,0)</f>
        <v>tier - 3</v>
      </c>
      <c r="R526" s="5" t="str">
        <f t="shared" ref="R526:R589" si="3148">VLOOKUP($A526,hospital_details,8,0)</f>
        <v>R1012</v>
      </c>
    </row>
    <row r="527" spans="1:18" ht="14.4" customHeight="1" x14ac:dyDescent="0.3">
      <c r="A527" s="7" t="s">
        <v>546</v>
      </c>
      <c r="B527" s="7" t="str">
        <f>VLOOKUP($A527,[1]!Customer_Names[#Data],3,0)</f>
        <v xml:space="preserve">  Sarah</v>
      </c>
      <c r="C527" s="7">
        <v>32.395000000000003</v>
      </c>
      <c r="D527" s="7" t="str" cm="1">
        <f t="array" ref="D527">_xlfn.IFS(Healthcare!$C527&lt;18.5,"under weight",Healthcare!$C527&lt;=24.9,"Normal Weight",Healthcare!$C527&gt;=25,"overweight",Healthcare!$C527&gt;=30,"obese")</f>
        <v>overweight</v>
      </c>
      <c r="E527" s="7">
        <v>5.68</v>
      </c>
      <c r="F527" s="7" t="str" cm="1">
        <f t="array" ref="F527">_xlfn.IFS(Healthcare!$E527&lt;5.7,"normal",Healthcare!$E527&lt;=6.4,"prediabetes",Healthcare!$E527&gt;=6.5,"diabetes")</f>
        <v>normal</v>
      </c>
      <c r="G527" s="7" t="s">
        <v>20</v>
      </c>
      <c r="H527" s="7" t="s">
        <v>19</v>
      </c>
      <c r="I527" s="7" t="s">
        <v>19</v>
      </c>
      <c r="J527" s="7">
        <v>1</v>
      </c>
      <c r="K527" s="7" t="s">
        <v>19</v>
      </c>
      <c r="L527" s="7" t="str">
        <f>VLOOKUP(Healthcare!$A527,hospital_details,2,0)</f>
        <v>27-Sep-1995</v>
      </c>
      <c r="M527" s="7">
        <f t="shared" ref="M527:M590" ca="1" si="3149">VLOOKUP(A527,hospital_details,3,0)</f>
        <v>31</v>
      </c>
      <c r="N527" s="7">
        <f t="shared" ref="N527:N590" si="3150">VLOOKUP($A527,hospital_details,4,0)</f>
        <v>1</v>
      </c>
      <c r="O527" s="8">
        <f t="shared" ref="O527:O590" si="3151">VLOOKUP($A527,hospital_details,5,0)</f>
        <v>18903.490000000002</v>
      </c>
      <c r="P527" s="7" t="str">
        <f t="shared" ref="P527:P590" si="3152">VLOOKUP($A527,hospital_details,6,0)</f>
        <v>tier - 1</v>
      </c>
      <c r="Q527" s="7" t="str">
        <f t="shared" ref="Q527:Q590" si="3153">VLOOKUP($A527,hospital_details,7,0)</f>
        <v>tier - 2</v>
      </c>
      <c r="R527" s="7" t="str">
        <f t="shared" ref="R527:R590" si="3154">VLOOKUP($A527,hospital_details,8,0)</f>
        <v>R1024</v>
      </c>
    </row>
    <row r="528" spans="1:18" ht="14.4" customHeight="1" x14ac:dyDescent="0.3">
      <c r="A528" s="5" t="s">
        <v>547</v>
      </c>
      <c r="B528" s="5" t="str">
        <f>VLOOKUP($A528,[1]!Customer_Names[#Data],3,0)</f>
        <v xml:space="preserve">  Ashley E</v>
      </c>
      <c r="C528" s="5">
        <v>46.19</v>
      </c>
      <c r="D528" s="5" t="str" cm="1">
        <f t="array" ref="D528">_xlfn.IFS(Healthcare!$C528&lt;18.5,"under weight",Healthcare!$C528&lt;=24.9,"Normal Weight",Healthcare!$C528&gt;=25,"overweight",Healthcare!$C528&gt;=30,"obese")</f>
        <v>overweight</v>
      </c>
      <c r="E528" s="5">
        <v>7.31</v>
      </c>
      <c r="F528" s="5" t="str" cm="1">
        <f t="array" ref="F528">_xlfn.IFS(Healthcare!$E528&lt;5.7,"normal",Healthcare!$E528&lt;=6.4,"prediabetes",Healthcare!$E528&gt;=6.5,"diabetes")</f>
        <v>diabetes</v>
      </c>
      <c r="G528" s="5" t="s">
        <v>20</v>
      </c>
      <c r="H528" s="5" t="s">
        <v>19</v>
      </c>
      <c r="I528" s="5" t="s">
        <v>29</v>
      </c>
      <c r="J528" s="5">
        <v>1</v>
      </c>
      <c r="K528" s="5" t="s">
        <v>19</v>
      </c>
      <c r="L528" s="5" t="str">
        <f>VLOOKUP(Healthcare!$A528,hospital_details,2,0)</f>
        <v>6-Dec-1963</v>
      </c>
      <c r="M528" s="5">
        <f t="shared" ref="M528:M591" ca="1" si="3155">VLOOKUP(A528,hospital_details,3,0)</f>
        <v>62</v>
      </c>
      <c r="N528" s="5">
        <f t="shared" ref="N528:N591" si="3156">VLOOKUP($A528,hospital_details,4,0)</f>
        <v>0</v>
      </c>
      <c r="O528" s="6">
        <f t="shared" ref="O528:O591" si="3157">VLOOKUP($A528,hospital_details,5,0)</f>
        <v>18883.330000000002</v>
      </c>
      <c r="P528" s="5" t="str">
        <f t="shared" ref="P528:P591" si="3158">VLOOKUP($A528,hospital_details,6,0)</f>
        <v>tier - 1</v>
      </c>
      <c r="Q528" s="5" t="str">
        <f t="shared" ref="Q528:Q591" si="3159">VLOOKUP($A528,hospital_details,7,0)</f>
        <v>tier - 1</v>
      </c>
      <c r="R528" s="5" t="str">
        <f t="shared" ref="R528:R591" si="3160">VLOOKUP($A528,hospital_details,8,0)</f>
        <v>R1026</v>
      </c>
    </row>
    <row r="529" spans="1:18" ht="14.4" customHeight="1" x14ac:dyDescent="0.3">
      <c r="A529" s="7" t="s">
        <v>548</v>
      </c>
      <c r="B529" s="7" t="str">
        <f>VLOOKUP($A529,[1]!Customer_Names[#Data],3,0)</f>
        <v xml:space="preserve">  Lindsey</v>
      </c>
      <c r="C529" s="7">
        <v>27.93</v>
      </c>
      <c r="D529" s="7" t="str" cm="1">
        <f t="array" ref="D529">_xlfn.IFS(Healthcare!$C529&lt;18.5,"under weight",Healthcare!$C529&lt;=24.9,"Normal Weight",Healthcare!$C529&gt;=25,"overweight",Healthcare!$C529&gt;=30,"obese")</f>
        <v>overweight</v>
      </c>
      <c r="E529" s="7">
        <v>4.67</v>
      </c>
      <c r="F529" s="7" t="str" cm="1">
        <f t="array" ref="F529">_xlfn.IFS(Healthcare!$E529&lt;5.7,"normal",Healthcare!$E529&lt;=6.4,"prediabetes",Healthcare!$E529&gt;=6.5,"diabetes")</f>
        <v>normal</v>
      </c>
      <c r="G529" s="7" t="s">
        <v>19</v>
      </c>
      <c r="H529" s="7" t="s">
        <v>19</v>
      </c>
      <c r="I529" s="7" t="s">
        <v>29</v>
      </c>
      <c r="J529" s="7">
        <v>1</v>
      </c>
      <c r="K529" s="7" t="s">
        <v>19</v>
      </c>
      <c r="L529" s="7" t="str">
        <f>VLOOKUP(Healthcare!$A529,hospital_details,2,0)</f>
        <v>24-Jul-2003</v>
      </c>
      <c r="M529" s="7">
        <f t="shared" ref="M529:M592" ca="1" si="3161">VLOOKUP(A529,hospital_details,3,0)</f>
        <v>23</v>
      </c>
      <c r="N529" s="7">
        <f t="shared" ref="N529:N592" si="3162">VLOOKUP($A529,hospital_details,4,0)</f>
        <v>3</v>
      </c>
      <c r="O529" s="8">
        <f t="shared" ref="O529:O592" si="3163">VLOOKUP($A529,hospital_details,5,0)</f>
        <v>18838.7</v>
      </c>
      <c r="P529" s="7" t="str">
        <f t="shared" ref="P529:P592" si="3164">VLOOKUP($A529,hospital_details,6,0)</f>
        <v>tier - 1</v>
      </c>
      <c r="Q529" s="7" t="str">
        <f t="shared" ref="Q529:Q592" si="3165">VLOOKUP($A529,hospital_details,7,0)</f>
        <v>tier - 3</v>
      </c>
      <c r="R529" s="7" t="str">
        <f t="shared" ref="R529:R592" si="3166">VLOOKUP($A529,hospital_details,8,0)</f>
        <v>R1012</v>
      </c>
    </row>
    <row r="530" spans="1:18" ht="14.4" customHeight="1" x14ac:dyDescent="0.3">
      <c r="A530" s="5" t="s">
        <v>549</v>
      </c>
      <c r="B530" s="5" t="str">
        <f>VLOOKUP($A530,[1]!Customer_Names[#Data],3,0)</f>
        <v xml:space="preserve">  Alan</v>
      </c>
      <c r="C530" s="5">
        <v>45.62</v>
      </c>
      <c r="D530" s="5" t="str" cm="1">
        <f t="array" ref="D530">_xlfn.IFS(Healthcare!$C530&lt;18.5,"under weight",Healthcare!$C530&lt;=24.9,"Normal Weight",Healthcare!$C530&gt;=25,"overweight",Healthcare!$C530&gt;=30,"obese")</f>
        <v>overweight</v>
      </c>
      <c r="E530" s="5">
        <v>6.87</v>
      </c>
      <c r="F530" s="5" t="str" cm="1">
        <f t="array" ref="F530">_xlfn.IFS(Healthcare!$E530&lt;5.7,"normal",Healthcare!$E530&lt;=6.4,"prediabetes",Healthcare!$E530&gt;=6.5,"diabetes")</f>
        <v>diabetes</v>
      </c>
      <c r="G530" s="5" t="s">
        <v>19</v>
      </c>
      <c r="H530" s="5" t="s">
        <v>19</v>
      </c>
      <c r="I530" s="5" t="s">
        <v>19</v>
      </c>
      <c r="J530" s="5">
        <v>0</v>
      </c>
      <c r="K530" s="5" t="s">
        <v>19</v>
      </c>
      <c r="L530" s="5" t="str">
        <f>VLOOKUP(Healthcare!$A530,hospital_details,2,0)</f>
        <v>18-Dec-1962</v>
      </c>
      <c r="M530" s="5">
        <f t="shared" ref="M530:M593" ca="1" si="3167">VLOOKUP(A530,hospital_details,3,0)</f>
        <v>63</v>
      </c>
      <c r="N530" s="5">
        <f t="shared" ref="N530:N593" si="3168">VLOOKUP($A530,hospital_details,4,0)</f>
        <v>0</v>
      </c>
      <c r="O530" s="6">
        <f t="shared" ref="O530:O593" si="3169">VLOOKUP($A530,hospital_details,5,0)</f>
        <v>18815.53</v>
      </c>
      <c r="P530" s="5" t="str">
        <f t="shared" ref="P530:P593" si="3170">VLOOKUP($A530,hospital_details,6,0)</f>
        <v>tier - 1</v>
      </c>
      <c r="Q530" s="5" t="str">
        <f t="shared" ref="Q530:Q593" si="3171">VLOOKUP($A530,hospital_details,7,0)</f>
        <v>tier - 1</v>
      </c>
      <c r="R530" s="5" t="str">
        <f t="shared" ref="R530:R593" si="3172">VLOOKUP($A530,hospital_details,8,0)</f>
        <v>R1023</v>
      </c>
    </row>
    <row r="531" spans="1:18" ht="14.4" customHeight="1" x14ac:dyDescent="0.3">
      <c r="A531" s="7" t="s">
        <v>550</v>
      </c>
      <c r="B531" s="7" t="str">
        <f>VLOOKUP($A531,[1]!Customer_Names[#Data],3,0)</f>
        <v xml:space="preserve">  Dan R</v>
      </c>
      <c r="C531" s="7">
        <v>35.31</v>
      </c>
      <c r="D531" s="7" t="str" cm="1">
        <f t="array" ref="D531">_xlfn.IFS(Healthcare!$C531&lt;18.5,"under weight",Healthcare!$C531&lt;=24.9,"Normal Weight",Healthcare!$C531&gt;=25,"overweight",Healthcare!$C531&gt;=30,"obese")</f>
        <v>overweight</v>
      </c>
      <c r="E531" s="7">
        <v>5.87</v>
      </c>
      <c r="F531" s="7" t="str" cm="1">
        <f t="array" ref="F531">_xlfn.IFS(Healthcare!$E531&lt;5.7,"normal",Healthcare!$E531&lt;=6.4,"prediabetes",Healthcare!$E531&gt;=6.5,"diabetes")</f>
        <v>prediabetes</v>
      </c>
      <c r="G531" s="7" t="s">
        <v>19</v>
      </c>
      <c r="H531" s="7" t="s">
        <v>19</v>
      </c>
      <c r="I531" s="7" t="s">
        <v>29</v>
      </c>
      <c r="J531" s="7">
        <v>1</v>
      </c>
      <c r="K531" s="7" t="s">
        <v>19</v>
      </c>
      <c r="L531" s="7" t="str">
        <f>VLOOKUP(Healthcare!$A531,hospital_details,2,0)</f>
        <v>15-Oct-1979</v>
      </c>
      <c r="M531" s="7">
        <f t="shared" ref="M531:M594" ca="1" si="3173">VLOOKUP(A531,hospital_details,3,0)</f>
        <v>47</v>
      </c>
      <c r="N531" s="7">
        <f t="shared" ref="N531:N594" si="3174">VLOOKUP($A531,hospital_details,4,0)</f>
        <v>2</v>
      </c>
      <c r="O531" s="8">
        <f t="shared" ref="O531:O594" si="3175">VLOOKUP($A531,hospital_details,5,0)</f>
        <v>18806.150000000001</v>
      </c>
      <c r="P531" s="7" t="str">
        <f t="shared" ref="P531:P594" si="3176">VLOOKUP($A531,hospital_details,6,0)</f>
        <v>tier - 1</v>
      </c>
      <c r="Q531" s="7" t="str">
        <f t="shared" ref="Q531:Q594" si="3177">VLOOKUP($A531,hospital_details,7,0)</f>
        <v>tier - 2</v>
      </c>
      <c r="R531" s="7" t="str">
        <f t="shared" ref="R531:R594" si="3178">VLOOKUP($A531,hospital_details,8,0)</f>
        <v>R1013</v>
      </c>
    </row>
    <row r="532" spans="1:18" ht="14.4" customHeight="1" x14ac:dyDescent="0.3">
      <c r="A532" s="5" t="s">
        <v>551</v>
      </c>
      <c r="B532" s="5" t="str">
        <f>VLOOKUP($A532,[1]!Customer_Names[#Data],3,0)</f>
        <v xml:space="preserve">  Katie</v>
      </c>
      <c r="C532" s="5">
        <v>30.4</v>
      </c>
      <c r="D532" s="5" t="str" cm="1">
        <f t="array" ref="D532">_xlfn.IFS(Healthcare!$C532&lt;18.5,"under weight",Healthcare!$C532&lt;=24.9,"Normal Weight",Healthcare!$C532&gt;=25,"overweight",Healthcare!$C532&gt;=30,"obese")</f>
        <v>overweight</v>
      </c>
      <c r="E532" s="5">
        <v>4.07</v>
      </c>
      <c r="F532" s="5" t="str" cm="1">
        <f t="array" ref="F532">_xlfn.IFS(Healthcare!$E532&lt;5.7,"normal",Healthcare!$E532&lt;=6.4,"prediabetes",Healthcare!$E532&gt;=6.5,"diabetes")</f>
        <v>normal</v>
      </c>
      <c r="G532" s="5" t="s">
        <v>20</v>
      </c>
      <c r="H532" s="5" t="s">
        <v>19</v>
      </c>
      <c r="I532" s="5" t="s">
        <v>19</v>
      </c>
      <c r="J532" s="5">
        <v>1</v>
      </c>
      <c r="K532" s="5" t="s">
        <v>19</v>
      </c>
      <c r="L532" s="5" t="str">
        <f>VLOOKUP(Healthcare!$A532,hospital_details,2,0)</f>
        <v>28-Nov-1995</v>
      </c>
      <c r="M532" s="5">
        <f t="shared" ref="M532:M595" ca="1" si="3179">VLOOKUP(A532,hospital_details,3,0)</f>
        <v>30</v>
      </c>
      <c r="N532" s="5">
        <f t="shared" ref="N532:N595" si="3180">VLOOKUP($A532,hospital_details,4,0)</f>
        <v>3</v>
      </c>
      <c r="O532" s="6">
        <f t="shared" ref="O532:O595" si="3181">VLOOKUP($A532,hospital_details,5,0)</f>
        <v>18804.75</v>
      </c>
      <c r="P532" s="5" t="str">
        <f t="shared" ref="P532:P595" si="3182">VLOOKUP($A532,hospital_details,6,0)</f>
        <v>tier - 1</v>
      </c>
      <c r="Q532" s="5" t="str">
        <f t="shared" ref="Q532:Q595" si="3183">VLOOKUP($A532,hospital_details,7,0)</f>
        <v>tier - 1</v>
      </c>
      <c r="R532" s="5" t="str">
        <f t="shared" ref="R532:R595" si="3184">VLOOKUP($A532,hospital_details,8,0)</f>
        <v>R1012</v>
      </c>
    </row>
    <row r="533" spans="1:18" ht="14.4" customHeight="1" x14ac:dyDescent="0.3">
      <c r="A533" s="7" t="s">
        <v>552</v>
      </c>
      <c r="B533" s="7" t="str">
        <f>VLOOKUP($A533,[1]!Customer_Names[#Data],3,0)</f>
        <v xml:space="preserve">  Eric</v>
      </c>
      <c r="C533" s="7">
        <v>20.13</v>
      </c>
      <c r="D533" s="7" t="str" cm="1">
        <f t="array" ref="D533">_xlfn.IFS(Healthcare!$C533&lt;18.5,"under weight",Healthcare!$C533&lt;=24.9,"Normal Weight",Healthcare!$C533&gt;=25,"overweight",Healthcare!$C533&gt;=30,"obese")</f>
        <v>Normal Weight</v>
      </c>
      <c r="E533" s="7">
        <v>6.47</v>
      </c>
      <c r="F533" s="5" t="str" cm="1">
        <f t="array" ref="F533">_xlfn.IFS(Healthcare!$E2&lt;5.7,"normal",Healthcare!$E2&lt;=6.4,"prediabetes",Healthcare!$E2&gt;=6.5,"diabetes")</f>
        <v>diabetes</v>
      </c>
      <c r="G533" s="7" t="s">
        <v>19</v>
      </c>
      <c r="H533" s="7" t="s">
        <v>19</v>
      </c>
      <c r="I533" s="7" t="s">
        <v>29</v>
      </c>
      <c r="J533" s="7">
        <v>1</v>
      </c>
      <c r="K533" s="7" t="s">
        <v>20</v>
      </c>
      <c r="L533" s="7" t="str">
        <f>VLOOKUP(Healthcare!$A533,hospital_details,2,0)</f>
        <v>19-Nov-1979</v>
      </c>
      <c r="M533" s="7">
        <f t="shared" ref="M533:M596" ca="1" si="3185">VLOOKUP(A533,hospital_details,3,0)</f>
        <v>46</v>
      </c>
      <c r="N533" s="7">
        <f t="shared" ref="N533:N596" si="3186">VLOOKUP($A533,hospital_details,4,0)</f>
        <v>2</v>
      </c>
      <c r="O533" s="8">
        <f t="shared" ref="O533:O596" si="3187">VLOOKUP($A533,hospital_details,5,0)</f>
        <v>18767.740000000002</v>
      </c>
      <c r="P533" s="7" t="str">
        <f t="shared" ref="P533:P596" si="3188">VLOOKUP($A533,hospital_details,6,0)</f>
        <v>tier - 1</v>
      </c>
      <c r="Q533" s="7" t="str">
        <f t="shared" ref="Q533:Q596" si="3189">VLOOKUP($A533,hospital_details,7,0)</f>
        <v>tier - 1</v>
      </c>
      <c r="R533" s="7" t="str">
        <f t="shared" ref="R533:R596" si="3190">VLOOKUP($A533,hospital_details,8,0)</f>
        <v>R1013</v>
      </c>
    </row>
    <row r="534" spans="1:18" ht="14.4" customHeight="1" x14ac:dyDescent="0.3">
      <c r="A534" s="5" t="s">
        <v>553</v>
      </c>
      <c r="B534" s="5" t="str">
        <f>VLOOKUP($A534,[1]!Customer_Names[#Data],3,0)</f>
        <v xml:space="preserve">  Cathryn</v>
      </c>
      <c r="C534" s="5">
        <v>23.655000000000001</v>
      </c>
      <c r="D534" s="5" t="str" cm="1">
        <f t="array" ref="D534">_xlfn.IFS(Healthcare!$C534&lt;18.5,"under weight",Healthcare!$C534&lt;=24.9,"Normal Weight",Healthcare!$C534&gt;=25,"overweight",Healthcare!$C534&gt;=30,"obese")</f>
        <v>Normal Weight</v>
      </c>
      <c r="E534" s="5">
        <v>5.14</v>
      </c>
      <c r="F534" s="5" t="str" cm="1">
        <f t="array" ref="F534">_xlfn.IFS(Healthcare!$E534&lt;5.7,"normal",Healthcare!$E534&lt;=6.4,"prediabetes",Healthcare!$E534&gt;=6.5,"diabetes")</f>
        <v>normal</v>
      </c>
      <c r="G534" s="5" t="s">
        <v>19</v>
      </c>
      <c r="H534" s="5" t="s">
        <v>19</v>
      </c>
      <c r="I534" s="5" t="s">
        <v>19</v>
      </c>
      <c r="J534" s="5">
        <v>1</v>
      </c>
      <c r="K534" s="5" t="s">
        <v>20</v>
      </c>
      <c r="L534" s="5" t="str">
        <f>VLOOKUP(Healthcare!$A534,hospital_details,2,0)</f>
        <v>27-Dec-1992</v>
      </c>
      <c r="M534" s="5">
        <f t="shared" ref="M534:M597" ca="1" si="3191">VLOOKUP(A534,hospital_details,3,0)</f>
        <v>33</v>
      </c>
      <c r="N534" s="5">
        <f t="shared" ref="N534:N597" si="3192">VLOOKUP($A534,hospital_details,4,0)</f>
        <v>3</v>
      </c>
      <c r="O534" s="6">
        <f t="shared" ref="O534:O597" si="3193">VLOOKUP($A534,hospital_details,5,0)</f>
        <v>18765.88</v>
      </c>
      <c r="P534" s="5" t="str">
        <f t="shared" ref="P534:P597" si="3194">VLOOKUP($A534,hospital_details,6,0)</f>
        <v>tier - 1</v>
      </c>
      <c r="Q534" s="5" t="str">
        <f t="shared" ref="Q534:Q597" si="3195">VLOOKUP($A534,hospital_details,7,0)</f>
        <v>tier - 2</v>
      </c>
      <c r="R534" s="5" t="str">
        <f t="shared" ref="R534:R597" si="3196">VLOOKUP($A534,hospital_details,8,0)</f>
        <v>R1012</v>
      </c>
    </row>
    <row r="535" spans="1:18" ht="14.4" customHeight="1" x14ac:dyDescent="0.3">
      <c r="A535" s="7" t="s">
        <v>554</v>
      </c>
      <c r="B535" s="7" t="str">
        <f>VLOOKUP($A535,[1]!Customer_Names[#Data],3,0)</f>
        <v xml:space="preserve">  Brendan</v>
      </c>
      <c r="C535" s="7">
        <v>49.05</v>
      </c>
      <c r="D535" s="7" t="str" cm="1">
        <f t="array" ref="D535">_xlfn.IFS(Healthcare!$C535&lt;18.5,"under weight",Healthcare!$C535&lt;=24.9,"Normal Weight",Healthcare!$C535&gt;=25,"overweight",Healthcare!$C535&gt;=30,"obese")</f>
        <v>overweight</v>
      </c>
      <c r="E535" s="7">
        <v>9.77</v>
      </c>
      <c r="F535" s="7" t="str" cm="1">
        <f t="array" ref="F535">_xlfn.IFS(Healthcare!$E535&lt;5.7,"normal",Healthcare!$E535&lt;=6.4,"prediabetes",Healthcare!$E535&gt;=6.5,"diabetes")</f>
        <v>diabetes</v>
      </c>
      <c r="G535" s="7" t="s">
        <v>20</v>
      </c>
      <c r="H535" s="7" t="s">
        <v>19</v>
      </c>
      <c r="I535" s="7" t="s">
        <v>19</v>
      </c>
      <c r="J535" s="7">
        <v>0</v>
      </c>
      <c r="K535" s="7" t="s">
        <v>19</v>
      </c>
      <c r="L535" s="7" t="str">
        <f>VLOOKUP(Healthcare!$A535,hospital_details,2,0)</f>
        <v>30-Aug-1967</v>
      </c>
      <c r="M535" s="7">
        <f t="shared" ref="M535:M598" ca="1" si="3197">VLOOKUP(A535,hospital_details,3,0)</f>
        <v>59</v>
      </c>
      <c r="N535" s="7">
        <f t="shared" ref="N535:N598" si="3198">VLOOKUP($A535,hospital_details,4,0)</f>
        <v>0</v>
      </c>
      <c r="O535" s="8">
        <f t="shared" ref="O535:O598" si="3199">VLOOKUP($A535,hospital_details,5,0)</f>
        <v>18694.689999999999</v>
      </c>
      <c r="P535" s="7" t="str">
        <f t="shared" ref="P535:P598" si="3200">VLOOKUP($A535,hospital_details,6,0)</f>
        <v>tier - 1</v>
      </c>
      <c r="Q535" s="7" t="str">
        <f t="shared" ref="Q535:Q598" si="3201">VLOOKUP($A535,hospital_details,7,0)</f>
        <v>tier - 1</v>
      </c>
      <c r="R535" s="7" t="str">
        <f t="shared" ref="R535:R598" si="3202">VLOOKUP($A535,hospital_details,8,0)</f>
        <v>R1023</v>
      </c>
    </row>
    <row r="536" spans="1:18" ht="14.4" customHeight="1" x14ac:dyDescent="0.3">
      <c r="A536" s="5" t="s">
        <v>555</v>
      </c>
      <c r="B536" s="5" t="str">
        <f>VLOOKUP($A536,[1]!Customer_Names[#Data],3,0)</f>
        <v xml:space="preserve">  Shauna</v>
      </c>
      <c r="C536" s="5">
        <v>51.94</v>
      </c>
      <c r="D536" s="5" t="str" cm="1">
        <f t="array" ref="D536">_xlfn.IFS(Healthcare!$C536&lt;18.5,"under weight",Healthcare!$C536&lt;=24.9,"Normal Weight",Healthcare!$C536&gt;=25,"overweight",Healthcare!$C536&gt;=30,"obese")</f>
        <v>overweight</v>
      </c>
      <c r="E536" s="5">
        <v>8.8000000000000007</v>
      </c>
      <c r="F536" s="5" t="str" cm="1">
        <f t="array" ref="F536">_xlfn.IFS(Healthcare!$E536&lt;5.7,"normal",Healthcare!$E536&lt;=6.4,"prediabetes",Healthcare!$E536&gt;=6.5,"diabetes")</f>
        <v>diabetes</v>
      </c>
      <c r="G536" s="5" t="s">
        <v>20</v>
      </c>
      <c r="H536" s="5" t="s">
        <v>19</v>
      </c>
      <c r="I536" s="5" t="s">
        <v>19</v>
      </c>
      <c r="J536" s="5">
        <v>2</v>
      </c>
      <c r="K536" s="5" t="s">
        <v>19</v>
      </c>
      <c r="L536" s="5" t="str">
        <f>VLOOKUP(Healthcare!$A536,hospital_details,2,0)</f>
        <v>17-Oct-1970</v>
      </c>
      <c r="M536" s="5">
        <f t="shared" ref="M536:M599" ca="1" si="3203">VLOOKUP(A536,hospital_details,3,0)</f>
        <v>56</v>
      </c>
      <c r="N536" s="5">
        <f t="shared" ref="N536:N599" si="3204">VLOOKUP($A536,hospital_details,4,0)</f>
        <v>0</v>
      </c>
      <c r="O536" s="6">
        <f t="shared" ref="O536:O599" si="3205">VLOOKUP($A536,hospital_details,5,0)</f>
        <v>18682.740000000002</v>
      </c>
      <c r="P536" s="5" t="str">
        <f t="shared" ref="P536:P599" si="3206">VLOOKUP($A536,hospital_details,6,0)</f>
        <v>tier - 1</v>
      </c>
      <c r="Q536" s="5" t="str">
        <f t="shared" ref="Q536:Q599" si="3207">VLOOKUP($A536,hospital_details,7,0)</f>
        <v>tier - 3</v>
      </c>
      <c r="R536" s="5" t="str">
        <f t="shared" ref="R536:R599" si="3208">VLOOKUP($A536,hospital_details,8,0)</f>
        <v>R1012</v>
      </c>
    </row>
    <row r="537" spans="1:18" ht="14.4" customHeight="1" x14ac:dyDescent="0.3">
      <c r="A537" s="7" t="s">
        <v>556</v>
      </c>
      <c r="B537" s="7" t="str">
        <f>VLOOKUP($A537,[1]!Customer_Names[#Data],3,0)</f>
        <v xml:space="preserve">  Terence</v>
      </c>
      <c r="C537" s="7">
        <v>29.83</v>
      </c>
      <c r="D537" s="7" t="str" cm="1">
        <f t="array" ref="D537">_xlfn.IFS(Healthcare!$C537&lt;18.5,"under weight",Healthcare!$C537&lt;=24.9,"Normal Weight",Healthcare!$C537&gt;=25,"overweight",Healthcare!$C537&gt;=30,"obese")</f>
        <v>overweight</v>
      </c>
      <c r="E537" s="7">
        <v>5.84</v>
      </c>
      <c r="F537" s="7" t="str" cm="1">
        <f t="array" ref="F537">_xlfn.IFS(Healthcare!$E537&lt;5.7,"normal",Healthcare!$E537&lt;=6.4,"prediabetes",Healthcare!$E537&gt;=6.5,"diabetes")</f>
        <v>prediabetes</v>
      </c>
      <c r="G537" s="7" t="s">
        <v>19</v>
      </c>
      <c r="H537" s="7" t="s">
        <v>19</v>
      </c>
      <c r="I537" s="7" t="s">
        <v>19</v>
      </c>
      <c r="J537" s="7">
        <v>1</v>
      </c>
      <c r="K537" s="7" t="s">
        <v>20</v>
      </c>
      <c r="L537" s="7" t="str">
        <f>VLOOKUP(Healthcare!$A537,hospital_details,2,0)</f>
        <v>23-Sep-1998</v>
      </c>
      <c r="M537" s="7">
        <f t="shared" ref="M537:M600" ca="1" si="3209">VLOOKUP(A537,hospital_details,3,0)</f>
        <v>28</v>
      </c>
      <c r="N537" s="7">
        <f t="shared" ref="N537:N600" si="3210">VLOOKUP($A537,hospital_details,4,0)</f>
        <v>0</v>
      </c>
      <c r="O537" s="8">
        <f t="shared" ref="O537:O600" si="3211">VLOOKUP($A537,hospital_details,5,0)</f>
        <v>18648.419999999998</v>
      </c>
      <c r="P537" s="7" t="str">
        <f t="shared" ref="P537:P600" si="3212">VLOOKUP($A537,hospital_details,6,0)</f>
        <v>tier - 1</v>
      </c>
      <c r="Q537" s="7" t="str">
        <f t="shared" ref="Q537:Q600" si="3213">VLOOKUP($A537,hospital_details,7,0)</f>
        <v>tier - 1</v>
      </c>
      <c r="R537" s="7" t="str">
        <f t="shared" ref="R537:R600" si="3214">VLOOKUP($A537,hospital_details,8,0)</f>
        <v>R1019</v>
      </c>
    </row>
    <row r="538" spans="1:18" ht="14.4" customHeight="1" x14ac:dyDescent="0.3">
      <c r="A538" s="5" t="s">
        <v>557</v>
      </c>
      <c r="B538" s="5" t="str">
        <f>VLOOKUP($A538,[1]!Customer_Names[#Data],3,0)</f>
        <v xml:space="preserve">  Marisol</v>
      </c>
      <c r="C538" s="5">
        <v>22.6</v>
      </c>
      <c r="D538" s="5" t="str" cm="1">
        <f t="array" ref="D538">_xlfn.IFS(Healthcare!$C538&lt;18.5,"under weight",Healthcare!$C538&lt;=24.9,"Normal Weight",Healthcare!$C538&gt;=25,"overweight",Healthcare!$C538&gt;=30,"obese")</f>
        <v>Normal Weight</v>
      </c>
      <c r="E538" s="5">
        <v>10.43</v>
      </c>
      <c r="F538" s="5" t="str" cm="1">
        <f t="array" ref="F538">_xlfn.IFS(Healthcare!$E538&lt;5.7,"normal",Healthcare!$E538&lt;=6.4,"prediabetes",Healthcare!$E538&gt;=6.5,"diabetes")</f>
        <v>diabetes</v>
      </c>
      <c r="G538" s="5" t="s">
        <v>20</v>
      </c>
      <c r="H538" s="5" t="s">
        <v>19</v>
      </c>
      <c r="I538" s="5" t="s">
        <v>19</v>
      </c>
      <c r="J538" s="5">
        <v>1</v>
      </c>
      <c r="K538" s="5" t="s">
        <v>20</v>
      </c>
      <c r="L538" s="5" t="str">
        <f>VLOOKUP(Healthcare!$A538,hospital_details,2,0)</f>
        <v>12-Aug-1986</v>
      </c>
      <c r="M538" s="5">
        <f t="shared" ref="M538:M601" ca="1" si="3215">VLOOKUP(A538,hospital_details,3,0)</f>
        <v>40</v>
      </c>
      <c r="N538" s="5">
        <f t="shared" ref="N538:N601" si="3216">VLOOKUP($A538,hospital_details,4,0)</f>
        <v>2</v>
      </c>
      <c r="O538" s="6">
        <f t="shared" ref="O538:O601" si="3217">VLOOKUP($A538,hospital_details,5,0)</f>
        <v>18608.259999999998</v>
      </c>
      <c r="P538" s="5" t="str">
        <f t="shared" ref="P538:P601" si="3218">VLOOKUP($A538,hospital_details,6,0)</f>
        <v>tier - 1</v>
      </c>
      <c r="Q538" s="5" t="str">
        <f t="shared" ref="Q538:Q601" si="3219">VLOOKUP($A538,hospital_details,7,0)</f>
        <v>tier - 3</v>
      </c>
      <c r="R538" s="5" t="str">
        <f t="shared" ref="R538:R601" si="3220">VLOOKUP($A538,hospital_details,8,0)</f>
        <v>R1011</v>
      </c>
    </row>
    <row r="539" spans="1:18" ht="14.4" customHeight="1" x14ac:dyDescent="0.3">
      <c r="A539" s="7" t="s">
        <v>558</v>
      </c>
      <c r="B539" s="7" t="str">
        <f>VLOOKUP($A539,[1]!Customer_Names[#Data],3,0)</f>
        <v xml:space="preserve">  Lindsay</v>
      </c>
      <c r="C539" s="7">
        <v>46.69</v>
      </c>
      <c r="D539" s="7" t="str" cm="1">
        <f t="array" ref="D539">_xlfn.IFS(Healthcare!$C539&lt;18.5,"under weight",Healthcare!$C539&lt;=24.9,"Normal Weight",Healthcare!$C539&gt;=25,"overweight",Healthcare!$C539&gt;=30,"obese")</f>
        <v>overweight</v>
      </c>
      <c r="E539" s="7">
        <v>4.25</v>
      </c>
      <c r="F539" s="7" t="str" cm="1">
        <f t="array" ref="F539">_xlfn.IFS(Healthcare!$E539&lt;5.7,"normal",Healthcare!$E539&lt;=6.4,"prediabetes",Healthcare!$E539&gt;=6.5,"diabetes")</f>
        <v>normal</v>
      </c>
      <c r="G539" s="7" t="s">
        <v>20</v>
      </c>
      <c r="H539" s="7" t="s">
        <v>19</v>
      </c>
      <c r="I539" s="7" t="s">
        <v>19</v>
      </c>
      <c r="J539" s="7">
        <v>1</v>
      </c>
      <c r="K539" s="7" t="s">
        <v>19</v>
      </c>
      <c r="L539" s="7" t="str">
        <f>VLOOKUP(Healthcare!$A539,hospital_details,2,0)</f>
        <v>26-Sep-1964</v>
      </c>
      <c r="M539" s="7">
        <f t="shared" ref="M539:M602" ca="1" si="3221">VLOOKUP(A539,hospital_details,3,0)</f>
        <v>62</v>
      </c>
      <c r="N539" s="7">
        <f t="shared" ref="N539:N602" si="3222">VLOOKUP($A539,hospital_details,4,0)</f>
        <v>0</v>
      </c>
      <c r="O539" s="8">
        <f t="shared" ref="O539:O602" si="3223">VLOOKUP($A539,hospital_details,5,0)</f>
        <v>18443.11</v>
      </c>
      <c r="P539" s="7" t="str">
        <f t="shared" ref="P539:P602" si="3224">VLOOKUP($A539,hospital_details,6,0)</f>
        <v>tier - 1</v>
      </c>
      <c r="Q539" s="7" t="str">
        <f t="shared" ref="Q539:Q602" si="3225">VLOOKUP($A539,hospital_details,7,0)</f>
        <v>tier - 2</v>
      </c>
      <c r="R539" s="7" t="str">
        <f t="shared" ref="R539:R602" si="3226">VLOOKUP($A539,hospital_details,8,0)</f>
        <v>R1012</v>
      </c>
    </row>
    <row r="540" spans="1:18" ht="14.4" customHeight="1" x14ac:dyDescent="0.3">
      <c r="A540" s="5" t="s">
        <v>559</v>
      </c>
      <c r="B540" s="5" t="str">
        <f>VLOOKUP($A540,[1]!Customer_Names[#Data],3,0)</f>
        <v xml:space="preserve">  Katie</v>
      </c>
      <c r="C540" s="5">
        <v>28.49</v>
      </c>
      <c r="D540" s="5" t="str" cm="1">
        <f t="array" ref="D540">_xlfn.IFS(Healthcare!$C540&lt;18.5,"under weight",Healthcare!$C540&lt;=24.9,"Normal Weight",Healthcare!$C540&gt;=25,"overweight",Healthcare!$C540&gt;=30,"obese")</f>
        <v>overweight</v>
      </c>
      <c r="E540" s="5">
        <v>4.8899999999999997</v>
      </c>
      <c r="F540" s="5" t="str" cm="1">
        <f t="array" ref="F540">_xlfn.IFS(Healthcare!$E540&lt;5.7,"normal",Healthcare!$E540&lt;=6.4,"prediabetes",Healthcare!$E540&gt;=6.5,"diabetes")</f>
        <v>normal</v>
      </c>
      <c r="G540" s="5" t="s">
        <v>19</v>
      </c>
      <c r="H540" s="5" t="s">
        <v>19</v>
      </c>
      <c r="I540" s="5" t="s">
        <v>19</v>
      </c>
      <c r="J540" s="5">
        <v>0</v>
      </c>
      <c r="K540" s="5" t="s">
        <v>20</v>
      </c>
      <c r="L540" s="5" t="str">
        <f>VLOOKUP(Healthcare!$A540,hospital_details,2,0)</f>
        <v>15-Dec-1999</v>
      </c>
      <c r="M540" s="5">
        <f t="shared" ref="M540:M603" ca="1" si="3227">VLOOKUP(A540,hospital_details,3,0)</f>
        <v>26</v>
      </c>
      <c r="N540" s="5">
        <f t="shared" ref="N540:N603" si="3228">VLOOKUP($A540,hospital_details,4,0)</f>
        <v>1</v>
      </c>
      <c r="O540" s="6">
        <f t="shared" ref="O540:O603" si="3229">VLOOKUP($A540,hospital_details,5,0)</f>
        <v>18328.240000000002</v>
      </c>
      <c r="P540" s="5" t="str">
        <f t="shared" ref="P540:P603" si="3230">VLOOKUP($A540,hospital_details,6,0)</f>
        <v>tier - 1</v>
      </c>
      <c r="Q540" s="5" t="str">
        <f t="shared" ref="Q540:Q603" si="3231">VLOOKUP($A540,hospital_details,7,0)</f>
        <v>tier - 2</v>
      </c>
      <c r="R540" s="5" t="str">
        <f t="shared" ref="R540:R603" si="3232">VLOOKUP($A540,hospital_details,8,0)</f>
        <v>R1013</v>
      </c>
    </row>
    <row r="541" spans="1:18" ht="14.4" customHeight="1" x14ac:dyDescent="0.3">
      <c r="A541" s="7" t="s">
        <v>560</v>
      </c>
      <c r="B541" s="7" t="str">
        <f>VLOOKUP($A541,[1]!Customer_Names[#Data],3,0)</f>
        <v xml:space="preserve">  Daniel</v>
      </c>
      <c r="C541" s="7">
        <v>28.5</v>
      </c>
      <c r="D541" s="7" t="str" cm="1">
        <f t="array" ref="D541">_xlfn.IFS(Healthcare!$C541&lt;18.5,"under weight",Healthcare!$C541&lt;=24.9,"Normal Weight",Healthcare!$C541&gt;=25,"overweight",Healthcare!$C541&gt;=30,"obese")</f>
        <v>overweight</v>
      </c>
      <c r="E541" s="7">
        <v>5.55</v>
      </c>
      <c r="F541" s="7" t="str" cm="1">
        <f t="array" ref="F541">_xlfn.IFS(Healthcare!$E541&lt;5.7,"normal",Healthcare!$E541&lt;=6.4,"prediabetes",Healthcare!$E541&gt;=6.5,"diabetes")</f>
        <v>normal</v>
      </c>
      <c r="G541" s="7" t="s">
        <v>20</v>
      </c>
      <c r="H541" s="7" t="s">
        <v>19</v>
      </c>
      <c r="I541" s="7" t="s">
        <v>19</v>
      </c>
      <c r="J541" s="7">
        <v>1</v>
      </c>
      <c r="K541" s="7" t="s">
        <v>20</v>
      </c>
      <c r="L541" s="7" t="str">
        <f>VLOOKUP(Healthcare!$A541,hospital_details,2,0)</f>
        <v>4-Jul-1995</v>
      </c>
      <c r="M541" s="7">
        <f t="shared" ref="M541:M604" ca="1" si="3233">VLOOKUP(A541,hospital_details,3,0)</f>
        <v>31</v>
      </c>
      <c r="N541" s="7">
        <f t="shared" ref="N541:N604" si="3234">VLOOKUP($A541,hospital_details,4,0)</f>
        <v>0</v>
      </c>
      <c r="O541" s="8">
        <f t="shared" ref="O541:O604" si="3235">VLOOKUP($A541,hospital_details,5,0)</f>
        <v>18310.740000000002</v>
      </c>
      <c r="P541" s="7" t="str">
        <f t="shared" ref="P541:P604" si="3236">VLOOKUP($A541,hospital_details,6,0)</f>
        <v>tier - 1</v>
      </c>
      <c r="Q541" s="7" t="str">
        <f t="shared" ref="Q541:Q604" si="3237">VLOOKUP($A541,hospital_details,7,0)</f>
        <v>tier - 3</v>
      </c>
      <c r="R541" s="7" t="str">
        <f t="shared" ref="R541:R604" si="3238">VLOOKUP($A541,hospital_details,8,0)</f>
        <v>R1012</v>
      </c>
    </row>
    <row r="542" spans="1:18" ht="14.4" customHeight="1" x14ac:dyDescent="0.3">
      <c r="A542" s="5" t="s">
        <v>561</v>
      </c>
      <c r="B542" s="5" t="str">
        <f>VLOOKUP($A542,[1]!Customer_Names[#Data],3,0)</f>
        <v xml:space="preserve">  Brett W</v>
      </c>
      <c r="C542" s="5">
        <v>24.4</v>
      </c>
      <c r="D542" s="5" t="str" cm="1">
        <f t="array" ref="D542">_xlfn.IFS(Healthcare!$C542&lt;18.5,"under weight",Healthcare!$C542&lt;=24.9,"Normal Weight",Healthcare!$C542&gt;=25,"overweight",Healthcare!$C542&gt;=30,"obese")</f>
        <v>Normal Weight</v>
      </c>
      <c r="E542" s="5">
        <v>4.5199999999999996</v>
      </c>
      <c r="F542" s="5" t="str" cm="1">
        <f t="array" ref="F542">_xlfn.IFS(Healthcare!$E542&lt;5.7,"normal",Healthcare!$E542&lt;=6.4,"prediabetes",Healthcare!$E542&gt;=6.5,"diabetes")</f>
        <v>normal</v>
      </c>
      <c r="G542" s="5" t="s">
        <v>19</v>
      </c>
      <c r="H542" s="5" t="s">
        <v>19</v>
      </c>
      <c r="I542" s="5" t="s">
        <v>19</v>
      </c>
      <c r="J542" s="5">
        <v>1</v>
      </c>
      <c r="K542" s="5" t="s">
        <v>20</v>
      </c>
      <c r="L542" s="5" t="str">
        <f>VLOOKUP(Healthcare!$A542,hospital_details,2,0)</f>
        <v>25-Dec-1992</v>
      </c>
      <c r="M542" s="5">
        <f t="shared" ref="M542:M605" ca="1" si="3239">VLOOKUP(A542,hospital_details,3,0)</f>
        <v>33</v>
      </c>
      <c r="N542" s="5">
        <f t="shared" ref="N542:N605" si="3240">VLOOKUP($A542,hospital_details,4,0)</f>
        <v>3</v>
      </c>
      <c r="O542" s="6">
        <f t="shared" ref="O542:O605" si="3241">VLOOKUP($A542,hospital_details,5,0)</f>
        <v>18259.22</v>
      </c>
      <c r="P542" s="5" t="str">
        <f t="shared" ref="P542:P605" si="3242">VLOOKUP($A542,hospital_details,6,0)</f>
        <v>tier - 1</v>
      </c>
      <c r="Q542" s="5" t="str">
        <f t="shared" ref="Q542:Q605" si="3243">VLOOKUP($A542,hospital_details,7,0)</f>
        <v>tier - 3</v>
      </c>
      <c r="R542" s="5" t="str">
        <f t="shared" ref="R542:R605" si="3244">VLOOKUP($A542,hospital_details,8,0)</f>
        <v>R1011</v>
      </c>
    </row>
    <row r="543" spans="1:18" ht="14.4" customHeight="1" x14ac:dyDescent="0.3">
      <c r="A543" s="7" t="s">
        <v>562</v>
      </c>
      <c r="B543" s="7" t="str">
        <f>VLOOKUP($A543,[1]!Customer_Names[#Data],3,0)</f>
        <v xml:space="preserve">  Dylan J</v>
      </c>
      <c r="C543" s="7">
        <v>29.15</v>
      </c>
      <c r="D543" s="7" t="str" cm="1">
        <f t="array" ref="D543">_xlfn.IFS(Healthcare!$C543&lt;18.5,"under weight",Healthcare!$C543&lt;=24.9,"Normal Weight",Healthcare!$C543&gt;=25,"overweight",Healthcare!$C543&gt;=30,"obese")</f>
        <v>overweight</v>
      </c>
      <c r="E543" s="7">
        <v>4.45</v>
      </c>
      <c r="F543" s="7" t="str" cm="1">
        <f t="array" ref="F543">_xlfn.IFS(Healthcare!$E543&lt;5.7,"normal",Healthcare!$E543&lt;=6.4,"prediabetes",Healthcare!$E543&gt;=6.5,"diabetes")</f>
        <v>normal</v>
      </c>
      <c r="G543" s="7" t="s">
        <v>20</v>
      </c>
      <c r="H543" s="7" t="s">
        <v>19</v>
      </c>
      <c r="I543" s="7" t="s">
        <v>19</v>
      </c>
      <c r="J543" s="7">
        <v>1</v>
      </c>
      <c r="K543" s="7" t="s">
        <v>20</v>
      </c>
      <c r="L543" s="7" t="str">
        <f>VLOOKUP(Healthcare!$A543,hospital_details,2,0)</f>
        <v>3-Aug-1995</v>
      </c>
      <c r="M543" s="7">
        <f t="shared" ref="M543:M606" ca="1" si="3245">VLOOKUP(A543,hospital_details,3,0)</f>
        <v>31</v>
      </c>
      <c r="N543" s="7">
        <f t="shared" ref="N543:N606" si="3246">VLOOKUP($A543,hospital_details,4,0)</f>
        <v>0</v>
      </c>
      <c r="O543" s="8">
        <f t="shared" ref="O543:O606" si="3247">VLOOKUP($A543,hospital_details,5,0)</f>
        <v>18246.5</v>
      </c>
      <c r="P543" s="7" t="str">
        <f t="shared" ref="P543:P606" si="3248">VLOOKUP($A543,hospital_details,6,0)</f>
        <v>tier - 1</v>
      </c>
      <c r="Q543" s="7" t="str">
        <f t="shared" ref="Q543:Q606" si="3249">VLOOKUP($A543,hospital_details,7,0)</f>
        <v>tier - 1</v>
      </c>
      <c r="R543" s="7" t="str">
        <f t="shared" ref="R543:R606" si="3250">VLOOKUP($A543,hospital_details,8,0)</f>
        <v>R1013</v>
      </c>
    </row>
    <row r="544" spans="1:18" ht="14.4" customHeight="1" x14ac:dyDescent="0.3">
      <c r="A544" s="5" t="s">
        <v>563</v>
      </c>
      <c r="B544" s="5" t="str">
        <f>VLOOKUP($A544,[1]!Customer_Names[#Data],3,0)</f>
        <v xml:space="preserve">  Elizabeth</v>
      </c>
      <c r="C544" s="5">
        <v>27.28</v>
      </c>
      <c r="D544" s="5" t="str" cm="1">
        <f t="array" ref="D544">_xlfn.IFS(Healthcare!$C544&lt;18.5,"under weight",Healthcare!$C544&lt;=24.9,"Normal Weight",Healthcare!$C544&gt;=25,"overweight",Healthcare!$C544&gt;=30,"obese")</f>
        <v>overweight</v>
      </c>
      <c r="E544" s="5">
        <v>4.72</v>
      </c>
      <c r="F544" s="5" t="str" cm="1">
        <f t="array" ref="F544">_xlfn.IFS(Healthcare!$E544&lt;5.7,"normal",Healthcare!$E544&lt;=6.4,"prediabetes",Healthcare!$E544&gt;=6.5,"diabetes")</f>
        <v>normal</v>
      </c>
      <c r="G544" s="5" t="s">
        <v>19</v>
      </c>
      <c r="H544" s="5" t="s">
        <v>20</v>
      </c>
      <c r="I544" s="5" t="s">
        <v>19</v>
      </c>
      <c r="J544" s="5">
        <v>1</v>
      </c>
      <c r="K544" s="5" t="s">
        <v>20</v>
      </c>
      <c r="L544" s="5" t="str">
        <f>VLOOKUP(Healthcare!$A544,hospital_details,2,0)</f>
        <v>10-Sep-2004</v>
      </c>
      <c r="M544" s="5">
        <f t="shared" ref="M544:M607" ca="1" si="3251">VLOOKUP(A544,hospital_details,3,0)</f>
        <v>22</v>
      </c>
      <c r="N544" s="5">
        <f t="shared" ref="N544:N607" si="3252">VLOOKUP($A544,hospital_details,4,0)</f>
        <v>3</v>
      </c>
      <c r="O544" s="6">
        <f t="shared" ref="O544:O607" si="3253">VLOOKUP($A544,hospital_details,5,0)</f>
        <v>18223.45</v>
      </c>
      <c r="P544" s="5" t="str">
        <f t="shared" ref="P544:P607" si="3254">VLOOKUP($A544,hospital_details,6,0)</f>
        <v>tier - 1</v>
      </c>
      <c r="Q544" s="5" t="str">
        <f t="shared" ref="Q544:Q607" si="3255">VLOOKUP($A544,hospital_details,7,0)</f>
        <v>tier - 3</v>
      </c>
      <c r="R544" s="5" t="str">
        <f t="shared" ref="R544:R607" si="3256">VLOOKUP($A544,hospital_details,8,0)</f>
        <v>R1013</v>
      </c>
    </row>
    <row r="545" spans="1:18" ht="14.4" customHeight="1" x14ac:dyDescent="0.3">
      <c r="A545" s="7" t="s">
        <v>564</v>
      </c>
      <c r="B545" s="7" t="str">
        <f>VLOOKUP($A545,[1]!Customer_Names[#Data],3,0)</f>
        <v xml:space="preserve">  Brooke M</v>
      </c>
      <c r="C545" s="7">
        <v>32.229999999999997</v>
      </c>
      <c r="D545" s="7" t="str" cm="1">
        <f t="array" ref="D545">_xlfn.IFS(Healthcare!$C545&lt;18.5,"under weight",Healthcare!$C545&lt;=24.9,"Normal Weight",Healthcare!$C545&gt;=25,"overweight",Healthcare!$C545&gt;=30,"obese")</f>
        <v>overweight</v>
      </c>
      <c r="E545" s="7">
        <v>4.6500000000000004</v>
      </c>
      <c r="F545" s="7" t="str" cm="1">
        <f t="array" ref="F545">_xlfn.IFS(Healthcare!$E545&lt;5.7,"normal",Healthcare!$E545&lt;=6.4,"prediabetes",Healthcare!$E545&gt;=6.5,"diabetes")</f>
        <v>normal</v>
      </c>
      <c r="G545" s="7" t="s">
        <v>20</v>
      </c>
      <c r="H545" s="7" t="s">
        <v>19</v>
      </c>
      <c r="I545" s="7" t="s">
        <v>29</v>
      </c>
      <c r="J545" s="7">
        <v>1</v>
      </c>
      <c r="K545" s="7" t="s">
        <v>19</v>
      </c>
      <c r="L545" s="7" t="str">
        <f>VLOOKUP(Healthcare!$A545,hospital_details,2,0)</f>
        <v>15-Jun-1997</v>
      </c>
      <c r="M545" s="7">
        <f t="shared" ref="M545:M608" ca="1" si="3257">VLOOKUP(A545,hospital_details,3,0)</f>
        <v>29</v>
      </c>
      <c r="N545" s="7">
        <f t="shared" ref="N545:N608" si="3258">VLOOKUP($A545,hospital_details,4,0)</f>
        <v>1</v>
      </c>
      <c r="O545" s="8">
        <f t="shared" ref="O545:O608" si="3259">VLOOKUP($A545,hospital_details,5,0)</f>
        <v>18218.16</v>
      </c>
      <c r="P545" s="7" t="str">
        <f t="shared" ref="P545:P608" si="3260">VLOOKUP($A545,hospital_details,6,0)</f>
        <v>tier - 1</v>
      </c>
      <c r="Q545" s="7" t="str">
        <f t="shared" ref="Q545:Q608" si="3261">VLOOKUP($A545,hospital_details,7,0)</f>
        <v>tier - 1</v>
      </c>
      <c r="R545" s="7" t="str">
        <f t="shared" ref="R545:R608" si="3262">VLOOKUP($A545,hospital_details,8,0)</f>
        <v>R1013</v>
      </c>
    </row>
    <row r="546" spans="1:18" ht="14.4" customHeight="1" x14ac:dyDescent="0.3">
      <c r="A546" s="5" t="s">
        <v>565</v>
      </c>
      <c r="B546" s="5" t="str">
        <f>VLOOKUP($A546,[1]!Customer_Names[#Data],3,0)</f>
        <v xml:space="preserve">  Teiko</v>
      </c>
      <c r="C546" s="5">
        <v>44.2</v>
      </c>
      <c r="D546" s="5" t="str" cm="1">
        <f t="array" ref="D546">_xlfn.IFS(Healthcare!$C546&lt;18.5,"under weight",Healthcare!$C546&lt;=24.9,"Normal Weight",Healthcare!$C546&gt;=25,"overweight",Healthcare!$C546&gt;=30,"obese")</f>
        <v>overweight</v>
      </c>
      <c r="E546" s="5">
        <v>11.34</v>
      </c>
      <c r="F546" s="5" t="str" cm="1">
        <f t="array" ref="F546">_xlfn.IFS(Healthcare!$E546&lt;5.7,"normal",Healthcare!$E546&lt;=6.4,"prediabetes",Healthcare!$E546&gt;=6.5,"diabetes")</f>
        <v>diabetes</v>
      </c>
      <c r="G546" s="5" t="s">
        <v>20</v>
      </c>
      <c r="H546" s="5" t="s">
        <v>19</v>
      </c>
      <c r="I546" s="5" t="s">
        <v>29</v>
      </c>
      <c r="J546" s="5">
        <v>1</v>
      </c>
      <c r="K546" s="5" t="s">
        <v>19</v>
      </c>
      <c r="L546" s="5" t="str">
        <f>VLOOKUP(Healthcare!$A546,hospital_details,2,0)</f>
        <v>4-Jul-1963</v>
      </c>
      <c r="M546" s="5">
        <f t="shared" ref="M546:M609" ca="1" si="3263">VLOOKUP(A546,hospital_details,3,0)</f>
        <v>63</v>
      </c>
      <c r="N546" s="5">
        <f t="shared" ref="N546:N609" si="3264">VLOOKUP($A546,hospital_details,4,0)</f>
        <v>0</v>
      </c>
      <c r="O546" s="6">
        <f t="shared" ref="O546:O609" si="3265">VLOOKUP($A546,hospital_details,5,0)</f>
        <v>18208.34</v>
      </c>
      <c r="P546" s="5" t="str">
        <f t="shared" ref="P546:P609" si="3266">VLOOKUP($A546,hospital_details,6,0)</f>
        <v>tier - 1</v>
      </c>
      <c r="Q546" s="5" t="str">
        <f t="shared" ref="Q546:Q609" si="3267">VLOOKUP($A546,hospital_details,7,0)</f>
        <v>tier - 2</v>
      </c>
      <c r="R546" s="5" t="str">
        <f t="shared" ref="R546:R609" si="3268">VLOOKUP($A546,hospital_details,8,0)</f>
        <v>R1026</v>
      </c>
    </row>
    <row r="547" spans="1:18" ht="14.4" customHeight="1" x14ac:dyDescent="0.3">
      <c r="A547" s="7" t="s">
        <v>566</v>
      </c>
      <c r="B547" s="7" t="str">
        <f>VLOOKUP($A547,[1]!Customer_Names[#Data],3,0)</f>
        <v xml:space="preserve">  Zachary</v>
      </c>
      <c r="C547" s="7">
        <v>29.734999999999999</v>
      </c>
      <c r="D547" s="7" t="str" cm="1">
        <f t="array" ref="D547">_xlfn.IFS(Healthcare!$C547&lt;18.5,"under weight",Healthcare!$C547&lt;=24.9,"Normal Weight",Healthcare!$C547&gt;=25,"overweight",Healthcare!$C547&gt;=30,"obese")</f>
        <v>overweight</v>
      </c>
      <c r="E547" s="7">
        <v>4.53</v>
      </c>
      <c r="F547" s="7" t="str" cm="1">
        <f t="array" ref="F547">_xlfn.IFS(Healthcare!$E547&lt;5.7,"normal",Healthcare!$E547&lt;=6.4,"prediabetes",Healthcare!$E547&gt;=6.5,"diabetes")</f>
        <v>normal</v>
      </c>
      <c r="G547" s="7" t="s">
        <v>19</v>
      </c>
      <c r="H547" s="7" t="s">
        <v>19</v>
      </c>
      <c r="I547" s="7" t="s">
        <v>29</v>
      </c>
      <c r="J547" s="7">
        <v>1</v>
      </c>
      <c r="K547" s="7" t="s">
        <v>19</v>
      </c>
      <c r="L547" s="7" t="str">
        <f>VLOOKUP(Healthcare!$A547,hospital_details,2,0)</f>
        <v>12-Jul-1993</v>
      </c>
      <c r="M547" s="7">
        <f t="shared" ref="M547:M610" ca="1" si="3269">VLOOKUP(A547,hospital_details,3,0)</f>
        <v>33</v>
      </c>
      <c r="N547" s="7">
        <f t="shared" ref="N547:N610" si="3270">VLOOKUP($A547,hospital_details,4,0)</f>
        <v>2</v>
      </c>
      <c r="O547" s="8">
        <f t="shared" ref="O547:O610" si="3271">VLOOKUP($A547,hospital_details,5,0)</f>
        <v>18157.88</v>
      </c>
      <c r="P547" s="7" t="str">
        <f t="shared" ref="P547:P610" si="3272">VLOOKUP($A547,hospital_details,6,0)</f>
        <v>tier - 1</v>
      </c>
      <c r="Q547" s="7" t="str">
        <f t="shared" ref="Q547:Q610" si="3273">VLOOKUP($A547,hospital_details,7,0)</f>
        <v>tier - 1</v>
      </c>
      <c r="R547" s="7" t="str">
        <f t="shared" ref="R547:R610" si="3274">VLOOKUP($A547,hospital_details,8,0)</f>
        <v>R1012</v>
      </c>
    </row>
    <row r="548" spans="1:18" ht="14.4" customHeight="1" x14ac:dyDescent="0.3">
      <c r="A548" s="5" t="s">
        <v>567</v>
      </c>
      <c r="B548" s="5" t="str">
        <f>VLOOKUP($A548,[1]!Customer_Names[#Data],3,0)</f>
        <v xml:space="preserve">  Johannah</v>
      </c>
      <c r="C548" s="5">
        <v>28.31</v>
      </c>
      <c r="D548" s="5" t="str" cm="1">
        <f t="array" ref="D548">_xlfn.IFS(Healthcare!$C548&lt;18.5,"under weight",Healthcare!$C548&lt;=24.9,"Normal Weight",Healthcare!$C548&gt;=25,"overweight",Healthcare!$C548&gt;=30,"obese")</f>
        <v>overweight</v>
      </c>
      <c r="E548" s="5">
        <v>6.35</v>
      </c>
      <c r="F548" s="5" t="str" cm="1">
        <f t="array" ref="F548">_xlfn.IFS(Healthcare!$E548&lt;5.7,"normal",Healthcare!$E548&lt;=6.4,"prediabetes",Healthcare!$E548&gt;=6.5,"diabetes")</f>
        <v>prediabetes</v>
      </c>
      <c r="G548" s="5" t="s">
        <v>19</v>
      </c>
      <c r="H548" s="5" t="s">
        <v>19</v>
      </c>
      <c r="I548" s="5" t="s">
        <v>19</v>
      </c>
      <c r="J548" s="5">
        <v>0</v>
      </c>
      <c r="K548" s="5" t="s">
        <v>20</v>
      </c>
      <c r="L548" s="5" t="str">
        <f>VLOOKUP(Healthcare!$A548,hospital_details,2,0)</f>
        <v>24-Oct-1999</v>
      </c>
      <c r="M548" s="5">
        <f t="shared" ref="M548:M611" ca="1" si="3275">VLOOKUP(A548,hospital_details,3,0)</f>
        <v>26</v>
      </c>
      <c r="N548" s="5">
        <f t="shared" ref="N548:N611" si="3276">VLOOKUP($A548,hospital_details,4,0)</f>
        <v>0</v>
      </c>
      <c r="O548" s="6">
        <f t="shared" ref="O548:O611" si="3277">VLOOKUP($A548,hospital_details,5,0)</f>
        <v>18033.97</v>
      </c>
      <c r="P548" s="5" t="str">
        <f t="shared" ref="P548:P611" si="3278">VLOOKUP($A548,hospital_details,6,0)</f>
        <v>tier - 1</v>
      </c>
      <c r="Q548" s="5" t="str">
        <f t="shared" ref="Q548:Q611" si="3279">VLOOKUP($A548,hospital_details,7,0)</f>
        <v>tier - 1</v>
      </c>
      <c r="R548" s="5" t="str">
        <f t="shared" ref="R548:R611" si="3280">VLOOKUP($A548,hospital_details,8,0)</f>
        <v>R1012</v>
      </c>
    </row>
    <row r="549" spans="1:18" ht="14.4" customHeight="1" x14ac:dyDescent="0.3">
      <c r="A549" s="7" t="s">
        <v>568</v>
      </c>
      <c r="B549" s="7" t="str">
        <f>VLOOKUP($A549,[1]!Customer_Names[#Data],3,0)</f>
        <v xml:space="preserve">  Ryan A</v>
      </c>
      <c r="C549" s="7">
        <v>46.62</v>
      </c>
      <c r="D549" s="7" t="str" cm="1">
        <f t="array" ref="D549">_xlfn.IFS(Healthcare!$C549&lt;18.5,"under weight",Healthcare!$C549&lt;=24.9,"Normal Weight",Healthcare!$C549&gt;=25,"overweight",Healthcare!$C549&gt;=30,"obese")</f>
        <v>overweight</v>
      </c>
      <c r="E549" s="7">
        <v>8.51</v>
      </c>
      <c r="F549" s="7" t="str" cm="1">
        <f t="array" ref="F549">_xlfn.IFS(Healthcare!$E549&lt;5.7,"normal",Healthcare!$E549&lt;=6.4,"prediabetes",Healthcare!$E549&gt;=6.5,"diabetes")</f>
        <v>diabetes</v>
      </c>
      <c r="G549" s="7" t="s">
        <v>19</v>
      </c>
      <c r="H549" s="7" t="s">
        <v>19</v>
      </c>
      <c r="I549" s="7" t="s">
        <v>19</v>
      </c>
      <c r="J549" s="7">
        <v>0</v>
      </c>
      <c r="K549" s="7" t="s">
        <v>19</v>
      </c>
      <c r="L549" s="7" t="str">
        <f>VLOOKUP(Healthcare!$A549,hospital_details,2,0)</f>
        <v>17-Oct-1965</v>
      </c>
      <c r="M549" s="7">
        <f t="shared" ref="M549:M612" ca="1" si="3281">VLOOKUP(A549,hospital_details,3,0)</f>
        <v>61</v>
      </c>
      <c r="N549" s="7">
        <f t="shared" ref="N549:N612" si="3282">VLOOKUP($A549,hospital_details,4,0)</f>
        <v>0</v>
      </c>
      <c r="O549" s="8">
        <f t="shared" ref="O549:O612" si="3283">VLOOKUP($A549,hospital_details,5,0)</f>
        <v>18031.189999999999</v>
      </c>
      <c r="P549" s="7" t="str">
        <f t="shared" ref="P549:P612" si="3284">VLOOKUP($A549,hospital_details,6,0)</f>
        <v>tier - 1</v>
      </c>
      <c r="Q549" s="7" t="str">
        <f t="shared" ref="Q549:Q612" si="3285">VLOOKUP($A549,hospital_details,7,0)</f>
        <v>tier - 2</v>
      </c>
      <c r="R549" s="7" t="str">
        <f t="shared" ref="R549:R612" si="3286">VLOOKUP($A549,hospital_details,8,0)</f>
        <v>R1012</v>
      </c>
    </row>
    <row r="550" spans="1:18" ht="14.4" customHeight="1" x14ac:dyDescent="0.3">
      <c r="A550" s="5" t="s">
        <v>569</v>
      </c>
      <c r="B550" s="5" t="str">
        <f>VLOOKUP($A550,[1]!Customer_Names[#Data],3,0)</f>
        <v xml:space="preserve">  Andres Sr</v>
      </c>
      <c r="C550" s="5">
        <v>51.75</v>
      </c>
      <c r="D550" s="5" t="str" cm="1">
        <f t="array" ref="D550">_xlfn.IFS(Healthcare!$C550&lt;18.5,"under weight",Healthcare!$C550&lt;=24.9,"Normal Weight",Healthcare!$C550&gt;=25,"overweight",Healthcare!$C550&gt;=30,"obese")</f>
        <v>overweight</v>
      </c>
      <c r="E550" s="5">
        <v>8.59</v>
      </c>
      <c r="F550" s="5" t="str" cm="1">
        <f t="array" ref="F550">_xlfn.IFS(Healthcare!$E550&lt;5.7,"normal",Healthcare!$E550&lt;=6.4,"prediabetes",Healthcare!$E550&gt;=6.5,"diabetes")</f>
        <v>diabetes</v>
      </c>
      <c r="G550" s="5" t="s">
        <v>20</v>
      </c>
      <c r="H550" s="5" t="s">
        <v>19</v>
      </c>
      <c r="I550" s="5" t="s">
        <v>19</v>
      </c>
      <c r="J550" s="5">
        <v>1</v>
      </c>
      <c r="K550" s="5" t="s">
        <v>19</v>
      </c>
      <c r="L550" s="5" t="str">
        <f>VLOOKUP(Healthcare!$A550,hospital_details,2,0)</f>
        <v>27-Jun-1975</v>
      </c>
      <c r="M550" s="5">
        <f t="shared" ref="M550:M613" ca="1" si="3287">VLOOKUP(A550,hospital_details,3,0)</f>
        <v>51</v>
      </c>
      <c r="N550" s="5">
        <f t="shared" ref="N550:N613" si="3288">VLOOKUP($A550,hospital_details,4,0)</f>
        <v>1</v>
      </c>
      <c r="O550" s="6">
        <f t="shared" ref="O550:O613" si="3289">VLOOKUP($A550,hospital_details,5,0)</f>
        <v>18031.16</v>
      </c>
      <c r="P550" s="5" t="str">
        <f t="shared" ref="P550:P613" si="3290">VLOOKUP($A550,hospital_details,6,0)</f>
        <v>tier - 1</v>
      </c>
      <c r="Q550" s="5" t="str">
        <f t="shared" ref="Q550:Q613" si="3291">VLOOKUP($A550,hospital_details,7,0)</f>
        <v>tier - 3</v>
      </c>
      <c r="R550" s="5" t="str">
        <f t="shared" ref="R550:R613" si="3292">VLOOKUP($A550,hospital_details,8,0)</f>
        <v>R1023</v>
      </c>
    </row>
    <row r="551" spans="1:18" ht="14.4" customHeight="1" x14ac:dyDescent="0.3">
      <c r="A551" s="7" t="s">
        <v>570</v>
      </c>
      <c r="B551" s="7" t="str">
        <f>VLOOKUP($A551,[1]!Customer_Names[#Data],3,0)</f>
        <v xml:space="preserve">  Bryan</v>
      </c>
      <c r="C551" s="7">
        <v>25.7</v>
      </c>
      <c r="D551" s="7" t="str" cm="1">
        <f t="array" ref="D551">_xlfn.IFS(Healthcare!$C551&lt;18.5,"under weight",Healthcare!$C551&lt;=24.9,"Normal Weight",Healthcare!$C551&gt;=25,"overweight",Healthcare!$C551&gt;=30,"obese")</f>
        <v>overweight</v>
      </c>
      <c r="E551" s="7">
        <v>4.13</v>
      </c>
      <c r="F551" s="7" t="str" cm="1">
        <f t="array" ref="F551">_xlfn.IFS(Healthcare!$E551&lt;5.7,"normal",Healthcare!$E551&lt;=6.4,"prediabetes",Healthcare!$E551&gt;=6.5,"diabetes")</f>
        <v>normal</v>
      </c>
      <c r="G551" s="7" t="s">
        <v>20</v>
      </c>
      <c r="H551" s="7" t="s">
        <v>19</v>
      </c>
      <c r="I551" s="7" t="s">
        <v>19</v>
      </c>
      <c r="J551" s="7">
        <v>0</v>
      </c>
      <c r="K551" s="7" t="s">
        <v>20</v>
      </c>
      <c r="L551" s="7" t="str">
        <f>VLOOKUP(Healthcare!$A551,hospital_details,2,0)</f>
        <v>28-Sep-2001</v>
      </c>
      <c r="M551" s="7">
        <f t="shared" ref="M551:M614" ca="1" si="3293">VLOOKUP(A551,hospital_details,3,0)</f>
        <v>25</v>
      </c>
      <c r="N551" s="7">
        <f t="shared" ref="N551:N614" si="3294">VLOOKUP($A551,hospital_details,4,0)</f>
        <v>4</v>
      </c>
      <c r="O551" s="8">
        <f t="shared" ref="O551:O614" si="3295">VLOOKUP($A551,hospital_details,5,0)</f>
        <v>17942.11</v>
      </c>
      <c r="P551" s="7" t="str">
        <f t="shared" ref="P551:P614" si="3296">VLOOKUP($A551,hospital_details,6,0)</f>
        <v>tier - 1</v>
      </c>
      <c r="Q551" s="7" t="str">
        <f t="shared" ref="Q551:Q614" si="3297">VLOOKUP($A551,hospital_details,7,0)</f>
        <v>tier - 2</v>
      </c>
      <c r="R551" s="7" t="str">
        <f t="shared" ref="R551:R614" si="3298">VLOOKUP($A551,hospital_details,8,0)</f>
        <v>R1011</v>
      </c>
    </row>
    <row r="552" spans="1:18" ht="14.4" customHeight="1" x14ac:dyDescent="0.3">
      <c r="A552" s="5" t="s">
        <v>571</v>
      </c>
      <c r="B552" s="5" t="str">
        <f>VLOOKUP($A552,[1]!Customer_Names[#Data],3,0)</f>
        <v xml:space="preserve">  Lizette</v>
      </c>
      <c r="C552" s="5">
        <v>31.79</v>
      </c>
      <c r="D552" s="5" t="str" cm="1">
        <f t="array" ref="D552">_xlfn.IFS(Healthcare!$C552&lt;18.5,"under weight",Healthcare!$C552&lt;=24.9,"Normal Weight",Healthcare!$C552&gt;=25,"overweight",Healthcare!$C552&gt;=30,"obese")</f>
        <v>overweight</v>
      </c>
      <c r="E552" s="5">
        <v>4.55</v>
      </c>
      <c r="F552" s="5" t="str" cm="1">
        <f t="array" ref="F552">_xlfn.IFS(Healthcare!$E552&lt;5.7,"normal",Healthcare!$E552&lt;=6.4,"prediabetes",Healthcare!$E552&gt;=6.5,"diabetes")</f>
        <v>normal</v>
      </c>
      <c r="G552" s="5" t="s">
        <v>19</v>
      </c>
      <c r="H552" s="5" t="s">
        <v>19</v>
      </c>
      <c r="I552" s="5" t="s">
        <v>19</v>
      </c>
      <c r="J552" s="5">
        <v>0</v>
      </c>
      <c r="K552" s="5" t="s">
        <v>19</v>
      </c>
      <c r="L552" s="5" t="str">
        <f>VLOOKUP(Healthcare!$A552,hospital_details,2,0)</f>
        <v>17-Oct-1977</v>
      </c>
      <c r="M552" s="5">
        <f t="shared" ref="M552:M615" ca="1" si="3299">VLOOKUP(A552,hospital_details,3,0)</f>
        <v>49</v>
      </c>
      <c r="N552" s="5">
        <f t="shared" ref="N552:N615" si="3300">VLOOKUP($A552,hospital_details,4,0)</f>
        <v>0</v>
      </c>
      <c r="O552" s="6">
        <f t="shared" ref="O552:O615" si="3301">VLOOKUP($A552,hospital_details,5,0)</f>
        <v>17929.3</v>
      </c>
      <c r="P552" s="5" t="str">
        <f t="shared" ref="P552:P615" si="3302">VLOOKUP($A552,hospital_details,6,0)</f>
        <v>tier - 1</v>
      </c>
      <c r="Q552" s="5" t="str">
        <f t="shared" ref="Q552:Q615" si="3303">VLOOKUP($A552,hospital_details,7,0)</f>
        <v>tier - 2</v>
      </c>
      <c r="R552" s="5" t="str">
        <f t="shared" ref="R552:R615" si="3304">VLOOKUP($A552,hospital_details,8,0)</f>
        <v>R1013</v>
      </c>
    </row>
    <row r="553" spans="1:18" ht="14.4" customHeight="1" x14ac:dyDescent="0.3">
      <c r="A553" s="7" t="s">
        <v>572</v>
      </c>
      <c r="B553" s="7" t="str">
        <f>VLOOKUP($A553,[1]!Customer_Names[#Data],3,0)</f>
        <v xml:space="preserve">  Don</v>
      </c>
      <c r="C553" s="7">
        <v>24.795000000000002</v>
      </c>
      <c r="D553" s="7" t="str" cm="1">
        <f t="array" ref="D553">_xlfn.IFS(Healthcare!$C553&lt;18.5,"under weight",Healthcare!$C553&lt;=24.9,"Normal Weight",Healthcare!$C553&gt;=25,"overweight",Healthcare!$C553&gt;=30,"obese")</f>
        <v>Normal Weight</v>
      </c>
      <c r="E553" s="7">
        <v>4.5199999999999996</v>
      </c>
      <c r="F553" s="7" t="str" cm="1">
        <f t="array" ref="F553">_xlfn.IFS(Healthcare!$E553&lt;5.7,"normal",Healthcare!$E553&lt;=6.4,"prediabetes",Healthcare!$E553&gt;=6.5,"diabetes")</f>
        <v>normal</v>
      </c>
      <c r="G553" s="7" t="s">
        <v>19</v>
      </c>
      <c r="H553" s="7" t="s">
        <v>19</v>
      </c>
      <c r="I553" s="7" t="s">
        <v>19</v>
      </c>
      <c r="J553" s="7">
        <v>0</v>
      </c>
      <c r="K553" s="7" t="s">
        <v>20</v>
      </c>
      <c r="L553" s="7" t="str">
        <f>VLOOKUP(Healthcare!$A553,hospital_details,2,0)</f>
        <v>4-Dec-1989</v>
      </c>
      <c r="M553" s="7">
        <f t="shared" ref="M553:M616" ca="1" si="3305">VLOOKUP(A553,hospital_details,3,0)</f>
        <v>36</v>
      </c>
      <c r="N553" s="7">
        <f t="shared" ref="N553:N616" si="3306">VLOOKUP($A553,hospital_details,4,0)</f>
        <v>0</v>
      </c>
      <c r="O553" s="8">
        <f t="shared" ref="O553:O616" si="3307">VLOOKUP($A553,hospital_details,5,0)</f>
        <v>17904.53</v>
      </c>
      <c r="P553" s="7" t="str">
        <f t="shared" ref="P553:P616" si="3308">VLOOKUP($A553,hospital_details,6,0)</f>
        <v>tier - 1</v>
      </c>
      <c r="Q553" s="7" t="str">
        <f t="shared" ref="Q553:Q616" si="3309">VLOOKUP($A553,hospital_details,7,0)</f>
        <v>tier - 2</v>
      </c>
      <c r="R553" s="7" t="str">
        <f t="shared" ref="R553:R616" si="3310">VLOOKUP($A553,hospital_details,8,0)</f>
        <v>R1017</v>
      </c>
    </row>
    <row r="554" spans="1:18" ht="14.4" customHeight="1" x14ac:dyDescent="0.3">
      <c r="A554" s="5" t="s">
        <v>573</v>
      </c>
      <c r="B554" s="5" t="str">
        <f>VLOOKUP($A554,[1]!Customer_Names[#Data],3,0)</f>
        <v xml:space="preserve">  Jeb</v>
      </c>
      <c r="C554" s="5">
        <v>53.98</v>
      </c>
      <c r="D554" s="5" t="str" cm="1">
        <f t="array" ref="D554">_xlfn.IFS(Healthcare!$C554&lt;18.5,"under weight",Healthcare!$C554&lt;=24.9,"Normal Weight",Healthcare!$C554&gt;=25,"overweight",Healthcare!$C554&gt;=30,"obese")</f>
        <v>overweight</v>
      </c>
      <c r="E554" s="5">
        <v>5.07</v>
      </c>
      <c r="F554" s="5" t="str" cm="1">
        <f t="array" ref="F554">_xlfn.IFS(Healthcare!$E554&lt;5.7,"normal",Healthcare!$E554&lt;=6.4,"prediabetes",Healthcare!$E554&gt;=6.5,"diabetes")</f>
        <v>normal</v>
      </c>
      <c r="G554" s="5" t="s">
        <v>19</v>
      </c>
      <c r="H554" s="5" t="s">
        <v>19</v>
      </c>
      <c r="I554" s="5" t="s">
        <v>29</v>
      </c>
      <c r="J554" s="5">
        <v>1</v>
      </c>
      <c r="K554" s="5" t="s">
        <v>19</v>
      </c>
      <c r="L554" s="5" t="str">
        <f>VLOOKUP(Healthcare!$A554,hospital_details,2,0)</f>
        <v>12-Nov-1979</v>
      </c>
      <c r="M554" s="5">
        <f t="shared" ref="M554:M617" ca="1" si="3311">VLOOKUP(A554,hospital_details,3,0)</f>
        <v>46</v>
      </c>
      <c r="N554" s="5">
        <f t="shared" ref="N554:N617" si="3312">VLOOKUP($A554,hospital_details,4,0)</f>
        <v>2</v>
      </c>
      <c r="O554" s="6">
        <f t="shared" ref="O554:O617" si="3313">VLOOKUP($A554,hospital_details,5,0)</f>
        <v>17882.669999999998</v>
      </c>
      <c r="P554" s="5" t="str">
        <f t="shared" ref="P554:P617" si="3314">VLOOKUP($A554,hospital_details,6,0)</f>
        <v>tier - 1</v>
      </c>
      <c r="Q554" s="5" t="str">
        <f t="shared" ref="Q554:Q617" si="3315">VLOOKUP($A554,hospital_details,7,0)</f>
        <v>tier - 3</v>
      </c>
      <c r="R554" s="5" t="str">
        <f t="shared" ref="R554:R617" si="3316">VLOOKUP($A554,hospital_details,8,0)</f>
        <v>R1012</v>
      </c>
    </row>
    <row r="555" spans="1:18" ht="14.4" customHeight="1" x14ac:dyDescent="0.3">
      <c r="A555" s="7" t="s">
        <v>574</v>
      </c>
      <c r="B555" s="7" t="str">
        <f>VLOOKUP($A555,[1]!Customer_Names[#Data],3,0)</f>
        <v xml:space="preserve">  Amy R</v>
      </c>
      <c r="C555" s="7">
        <v>41.325000000000003</v>
      </c>
      <c r="D555" s="7" t="str" cm="1">
        <f t="array" ref="D555">_xlfn.IFS(Healthcare!$C555&lt;18.5,"under weight",Healthcare!$C555&lt;=24.9,"Normal Weight",Healthcare!$C555&gt;=25,"overweight",Healthcare!$C555&gt;=30,"obese")</f>
        <v>overweight</v>
      </c>
      <c r="E555" s="7">
        <v>4.04</v>
      </c>
      <c r="F555" s="7" t="str" cm="1">
        <f t="array" ref="F555">_xlfn.IFS(Healthcare!$E555&lt;5.7,"normal",Healthcare!$E555&lt;=6.4,"prediabetes",Healthcare!$E555&gt;=6.5,"diabetes")</f>
        <v>normal</v>
      </c>
      <c r="G555" s="7" t="s">
        <v>20</v>
      </c>
      <c r="H555" s="7" t="s">
        <v>19</v>
      </c>
      <c r="I555" s="7" t="s">
        <v>29</v>
      </c>
      <c r="J555" s="7">
        <v>1</v>
      </c>
      <c r="K555" s="7" t="s">
        <v>19</v>
      </c>
      <c r="L555" s="7" t="str">
        <f>VLOOKUP(Healthcare!$A555,hospital_details,2,0)</f>
        <v>26-Aug-1997</v>
      </c>
      <c r="M555" s="7">
        <f t="shared" ref="M555:M618" ca="1" si="3317">VLOOKUP(A555,hospital_details,3,0)</f>
        <v>29</v>
      </c>
      <c r="N555" s="7">
        <f t="shared" ref="N555:N618" si="3318">VLOOKUP($A555,hospital_details,4,0)</f>
        <v>0</v>
      </c>
      <c r="O555" s="8">
        <f t="shared" ref="O555:O618" si="3319">VLOOKUP($A555,hospital_details,5,0)</f>
        <v>17878.900000000001</v>
      </c>
      <c r="P555" s="7" t="str">
        <f t="shared" ref="P555:P618" si="3320">VLOOKUP($A555,hospital_details,6,0)</f>
        <v>tier - 1</v>
      </c>
      <c r="Q555" s="7" t="str">
        <f t="shared" ref="Q555:Q618" si="3321">VLOOKUP($A555,hospital_details,7,0)</f>
        <v>tier - 2</v>
      </c>
      <c r="R555" s="7" t="str">
        <f t="shared" ref="R555:R618" si="3322">VLOOKUP($A555,hospital_details,8,0)</f>
        <v>R1024</v>
      </c>
    </row>
    <row r="556" spans="1:18" ht="14.4" customHeight="1" x14ac:dyDescent="0.3">
      <c r="A556" s="5" t="s">
        <v>575</v>
      </c>
      <c r="B556" s="5" t="str">
        <f>VLOOKUP($A556,[1]!Customer_Names[#Data],3,0)</f>
        <v xml:space="preserve">  Brian</v>
      </c>
      <c r="C556" s="5">
        <v>51.65</v>
      </c>
      <c r="D556" s="5" t="str" cm="1">
        <f t="array" ref="D556">_xlfn.IFS(Healthcare!$C556&lt;18.5,"under weight",Healthcare!$C556&lt;=24.9,"Normal Weight",Healthcare!$C556&gt;=25,"overweight",Healthcare!$C556&gt;=30,"obese")</f>
        <v>overweight</v>
      </c>
      <c r="E556" s="5">
        <v>5.3</v>
      </c>
      <c r="F556" s="5" t="str" cm="1">
        <f t="array" ref="F556">_xlfn.IFS(Healthcare!$E556&lt;5.7,"normal",Healthcare!$E556&lt;=6.4,"prediabetes",Healthcare!$E556&gt;=6.5,"diabetes")</f>
        <v>normal</v>
      </c>
      <c r="G556" s="5" t="s">
        <v>20</v>
      </c>
      <c r="H556" s="5" t="s">
        <v>19</v>
      </c>
      <c r="I556" s="5" t="s">
        <v>19</v>
      </c>
      <c r="J556" s="5">
        <v>0</v>
      </c>
      <c r="K556" s="5" t="s">
        <v>19</v>
      </c>
      <c r="L556" s="5" t="str">
        <f>VLOOKUP(Healthcare!$A556,hospital_details,2,0)</f>
        <v>12-Dec-1976</v>
      </c>
      <c r="M556" s="5">
        <f t="shared" ref="M556:M619" ca="1" si="3323">VLOOKUP(A556,hospital_details,3,0)</f>
        <v>49</v>
      </c>
      <c r="N556" s="5">
        <f t="shared" ref="N556:N619" si="3324">VLOOKUP($A556,hospital_details,4,0)</f>
        <v>2</v>
      </c>
      <c r="O556" s="6">
        <f t="shared" ref="O556:O619" si="3325">VLOOKUP($A556,hospital_details,5,0)</f>
        <v>17862.919999999998</v>
      </c>
      <c r="P556" s="5" t="str">
        <f t="shared" ref="P556:P619" si="3326">VLOOKUP($A556,hospital_details,6,0)</f>
        <v>tier - 1</v>
      </c>
      <c r="Q556" s="5" t="str">
        <f t="shared" ref="Q556:Q619" si="3327">VLOOKUP($A556,hospital_details,7,0)</f>
        <v>tier - 2</v>
      </c>
      <c r="R556" s="5" t="str">
        <f t="shared" ref="R556:R619" si="3328">VLOOKUP($A556,hospital_details,8,0)</f>
        <v>R1012</v>
      </c>
    </row>
    <row r="557" spans="1:18" ht="14.4" customHeight="1" x14ac:dyDescent="0.3">
      <c r="A557" s="7" t="s">
        <v>576</v>
      </c>
      <c r="B557" s="7" t="str">
        <f>VLOOKUP($A557,[1]!Customer_Names[#Data],3,0)</f>
        <v xml:space="preserve">  Mike G</v>
      </c>
      <c r="C557" s="7">
        <v>44.52</v>
      </c>
      <c r="D557" s="7" t="str" cm="1">
        <f t="array" ref="D557">_xlfn.IFS(Healthcare!$C557&lt;18.5,"under weight",Healthcare!$C557&lt;=24.9,"Normal Weight",Healthcare!$C557&gt;=25,"overweight",Healthcare!$C557&gt;=30,"obese")</f>
        <v>overweight</v>
      </c>
      <c r="E557" s="7">
        <v>8.64</v>
      </c>
      <c r="F557" s="7" t="str" cm="1">
        <f t="array" ref="F557">_xlfn.IFS(Healthcare!$E557&lt;5.7,"normal",Healthcare!$E557&lt;=6.4,"prediabetes",Healthcare!$E557&gt;=6.5,"diabetes")</f>
        <v>diabetes</v>
      </c>
      <c r="G557" s="7" t="s">
        <v>20</v>
      </c>
      <c r="H557" s="7" t="s">
        <v>19</v>
      </c>
      <c r="I557" s="7" t="s">
        <v>29</v>
      </c>
      <c r="J557" s="7">
        <v>1</v>
      </c>
      <c r="K557" s="7" t="s">
        <v>19</v>
      </c>
      <c r="L557" s="7" t="str">
        <f>VLOOKUP(Healthcare!$A557,hospital_details,2,0)</f>
        <v>8-Dec-1963</v>
      </c>
      <c r="M557" s="7">
        <f t="shared" ref="M557:M620" ca="1" si="3329">VLOOKUP(A557,hospital_details,3,0)</f>
        <v>62</v>
      </c>
      <c r="N557" s="7">
        <f t="shared" ref="N557:N620" si="3330">VLOOKUP($A557,hospital_details,4,0)</f>
        <v>0</v>
      </c>
      <c r="O557" s="8">
        <f t="shared" ref="O557:O620" si="3331">VLOOKUP($A557,hospital_details,5,0)</f>
        <v>17832.599999999999</v>
      </c>
      <c r="P557" s="7" t="str">
        <f t="shared" ref="P557:P620" si="3332">VLOOKUP($A557,hospital_details,6,0)</f>
        <v>tier - 1</v>
      </c>
      <c r="Q557" s="7" t="str">
        <f t="shared" ref="Q557:Q620" si="3333">VLOOKUP($A557,hospital_details,7,0)</f>
        <v>tier - 2</v>
      </c>
      <c r="R557" s="7" t="str">
        <f t="shared" ref="R557:R620" si="3334">VLOOKUP($A557,hospital_details,8,0)</f>
        <v>R1012</v>
      </c>
    </row>
    <row r="558" spans="1:18" ht="14.4" customHeight="1" x14ac:dyDescent="0.3">
      <c r="A558" s="5" t="s">
        <v>577</v>
      </c>
      <c r="B558" s="5" t="str">
        <f>VLOOKUP($A558,[1]!Customer_Names[#Data],3,0)</f>
        <v xml:space="preserve">  Simonezitrone Sr</v>
      </c>
      <c r="C558" s="5">
        <v>53.29</v>
      </c>
      <c r="D558" s="5" t="str" cm="1">
        <f t="array" ref="D558">_xlfn.IFS(Healthcare!$C558&lt;18.5,"under weight",Healthcare!$C558&lt;=24.9,"Normal Weight",Healthcare!$C558&gt;=25,"overweight",Healthcare!$C558&gt;=30,"obese")</f>
        <v>overweight</v>
      </c>
      <c r="E558" s="5">
        <v>4.03</v>
      </c>
      <c r="F558" s="5" t="str" cm="1">
        <f t="array" ref="F558">_xlfn.IFS(Healthcare!$E558&lt;5.7,"normal",Healthcare!$E558&lt;=6.4,"prediabetes",Healthcare!$E558&gt;=6.5,"diabetes")</f>
        <v>normal</v>
      </c>
      <c r="G558" s="5" t="s">
        <v>19</v>
      </c>
      <c r="H558" s="5" t="s">
        <v>19</v>
      </c>
      <c r="I558" s="5" t="s">
        <v>29</v>
      </c>
      <c r="J558" s="5">
        <v>1</v>
      </c>
      <c r="K558" s="5" t="s">
        <v>19</v>
      </c>
      <c r="L558" s="5" t="str">
        <f>VLOOKUP(Healthcare!$A558,hospital_details,2,0)</f>
        <v>10-Oct-1979</v>
      </c>
      <c r="M558" s="5">
        <f t="shared" ref="M558:M621" ca="1" si="3335">VLOOKUP(A558,hospital_details,3,0)</f>
        <v>47</v>
      </c>
      <c r="N558" s="5">
        <f t="shared" ref="N558:N621" si="3336">VLOOKUP($A558,hospital_details,4,0)</f>
        <v>2</v>
      </c>
      <c r="O558" s="6">
        <f t="shared" ref="O558:O621" si="3337">VLOOKUP($A558,hospital_details,5,0)</f>
        <v>17779.939999999999</v>
      </c>
      <c r="P558" s="5" t="str">
        <f t="shared" ref="P558:P621" si="3338">VLOOKUP($A558,hospital_details,6,0)</f>
        <v>tier - 1</v>
      </c>
      <c r="Q558" s="5" t="str">
        <f t="shared" ref="Q558:Q621" si="3339">VLOOKUP($A558,hospital_details,7,0)</f>
        <v>tier - 2</v>
      </c>
      <c r="R558" s="5" t="str">
        <f t="shared" ref="R558:R621" si="3340">VLOOKUP($A558,hospital_details,8,0)</f>
        <v>R1012</v>
      </c>
    </row>
    <row r="559" spans="1:18" ht="14.4" customHeight="1" x14ac:dyDescent="0.3">
      <c r="A559" s="7" t="s">
        <v>578</v>
      </c>
      <c r="B559" s="7" t="str">
        <f>VLOOKUP($A559,[1]!Customer_Names[#Data],3,0)</f>
        <v xml:space="preserve">  Nicholas</v>
      </c>
      <c r="C559" s="7">
        <v>46.63</v>
      </c>
      <c r="D559" s="7" t="str" cm="1">
        <f t="array" ref="D559">_xlfn.IFS(Healthcare!$C559&lt;18.5,"under weight",Healthcare!$C559&lt;=24.9,"Normal Weight",Healthcare!$C559&gt;=25,"overweight",Healthcare!$C559&gt;=30,"obese")</f>
        <v>overweight</v>
      </c>
      <c r="E559" s="7">
        <v>4.26</v>
      </c>
      <c r="F559" s="7" t="str" cm="1">
        <f t="array" ref="F559">_xlfn.IFS(Healthcare!$E559&lt;5.7,"normal",Healthcare!$E559&lt;=6.4,"prediabetes",Healthcare!$E559&gt;=6.5,"diabetes")</f>
        <v>normal</v>
      </c>
      <c r="G559" s="7" t="s">
        <v>20</v>
      </c>
      <c r="H559" s="7" t="s">
        <v>19</v>
      </c>
      <c r="I559" s="7" t="s">
        <v>19</v>
      </c>
      <c r="J559" s="7">
        <v>2</v>
      </c>
      <c r="K559" s="7" t="s">
        <v>19</v>
      </c>
      <c r="L559" s="7" t="str">
        <f>VLOOKUP(Healthcare!$A559,hospital_details,2,0)</f>
        <v>21-Jun-1966</v>
      </c>
      <c r="M559" s="7">
        <f t="shared" ref="M559:M622" ca="1" si="3341">VLOOKUP(A559,hospital_details,3,0)</f>
        <v>60</v>
      </c>
      <c r="N559" s="7">
        <f t="shared" ref="N559:N622" si="3342">VLOOKUP($A559,hospital_details,4,0)</f>
        <v>0</v>
      </c>
      <c r="O559" s="8">
        <f t="shared" ref="O559:O622" si="3343">VLOOKUP($A559,hospital_details,5,0)</f>
        <v>17777.73</v>
      </c>
      <c r="P559" s="7" t="str">
        <f t="shared" ref="P559:P622" si="3344">VLOOKUP($A559,hospital_details,6,0)</f>
        <v>tier - 1</v>
      </c>
      <c r="Q559" s="7" t="str">
        <f t="shared" ref="Q559:Q622" si="3345">VLOOKUP($A559,hospital_details,7,0)</f>
        <v>tier - 3</v>
      </c>
      <c r="R559" s="7" t="str">
        <f t="shared" ref="R559:R622" si="3346">VLOOKUP($A559,hospital_details,8,0)</f>
        <v>R1012</v>
      </c>
    </row>
    <row r="560" spans="1:18" ht="14.4" customHeight="1" x14ac:dyDescent="0.3">
      <c r="A560" s="5" t="s">
        <v>579</v>
      </c>
      <c r="B560" s="5" t="str">
        <f>VLOOKUP($A560,[1]!Customer_Names[#Data],3,0)</f>
        <v xml:space="preserve">  Angela M</v>
      </c>
      <c r="C560" s="5">
        <v>28.88</v>
      </c>
      <c r="D560" s="5" t="str" cm="1">
        <f t="array" ref="D560">_xlfn.IFS(Healthcare!$C560&lt;18.5,"under weight",Healthcare!$C560&lt;=24.9,"Normal Weight",Healthcare!$C560&gt;=25,"overweight",Healthcare!$C560&gt;=30,"obese")</f>
        <v>overweight</v>
      </c>
      <c r="E560" s="5">
        <v>5.35</v>
      </c>
      <c r="F560" s="5" t="str" cm="1">
        <f t="array" ref="F560">_xlfn.IFS(Healthcare!$E560&lt;5.7,"normal",Healthcare!$E560&lt;=6.4,"prediabetes",Healthcare!$E560&gt;=6.5,"diabetes")</f>
        <v>normal</v>
      </c>
      <c r="G560" s="5" t="s">
        <v>19</v>
      </c>
      <c r="H560" s="5" t="s">
        <v>19</v>
      </c>
      <c r="I560" s="5" t="s">
        <v>29</v>
      </c>
      <c r="J560" s="5">
        <v>1</v>
      </c>
      <c r="K560" s="5" t="s">
        <v>20</v>
      </c>
      <c r="L560" s="5" t="str">
        <f>VLOOKUP(Healthcare!$A560,hospital_details,2,0)</f>
        <v>14-Jul-2003</v>
      </c>
      <c r="M560" s="5">
        <f t="shared" ref="M560:M623" ca="1" si="3347">VLOOKUP(A560,hospital_details,3,0)</f>
        <v>23</v>
      </c>
      <c r="N560" s="5">
        <f t="shared" ref="N560:N623" si="3348">VLOOKUP($A560,hospital_details,4,0)</f>
        <v>0</v>
      </c>
      <c r="O560" s="6">
        <f t="shared" ref="O560:O623" si="3349">VLOOKUP($A560,hospital_details,5,0)</f>
        <v>17748.509999999998</v>
      </c>
      <c r="P560" s="5" t="str">
        <f t="shared" ref="P560:P623" si="3350">VLOOKUP($A560,hospital_details,6,0)</f>
        <v>tier - 1</v>
      </c>
      <c r="Q560" s="5" t="str">
        <f t="shared" ref="Q560:Q623" si="3351">VLOOKUP($A560,hospital_details,7,0)</f>
        <v>tier - 1</v>
      </c>
      <c r="R560" s="5" t="str">
        <f t="shared" ref="R560:R623" si="3352">VLOOKUP($A560,hospital_details,8,0)</f>
        <v>R1012</v>
      </c>
    </row>
    <row r="561" spans="1:18" ht="14.4" customHeight="1" x14ac:dyDescent="0.3">
      <c r="A561" s="7" t="s">
        <v>580</v>
      </c>
      <c r="B561" s="7" t="str">
        <f>VLOOKUP($A561,[1]!Customer_Names[#Data],3,0)</f>
        <v xml:space="preserve">  Oz</v>
      </c>
      <c r="C561" s="7">
        <v>23.98</v>
      </c>
      <c r="D561" s="7" t="str" cm="1">
        <f t="array" ref="D561">_xlfn.IFS(Healthcare!$C561&lt;18.5,"under weight",Healthcare!$C561&lt;=24.9,"Normal Weight",Healthcare!$C561&gt;=25,"overweight",Healthcare!$C561&gt;=30,"obese")</f>
        <v>Normal Weight</v>
      </c>
      <c r="E561" s="7">
        <v>4.9000000000000004</v>
      </c>
      <c r="F561" s="7" t="str" cm="1">
        <f t="array" ref="F561">_xlfn.IFS(Healthcare!$E561&lt;5.7,"normal",Healthcare!$E561&lt;=6.4,"prediabetes",Healthcare!$E561&gt;=6.5,"diabetes")</f>
        <v>normal</v>
      </c>
      <c r="G561" s="7" t="s">
        <v>19</v>
      </c>
      <c r="H561" s="7" t="s">
        <v>19</v>
      </c>
      <c r="I561" s="7" t="s">
        <v>19</v>
      </c>
      <c r="J561" s="7">
        <v>0</v>
      </c>
      <c r="K561" s="7" t="s">
        <v>581</v>
      </c>
      <c r="L561" s="7" t="str">
        <f>VLOOKUP(Healthcare!$A561,hospital_details,2,0)</f>
        <v>1-Jul-1994</v>
      </c>
      <c r="M561" s="7">
        <f t="shared" ref="M561:M624" ca="1" si="3353">VLOOKUP(A561,hospital_details,3,0)</f>
        <v>32</v>
      </c>
      <c r="N561" s="7">
        <f t="shared" ref="N561:N624" si="3354">VLOOKUP($A561,hospital_details,4,0)</f>
        <v>3</v>
      </c>
      <c r="O561" s="8">
        <f t="shared" ref="O561:O624" si="3355">VLOOKUP($A561,hospital_details,5,0)</f>
        <v>17663.14</v>
      </c>
      <c r="P561" s="7" t="str">
        <f t="shared" ref="P561:P624" si="3356">VLOOKUP($A561,hospital_details,6,0)</f>
        <v>tier - 1</v>
      </c>
      <c r="Q561" s="7" t="str">
        <f t="shared" ref="Q561:Q624" si="3357">VLOOKUP($A561,hospital_details,7,0)</f>
        <v>tier - 3</v>
      </c>
      <c r="R561" s="7" t="str">
        <f t="shared" ref="R561:R624" si="3358">VLOOKUP($A561,hospital_details,8,0)</f>
        <v>R1013</v>
      </c>
    </row>
    <row r="562" spans="1:18" ht="14.4" customHeight="1" x14ac:dyDescent="0.3">
      <c r="A562" s="5" t="s">
        <v>582</v>
      </c>
      <c r="B562" s="5" t="str">
        <f>VLOOKUP($A562,[1]!Customer_Names[#Data],3,0)</f>
        <v xml:space="preserve">  Erin M</v>
      </c>
      <c r="C562" s="5">
        <v>23.65</v>
      </c>
      <c r="D562" s="5" t="str" cm="1">
        <f t="array" ref="D562">_xlfn.IFS(Healthcare!$C562&lt;18.5,"under weight",Healthcare!$C562&lt;=24.9,"Normal Weight",Healthcare!$C562&gt;=25,"overweight",Healthcare!$C562&gt;=30,"obese")</f>
        <v>Normal Weight</v>
      </c>
      <c r="E562" s="5">
        <v>4.5</v>
      </c>
      <c r="F562" s="5" t="str" cm="1">
        <f t="array" ref="F562">_xlfn.IFS(Healthcare!$E562&lt;5.7,"normal",Healthcare!$E562&lt;=6.4,"prediabetes",Healthcare!$E562&gt;=6.5,"diabetes")</f>
        <v>normal</v>
      </c>
      <c r="G562" s="5" t="s">
        <v>19</v>
      </c>
      <c r="H562" s="5" t="s">
        <v>19</v>
      </c>
      <c r="I562" s="5" t="s">
        <v>19</v>
      </c>
      <c r="J562" s="5">
        <v>0</v>
      </c>
      <c r="K562" s="5" t="s">
        <v>19</v>
      </c>
      <c r="L562" s="5" t="str">
        <f>VLOOKUP(Healthcare!$A562,hospital_details,2,0)</f>
        <v>25-Oct-1990</v>
      </c>
      <c r="M562" s="5">
        <f t="shared" ref="M562:M625" ca="1" si="3359">VLOOKUP(A562,hospital_details,3,0)</f>
        <v>35</v>
      </c>
      <c r="N562" s="5">
        <f t="shared" ref="N562:N625" si="3360">VLOOKUP($A562,hospital_details,4,0)</f>
        <v>1</v>
      </c>
      <c r="O562" s="6">
        <f t="shared" ref="O562:O625" si="3361">VLOOKUP($A562,hospital_details,5,0)</f>
        <v>17626.240000000002</v>
      </c>
      <c r="P562" s="5" t="str">
        <f t="shared" ref="P562:P625" si="3362">VLOOKUP($A562,hospital_details,6,0)</f>
        <v>tier - 1</v>
      </c>
      <c r="Q562" s="5" t="str">
        <f t="shared" ref="Q562:Q625" si="3363">VLOOKUP($A562,hospital_details,7,0)</f>
        <v>tier - 3</v>
      </c>
      <c r="R562" s="5" t="str">
        <f t="shared" ref="R562:R625" si="3364">VLOOKUP($A562,hospital_details,8,0)</f>
        <v>R1013</v>
      </c>
    </row>
    <row r="563" spans="1:18" ht="14.4" customHeight="1" x14ac:dyDescent="0.3">
      <c r="A563" s="7" t="s">
        <v>583</v>
      </c>
      <c r="B563" s="7" t="str">
        <f>VLOOKUP($A563,[1]!Customer_Names[#Data],3,0)</f>
        <v xml:space="preserve">  Bobby E</v>
      </c>
      <c r="C563" s="7">
        <v>49.09</v>
      </c>
      <c r="D563" s="7" t="str" cm="1">
        <f t="array" ref="D563">_xlfn.IFS(Healthcare!$C563&lt;18.5,"under weight",Healthcare!$C563&lt;=24.9,"Normal Weight",Healthcare!$C563&gt;=25,"overweight",Healthcare!$C563&gt;=30,"obese")</f>
        <v>overweight</v>
      </c>
      <c r="E563" s="7">
        <v>8.3800000000000008</v>
      </c>
      <c r="F563" s="7" t="str" cm="1">
        <f t="array" ref="F563">_xlfn.IFS(Healthcare!$E563&lt;5.7,"normal",Healthcare!$E563&lt;=6.4,"prediabetes",Healthcare!$E563&gt;=6.5,"diabetes")</f>
        <v>diabetes</v>
      </c>
      <c r="G563" s="7" t="s">
        <v>20</v>
      </c>
      <c r="H563" s="7" t="s">
        <v>19</v>
      </c>
      <c r="I563" s="7" t="s">
        <v>19</v>
      </c>
      <c r="J563" s="7">
        <v>2</v>
      </c>
      <c r="K563" s="7" t="s">
        <v>19</v>
      </c>
      <c r="L563" s="7" t="str">
        <f>VLOOKUP(Healthcare!$A563,hospital_details,2,0)</f>
        <v>26-Jul-1970</v>
      </c>
      <c r="M563" s="7">
        <f t="shared" ref="M563:M626" ca="1" si="3365">VLOOKUP(A563,hospital_details,3,0)</f>
        <v>56</v>
      </c>
      <c r="N563" s="7">
        <f t="shared" ref="N563:N626" si="3366">VLOOKUP($A563,hospital_details,4,0)</f>
        <v>0</v>
      </c>
      <c r="O563" s="8">
        <f t="shared" ref="O563:O626" si="3367">VLOOKUP($A563,hospital_details,5,0)</f>
        <v>17584.72</v>
      </c>
      <c r="P563" s="7" t="str">
        <f t="shared" ref="P563:P626" si="3368">VLOOKUP($A563,hospital_details,6,0)</f>
        <v>tier - 1</v>
      </c>
      <c r="Q563" s="7" t="str">
        <f t="shared" ref="Q563:Q626" si="3369">VLOOKUP($A563,hospital_details,7,0)</f>
        <v>tier - 3</v>
      </c>
      <c r="R563" s="7" t="str">
        <f t="shared" ref="R563:R626" si="3370">VLOOKUP($A563,hospital_details,8,0)</f>
        <v>R1012</v>
      </c>
    </row>
    <row r="564" spans="1:18" ht="14.4" customHeight="1" x14ac:dyDescent="0.3">
      <c r="A564" s="5" t="s">
        <v>584</v>
      </c>
      <c r="B564" s="5" t="str">
        <f>VLOOKUP($A564,[1]!Customer_Names[#Data],3,0)</f>
        <v xml:space="preserve">  Daniel P</v>
      </c>
      <c r="C564" s="5">
        <v>28.024999999999999</v>
      </c>
      <c r="D564" s="5" t="str" cm="1">
        <f t="array" ref="D564">_xlfn.IFS(Healthcare!$C564&lt;18.5,"under weight",Healthcare!$C564&lt;=24.9,"Normal Weight",Healthcare!$C564&gt;=25,"overweight",Healthcare!$C564&gt;=30,"obese")</f>
        <v>overweight</v>
      </c>
      <c r="E564" s="5">
        <v>7.03</v>
      </c>
      <c r="F564" s="5" t="str" cm="1">
        <f t="array" ref="F564">_xlfn.IFS(Healthcare!$E564&lt;5.7,"normal",Healthcare!$E564&lt;=6.4,"prediabetes",Healthcare!$E564&gt;=6.5,"diabetes")</f>
        <v>diabetes</v>
      </c>
      <c r="G564" s="5" t="s">
        <v>19</v>
      </c>
      <c r="H564" s="5" t="s">
        <v>19</v>
      </c>
      <c r="I564" s="5" t="s">
        <v>19</v>
      </c>
      <c r="J564" s="5">
        <v>0</v>
      </c>
      <c r="K564" s="5" t="s">
        <v>20</v>
      </c>
      <c r="L564" s="5" t="str">
        <f>VLOOKUP(Healthcare!$A564,hospital_details,2,0)</f>
        <v>25-Aug-2002</v>
      </c>
      <c r="M564" s="5">
        <f t="shared" ref="M564:M627" ca="1" si="3371">VLOOKUP(A564,hospital_details,3,0)</f>
        <v>24</v>
      </c>
      <c r="N564" s="5">
        <f t="shared" ref="N564:N627" si="3372">VLOOKUP($A564,hospital_details,4,0)</f>
        <v>1</v>
      </c>
      <c r="O564" s="6">
        <f t="shared" ref="O564:O627" si="3373">VLOOKUP($A564,hospital_details,5,0)</f>
        <v>17560.38</v>
      </c>
      <c r="P564" s="5" t="str">
        <f t="shared" ref="P564:P627" si="3374">VLOOKUP($A564,hospital_details,6,0)</f>
        <v>tier - 1</v>
      </c>
      <c r="Q564" s="5" t="str">
        <f t="shared" ref="Q564:Q627" si="3375">VLOOKUP($A564,hospital_details,7,0)</f>
        <v>tier - 1</v>
      </c>
      <c r="R564" s="5" t="str">
        <f t="shared" ref="R564:R627" si="3376">VLOOKUP($A564,hospital_details,8,0)</f>
        <v>R1012</v>
      </c>
    </row>
    <row r="565" spans="1:18" ht="14.4" customHeight="1" x14ac:dyDescent="0.3">
      <c r="A565" s="7" t="s">
        <v>585</v>
      </c>
      <c r="B565" s="7" t="str">
        <f>VLOOKUP($A565,[1]!Customer_Names[#Data],3,0)</f>
        <v xml:space="preserve">  Marie E</v>
      </c>
      <c r="C565" s="7">
        <v>43.32</v>
      </c>
      <c r="D565" s="7" t="str" cm="1">
        <f t="array" ref="D565">_xlfn.IFS(Healthcare!$C565&lt;18.5,"under weight",Healthcare!$C565&lt;=24.9,"Normal Weight",Healthcare!$C565&gt;=25,"overweight",Healthcare!$C565&gt;=30,"obese")</f>
        <v>overweight</v>
      </c>
      <c r="E565" s="7">
        <v>8.75</v>
      </c>
      <c r="F565" s="7" t="str" cm="1">
        <f t="array" ref="F565">_xlfn.IFS(Healthcare!$E565&lt;5.7,"normal",Healthcare!$E565&lt;=6.4,"prediabetes",Healthcare!$E565&gt;=6.5,"diabetes")</f>
        <v>diabetes</v>
      </c>
      <c r="G565" s="7" t="s">
        <v>20</v>
      </c>
      <c r="H565" s="7" t="s">
        <v>19</v>
      </c>
      <c r="I565" s="7" t="s">
        <v>29</v>
      </c>
      <c r="J565" s="7">
        <v>1</v>
      </c>
      <c r="K565" s="7" t="s">
        <v>19</v>
      </c>
      <c r="L565" s="7" t="str">
        <f>VLOOKUP(Healthcare!$A565,hospital_details,2,0)</f>
        <v>16-Nov-1963</v>
      </c>
      <c r="M565" s="7">
        <f t="shared" ref="M565:M628" ca="1" si="3377">VLOOKUP(A565,hospital_details,3,0)</f>
        <v>62</v>
      </c>
      <c r="N565" s="7">
        <f t="shared" ref="N565:N628" si="3378">VLOOKUP($A565,hospital_details,4,0)</f>
        <v>0</v>
      </c>
      <c r="O565" s="8">
        <f t="shared" ref="O565:O628" si="3379">VLOOKUP($A565,hospital_details,5,0)</f>
        <v>17556.88</v>
      </c>
      <c r="P565" s="7" t="str">
        <f t="shared" ref="P565:P628" si="3380">VLOOKUP($A565,hospital_details,6,0)</f>
        <v>tier - 1</v>
      </c>
      <c r="Q565" s="7" t="str">
        <f t="shared" ref="Q565:Q628" si="3381">VLOOKUP($A565,hospital_details,7,0)</f>
        <v>tier - 2</v>
      </c>
      <c r="R565" s="7" t="str">
        <f t="shared" ref="R565:R628" si="3382">VLOOKUP($A565,hospital_details,8,0)</f>
        <v>R1012</v>
      </c>
    </row>
    <row r="566" spans="1:18" ht="14.4" customHeight="1" x14ac:dyDescent="0.3">
      <c r="A566" s="5" t="s">
        <v>586</v>
      </c>
      <c r="B566" s="5" t="str">
        <f>VLOOKUP($A566,[1]!Customer_Names[#Data],3,0)</f>
        <v xml:space="preserve">  Katie</v>
      </c>
      <c r="C566" s="5">
        <v>45.92</v>
      </c>
      <c r="D566" s="5" t="str" cm="1">
        <f t="array" ref="D566">_xlfn.IFS(Healthcare!$C566&lt;18.5,"under weight",Healthcare!$C566&lt;=24.9,"Normal Weight",Healthcare!$C566&gt;=25,"overweight",Healthcare!$C566&gt;=30,"obese")</f>
        <v>overweight</v>
      </c>
      <c r="E566" s="5">
        <v>9.51</v>
      </c>
      <c r="F566" s="5" t="str" cm="1">
        <f t="array" ref="F566">_xlfn.IFS(Healthcare!$E566&lt;5.7,"normal",Healthcare!$E566&lt;=6.4,"prediabetes",Healthcare!$E566&gt;=6.5,"diabetes")</f>
        <v>diabetes</v>
      </c>
      <c r="G566" s="5" t="s">
        <v>19</v>
      </c>
      <c r="H566" s="5" t="s">
        <v>19</v>
      </c>
      <c r="I566" s="5" t="s">
        <v>19</v>
      </c>
      <c r="J566" s="5">
        <v>0</v>
      </c>
      <c r="K566" s="5" t="s">
        <v>19</v>
      </c>
      <c r="L566" s="5" t="str">
        <f>VLOOKUP(Healthcare!$A566,hospital_details,2,0)</f>
        <v>12-Jul-1968</v>
      </c>
      <c r="M566" s="5">
        <f t="shared" ref="M566:M629" ca="1" si="3383">VLOOKUP(A566,hospital_details,3,0)</f>
        <v>58</v>
      </c>
      <c r="N566" s="5">
        <f t="shared" ref="N566:N629" si="3384">VLOOKUP($A566,hospital_details,4,0)</f>
        <v>0</v>
      </c>
      <c r="O566" s="6">
        <f t="shared" ref="O566:O629" si="3385">VLOOKUP($A566,hospital_details,5,0)</f>
        <v>17507.47</v>
      </c>
      <c r="P566" s="5" t="str">
        <f t="shared" ref="P566:P629" si="3386">VLOOKUP($A566,hospital_details,6,0)</f>
        <v>tier - 1</v>
      </c>
      <c r="Q566" s="5" t="str">
        <f t="shared" ref="Q566:Q629" si="3387">VLOOKUP($A566,hospital_details,7,0)</f>
        <v>tier - 1</v>
      </c>
      <c r="R566" s="5" t="str">
        <f t="shared" ref="R566:R629" si="3388">VLOOKUP($A566,hospital_details,8,0)</f>
        <v>R1026</v>
      </c>
    </row>
    <row r="567" spans="1:18" ht="14.4" customHeight="1" x14ac:dyDescent="0.3">
      <c r="A567" s="7" t="s">
        <v>587</v>
      </c>
      <c r="B567" s="7" t="str">
        <f>VLOOKUP($A567,[1]!Customer_Names[#Data],3,0)</f>
        <v xml:space="preserve">  Eric D</v>
      </c>
      <c r="C567" s="7">
        <v>44.03</v>
      </c>
      <c r="D567" s="7" t="str" cm="1">
        <f t="array" ref="D567">_xlfn.IFS(Healthcare!$C567&lt;18.5,"under weight",Healthcare!$C567&lt;=24.9,"Normal Weight",Healthcare!$C567&gt;=25,"overweight",Healthcare!$C567&gt;=30,"obese")</f>
        <v>overweight</v>
      </c>
      <c r="E567" s="7">
        <v>9.36</v>
      </c>
      <c r="F567" s="7" t="str" cm="1">
        <f t="array" ref="F567">_xlfn.IFS(Healthcare!$E567&lt;5.7,"normal",Healthcare!$E567&lt;=6.4,"prediabetes",Healthcare!$E567&gt;=6.5,"diabetes")</f>
        <v>diabetes</v>
      </c>
      <c r="G567" s="7" t="s">
        <v>19</v>
      </c>
      <c r="H567" s="7" t="s">
        <v>19</v>
      </c>
      <c r="I567" s="7" t="s">
        <v>19</v>
      </c>
      <c r="J567" s="7">
        <v>0</v>
      </c>
      <c r="K567" s="7" t="s">
        <v>19</v>
      </c>
      <c r="L567" s="7" t="str">
        <f>VLOOKUP(Healthcare!$A567,hospital_details,2,0)</f>
        <v>16-Jun-1965</v>
      </c>
      <c r="M567" s="7">
        <f t="shared" ref="M567:M630" ca="1" si="3389">VLOOKUP(A567,hospital_details,3,0)</f>
        <v>61</v>
      </c>
      <c r="N567" s="7">
        <f t="shared" ref="N567:N630" si="3390">VLOOKUP($A567,hospital_details,4,0)</f>
        <v>0</v>
      </c>
      <c r="O567" s="8">
        <f t="shared" ref="O567:O630" si="3391">VLOOKUP($A567,hospital_details,5,0)</f>
        <v>17505.650000000001</v>
      </c>
      <c r="P567" s="7" t="str">
        <f t="shared" ref="P567:P630" si="3392">VLOOKUP($A567,hospital_details,6,0)</f>
        <v>tier - 1</v>
      </c>
      <c r="Q567" s="7" t="str">
        <f t="shared" ref="Q567:Q630" si="3393">VLOOKUP($A567,hospital_details,7,0)</f>
        <v>tier - 2</v>
      </c>
      <c r="R567" s="7" t="str">
        <f t="shared" ref="R567:R630" si="3394">VLOOKUP($A567,hospital_details,8,0)</f>
        <v>R1023</v>
      </c>
    </row>
    <row r="568" spans="1:18" ht="14.4" customHeight="1" x14ac:dyDescent="0.3">
      <c r="A568" s="5" t="s">
        <v>588</v>
      </c>
      <c r="B568" s="5" t="str">
        <f>VLOOKUP($A568,[1]!Customer_Names[#Data],3,0)</f>
        <v xml:space="preserve">  Tara</v>
      </c>
      <c r="C568" s="5">
        <v>24.6</v>
      </c>
      <c r="D568" s="5" t="str" cm="1">
        <f t="array" ref="D568">_xlfn.IFS(Healthcare!$C568&lt;18.5,"under weight",Healthcare!$C568&lt;=24.9,"Normal Weight",Healthcare!$C568&gt;=25,"overweight",Healthcare!$C568&gt;=30,"obese")</f>
        <v>Normal Weight</v>
      </c>
      <c r="E568" s="5">
        <v>4.8099999999999996</v>
      </c>
      <c r="F568" s="5" t="str" cm="1">
        <f t="array" ref="F568">_xlfn.IFS(Healthcare!$E568&lt;5.7,"normal",Healthcare!$E568&lt;=6.4,"prediabetes",Healthcare!$E568&gt;=6.5,"diabetes")</f>
        <v>normal</v>
      </c>
      <c r="G568" s="5" t="s">
        <v>19</v>
      </c>
      <c r="H568" s="5" t="s">
        <v>19</v>
      </c>
      <c r="I568" s="5" t="s">
        <v>19</v>
      </c>
      <c r="J568" s="5">
        <v>0</v>
      </c>
      <c r="K568" s="5" t="s">
        <v>20</v>
      </c>
      <c r="L568" s="5" t="str">
        <f>VLOOKUP(Healthcare!$A568,hospital_details,2,0)</f>
        <v>29-Dec-1990</v>
      </c>
      <c r="M568" s="5">
        <f t="shared" ref="M568:M631" ca="1" si="3395">VLOOKUP(A568,hospital_details,3,0)</f>
        <v>35</v>
      </c>
      <c r="N568" s="5">
        <f t="shared" ref="N568:N631" si="3396">VLOOKUP($A568,hospital_details,4,0)</f>
        <v>0</v>
      </c>
      <c r="O568" s="6">
        <f t="shared" ref="O568:O631" si="3397">VLOOKUP($A568,hospital_details,5,0)</f>
        <v>17496.310000000001</v>
      </c>
      <c r="P568" s="5" t="str">
        <f t="shared" ref="P568:P631" si="3398">VLOOKUP($A568,hospital_details,6,0)</f>
        <v>tier - 1</v>
      </c>
      <c r="Q568" s="5" t="str">
        <f t="shared" ref="Q568:Q631" si="3399">VLOOKUP($A568,hospital_details,7,0)</f>
        <v>tier - 2</v>
      </c>
      <c r="R568" s="5" t="str">
        <f t="shared" ref="R568:R631" si="3400">VLOOKUP($A568,hospital_details,8,0)</f>
        <v>R1011</v>
      </c>
    </row>
    <row r="569" spans="1:18" ht="14.4" customHeight="1" x14ac:dyDescent="0.3">
      <c r="A569" s="7" t="s">
        <v>589</v>
      </c>
      <c r="B569" s="7" t="str">
        <f>VLOOKUP($A569,[1]!Customer_Names[#Data],3,0)</f>
        <v xml:space="preserve">  Haley L</v>
      </c>
      <c r="C569" s="7">
        <v>49.15</v>
      </c>
      <c r="D569" s="7" t="str" cm="1">
        <f t="array" ref="D569">_xlfn.IFS(Healthcare!$C569&lt;18.5,"under weight",Healthcare!$C569&lt;=24.9,"Normal Weight",Healthcare!$C569&gt;=25,"overweight",Healthcare!$C569&gt;=30,"obese")</f>
        <v>overweight</v>
      </c>
      <c r="E569" s="7">
        <v>8.08</v>
      </c>
      <c r="F569" s="7" t="str" cm="1">
        <f t="array" ref="F569">_xlfn.IFS(Healthcare!$E569&lt;5.7,"normal",Healthcare!$E569&lt;=6.4,"prediabetes",Healthcare!$E569&gt;=6.5,"diabetes")</f>
        <v>diabetes</v>
      </c>
      <c r="G569" s="7" t="s">
        <v>19</v>
      </c>
      <c r="H569" s="7" t="s">
        <v>19</v>
      </c>
      <c r="I569" s="7" t="s">
        <v>19</v>
      </c>
      <c r="J569" s="7">
        <v>0</v>
      </c>
      <c r="K569" s="7" t="s">
        <v>19</v>
      </c>
      <c r="L569" s="7" t="str">
        <f>VLOOKUP(Healthcare!$A569,hospital_details,2,0)</f>
        <v>8-Jun-1971</v>
      </c>
      <c r="M569" s="7">
        <f t="shared" ref="M569:M632" ca="1" si="3401">VLOOKUP(A569,hospital_details,3,0)</f>
        <v>55</v>
      </c>
      <c r="N569" s="7">
        <f t="shared" ref="N569:N632" si="3402">VLOOKUP($A569,hospital_details,4,0)</f>
        <v>0</v>
      </c>
      <c r="O569" s="8">
        <f t="shared" ref="O569:O632" si="3403">VLOOKUP($A569,hospital_details,5,0)</f>
        <v>17479.53</v>
      </c>
      <c r="P569" s="7" t="str">
        <f t="shared" ref="P569:P632" si="3404">VLOOKUP($A569,hospital_details,6,0)</f>
        <v>tier - 1</v>
      </c>
      <c r="Q569" s="7" t="str">
        <f t="shared" ref="Q569:Q632" si="3405">VLOOKUP($A569,hospital_details,7,0)</f>
        <v>tier - 1</v>
      </c>
      <c r="R569" s="7" t="str">
        <f t="shared" ref="R569:R632" si="3406">VLOOKUP($A569,hospital_details,8,0)</f>
        <v>R1012</v>
      </c>
    </row>
    <row r="570" spans="1:18" ht="14.4" customHeight="1" x14ac:dyDescent="0.3">
      <c r="A570" s="5" t="s">
        <v>590</v>
      </c>
      <c r="B570" s="5" t="str">
        <f>VLOOKUP($A570,[1]!Customer_Names[#Data],3,0)</f>
        <v xml:space="preserve">  Kayla B</v>
      </c>
      <c r="C570" s="5">
        <v>28.31</v>
      </c>
      <c r="D570" s="5" t="str" cm="1">
        <f t="array" ref="D570">_xlfn.IFS(Healthcare!$C570&lt;18.5,"under weight",Healthcare!$C570&lt;=24.9,"Normal Weight",Healthcare!$C570&gt;=25,"overweight",Healthcare!$C570&gt;=30,"obese")</f>
        <v>overweight</v>
      </c>
      <c r="E570" s="5">
        <v>6.29</v>
      </c>
      <c r="F570" s="5" t="str" cm="1">
        <f t="array" ref="F570">_xlfn.IFS(Healthcare!$E570&lt;5.7,"normal",Healthcare!$E570&lt;=6.4,"prediabetes",Healthcare!$E570&gt;=6.5,"diabetes")</f>
        <v>prediabetes</v>
      </c>
      <c r="G570" s="5" t="s">
        <v>19</v>
      </c>
      <c r="H570" s="5" t="s">
        <v>19</v>
      </c>
      <c r="I570" s="5" t="s">
        <v>29</v>
      </c>
      <c r="J570" s="5">
        <v>1</v>
      </c>
      <c r="K570" s="5" t="s">
        <v>20</v>
      </c>
      <c r="L570" s="5" t="str">
        <f>VLOOKUP(Healthcare!$A570,hospital_details,2,0)</f>
        <v>2-Nov-2003</v>
      </c>
      <c r="M570" s="5">
        <f t="shared" ref="M570:M633" ca="1" si="3407">VLOOKUP(A570,hospital_details,3,0)</f>
        <v>22</v>
      </c>
      <c r="N570" s="5">
        <f t="shared" ref="N570:N633" si="3408">VLOOKUP($A570,hospital_details,4,0)</f>
        <v>0</v>
      </c>
      <c r="O570" s="6">
        <f t="shared" ref="O570:O633" si="3409">VLOOKUP($A570,hospital_details,5,0)</f>
        <v>17468.98</v>
      </c>
      <c r="P570" s="5" t="str">
        <f t="shared" ref="P570:P633" si="3410">VLOOKUP($A570,hospital_details,6,0)</f>
        <v>tier - 2</v>
      </c>
      <c r="Q570" s="5" t="str">
        <f t="shared" ref="Q570:Q633" si="3411">VLOOKUP($A570,hospital_details,7,0)</f>
        <v>tier - 1</v>
      </c>
      <c r="R570" s="5" t="str">
        <f t="shared" ref="R570:R633" si="3412">VLOOKUP($A570,hospital_details,8,0)</f>
        <v>R1012</v>
      </c>
    </row>
    <row r="571" spans="1:18" ht="14.4" customHeight="1" x14ac:dyDescent="0.3">
      <c r="A571" s="7" t="s">
        <v>591</v>
      </c>
      <c r="B571" s="7" t="str">
        <f>VLOOKUP($A571,[1]!Customer_Names[#Data],3,0)</f>
        <v xml:space="preserve">  Mark D</v>
      </c>
      <c r="C571" s="7">
        <v>22.99</v>
      </c>
      <c r="D571" s="7" t="str" cm="1">
        <f t="array" ref="D571">_xlfn.IFS(Healthcare!$C571&lt;18.5,"under weight",Healthcare!$C571&lt;=24.9,"Normal Weight",Healthcare!$C571&gt;=25,"overweight",Healthcare!$C571&gt;=30,"obese")</f>
        <v>Normal Weight</v>
      </c>
      <c r="E571" s="7">
        <v>6.29</v>
      </c>
      <c r="F571" s="7" t="str" cm="1">
        <f t="array" ref="F571">_xlfn.IFS(Healthcare!$E571&lt;5.7,"normal",Healthcare!$E571&lt;=6.4,"prediabetes",Healthcare!$E571&gt;=6.5,"diabetes")</f>
        <v>prediabetes</v>
      </c>
      <c r="G571" s="7" t="s">
        <v>19</v>
      </c>
      <c r="H571" s="7" t="s">
        <v>19</v>
      </c>
      <c r="I571" s="7" t="s">
        <v>19</v>
      </c>
      <c r="J571" s="7">
        <v>1</v>
      </c>
      <c r="K571" s="7" t="s">
        <v>20</v>
      </c>
      <c r="L571" s="7" t="str">
        <f>VLOOKUP(Healthcare!$A571,hospital_details,2,0)</f>
        <v>18-Oct-1992</v>
      </c>
      <c r="M571" s="7">
        <f t="shared" ref="M571:M634" ca="1" si="3413">VLOOKUP(A571,hospital_details,3,0)</f>
        <v>34</v>
      </c>
      <c r="N571" s="7">
        <f t="shared" ref="N571:N634" si="3414">VLOOKUP($A571,hospital_details,4,0)</f>
        <v>2</v>
      </c>
      <c r="O571" s="8">
        <f t="shared" ref="O571:O634" si="3415">VLOOKUP($A571,hospital_details,5,0)</f>
        <v>17361.77</v>
      </c>
      <c r="P571" s="7" t="str">
        <f t="shared" ref="P571:P634" si="3416">VLOOKUP($A571,hospital_details,6,0)</f>
        <v>tier - 2</v>
      </c>
      <c r="Q571" s="7" t="str">
        <f t="shared" ref="Q571:Q634" si="3417">VLOOKUP($A571,hospital_details,7,0)</f>
        <v>tier - 1</v>
      </c>
      <c r="R571" s="7" t="str">
        <f t="shared" ref="R571:R634" si="3418">VLOOKUP($A571,hospital_details,8,0)</f>
        <v>R1012</v>
      </c>
    </row>
    <row r="572" spans="1:18" ht="14.4" customHeight="1" x14ac:dyDescent="0.3">
      <c r="A572" s="5" t="s">
        <v>592</v>
      </c>
      <c r="B572" s="5" t="str">
        <f>VLOOKUP($A572,[1]!Customer_Names[#Data],3,0)</f>
        <v xml:space="preserve">  Patrick J</v>
      </c>
      <c r="C572" s="5">
        <v>29.07</v>
      </c>
      <c r="D572" s="5" t="str" cm="1">
        <f t="array" ref="D572">_xlfn.IFS(Healthcare!$C572&lt;18.5,"under weight",Healthcare!$C572&lt;=24.9,"Normal Weight",Healthcare!$C572&gt;=25,"overweight",Healthcare!$C572&gt;=30,"obese")</f>
        <v>overweight</v>
      </c>
      <c r="E572" s="5">
        <v>5.12</v>
      </c>
      <c r="F572" s="5" t="str" cm="1">
        <f t="array" ref="F572">_xlfn.IFS(Healthcare!$E572&lt;5.7,"normal",Healthcare!$E572&lt;=6.4,"prediabetes",Healthcare!$E572&gt;=6.5,"diabetes")</f>
        <v>normal</v>
      </c>
      <c r="G572" s="5" t="s">
        <v>19</v>
      </c>
      <c r="H572" s="5" t="s">
        <v>19</v>
      </c>
      <c r="I572" s="5" t="s">
        <v>29</v>
      </c>
      <c r="J572" s="5">
        <v>1</v>
      </c>
      <c r="K572" s="5" t="s">
        <v>20</v>
      </c>
      <c r="L572" s="5" t="str">
        <f>VLOOKUP(Healthcare!$A572,hospital_details,2,0)</f>
        <v>1-Nov-2003</v>
      </c>
      <c r="M572" s="5">
        <f t="shared" ref="M572:M635" ca="1" si="3419">VLOOKUP(A572,hospital_details,3,0)</f>
        <v>22</v>
      </c>
      <c r="N572" s="5">
        <f t="shared" ref="N572:N635" si="3420">VLOOKUP($A572,hospital_details,4,0)</f>
        <v>0</v>
      </c>
      <c r="O572" s="6">
        <f t="shared" ref="O572:O635" si="3421">VLOOKUP($A572,hospital_details,5,0)</f>
        <v>17352.68</v>
      </c>
      <c r="P572" s="5" t="str">
        <f t="shared" ref="P572:P635" si="3422">VLOOKUP($A572,hospital_details,6,0)</f>
        <v>tier - 2</v>
      </c>
      <c r="Q572" s="5" t="str">
        <f t="shared" ref="Q572:Q635" si="3423">VLOOKUP($A572,hospital_details,7,0)</f>
        <v>tier - 3</v>
      </c>
      <c r="R572" s="5" t="str">
        <f t="shared" ref="R572:R635" si="3424">VLOOKUP($A572,hospital_details,8,0)</f>
        <v>R1012</v>
      </c>
    </row>
    <row r="573" spans="1:18" ht="14.4" customHeight="1" x14ac:dyDescent="0.3">
      <c r="A573" s="7" t="s">
        <v>593</v>
      </c>
      <c r="B573" s="7" t="str">
        <f>VLOOKUP($A573,[1]!Customer_Names[#Data],3,0)</f>
        <v xml:space="preserve">  Alejandro</v>
      </c>
      <c r="C573" s="7">
        <v>42.02</v>
      </c>
      <c r="D573" s="7" t="str" cm="1">
        <f t="array" ref="D573">_xlfn.IFS(Healthcare!$C573&lt;18.5,"under weight",Healthcare!$C573&lt;=24.9,"Normal Weight",Healthcare!$C573&gt;=25,"overweight",Healthcare!$C573&gt;=30,"obese")</f>
        <v>overweight</v>
      </c>
      <c r="E573" s="7">
        <v>9.9499999999999993</v>
      </c>
      <c r="F573" s="7" t="str" cm="1">
        <f t="array" ref="F573">_xlfn.IFS(Healthcare!$E573&lt;5.7,"normal",Healthcare!$E573&lt;=6.4,"prediabetes",Healthcare!$E573&gt;=6.5,"diabetes")</f>
        <v>diabetes</v>
      </c>
      <c r="G573" s="7" t="s">
        <v>20</v>
      </c>
      <c r="H573" s="7" t="s">
        <v>19</v>
      </c>
      <c r="I573" s="7" t="s">
        <v>29</v>
      </c>
      <c r="J573" s="7">
        <v>1</v>
      </c>
      <c r="K573" s="7" t="s">
        <v>19</v>
      </c>
      <c r="L573" s="7" t="str">
        <f>VLOOKUP(Healthcare!$A573,hospital_details,2,0)</f>
        <v>12-Jul-1963</v>
      </c>
      <c r="M573" s="7">
        <f t="shared" ref="M573:M636" ca="1" si="3425">VLOOKUP(A573,hospital_details,3,0)</f>
        <v>63</v>
      </c>
      <c r="N573" s="7">
        <f t="shared" ref="N573:N636" si="3426">VLOOKUP($A573,hospital_details,4,0)</f>
        <v>0</v>
      </c>
      <c r="O573" s="8">
        <f t="shared" ref="O573:O636" si="3427">VLOOKUP($A573,hospital_details,5,0)</f>
        <v>17337.580000000002</v>
      </c>
      <c r="P573" s="7" t="str">
        <f t="shared" ref="P573:P636" si="3428">VLOOKUP($A573,hospital_details,6,0)</f>
        <v>tier - 2</v>
      </c>
      <c r="Q573" s="7" t="str">
        <f t="shared" ref="Q573:Q636" si="3429">VLOOKUP($A573,hospital_details,7,0)</f>
        <v>tier - 3</v>
      </c>
      <c r="R573" s="7" t="str">
        <f t="shared" ref="R573:R636" si="3430">VLOOKUP($A573,hospital_details,8,0)</f>
        <v>R1023</v>
      </c>
    </row>
    <row r="574" spans="1:18" ht="14.4" customHeight="1" x14ac:dyDescent="0.3">
      <c r="A574" s="5" t="s">
        <v>594</v>
      </c>
      <c r="B574" s="5" t="str">
        <f>VLOOKUP($A574,[1]!Customer_Names[#Data],3,0)</f>
        <v xml:space="preserve">  Beth A</v>
      </c>
      <c r="C574" s="5">
        <v>49.07</v>
      </c>
      <c r="D574" s="5" t="str" cm="1">
        <f t="array" ref="D574">_xlfn.IFS(Healthcare!$C574&lt;18.5,"under weight",Healthcare!$C574&lt;=24.9,"Normal Weight",Healthcare!$C574&gt;=25,"overweight",Healthcare!$C574&gt;=30,"obese")</f>
        <v>overweight</v>
      </c>
      <c r="E574" s="5">
        <v>9.08</v>
      </c>
      <c r="F574" s="5" t="str" cm="1">
        <f t="array" ref="F574">_xlfn.IFS(Healthcare!$E574&lt;5.7,"normal",Healthcare!$E574&lt;=6.4,"prediabetes",Healthcare!$E574&gt;=6.5,"diabetes")</f>
        <v>diabetes</v>
      </c>
      <c r="G574" s="5" t="s">
        <v>20</v>
      </c>
      <c r="H574" s="5" t="s">
        <v>19</v>
      </c>
      <c r="I574" s="5" t="s">
        <v>19</v>
      </c>
      <c r="J574" s="5">
        <v>1</v>
      </c>
      <c r="K574" s="5" t="s">
        <v>19</v>
      </c>
      <c r="L574" s="5" t="str">
        <f>VLOOKUP(Healthcare!$A574,hospital_details,2,0)</f>
        <v>25-Aug-1975</v>
      </c>
      <c r="M574" s="5">
        <f t="shared" ref="M574:M637" ca="1" si="3431">VLOOKUP(A574,hospital_details,3,0)</f>
        <v>51</v>
      </c>
      <c r="N574" s="5">
        <f t="shared" ref="N574:N637" si="3432">VLOOKUP($A574,hospital_details,4,0)</f>
        <v>1</v>
      </c>
      <c r="O574" s="6">
        <f t="shared" ref="O574:O637" si="3433">VLOOKUP($A574,hospital_details,5,0)</f>
        <v>17253.43</v>
      </c>
      <c r="P574" s="5" t="str">
        <f t="shared" ref="P574:P637" si="3434">VLOOKUP($A574,hospital_details,6,0)</f>
        <v>tier - 2</v>
      </c>
      <c r="Q574" s="5" t="str">
        <f t="shared" ref="Q574:Q637" si="3435">VLOOKUP($A574,hospital_details,7,0)</f>
        <v>tier - 3</v>
      </c>
      <c r="R574" s="5" t="str">
        <f t="shared" ref="R574:R637" si="3436">VLOOKUP($A574,hospital_details,8,0)</f>
        <v>R1026</v>
      </c>
    </row>
    <row r="575" spans="1:18" ht="14.4" customHeight="1" x14ac:dyDescent="0.3">
      <c r="A575" s="7" t="s">
        <v>595</v>
      </c>
      <c r="B575" s="7" t="str">
        <f>VLOOKUP($A575,[1]!Customer_Names[#Data],3,0)</f>
        <v xml:space="preserve">  Jason R</v>
      </c>
      <c r="C575" s="7">
        <v>19.8</v>
      </c>
      <c r="D575" s="7" t="str" cm="1">
        <f t="array" ref="D575">_xlfn.IFS(Healthcare!$C575&lt;18.5,"under weight",Healthcare!$C575&lt;=24.9,"Normal Weight",Healthcare!$C575&gt;=25,"overweight",Healthcare!$C575&gt;=30,"obese")</f>
        <v>Normal Weight</v>
      </c>
      <c r="E575" s="7">
        <v>4.82</v>
      </c>
      <c r="F575" s="7" t="str" cm="1">
        <f t="array" ref="F575">_xlfn.IFS(Healthcare!$E575&lt;5.7,"normal",Healthcare!$E575&lt;=6.4,"prediabetes",Healthcare!$E575&gt;=6.5,"diabetes")</f>
        <v>normal</v>
      </c>
      <c r="G575" s="7" t="s">
        <v>19</v>
      </c>
      <c r="H575" s="7" t="s">
        <v>19</v>
      </c>
      <c r="I575" s="7" t="s">
        <v>19</v>
      </c>
      <c r="J575" s="7">
        <v>0</v>
      </c>
      <c r="K575" s="7" t="s">
        <v>20</v>
      </c>
      <c r="L575" s="7" t="str">
        <f>VLOOKUP(Healthcare!$A575,hospital_details,2,0)</f>
        <v>22-Oct-1982</v>
      </c>
      <c r="M575" s="7">
        <f t="shared" ref="M575:M638" ca="1" si="3437">VLOOKUP(A575,hospital_details,3,0)</f>
        <v>43</v>
      </c>
      <c r="N575" s="7">
        <f t="shared" ref="N575:N638" si="3438">VLOOKUP($A575,hospital_details,4,0)</f>
        <v>1</v>
      </c>
      <c r="O575" s="8">
        <f t="shared" ref="O575:O638" si="3439">VLOOKUP($A575,hospital_details,5,0)</f>
        <v>17179.52</v>
      </c>
      <c r="P575" s="7" t="str">
        <f t="shared" ref="P575:P638" si="3440">VLOOKUP($A575,hospital_details,6,0)</f>
        <v>tier - 2</v>
      </c>
      <c r="Q575" s="7" t="str">
        <f t="shared" ref="Q575:Q638" si="3441">VLOOKUP($A575,hospital_details,7,0)</f>
        <v>tier - 1</v>
      </c>
      <c r="R575" s="7" t="str">
        <f t="shared" ref="R575:R638" si="3442">VLOOKUP($A575,hospital_details,8,0)</f>
        <v>R1013</v>
      </c>
    </row>
    <row r="576" spans="1:18" ht="14.4" customHeight="1" x14ac:dyDescent="0.3">
      <c r="A576" s="5" t="s">
        <v>596</v>
      </c>
      <c r="B576" s="5" t="str">
        <f>VLOOKUP($A576,[1]!Customer_Names[#Data],3,0)</f>
        <v xml:space="preserve">  Yoshinori</v>
      </c>
      <c r="C576" s="5">
        <v>27.36</v>
      </c>
      <c r="D576" s="5" t="str" cm="1">
        <f t="array" ref="D576">_xlfn.IFS(Healthcare!$C576&lt;18.5,"under weight",Healthcare!$C576&lt;=24.9,"Normal Weight",Healthcare!$C576&gt;=25,"overweight",Healthcare!$C576&gt;=30,"obese")</f>
        <v>overweight</v>
      </c>
      <c r="E576" s="5">
        <v>4.6500000000000004</v>
      </c>
      <c r="F576" s="5" t="str" cm="1">
        <f t="array" ref="F576">_xlfn.IFS(Healthcare!$E576&lt;5.7,"normal",Healthcare!$E576&lt;=6.4,"prediabetes",Healthcare!$E576&gt;=6.5,"diabetes")</f>
        <v>normal</v>
      </c>
      <c r="G576" s="5" t="s">
        <v>19</v>
      </c>
      <c r="H576" s="5" t="s">
        <v>20</v>
      </c>
      <c r="I576" s="5" t="s">
        <v>19</v>
      </c>
      <c r="J576" s="5">
        <v>1</v>
      </c>
      <c r="K576" s="5" t="s">
        <v>20</v>
      </c>
      <c r="L576" s="5" t="str">
        <f>VLOOKUP(Healthcare!$A576,hospital_details,2,0)</f>
        <v>18-Aug-2004</v>
      </c>
      <c r="M576" s="5">
        <f t="shared" ref="M576:M639" ca="1" si="3443">VLOOKUP(A576,hospital_details,3,0)</f>
        <v>22</v>
      </c>
      <c r="N576" s="5">
        <f t="shared" ref="N576:N639" si="3444">VLOOKUP($A576,hospital_details,4,0)</f>
        <v>1</v>
      </c>
      <c r="O576" s="6">
        <f t="shared" ref="O576:O639" si="3445">VLOOKUP($A576,hospital_details,5,0)</f>
        <v>17178.68</v>
      </c>
      <c r="P576" s="5" t="str">
        <f t="shared" ref="P576:P639" si="3446">VLOOKUP($A576,hospital_details,6,0)</f>
        <v>tier - 2</v>
      </c>
      <c r="Q576" s="5" t="str">
        <f t="shared" ref="Q576:Q639" si="3447">VLOOKUP($A576,hospital_details,7,0)</f>
        <v>tier - 2</v>
      </c>
      <c r="R576" s="5" t="str">
        <f t="shared" ref="R576:R639" si="3448">VLOOKUP($A576,hospital_details,8,0)</f>
        <v>R1019</v>
      </c>
    </row>
    <row r="577" spans="1:18" ht="14.4" customHeight="1" x14ac:dyDescent="0.3">
      <c r="A577" s="7" t="s">
        <v>597</v>
      </c>
      <c r="B577" s="7" t="str">
        <f>VLOOKUP($A577,[1]!Customer_Names[#Data],3,0)</f>
        <v xml:space="preserve">  Adrienne G</v>
      </c>
      <c r="C577" s="7">
        <v>42.95</v>
      </c>
      <c r="D577" s="7" t="str" cm="1">
        <f t="array" ref="D577">_xlfn.IFS(Healthcare!$C577&lt;18.5,"under weight",Healthcare!$C577&lt;=24.9,"Normal Weight",Healthcare!$C577&gt;=25,"overweight",Healthcare!$C577&gt;=30,"obese")</f>
        <v>overweight</v>
      </c>
      <c r="E577" s="7">
        <v>5.16</v>
      </c>
      <c r="F577" s="7" t="str" cm="1">
        <f t="array" ref="F577">_xlfn.IFS(Healthcare!$E577&lt;5.7,"normal",Healthcare!$E577&lt;=6.4,"prediabetes",Healthcare!$E577&gt;=6.5,"diabetes")</f>
        <v>normal</v>
      </c>
      <c r="G577" s="7" t="s">
        <v>20</v>
      </c>
      <c r="H577" s="7" t="s">
        <v>19</v>
      </c>
      <c r="I577" s="7" t="s">
        <v>19</v>
      </c>
      <c r="J577" s="7">
        <v>1</v>
      </c>
      <c r="K577" s="7" t="s">
        <v>19</v>
      </c>
      <c r="L577" s="7" t="str">
        <f>VLOOKUP(Healthcare!$A577,hospital_details,2,0)</f>
        <v>7-Jun-1964</v>
      </c>
      <c r="M577" s="7">
        <f t="shared" ref="M577:M640" ca="1" si="3449">VLOOKUP(A577,hospital_details,3,0)</f>
        <v>62</v>
      </c>
      <c r="N577" s="7">
        <f t="shared" ref="N577:N640" si="3450">VLOOKUP($A577,hospital_details,4,0)</f>
        <v>0</v>
      </c>
      <c r="O577" s="8">
        <f t="shared" ref="O577:O640" si="3451">VLOOKUP($A577,hospital_details,5,0)</f>
        <v>17174.52</v>
      </c>
      <c r="P577" s="7" t="str">
        <f t="shared" ref="P577:P640" si="3452">VLOOKUP($A577,hospital_details,6,0)</f>
        <v>tier - 2</v>
      </c>
      <c r="Q577" s="7" t="str">
        <f t="shared" ref="Q577:Q640" si="3453">VLOOKUP($A577,hospital_details,7,0)</f>
        <v>tier - 2</v>
      </c>
      <c r="R577" s="7" t="str">
        <f t="shared" ref="R577:R640" si="3454">VLOOKUP($A577,hospital_details,8,0)</f>
        <v>R1012</v>
      </c>
    </row>
    <row r="578" spans="1:18" ht="14.4" customHeight="1" x14ac:dyDescent="0.3">
      <c r="A578" s="5" t="s">
        <v>598</v>
      </c>
      <c r="B578" s="5" t="str">
        <f>VLOOKUP($A578,[1]!Customer_Names[#Data],3,0)</f>
        <v xml:space="preserve">  Meredith</v>
      </c>
      <c r="C578" s="5">
        <v>42.66</v>
      </c>
      <c r="D578" s="5" t="str" cm="1">
        <f t="array" ref="D578">_xlfn.IFS(Healthcare!$C578&lt;18.5,"under weight",Healthcare!$C578&lt;=24.9,"Normal Weight",Healthcare!$C578&gt;=25,"overweight",Healthcare!$C578&gt;=30,"obese")</f>
        <v>overweight</v>
      </c>
      <c r="E578" s="5">
        <v>10.44</v>
      </c>
      <c r="F578" s="5" t="str" cm="1">
        <f t="array" ref="F578">_xlfn.IFS(Healthcare!$E578&lt;5.7,"normal",Healthcare!$E578&lt;=6.4,"prediabetes",Healthcare!$E578&gt;=6.5,"diabetes")</f>
        <v>diabetes</v>
      </c>
      <c r="G578" s="5" t="s">
        <v>19</v>
      </c>
      <c r="H578" s="5" t="s">
        <v>19</v>
      </c>
      <c r="I578" s="5" t="s">
        <v>19</v>
      </c>
      <c r="J578" s="5">
        <v>0</v>
      </c>
      <c r="K578" s="5" t="s">
        <v>19</v>
      </c>
      <c r="L578" s="5" t="str">
        <f>VLOOKUP(Healthcare!$A578,hospital_details,2,0)</f>
        <v>16-Sep-1965</v>
      </c>
      <c r="M578" s="5">
        <f t="shared" ref="M578:M641" ca="1" si="3455">VLOOKUP(A578,hospital_details,3,0)</f>
        <v>61</v>
      </c>
      <c r="N578" s="5">
        <f t="shared" ref="N578:N641" si="3456">VLOOKUP($A578,hospital_details,4,0)</f>
        <v>0</v>
      </c>
      <c r="O578" s="6">
        <f t="shared" ref="O578:O641" si="3457">VLOOKUP($A578,hospital_details,5,0)</f>
        <v>17172.27</v>
      </c>
      <c r="P578" s="5" t="str">
        <f t="shared" ref="P578:P641" si="3458">VLOOKUP($A578,hospital_details,6,0)</f>
        <v>tier - 2</v>
      </c>
      <c r="Q578" s="5" t="str">
        <f t="shared" ref="Q578:Q641" si="3459">VLOOKUP($A578,hospital_details,7,0)</f>
        <v>tier - 2</v>
      </c>
      <c r="R578" s="5" t="str">
        <f t="shared" ref="R578:R641" si="3460">VLOOKUP($A578,hospital_details,8,0)</f>
        <v>R1026</v>
      </c>
    </row>
    <row r="579" spans="1:18" ht="14.4" customHeight="1" x14ac:dyDescent="0.3">
      <c r="A579" s="7" t="s">
        <v>599</v>
      </c>
      <c r="B579" s="7" t="str">
        <f>VLOOKUP($A579,[1]!Customer_Names[#Data],3,0)</f>
        <v xml:space="preserve">  Junyong</v>
      </c>
      <c r="C579" s="7">
        <v>33.630000000000003</v>
      </c>
      <c r="D579" s="7" t="str" cm="1">
        <f t="array" ref="D579">_xlfn.IFS(Healthcare!$C579&lt;18.5,"under weight",Healthcare!$C579&lt;=24.9,"Normal Weight",Healthcare!$C579&gt;=25,"overweight",Healthcare!$C579&gt;=30,"obese")</f>
        <v>overweight</v>
      </c>
      <c r="E579" s="7">
        <v>5.69</v>
      </c>
      <c r="F579" s="7" t="str" cm="1">
        <f t="array" ref="F579">_xlfn.IFS(Healthcare!$E579&lt;5.7,"normal",Healthcare!$E579&lt;=6.4,"prediabetes",Healthcare!$E579&gt;=6.5,"diabetes")</f>
        <v>normal</v>
      </c>
      <c r="G579" s="7" t="s">
        <v>19</v>
      </c>
      <c r="H579" s="7" t="s">
        <v>19</v>
      </c>
      <c r="I579" s="7" t="s">
        <v>19</v>
      </c>
      <c r="J579" s="7">
        <v>1</v>
      </c>
      <c r="K579" s="7" t="s">
        <v>19</v>
      </c>
      <c r="L579" s="7" t="str">
        <f>VLOOKUP(Healthcare!$A579,hospital_details,2,0)</f>
        <v>3-Jun-1998</v>
      </c>
      <c r="M579" s="7">
        <f t="shared" ref="M579:M642" ca="1" si="3461">VLOOKUP(A579,hospital_details,3,0)</f>
        <v>28</v>
      </c>
      <c r="N579" s="7">
        <f t="shared" ref="N579:N642" si="3462">VLOOKUP($A579,hospital_details,4,0)</f>
        <v>4</v>
      </c>
      <c r="O579" s="8">
        <f t="shared" ref="O579:O642" si="3463">VLOOKUP($A579,hospital_details,5,0)</f>
        <v>17128.43</v>
      </c>
      <c r="P579" s="7" t="str">
        <f t="shared" ref="P579:P642" si="3464">VLOOKUP($A579,hospital_details,6,0)</f>
        <v>tier - 2</v>
      </c>
      <c r="Q579" s="7" t="str">
        <f t="shared" ref="Q579:Q642" si="3465">VLOOKUP($A579,hospital_details,7,0)</f>
        <v>tier - 3</v>
      </c>
      <c r="R579" s="7" t="str">
        <f t="shared" ref="R579:R642" si="3466">VLOOKUP($A579,hospital_details,8,0)</f>
        <v>R1016</v>
      </c>
    </row>
    <row r="580" spans="1:18" ht="14.4" customHeight="1" x14ac:dyDescent="0.3">
      <c r="A580" s="5" t="s">
        <v>600</v>
      </c>
      <c r="B580" s="5" t="str">
        <f>VLOOKUP($A580,[1]!Customer_Names[#Data],3,0)</f>
        <v xml:space="preserve">  Kristen A</v>
      </c>
      <c r="C580" s="5">
        <v>26.84</v>
      </c>
      <c r="D580" s="5" t="str" cm="1">
        <f t="array" ref="D580">_xlfn.IFS(Healthcare!$C580&lt;18.5,"under weight",Healthcare!$C580&lt;=24.9,"Normal Weight",Healthcare!$C580&gt;=25,"overweight",Healthcare!$C580&gt;=30,"obese")</f>
        <v>overweight</v>
      </c>
      <c r="E580" s="5">
        <v>6.5</v>
      </c>
      <c r="F580" s="5" t="str" cm="1">
        <f t="array" ref="F580">_xlfn.IFS(Healthcare!$E580&lt;5.7,"normal",Healthcare!$E580&lt;=6.4,"prediabetes",Healthcare!$E580&gt;=6.5,"diabetes")</f>
        <v>diabetes</v>
      </c>
      <c r="G580" s="5" t="s">
        <v>19</v>
      </c>
      <c r="H580" s="5" t="s">
        <v>19</v>
      </c>
      <c r="I580" s="5" t="s">
        <v>19</v>
      </c>
      <c r="J580" s="5">
        <v>0</v>
      </c>
      <c r="K580" s="5" t="s">
        <v>20</v>
      </c>
      <c r="L580" s="5" t="str">
        <f>VLOOKUP(Healthcare!$A580,hospital_details,2,0)</f>
        <v>28-Jun-2002</v>
      </c>
      <c r="M580" s="5">
        <f t="shared" ref="M580:M643" ca="1" si="3467">VLOOKUP(A580,hospital_details,3,0)</f>
        <v>24</v>
      </c>
      <c r="N580" s="5">
        <f t="shared" ref="N580:N643" si="3468">VLOOKUP($A580,hospital_details,4,0)</f>
        <v>1</v>
      </c>
      <c r="O580" s="6">
        <f t="shared" ref="O580:O643" si="3469">VLOOKUP($A580,hospital_details,5,0)</f>
        <v>17085.27</v>
      </c>
      <c r="P580" s="5" t="str">
        <f t="shared" ref="P580:P643" si="3470">VLOOKUP($A580,hospital_details,6,0)</f>
        <v>tier - 2</v>
      </c>
      <c r="Q580" s="5" t="str">
        <f t="shared" ref="Q580:Q643" si="3471">VLOOKUP($A580,hospital_details,7,0)</f>
        <v>tier - 3</v>
      </c>
      <c r="R580" s="5" t="str">
        <f t="shared" ref="R580:R643" si="3472">VLOOKUP($A580,hospital_details,8,0)</f>
        <v>R1013</v>
      </c>
    </row>
    <row r="581" spans="1:18" ht="14.4" customHeight="1" x14ac:dyDescent="0.3">
      <c r="A581" s="7" t="s">
        <v>601</v>
      </c>
      <c r="B581" s="7" t="str">
        <f>VLOOKUP($A581,[1]!Customer_Names[#Data],3,0)</f>
        <v xml:space="preserve">  Maria I</v>
      </c>
      <c r="C581" s="7">
        <v>28.3</v>
      </c>
      <c r="D581" s="7" t="str" cm="1">
        <f t="array" ref="D581">_xlfn.IFS(Healthcare!$C581&lt;18.5,"under weight",Healthcare!$C581&lt;=24.9,"Normal Weight",Healthcare!$C581&gt;=25,"overweight",Healthcare!$C581&gt;=30,"obese")</f>
        <v>overweight</v>
      </c>
      <c r="E581" s="7">
        <v>5.73</v>
      </c>
      <c r="F581" s="7" t="str" cm="1">
        <f t="array" ref="F581">_xlfn.IFS(Healthcare!$E581&lt;5.7,"normal",Healthcare!$E581&lt;=6.4,"prediabetes",Healthcare!$E581&gt;=6.5,"diabetes")</f>
        <v>prediabetes</v>
      </c>
      <c r="G581" s="7" t="s">
        <v>19</v>
      </c>
      <c r="H581" s="7" t="s">
        <v>19</v>
      </c>
      <c r="I581" s="7" t="s">
        <v>29</v>
      </c>
      <c r="J581" s="7">
        <v>1</v>
      </c>
      <c r="K581" s="7" t="s">
        <v>20</v>
      </c>
      <c r="L581" s="7" t="str">
        <f>VLOOKUP(Healthcare!$A581,hospital_details,2,0)</f>
        <v>26-Dec-2003</v>
      </c>
      <c r="M581" s="7">
        <f t="shared" ref="M581:M644" ca="1" si="3473">VLOOKUP(A581,hospital_details,3,0)</f>
        <v>22</v>
      </c>
      <c r="N581" s="7">
        <f t="shared" ref="N581:N644" si="3474">VLOOKUP($A581,hospital_details,4,0)</f>
        <v>0</v>
      </c>
      <c r="O581" s="8">
        <f t="shared" ref="O581:O644" si="3475">VLOOKUP($A581,hospital_details,5,0)</f>
        <v>17081.080000000002</v>
      </c>
      <c r="P581" s="7" t="str">
        <f t="shared" ref="P581:P644" si="3476">VLOOKUP($A581,hospital_details,6,0)</f>
        <v>tier - 2</v>
      </c>
      <c r="Q581" s="7" t="str">
        <f t="shared" ref="Q581:Q644" si="3477">VLOOKUP($A581,hospital_details,7,0)</f>
        <v>tier - 2</v>
      </c>
      <c r="R581" s="7" t="str">
        <f t="shared" ref="R581:R644" si="3478">VLOOKUP($A581,hospital_details,8,0)</f>
        <v>R1011</v>
      </c>
    </row>
    <row r="582" spans="1:18" ht="14.4" customHeight="1" x14ac:dyDescent="0.3">
      <c r="A582" s="5" t="s">
        <v>602</v>
      </c>
      <c r="B582" s="5" t="str">
        <f>VLOOKUP($A582,[1]!Customer_Names[#Data],3,0)</f>
        <v xml:space="preserve">  Jonathan</v>
      </c>
      <c r="C582" s="5">
        <v>27.06</v>
      </c>
      <c r="D582" s="5" t="str" cm="1">
        <f t="array" ref="D582">_xlfn.IFS(Healthcare!$C582&lt;18.5,"under weight",Healthcare!$C582&lt;=24.9,"Normal Weight",Healthcare!$C582&gt;=25,"overweight",Healthcare!$C582&gt;=30,"obese")</f>
        <v>overweight</v>
      </c>
      <c r="E582" s="5">
        <v>5.74</v>
      </c>
      <c r="F582" s="5" t="str" cm="1">
        <f t="array" ref="F582">_xlfn.IFS(Healthcare!$E582&lt;5.7,"normal",Healthcare!$E582&lt;=6.4,"prediabetes",Healthcare!$E582&gt;=6.5,"diabetes")</f>
        <v>prediabetes</v>
      </c>
      <c r="G582" s="5" t="s">
        <v>20</v>
      </c>
      <c r="H582" s="5" t="s">
        <v>19</v>
      </c>
      <c r="I582" s="5" t="s">
        <v>19</v>
      </c>
      <c r="J582" s="5">
        <v>0</v>
      </c>
      <c r="K582" s="5" t="s">
        <v>20</v>
      </c>
      <c r="L582" s="5" t="str">
        <f>VLOOKUP(Healthcare!$A582,hospital_details,2,0)</f>
        <v>10-Jun-1996</v>
      </c>
      <c r="M582" s="5">
        <f t="shared" ref="M582:M645" ca="1" si="3479">VLOOKUP(A582,hospital_details,3,0)</f>
        <v>30</v>
      </c>
      <c r="N582" s="5">
        <f t="shared" ref="N582:N645" si="3480">VLOOKUP($A582,hospital_details,4,0)</f>
        <v>0</v>
      </c>
      <c r="O582" s="6">
        <f t="shared" ref="O582:O645" si="3481">VLOOKUP($A582,hospital_details,5,0)</f>
        <v>17043.34</v>
      </c>
      <c r="P582" s="5" t="str">
        <f t="shared" ref="P582:P645" si="3482">VLOOKUP($A582,hospital_details,6,0)</f>
        <v>tier - 2</v>
      </c>
      <c r="Q582" s="5" t="str">
        <f t="shared" ref="Q582:Q645" si="3483">VLOOKUP($A582,hospital_details,7,0)</f>
        <v>tier - 3</v>
      </c>
      <c r="R582" s="5" t="str">
        <f t="shared" ref="R582:R645" si="3484">VLOOKUP($A582,hospital_details,8,0)</f>
        <v>R1013</v>
      </c>
    </row>
    <row r="583" spans="1:18" ht="14.4" customHeight="1" x14ac:dyDescent="0.3">
      <c r="A583" s="7" t="s">
        <v>603</v>
      </c>
      <c r="B583" s="7" t="str">
        <f>VLOOKUP($A583,[1]!Customer_Names[#Data],3,0)</f>
        <v xml:space="preserve">  Phil</v>
      </c>
      <c r="C583" s="7">
        <v>47.13</v>
      </c>
      <c r="D583" s="7" t="str" cm="1">
        <f t="array" ref="D583">_xlfn.IFS(Healthcare!$C583&lt;18.5,"under weight",Healthcare!$C583&lt;=24.9,"Normal Weight",Healthcare!$C583&gt;=25,"overweight",Healthcare!$C583&gt;=30,"obese")</f>
        <v>overweight</v>
      </c>
      <c r="E583" s="7">
        <v>8.6999999999999993</v>
      </c>
      <c r="F583" s="7" t="str" cm="1">
        <f t="array" ref="F583">_xlfn.IFS(Healthcare!$E583&lt;5.7,"normal",Healthcare!$E583&lt;=6.4,"prediabetes",Healthcare!$E583&gt;=6.5,"diabetes")</f>
        <v>diabetes</v>
      </c>
      <c r="G583" s="7" t="s">
        <v>19</v>
      </c>
      <c r="H583" s="7" t="s">
        <v>19</v>
      </c>
      <c r="I583" s="7" t="s">
        <v>19</v>
      </c>
      <c r="J583" s="7">
        <v>0</v>
      </c>
      <c r="K583" s="7" t="s">
        <v>19</v>
      </c>
      <c r="L583" s="7" t="str">
        <f>VLOOKUP(Healthcare!$A583,hospital_details,2,0)</f>
        <v>22-Aug-1971</v>
      </c>
      <c r="M583" s="7">
        <f t="shared" ref="M583:M646" ca="1" si="3485">VLOOKUP(A583,hospital_details,3,0)</f>
        <v>55</v>
      </c>
      <c r="N583" s="7">
        <f t="shared" ref="N583:N646" si="3486">VLOOKUP($A583,hospital_details,4,0)</f>
        <v>0</v>
      </c>
      <c r="O583" s="8">
        <f t="shared" ref="O583:O646" si="3487">VLOOKUP($A583,hospital_details,5,0)</f>
        <v>17016.009999999998</v>
      </c>
      <c r="P583" s="7" t="str">
        <f t="shared" ref="P583:P646" si="3488">VLOOKUP($A583,hospital_details,6,0)</f>
        <v>tier - 2</v>
      </c>
      <c r="Q583" s="7" t="str">
        <f t="shared" ref="Q583:Q646" si="3489">VLOOKUP($A583,hospital_details,7,0)</f>
        <v>tier - 2</v>
      </c>
      <c r="R583" s="7" t="str">
        <f t="shared" ref="R583:R646" si="3490">VLOOKUP($A583,hospital_details,8,0)</f>
        <v>R1023</v>
      </c>
    </row>
    <row r="584" spans="1:18" ht="14.4" customHeight="1" x14ac:dyDescent="0.3">
      <c r="A584" s="5" t="s">
        <v>604</v>
      </c>
      <c r="B584" s="5" t="str">
        <f>VLOOKUP($A584,[1]!Customer_Names[#Data],3,0)</f>
        <v xml:space="preserve">  Benjamina C</v>
      </c>
      <c r="C584" s="5">
        <v>51.72</v>
      </c>
      <c r="D584" s="5" t="str" cm="1">
        <f t="array" ref="D584">_xlfn.IFS(Healthcare!$C584&lt;18.5,"under weight",Healthcare!$C584&lt;=24.9,"Normal Weight",Healthcare!$C584&gt;=25,"overweight",Healthcare!$C584&gt;=30,"obese")</f>
        <v>overweight</v>
      </c>
      <c r="E584" s="5">
        <v>5.09</v>
      </c>
      <c r="F584" s="5" t="str" cm="1">
        <f t="array" ref="F584">_xlfn.IFS(Healthcare!$E584&lt;5.7,"normal",Healthcare!$E584&lt;=6.4,"prediabetes",Healthcare!$E584&gt;=6.5,"diabetes")</f>
        <v>normal</v>
      </c>
      <c r="G584" s="5" t="s">
        <v>19</v>
      </c>
      <c r="H584" s="5" t="s">
        <v>19</v>
      </c>
      <c r="I584" s="5" t="s">
        <v>19</v>
      </c>
      <c r="J584" s="5">
        <v>0</v>
      </c>
      <c r="K584" s="5" t="s">
        <v>19</v>
      </c>
      <c r="L584" s="5" t="str">
        <f>VLOOKUP(Healthcare!$A584,hospital_details,2,0)</f>
        <v>16-Jul-1980</v>
      </c>
      <c r="M584" s="5">
        <f t="shared" ref="M584:M647" ca="1" si="3491">VLOOKUP(A584,hospital_details,3,0)</f>
        <v>46</v>
      </c>
      <c r="N584" s="5">
        <f t="shared" ref="N584:N647" si="3492">VLOOKUP($A584,hospital_details,4,0)</f>
        <v>2</v>
      </c>
      <c r="O584" s="6">
        <f t="shared" ref="O584:O647" si="3493">VLOOKUP($A584,hospital_details,5,0)</f>
        <v>16990.55</v>
      </c>
      <c r="P584" s="5" t="str">
        <f t="shared" ref="P584:P647" si="3494">VLOOKUP($A584,hospital_details,6,0)</f>
        <v>tier - 2</v>
      </c>
      <c r="Q584" s="5" t="str">
        <f t="shared" ref="Q584:Q647" si="3495">VLOOKUP($A584,hospital_details,7,0)</f>
        <v>tier - 3</v>
      </c>
      <c r="R584" s="5" t="str">
        <f t="shared" ref="R584:R647" si="3496">VLOOKUP($A584,hospital_details,8,0)</f>
        <v>R1012</v>
      </c>
    </row>
    <row r="585" spans="1:18" ht="14.4" customHeight="1" x14ac:dyDescent="0.3">
      <c r="A585" s="7" t="s">
        <v>605</v>
      </c>
      <c r="B585" s="7" t="str">
        <f>VLOOKUP($A585,[1]!Customer_Names[#Data],3,0)</f>
        <v xml:space="preserve">  Christopher</v>
      </c>
      <c r="C585" s="7">
        <v>48.59</v>
      </c>
      <c r="D585" s="7" t="str" cm="1">
        <f t="array" ref="D585">_xlfn.IFS(Healthcare!$C585&lt;18.5,"under weight",Healthcare!$C585&lt;=24.9,"Normal Weight",Healthcare!$C585&gt;=25,"overweight",Healthcare!$C585&gt;=30,"obese")</f>
        <v>overweight</v>
      </c>
      <c r="E585" s="7">
        <v>5.57</v>
      </c>
      <c r="F585" s="7" t="str" cm="1">
        <f t="array" ref="F585">_xlfn.IFS(Healthcare!$E585&lt;5.7,"normal",Healthcare!$E585&lt;=6.4,"prediabetes",Healthcare!$E585&gt;=6.5,"diabetes")</f>
        <v>normal</v>
      </c>
      <c r="G585" s="7" t="s">
        <v>19</v>
      </c>
      <c r="H585" s="7" t="s">
        <v>19</v>
      </c>
      <c r="I585" s="7" t="s">
        <v>19</v>
      </c>
      <c r="J585" s="7">
        <v>0</v>
      </c>
      <c r="K585" s="7" t="s">
        <v>19</v>
      </c>
      <c r="L585" s="7" t="str">
        <f>VLOOKUP(Healthcare!$A585,hospital_details,2,0)</f>
        <v>25-Aug-1977</v>
      </c>
      <c r="M585" s="7">
        <f t="shared" ref="M585:M648" ca="1" si="3497">VLOOKUP(A585,hospital_details,3,0)</f>
        <v>49</v>
      </c>
      <c r="N585" s="7">
        <f t="shared" ref="N585:N648" si="3498">VLOOKUP($A585,hospital_details,4,0)</f>
        <v>2</v>
      </c>
      <c r="O585" s="8">
        <f t="shared" ref="O585:O648" si="3499">VLOOKUP($A585,hospital_details,5,0)</f>
        <v>16921.09</v>
      </c>
      <c r="P585" s="7" t="str">
        <f t="shared" ref="P585:P648" si="3500">VLOOKUP($A585,hospital_details,6,0)</f>
        <v>tier - 2</v>
      </c>
      <c r="Q585" s="7" t="str">
        <f t="shared" ref="Q585:Q648" si="3501">VLOOKUP($A585,hospital_details,7,0)</f>
        <v>tier - 3</v>
      </c>
      <c r="R585" s="7" t="str">
        <f t="shared" ref="R585:R648" si="3502">VLOOKUP($A585,hospital_details,8,0)</f>
        <v>R1023</v>
      </c>
    </row>
    <row r="586" spans="1:18" ht="14.4" customHeight="1" x14ac:dyDescent="0.3">
      <c r="A586" s="5" t="s">
        <v>606</v>
      </c>
      <c r="B586" s="5" t="str">
        <f>VLOOKUP($A586,[1]!Customer_Names[#Data],3,0)</f>
        <v xml:space="preserve">  Alison B</v>
      </c>
      <c r="C586" s="5">
        <v>45.18</v>
      </c>
      <c r="D586" s="5" t="str" cm="1">
        <f t="array" ref="D586">_xlfn.IFS(Healthcare!$C586&lt;18.5,"under weight",Healthcare!$C586&lt;=24.9,"Normal Weight",Healthcare!$C586&gt;=25,"overweight",Healthcare!$C586&gt;=30,"obese")</f>
        <v>overweight</v>
      </c>
      <c r="E586" s="5">
        <v>10.87</v>
      </c>
      <c r="F586" s="5" t="str" cm="1">
        <f t="array" ref="F586">_xlfn.IFS(Healthcare!$E586&lt;5.7,"normal",Healthcare!$E586&lt;=6.4,"prediabetes",Healthcare!$E586&gt;=6.5,"diabetes")</f>
        <v>diabetes</v>
      </c>
      <c r="G586" s="5" t="s">
        <v>19</v>
      </c>
      <c r="H586" s="5" t="s">
        <v>19</v>
      </c>
      <c r="I586" s="5" t="s">
        <v>19</v>
      </c>
      <c r="J586" s="5">
        <v>0</v>
      </c>
      <c r="K586" s="5" t="s">
        <v>19</v>
      </c>
      <c r="L586" s="5" t="str">
        <f>VLOOKUP(Healthcare!$A586,hospital_details,2,0)</f>
        <v>21-Oct-1968</v>
      </c>
      <c r="M586" s="5">
        <f t="shared" ref="M586:M649" ca="1" si="3503">VLOOKUP(A586,hospital_details,3,0)</f>
        <v>57</v>
      </c>
      <c r="N586" s="5">
        <f t="shared" ref="N586:N649" si="3504">VLOOKUP($A586,hospital_details,4,0)</f>
        <v>0</v>
      </c>
      <c r="O586" s="6">
        <f t="shared" ref="O586:O649" si="3505">VLOOKUP($A586,hospital_details,5,0)</f>
        <v>16903.5</v>
      </c>
      <c r="P586" s="5" t="str">
        <f t="shared" ref="P586:P649" si="3506">VLOOKUP($A586,hospital_details,6,0)</f>
        <v>tier - 2</v>
      </c>
      <c r="Q586" s="5" t="str">
        <f t="shared" ref="Q586:Q649" si="3507">VLOOKUP($A586,hospital_details,7,0)</f>
        <v>tier - 3</v>
      </c>
      <c r="R586" s="5" t="str">
        <f t="shared" ref="R586:R649" si="3508">VLOOKUP($A586,hospital_details,8,0)</f>
        <v>R1012</v>
      </c>
    </row>
    <row r="587" spans="1:18" ht="14.4" customHeight="1" x14ac:dyDescent="0.3">
      <c r="A587" s="7" t="s">
        <v>607</v>
      </c>
      <c r="B587" s="7" t="str">
        <f>VLOOKUP($A587,[1]!Customer_Names[#Data],3,0)</f>
        <v xml:space="preserve">  Caroline</v>
      </c>
      <c r="C587" s="7">
        <v>27.9</v>
      </c>
      <c r="D587" s="7" t="str" cm="1">
        <f t="array" ref="D587">_xlfn.IFS(Healthcare!$C587&lt;18.5,"under weight",Healthcare!$C587&lt;=24.9,"Normal Weight",Healthcare!$C587&gt;=25,"overweight",Healthcare!$C587&gt;=30,"obese")</f>
        <v>overweight</v>
      </c>
      <c r="E587" s="7">
        <v>6.02</v>
      </c>
      <c r="F587" s="7" t="str" cm="1">
        <f t="array" ref="F587">_xlfn.IFS(Healthcare!$E587&lt;5.7,"normal",Healthcare!$E587&lt;=6.4,"prediabetes",Healthcare!$E587&gt;=6.5,"diabetes")</f>
        <v>prediabetes</v>
      </c>
      <c r="G587" s="7" t="s">
        <v>19</v>
      </c>
      <c r="H587" s="7" t="s">
        <v>19</v>
      </c>
      <c r="I587" s="7" t="s">
        <v>29</v>
      </c>
      <c r="J587" s="7">
        <v>1</v>
      </c>
      <c r="K587" s="7" t="s">
        <v>20</v>
      </c>
      <c r="L587" s="7" t="str">
        <f>VLOOKUP(Healthcare!$A587,hospital_details,2,0)</f>
        <v>10-Sep-2003</v>
      </c>
      <c r="M587" s="7">
        <f t="shared" ref="M587:M650" ca="1" si="3509">VLOOKUP(A587,hospital_details,3,0)</f>
        <v>23</v>
      </c>
      <c r="N587" s="7">
        <f t="shared" ref="N587:N650" si="3510">VLOOKUP($A587,hospital_details,4,0)</f>
        <v>0</v>
      </c>
      <c r="O587" s="8">
        <f t="shared" ref="O587:O650" si="3511">VLOOKUP($A587,hospital_details,5,0)</f>
        <v>16884.919999999998</v>
      </c>
      <c r="P587" s="7" t="str">
        <f t="shared" ref="P587:P650" si="3512">VLOOKUP($A587,hospital_details,6,0)</f>
        <v>tier - 2</v>
      </c>
      <c r="Q587" s="7" t="str">
        <f t="shared" ref="Q587:Q650" si="3513">VLOOKUP($A587,hospital_details,7,0)</f>
        <v>tier - 2</v>
      </c>
      <c r="R587" s="7" t="str">
        <f t="shared" ref="R587:R650" si="3514">VLOOKUP($A587,hospital_details,8,0)</f>
        <v>R1011</v>
      </c>
    </row>
    <row r="588" spans="1:18" ht="14.4" customHeight="1" x14ac:dyDescent="0.3">
      <c r="A588" s="5" t="s">
        <v>608</v>
      </c>
      <c r="B588" s="5" t="str">
        <f>VLOOKUP($A588,[1]!Customer_Names[#Data],3,0)</f>
        <v xml:space="preserve">  Alexis N</v>
      </c>
      <c r="C588" s="5">
        <v>51.33</v>
      </c>
      <c r="D588" s="5" t="str" cm="1">
        <f t="array" ref="D588">_xlfn.IFS(Healthcare!$C588&lt;18.5,"under weight",Healthcare!$C588&lt;=24.9,"Normal Weight",Healthcare!$C588&gt;=25,"overweight",Healthcare!$C588&gt;=30,"obese")</f>
        <v>overweight</v>
      </c>
      <c r="E588" s="5">
        <v>7</v>
      </c>
      <c r="F588" s="5" t="str" cm="1">
        <f t="array" ref="F588">_xlfn.IFS(Healthcare!$E588&lt;5.7,"normal",Healthcare!$E588&lt;=6.4,"prediabetes",Healthcare!$E588&gt;=6.5,"diabetes")</f>
        <v>diabetes</v>
      </c>
      <c r="G588" s="5" t="s">
        <v>19</v>
      </c>
      <c r="H588" s="5" t="s">
        <v>19</v>
      </c>
      <c r="I588" s="5" t="s">
        <v>19</v>
      </c>
      <c r="J588" s="5">
        <v>0</v>
      </c>
      <c r="K588" s="5" t="s">
        <v>19</v>
      </c>
      <c r="L588" s="5" t="str">
        <f>VLOOKUP(Healthcare!$A588,hospital_details,2,0)</f>
        <v>8-Aug-1974</v>
      </c>
      <c r="M588" s="5">
        <f t="shared" ref="M588:M651" ca="1" si="3515">VLOOKUP(A588,hospital_details,3,0)</f>
        <v>52</v>
      </c>
      <c r="N588" s="5">
        <f t="shared" ref="N588:N651" si="3516">VLOOKUP($A588,hospital_details,4,0)</f>
        <v>0</v>
      </c>
      <c r="O588" s="6">
        <f t="shared" ref="O588:O651" si="3517">VLOOKUP($A588,hospital_details,5,0)</f>
        <v>16841.32</v>
      </c>
      <c r="P588" s="5" t="str">
        <f t="shared" ref="P588:P651" si="3518">VLOOKUP($A588,hospital_details,6,0)</f>
        <v>tier - 2</v>
      </c>
      <c r="Q588" s="5" t="str">
        <f t="shared" ref="Q588:Q651" si="3519">VLOOKUP($A588,hospital_details,7,0)</f>
        <v>tier - 3</v>
      </c>
      <c r="R588" s="5" t="str">
        <f t="shared" ref="R588:R651" si="3520">VLOOKUP($A588,hospital_details,8,0)</f>
        <v>R1011</v>
      </c>
    </row>
    <row r="589" spans="1:18" ht="14.4" customHeight="1" x14ac:dyDescent="0.3">
      <c r="A589" s="7" t="s">
        <v>609</v>
      </c>
      <c r="B589" s="7" t="str">
        <f>VLOOKUP($A589,[1]!Customer_Names[#Data],3,0)</f>
        <v xml:space="preserve">  Shanda L</v>
      </c>
      <c r="C589" s="7">
        <v>30.59</v>
      </c>
      <c r="D589" s="7" t="str" cm="1">
        <f t="array" ref="D589">_xlfn.IFS(Healthcare!$C589&lt;18.5,"under weight",Healthcare!$C589&lt;=24.9,"Normal Weight",Healthcare!$C589&gt;=25,"overweight",Healthcare!$C589&gt;=30,"obese")</f>
        <v>overweight</v>
      </c>
      <c r="E589" s="7">
        <v>5.56</v>
      </c>
      <c r="F589" s="7" t="str" cm="1">
        <f t="array" ref="F589">_xlfn.IFS(Healthcare!$E589&lt;5.7,"normal",Healthcare!$E589&lt;=6.4,"prediabetes",Healthcare!$E589&gt;=6.5,"diabetes")</f>
        <v>normal</v>
      </c>
      <c r="G589" s="7" t="s">
        <v>20</v>
      </c>
      <c r="H589" s="7" t="s">
        <v>19</v>
      </c>
      <c r="I589" s="7" t="s">
        <v>19</v>
      </c>
      <c r="J589" s="7">
        <v>1</v>
      </c>
      <c r="K589" s="7" t="s">
        <v>19</v>
      </c>
      <c r="L589" s="7" t="str">
        <f>VLOOKUP(Healthcare!$A589,hospital_details,2,0)</f>
        <v>19-Oct-1995</v>
      </c>
      <c r="M589" s="7">
        <f t="shared" ref="M589:M652" ca="1" si="3521">VLOOKUP(A589,hospital_details,3,0)</f>
        <v>30</v>
      </c>
      <c r="N589" s="7">
        <f t="shared" ref="N589:N652" si="3522">VLOOKUP($A589,hospital_details,4,0)</f>
        <v>1</v>
      </c>
      <c r="O589" s="8">
        <f t="shared" ref="O589:O652" si="3523">VLOOKUP($A589,hospital_details,5,0)</f>
        <v>16796.41</v>
      </c>
      <c r="P589" s="7" t="str">
        <f t="shared" ref="P589:P652" si="3524">VLOOKUP($A589,hospital_details,6,0)</f>
        <v>tier - 2</v>
      </c>
      <c r="Q589" s="7" t="str">
        <f t="shared" ref="Q589:Q652" si="3525">VLOOKUP($A589,hospital_details,7,0)</f>
        <v>tier - 3</v>
      </c>
      <c r="R589" s="7" t="str">
        <f t="shared" ref="R589:R652" si="3526">VLOOKUP($A589,hospital_details,8,0)</f>
        <v>R1024</v>
      </c>
    </row>
    <row r="590" spans="1:18" ht="14.4" customHeight="1" x14ac:dyDescent="0.3">
      <c r="A590" s="5" t="s">
        <v>610</v>
      </c>
      <c r="B590" s="5" t="str">
        <f>VLOOKUP($A590,[1]!Customer_Names[#Data],3,0)</f>
        <v xml:space="preserve">  Lacey</v>
      </c>
      <c r="C590" s="5">
        <v>39.229999999999997</v>
      </c>
      <c r="D590" s="5" t="str" cm="1">
        <f t="array" ref="D590">_xlfn.IFS(Healthcare!$C590&lt;18.5,"under weight",Healthcare!$C590&lt;=24.9,"Normal Weight",Healthcare!$C590&gt;=25,"overweight",Healthcare!$C590&gt;=30,"obese")</f>
        <v>overweight</v>
      </c>
      <c r="E590" s="5">
        <v>8.4499999999999993</v>
      </c>
      <c r="F590" s="5" t="str" cm="1">
        <f t="array" ref="F590">_xlfn.IFS(Healthcare!$E590&lt;5.7,"normal",Healthcare!$E590&lt;=6.4,"prediabetes",Healthcare!$E590&gt;=6.5,"diabetes")</f>
        <v>diabetes</v>
      </c>
      <c r="G590" s="5" t="s">
        <v>19</v>
      </c>
      <c r="H590" s="5" t="s">
        <v>19</v>
      </c>
      <c r="I590" s="5" t="s">
        <v>19</v>
      </c>
      <c r="J590" s="5">
        <v>0</v>
      </c>
      <c r="K590" s="5" t="s">
        <v>19</v>
      </c>
      <c r="L590" s="5" t="str">
        <f>VLOOKUP(Healthcare!$A590,hospital_details,2,0)</f>
        <v>29-Jul-1962</v>
      </c>
      <c r="M590" s="5">
        <f t="shared" ref="M590:M653" ca="1" si="3527">VLOOKUP(A590,hospital_details,3,0)</f>
        <v>64</v>
      </c>
      <c r="N590" s="5">
        <f t="shared" ref="N590:N653" si="3528">VLOOKUP($A590,hospital_details,4,0)</f>
        <v>0</v>
      </c>
      <c r="O590" s="6">
        <f t="shared" ref="O590:O653" si="3529">VLOOKUP($A590,hospital_details,5,0)</f>
        <v>16779.400000000001</v>
      </c>
      <c r="P590" s="5" t="str">
        <f t="shared" ref="P590:P653" si="3530">VLOOKUP($A590,hospital_details,6,0)</f>
        <v>tier - 2</v>
      </c>
      <c r="Q590" s="5" t="str">
        <f t="shared" ref="Q590:Q653" si="3531">VLOOKUP($A590,hospital_details,7,0)</f>
        <v>tier - 2</v>
      </c>
      <c r="R590" s="5" t="str">
        <f t="shared" ref="R590:R653" si="3532">VLOOKUP($A590,hospital_details,8,0)</f>
        <v>R1026</v>
      </c>
    </row>
    <row r="591" spans="1:18" ht="14.4" customHeight="1" x14ac:dyDescent="0.3">
      <c r="A591" s="7" t="s">
        <v>611</v>
      </c>
      <c r="B591" s="7" t="str">
        <f>VLOOKUP($A591,[1]!Customer_Names[#Data],3,0)</f>
        <v xml:space="preserve">  Laurette</v>
      </c>
      <c r="C591" s="7">
        <v>19.094999999999999</v>
      </c>
      <c r="D591" s="7" t="str" cm="1">
        <f t="array" ref="D591">_xlfn.IFS(Healthcare!$C591&lt;18.5,"under weight",Healthcare!$C591&lt;=24.9,"Normal Weight",Healthcare!$C591&gt;=25,"overweight",Healthcare!$C591&gt;=30,"obese")</f>
        <v>Normal Weight</v>
      </c>
      <c r="E591" s="7">
        <v>6.19</v>
      </c>
      <c r="F591" s="7" t="str" cm="1">
        <f t="array" ref="F591">_xlfn.IFS(Healthcare!$E591&lt;5.7,"normal",Healthcare!$E591&lt;=6.4,"prediabetes",Healthcare!$E591&gt;=6.5,"diabetes")</f>
        <v>prediabetes</v>
      </c>
      <c r="G591" s="7" t="s">
        <v>19</v>
      </c>
      <c r="H591" s="7" t="s">
        <v>19</v>
      </c>
      <c r="I591" s="7" t="s">
        <v>19</v>
      </c>
      <c r="J591" s="7">
        <v>0</v>
      </c>
      <c r="K591" s="7" t="s">
        <v>20</v>
      </c>
      <c r="L591" s="7" t="str">
        <f>VLOOKUP(Healthcare!$A591,hospital_details,2,0)</f>
        <v>23-Sep-1989</v>
      </c>
      <c r="M591" s="7">
        <f t="shared" ref="M591:M654" ca="1" si="3533">VLOOKUP(A591,hospital_details,3,0)</f>
        <v>37</v>
      </c>
      <c r="N591" s="7">
        <f t="shared" ref="N591:N654" si="3534">VLOOKUP($A591,hospital_details,4,0)</f>
        <v>2</v>
      </c>
      <c r="O591" s="8">
        <f t="shared" ref="O591:O654" si="3535">VLOOKUP($A591,hospital_details,5,0)</f>
        <v>16776.3</v>
      </c>
      <c r="P591" s="7" t="str">
        <f t="shared" ref="P591:P654" si="3536">VLOOKUP($A591,hospital_details,6,0)</f>
        <v>tier - 2</v>
      </c>
      <c r="Q591" s="7" t="str">
        <f t="shared" ref="Q591:Q654" si="3537">VLOOKUP($A591,hospital_details,7,0)</f>
        <v>tier - 2</v>
      </c>
      <c r="R591" s="7" t="str">
        <f t="shared" ref="R591:R654" si="3538">VLOOKUP($A591,hospital_details,8,0)</f>
        <v>R1024</v>
      </c>
    </row>
    <row r="592" spans="1:18" ht="14.4" customHeight="1" x14ac:dyDescent="0.3">
      <c r="A592" s="5" t="s">
        <v>612</v>
      </c>
      <c r="B592" s="5" t="str">
        <f>VLOOKUP($A592,[1]!Customer_Names[#Data],3,0)</f>
        <v xml:space="preserve">  Jason</v>
      </c>
      <c r="C592" s="5">
        <v>49.72</v>
      </c>
      <c r="D592" s="5" t="str" cm="1">
        <f t="array" ref="D592">_xlfn.IFS(Healthcare!$C592&lt;18.5,"under weight",Healthcare!$C592&lt;=24.9,"Normal Weight",Healthcare!$C592&gt;=25,"overweight",Healthcare!$C592&gt;=30,"obese")</f>
        <v>overweight</v>
      </c>
      <c r="E592" s="5">
        <v>7.71</v>
      </c>
      <c r="F592" s="5" t="str" cm="1">
        <f t="array" ref="F592">_xlfn.IFS(Healthcare!$E592&lt;5.7,"normal",Healthcare!$E592&lt;=6.4,"prediabetes",Healthcare!$E592&gt;=6.5,"diabetes")</f>
        <v>diabetes</v>
      </c>
      <c r="G592" s="5" t="s">
        <v>19</v>
      </c>
      <c r="H592" s="5" t="s">
        <v>19</v>
      </c>
      <c r="I592" s="5" t="s">
        <v>19</v>
      </c>
      <c r="J592" s="5">
        <v>0</v>
      </c>
      <c r="K592" s="5" t="s">
        <v>19</v>
      </c>
      <c r="L592" s="5" t="str">
        <f>VLOOKUP(Healthcare!$A592,hospital_details,2,0)</f>
        <v>28-Aug-1974</v>
      </c>
      <c r="M592" s="5">
        <f t="shared" ref="M592:M655" ca="1" si="3539">VLOOKUP(A592,hospital_details,3,0)</f>
        <v>52</v>
      </c>
      <c r="N592" s="5">
        <f t="shared" ref="N592:N655" si="3540">VLOOKUP($A592,hospital_details,4,0)</f>
        <v>0</v>
      </c>
      <c r="O592" s="6">
        <f t="shared" ref="O592:O655" si="3541">VLOOKUP($A592,hospital_details,5,0)</f>
        <v>16770.990000000002</v>
      </c>
      <c r="P592" s="5" t="str">
        <f t="shared" ref="P592:P655" si="3542">VLOOKUP($A592,hospital_details,6,0)</f>
        <v>tier - 2</v>
      </c>
      <c r="Q592" s="5" t="str">
        <f t="shared" ref="Q592:Q655" si="3543">VLOOKUP($A592,hospital_details,7,0)</f>
        <v>tier - 1</v>
      </c>
      <c r="R592" s="5" t="str">
        <f t="shared" ref="R592:R655" si="3544">VLOOKUP($A592,hospital_details,8,0)</f>
        <v>R1012</v>
      </c>
    </row>
    <row r="593" spans="1:18" ht="14.4" customHeight="1" x14ac:dyDescent="0.3">
      <c r="A593" s="7" t="s">
        <v>613</v>
      </c>
      <c r="B593" s="7" t="str">
        <f>VLOOKUP($A593,[1]!Customer_Names[#Data],3,0)</f>
        <v xml:space="preserve">  Mary</v>
      </c>
      <c r="C593" s="7">
        <v>21.754999999999999</v>
      </c>
      <c r="D593" s="7" t="str" cm="1">
        <f t="array" ref="D593">_xlfn.IFS(Healthcare!$C593&lt;18.5,"under weight",Healthcare!$C593&lt;=24.9,"Normal Weight",Healthcare!$C593&gt;=25,"overweight",Healthcare!$C593&gt;=30,"obese")</f>
        <v>Normal Weight</v>
      </c>
      <c r="E593" s="7">
        <v>4.63</v>
      </c>
      <c r="F593" s="7" t="str" cm="1">
        <f t="array" ref="F593">_xlfn.IFS(Healthcare!$E593&lt;5.7,"normal",Healthcare!$E593&lt;=6.4,"prediabetes",Healthcare!$E593&gt;=6.5,"diabetes")</f>
        <v>normal</v>
      </c>
      <c r="G593" s="7" t="s">
        <v>19</v>
      </c>
      <c r="H593" s="7" t="s">
        <v>19</v>
      </c>
      <c r="I593" s="7" t="s">
        <v>29</v>
      </c>
      <c r="J593" s="7">
        <v>1</v>
      </c>
      <c r="K593" s="7" t="s">
        <v>20</v>
      </c>
      <c r="L593" s="7" t="str">
        <f>VLOOKUP(Healthcare!$A593,hospital_details,2,0)</f>
        <v>5-Nov-1993</v>
      </c>
      <c r="M593" s="7">
        <f t="shared" ref="M593:M656" ca="1" si="3545">VLOOKUP(A593,hospital_details,3,0)</f>
        <v>32</v>
      </c>
      <c r="N593" s="7">
        <f t="shared" ref="N593:N656" si="3546">VLOOKUP($A593,hospital_details,4,0)</f>
        <v>1</v>
      </c>
      <c r="O593" s="8">
        <f t="shared" ref="O593:O656" si="3547">VLOOKUP($A593,hospital_details,5,0)</f>
        <v>16657.72</v>
      </c>
      <c r="P593" s="7" t="str">
        <f t="shared" ref="P593:P656" si="3548">VLOOKUP($A593,hospital_details,6,0)</f>
        <v>tier - 2</v>
      </c>
      <c r="Q593" s="7" t="str">
        <f t="shared" ref="Q593:Q656" si="3549">VLOOKUP($A593,hospital_details,7,0)</f>
        <v>tier - 1</v>
      </c>
      <c r="R593" s="7" t="str">
        <f t="shared" ref="R593:R656" si="3550">VLOOKUP($A593,hospital_details,8,0)</f>
        <v>R1024</v>
      </c>
    </row>
    <row r="594" spans="1:18" ht="14.4" customHeight="1" x14ac:dyDescent="0.3">
      <c r="A594" s="5" t="s">
        <v>614</v>
      </c>
      <c r="B594" s="5" t="str">
        <f>VLOOKUP($A594,[1]!Customer_Names[#Data],3,0)</f>
        <v xml:space="preserve">  Kati A</v>
      </c>
      <c r="C594" s="5">
        <v>48.39</v>
      </c>
      <c r="D594" s="5" t="str" cm="1">
        <f t="array" ref="D594">_xlfn.IFS(Healthcare!$C594&lt;18.5,"under weight",Healthcare!$C594&lt;=24.9,"Normal Weight",Healthcare!$C594&gt;=25,"overweight",Healthcare!$C594&gt;=30,"obese")</f>
        <v>overweight</v>
      </c>
      <c r="E594" s="5">
        <v>4.6100000000000003</v>
      </c>
      <c r="F594" s="5" t="str" cm="1">
        <f t="array" ref="F594">_xlfn.IFS(Healthcare!$E594&lt;5.7,"normal",Healthcare!$E594&lt;=6.4,"prediabetes",Healthcare!$E594&gt;=6.5,"diabetes")</f>
        <v>normal</v>
      </c>
      <c r="G594" s="5" t="s">
        <v>19</v>
      </c>
      <c r="H594" s="5" t="s">
        <v>19</v>
      </c>
      <c r="I594" s="5" t="s">
        <v>19</v>
      </c>
      <c r="J594" s="5">
        <v>0</v>
      </c>
      <c r="K594" s="5" t="s">
        <v>19</v>
      </c>
      <c r="L594" s="5" t="str">
        <f>VLOOKUP(Healthcare!$A594,hospital_details,2,0)</f>
        <v>25-Sep-1977</v>
      </c>
      <c r="M594" s="5">
        <f t="shared" ref="M594:M657" ca="1" si="3551">VLOOKUP(A594,hospital_details,3,0)</f>
        <v>49</v>
      </c>
      <c r="N594" s="5">
        <f t="shared" ref="N594:N657" si="3552">VLOOKUP($A594,hospital_details,4,0)</f>
        <v>2</v>
      </c>
      <c r="O594" s="6">
        <f t="shared" ref="O594:O657" si="3553">VLOOKUP($A594,hospital_details,5,0)</f>
        <v>16631.61</v>
      </c>
      <c r="P594" s="5" t="str">
        <f t="shared" ref="P594:P657" si="3554">VLOOKUP($A594,hospital_details,6,0)</f>
        <v>tier - 2</v>
      </c>
      <c r="Q594" s="5" t="str">
        <f t="shared" ref="Q594:Q657" si="3555">VLOOKUP($A594,hospital_details,7,0)</f>
        <v>tier - 1</v>
      </c>
      <c r="R594" s="5" t="str">
        <f t="shared" ref="R594:R657" si="3556">VLOOKUP($A594,hospital_details,8,0)</f>
        <v>R1012</v>
      </c>
    </row>
    <row r="595" spans="1:18" ht="14.4" customHeight="1" x14ac:dyDescent="0.3">
      <c r="A595" s="7" t="s">
        <v>615</v>
      </c>
      <c r="B595" s="7" t="str">
        <f>VLOOKUP($A595,[1]!Customer_Names[#Data],3,0)</f>
        <v xml:space="preserve">  Kelly J</v>
      </c>
      <c r="C595" s="7">
        <v>47.15</v>
      </c>
      <c r="D595" s="7" t="str" cm="1">
        <f t="array" ref="D595">_xlfn.IFS(Healthcare!$C595&lt;18.5,"under weight",Healthcare!$C595&lt;=24.9,"Normal Weight",Healthcare!$C595&gt;=25,"overweight",Healthcare!$C595&gt;=30,"obese")</f>
        <v>overweight</v>
      </c>
      <c r="E595" s="7">
        <v>9.5299999999999994</v>
      </c>
      <c r="F595" s="7" t="str" cm="1">
        <f t="array" ref="F595">_xlfn.IFS(Healthcare!$E595&lt;5.7,"normal",Healthcare!$E595&lt;=6.4,"prediabetes",Healthcare!$E595&gt;=6.5,"diabetes")</f>
        <v>diabetes</v>
      </c>
      <c r="G595" s="7" t="s">
        <v>20</v>
      </c>
      <c r="H595" s="7" t="s">
        <v>19</v>
      </c>
      <c r="I595" s="7" t="s">
        <v>19</v>
      </c>
      <c r="J595" s="7">
        <v>1</v>
      </c>
      <c r="K595" s="7" t="s">
        <v>19</v>
      </c>
      <c r="L595" s="7" t="str">
        <f>VLOOKUP(Healthcare!$A595,hospital_details,2,0)</f>
        <v>24-Jul-1975</v>
      </c>
      <c r="M595" s="7">
        <f t="shared" ref="M595:M658" ca="1" si="3557">VLOOKUP(A595,hospital_details,3,0)</f>
        <v>51</v>
      </c>
      <c r="N595" s="7">
        <f t="shared" ref="N595:N658" si="3558">VLOOKUP($A595,hospital_details,4,0)</f>
        <v>1</v>
      </c>
      <c r="O595" s="8">
        <f t="shared" ref="O595:O658" si="3559">VLOOKUP($A595,hospital_details,5,0)</f>
        <v>16602.18</v>
      </c>
      <c r="P595" s="7" t="str">
        <f t="shared" ref="P595:P658" si="3560">VLOOKUP($A595,hospital_details,6,0)</f>
        <v>tier - 2</v>
      </c>
      <c r="Q595" s="7" t="str">
        <f t="shared" ref="Q595:Q658" si="3561">VLOOKUP($A595,hospital_details,7,0)</f>
        <v>tier - 1</v>
      </c>
      <c r="R595" s="7" t="str">
        <f t="shared" ref="R595:R658" si="3562">VLOOKUP($A595,hospital_details,8,0)</f>
        <v>R1026</v>
      </c>
    </row>
    <row r="596" spans="1:18" ht="14.4" customHeight="1" x14ac:dyDescent="0.3">
      <c r="A596" s="5" t="s">
        <v>616</v>
      </c>
      <c r="B596" s="5" t="str">
        <f>VLOOKUP($A596,[1]!Customer_Names[#Data],3,0)</f>
        <v xml:space="preserve">  Greer D</v>
      </c>
      <c r="C596" s="5">
        <v>47.59</v>
      </c>
      <c r="D596" s="5" t="str" cm="1">
        <f t="array" ref="D596">_xlfn.IFS(Healthcare!$C596&lt;18.5,"under weight",Healthcare!$C596&lt;=24.9,"Normal Weight",Healthcare!$C596&gt;=25,"overweight",Healthcare!$C596&gt;=30,"obese")</f>
        <v>overweight</v>
      </c>
      <c r="E596" s="5">
        <v>11.43</v>
      </c>
      <c r="F596" s="5" t="str" cm="1">
        <f t="array" ref="F596">_xlfn.IFS(Healthcare!$E596&lt;5.7,"normal",Healthcare!$E596&lt;=6.4,"prediabetes",Healthcare!$E596&gt;=6.5,"diabetes")</f>
        <v>diabetes</v>
      </c>
      <c r="G596" s="5" t="s">
        <v>20</v>
      </c>
      <c r="H596" s="5" t="s">
        <v>19</v>
      </c>
      <c r="I596" s="5" t="s">
        <v>19</v>
      </c>
      <c r="J596" s="5">
        <v>2</v>
      </c>
      <c r="K596" s="5" t="s">
        <v>19</v>
      </c>
      <c r="L596" s="5" t="str">
        <f>VLOOKUP(Healthcare!$A596,hospital_details,2,0)</f>
        <v>10-Jul-1970</v>
      </c>
      <c r="M596" s="5">
        <f t="shared" ref="M596:M659" ca="1" si="3563">VLOOKUP(A596,hospital_details,3,0)</f>
        <v>56</v>
      </c>
      <c r="N596" s="5">
        <f t="shared" ref="N596:N659" si="3564">VLOOKUP($A596,hospital_details,4,0)</f>
        <v>0</v>
      </c>
      <c r="O596" s="6">
        <f t="shared" ref="O596:O659" si="3565">VLOOKUP($A596,hospital_details,5,0)</f>
        <v>16600.16</v>
      </c>
      <c r="P596" s="5" t="str">
        <f t="shared" ref="P596:P659" si="3566">VLOOKUP($A596,hospital_details,6,0)</f>
        <v>tier - 2</v>
      </c>
      <c r="Q596" s="5" t="str">
        <f t="shared" ref="Q596:Q659" si="3567">VLOOKUP($A596,hospital_details,7,0)</f>
        <v>tier - 2</v>
      </c>
      <c r="R596" s="5" t="str">
        <f t="shared" ref="R596:R659" si="3568">VLOOKUP($A596,hospital_details,8,0)</f>
        <v>R1011</v>
      </c>
    </row>
    <row r="597" spans="1:18" ht="14.4" customHeight="1" x14ac:dyDescent="0.3">
      <c r="A597" s="7" t="s">
        <v>617</v>
      </c>
      <c r="B597" s="7" t="str">
        <f>VLOOKUP($A597,[1]!Customer_Names[#Data],3,0)</f>
        <v xml:space="preserve">  Brent</v>
      </c>
      <c r="C597" s="7">
        <v>39.81</v>
      </c>
      <c r="D597" s="7" t="str" cm="1">
        <f t="array" ref="D597">_xlfn.IFS(Healthcare!$C597&lt;18.5,"under weight",Healthcare!$C597&lt;=24.9,"Normal Weight",Healthcare!$C597&gt;=25,"overweight",Healthcare!$C597&gt;=30,"obese")</f>
        <v>overweight</v>
      </c>
      <c r="E597" s="7">
        <v>7.65</v>
      </c>
      <c r="F597" s="7" t="str" cm="1">
        <f t="array" ref="F597">_xlfn.IFS(Healthcare!$E597&lt;5.7,"normal",Healthcare!$E597&lt;=6.4,"prediabetes",Healthcare!$E597&gt;=6.5,"diabetes")</f>
        <v>diabetes</v>
      </c>
      <c r="G597" s="7" t="s">
        <v>20</v>
      </c>
      <c r="H597" s="7" t="s">
        <v>19</v>
      </c>
      <c r="I597" s="7" t="s">
        <v>29</v>
      </c>
      <c r="J597" s="7">
        <v>1</v>
      </c>
      <c r="K597" s="7" t="s">
        <v>19</v>
      </c>
      <c r="L597" s="7" t="str">
        <f>VLOOKUP(Healthcare!$A597,hospital_details,2,0)</f>
        <v>25-Jun-1963</v>
      </c>
      <c r="M597" s="7">
        <f t="shared" ref="M597:M660" ca="1" si="3569">VLOOKUP(A597,hospital_details,3,0)</f>
        <v>63</v>
      </c>
      <c r="N597" s="7">
        <f t="shared" ref="N597:N660" si="3570">VLOOKUP($A597,hospital_details,4,0)</f>
        <v>0</v>
      </c>
      <c r="O597" s="8">
        <f t="shared" ref="O597:O660" si="3571">VLOOKUP($A597,hospital_details,5,0)</f>
        <v>16587.96</v>
      </c>
      <c r="P597" s="7" t="str">
        <f t="shared" ref="P597:P660" si="3572">VLOOKUP($A597,hospital_details,6,0)</f>
        <v>tier - 2</v>
      </c>
      <c r="Q597" s="7" t="str">
        <f t="shared" ref="Q597:Q660" si="3573">VLOOKUP($A597,hospital_details,7,0)</f>
        <v>tier - 2</v>
      </c>
      <c r="R597" s="7" t="str">
        <f t="shared" ref="R597:R660" si="3574">VLOOKUP($A597,hospital_details,8,0)</f>
        <v>R1023</v>
      </c>
    </row>
    <row r="598" spans="1:18" ht="14.4" customHeight="1" x14ac:dyDescent="0.3">
      <c r="A598" s="5" t="s">
        <v>618</v>
      </c>
      <c r="B598" s="5" t="str">
        <f>VLOOKUP($A598,[1]!Customer_Names[#Data],3,0)</f>
        <v xml:space="preserve">  Eugene M</v>
      </c>
      <c r="C598" s="5">
        <v>31.02</v>
      </c>
      <c r="D598" s="5" t="str" cm="1">
        <f t="array" ref="D598">_xlfn.IFS(Healthcare!$C598&lt;18.5,"under weight",Healthcare!$C598&lt;=24.9,"Normal Weight",Healthcare!$C598&gt;=25,"overweight",Healthcare!$C598&gt;=30,"obese")</f>
        <v>overweight</v>
      </c>
      <c r="E598" s="5">
        <v>5.87</v>
      </c>
      <c r="F598" s="5" t="str" cm="1">
        <f t="array" ref="F598">_xlfn.IFS(Healthcare!$E598&lt;5.7,"normal",Healthcare!$E598&lt;=6.4,"prediabetes",Healthcare!$E598&gt;=6.5,"diabetes")</f>
        <v>prediabetes</v>
      </c>
      <c r="G598" s="5" t="s">
        <v>20</v>
      </c>
      <c r="H598" s="5" t="s">
        <v>19</v>
      </c>
      <c r="I598" s="5" t="s">
        <v>19</v>
      </c>
      <c r="J598" s="5">
        <v>0</v>
      </c>
      <c r="K598" s="5" t="s">
        <v>19</v>
      </c>
      <c r="L598" s="5" t="str">
        <f>VLOOKUP(Healthcare!$A598,hospital_details,2,0)</f>
        <v>25-Jun-2001</v>
      </c>
      <c r="M598" s="5">
        <f t="shared" ref="M598:M661" ca="1" si="3575">VLOOKUP(A598,hospital_details,3,0)</f>
        <v>25</v>
      </c>
      <c r="N598" s="5">
        <f t="shared" ref="N598:N661" si="3576">VLOOKUP($A598,hospital_details,4,0)</f>
        <v>0</v>
      </c>
      <c r="O598" s="6">
        <f t="shared" ref="O598:O661" si="3577">VLOOKUP($A598,hospital_details,5,0)</f>
        <v>16586.5</v>
      </c>
      <c r="P598" s="5" t="str">
        <f t="shared" ref="P598:P661" si="3578">VLOOKUP($A598,hospital_details,6,0)</f>
        <v>tier - 2</v>
      </c>
      <c r="Q598" s="5" t="str">
        <f t="shared" ref="Q598:Q661" si="3579">VLOOKUP($A598,hospital_details,7,0)</f>
        <v>tier - 1</v>
      </c>
      <c r="R598" s="5" t="str">
        <f t="shared" ref="R598:R661" si="3580">VLOOKUP($A598,hospital_details,8,0)</f>
        <v>R1013</v>
      </c>
    </row>
    <row r="599" spans="1:18" ht="14.4" customHeight="1" x14ac:dyDescent="0.3">
      <c r="A599" s="7" t="s">
        <v>619</v>
      </c>
      <c r="B599" s="7" t="str">
        <f>VLOOKUP($A599,[1]!Customer_Names[#Data],3,0)</f>
        <v xml:space="preserve">  Erin D</v>
      </c>
      <c r="C599" s="7">
        <v>24.75</v>
      </c>
      <c r="D599" s="7" t="str" cm="1">
        <f t="array" ref="D599">_xlfn.IFS(Healthcare!$C599&lt;18.5,"under weight",Healthcare!$C599&lt;=24.9,"Normal Weight",Healthcare!$C599&gt;=25,"overweight",Healthcare!$C599&gt;=30,"obese")</f>
        <v>Normal Weight</v>
      </c>
      <c r="E599" s="7">
        <v>4.3600000000000003</v>
      </c>
      <c r="F599" s="7" t="str" cm="1">
        <f t="array" ref="F599">_xlfn.IFS(Healthcare!$E599&lt;5.7,"normal",Healthcare!$E599&lt;=6.4,"prediabetes",Healthcare!$E599&gt;=6.5,"diabetes")</f>
        <v>normal</v>
      </c>
      <c r="G599" s="7" t="s">
        <v>20</v>
      </c>
      <c r="H599" s="7" t="s">
        <v>19</v>
      </c>
      <c r="I599" s="7" t="s">
        <v>19</v>
      </c>
      <c r="J599" s="7">
        <v>1</v>
      </c>
      <c r="K599" s="7" t="s">
        <v>20</v>
      </c>
      <c r="L599" s="7" t="str">
        <f>VLOOKUP(Healthcare!$A599,hospital_details,2,0)</f>
        <v>23-Dec-1995</v>
      </c>
      <c r="M599" s="7">
        <f t="shared" ref="M599:M662" ca="1" si="3581">VLOOKUP(A599,hospital_details,3,0)</f>
        <v>30</v>
      </c>
      <c r="N599" s="7">
        <f t="shared" ref="N599:N662" si="3582">VLOOKUP($A599,hospital_details,4,0)</f>
        <v>0</v>
      </c>
      <c r="O599" s="8">
        <f t="shared" ref="O599:O662" si="3583">VLOOKUP($A599,hospital_details,5,0)</f>
        <v>16577.78</v>
      </c>
      <c r="P599" s="7" t="str">
        <f t="shared" ref="P599:P662" si="3584">VLOOKUP($A599,hospital_details,6,0)</f>
        <v>tier - 2</v>
      </c>
      <c r="Q599" s="7" t="str">
        <f t="shared" ref="Q599:Q662" si="3585">VLOOKUP($A599,hospital_details,7,0)</f>
        <v>tier - 1</v>
      </c>
      <c r="R599" s="7" t="str">
        <f t="shared" ref="R599:R662" si="3586">VLOOKUP($A599,hospital_details,8,0)</f>
        <v>R1013</v>
      </c>
    </row>
    <row r="600" spans="1:18" ht="14.4" customHeight="1" x14ac:dyDescent="0.3">
      <c r="A600" s="5" t="s">
        <v>620</v>
      </c>
      <c r="B600" s="5" t="str">
        <f>VLOOKUP($A600,[1]!Customer_Names[#Data],3,0)</f>
        <v xml:space="preserve">  Kamilla</v>
      </c>
      <c r="C600" s="5">
        <v>30.114999999999998</v>
      </c>
      <c r="D600" s="5" t="str" cm="1">
        <f t="array" ref="D600">_xlfn.IFS(Healthcare!$C600&lt;18.5,"under weight",Healthcare!$C600&lt;=24.9,"Normal Weight",Healthcare!$C600&gt;=25,"overweight",Healthcare!$C600&gt;=30,"obese")</f>
        <v>overweight</v>
      </c>
      <c r="E600" s="5">
        <v>10.119999999999999</v>
      </c>
      <c r="F600" s="5" t="str" cm="1">
        <f t="array" ref="F600">_xlfn.IFS(Healthcare!$E600&lt;5.7,"normal",Healthcare!$E600&lt;=6.4,"prediabetes",Healthcare!$E600&gt;=6.5,"diabetes")</f>
        <v>diabetes</v>
      </c>
      <c r="G600" s="5" t="s">
        <v>19</v>
      </c>
      <c r="H600" s="5" t="s">
        <v>19</v>
      </c>
      <c r="I600" s="5" t="s">
        <v>19</v>
      </c>
      <c r="J600" s="5">
        <v>3</v>
      </c>
      <c r="K600" s="5" t="s">
        <v>19</v>
      </c>
      <c r="L600" s="5" t="str">
        <f>VLOOKUP(Healthcare!$A600,hospital_details,2,0)</f>
        <v>10-Oct-1958</v>
      </c>
      <c r="M600" s="5">
        <f t="shared" ref="M600:M663" ca="1" si="3587">VLOOKUP(A600,hospital_details,3,0)</f>
        <v>68</v>
      </c>
      <c r="N600" s="5">
        <f t="shared" ref="N600:N663" si="3588">VLOOKUP($A600,hospital_details,4,0)</f>
        <v>3</v>
      </c>
      <c r="O600" s="6">
        <f t="shared" ref="O600:O663" si="3589">VLOOKUP($A600,hospital_details,5,0)</f>
        <v>16455.71</v>
      </c>
      <c r="P600" s="5" t="str">
        <f t="shared" ref="P600:P663" si="3590">VLOOKUP($A600,hospital_details,6,0)</f>
        <v>tier - 2</v>
      </c>
      <c r="Q600" s="5" t="str">
        <f t="shared" ref="Q600:Q663" si="3591">VLOOKUP($A600,hospital_details,7,0)</f>
        <v>tier - 2</v>
      </c>
      <c r="R600" s="5" t="str">
        <f t="shared" ref="R600:R663" si="3592">VLOOKUP($A600,hospital_details,8,0)</f>
        <v>R1012</v>
      </c>
    </row>
    <row r="601" spans="1:18" ht="14.4" customHeight="1" x14ac:dyDescent="0.3">
      <c r="A601" s="7" t="s">
        <v>621</v>
      </c>
      <c r="B601" s="7" t="str">
        <f>VLOOKUP($A601,[1]!Customer_Names[#Data],3,0)</f>
        <v xml:space="preserve">  Wayne I</v>
      </c>
      <c r="C601" s="7">
        <v>26.03</v>
      </c>
      <c r="D601" s="7" t="str" cm="1">
        <f t="array" ref="D601">_xlfn.IFS(Healthcare!$C601&lt;18.5,"under weight",Healthcare!$C601&lt;=24.9,"Normal Weight",Healthcare!$C601&gt;=25,"overweight",Healthcare!$C601&gt;=30,"obese")</f>
        <v>overweight</v>
      </c>
      <c r="E601" s="7">
        <v>4.01</v>
      </c>
      <c r="F601" s="7" t="str" cm="1">
        <f t="array" ref="F601">_xlfn.IFS(Healthcare!$E601&lt;5.7,"normal",Healthcare!$E601&lt;=6.4,"prediabetes",Healthcare!$E601&gt;=6.5,"diabetes")</f>
        <v>normal</v>
      </c>
      <c r="G601" s="7" t="s">
        <v>19</v>
      </c>
      <c r="H601" s="7" t="s">
        <v>19</v>
      </c>
      <c r="I601" s="7" t="s">
        <v>29</v>
      </c>
      <c r="J601" s="7">
        <v>1</v>
      </c>
      <c r="K601" s="7" t="s">
        <v>20</v>
      </c>
      <c r="L601" s="7" t="str">
        <f>VLOOKUP(Healthcare!$A601,hospital_details,2,0)</f>
        <v>20-Dec-2003</v>
      </c>
      <c r="M601" s="7">
        <f t="shared" ref="M601:M664" ca="1" si="3593">VLOOKUP(A601,hospital_details,3,0)</f>
        <v>22</v>
      </c>
      <c r="N601" s="7">
        <f t="shared" ref="N601:N664" si="3594">VLOOKUP($A601,hospital_details,4,0)</f>
        <v>1</v>
      </c>
      <c r="O601" s="8">
        <f t="shared" ref="O601:O664" si="3595">VLOOKUP($A601,hospital_details,5,0)</f>
        <v>16450.89</v>
      </c>
      <c r="P601" s="7" t="str">
        <f t="shared" ref="P601:P664" si="3596">VLOOKUP($A601,hospital_details,6,0)</f>
        <v>tier - 2</v>
      </c>
      <c r="Q601" s="7" t="str">
        <f t="shared" ref="Q601:Q664" si="3597">VLOOKUP($A601,hospital_details,7,0)</f>
        <v>tier - 1</v>
      </c>
      <c r="R601" s="7" t="str">
        <f t="shared" ref="R601:R664" si="3598">VLOOKUP($A601,hospital_details,8,0)</f>
        <v>R1012</v>
      </c>
    </row>
    <row r="602" spans="1:18" ht="14.4" customHeight="1" x14ac:dyDescent="0.3">
      <c r="A602" s="5" t="s">
        <v>622</v>
      </c>
      <c r="B602" s="5" t="str">
        <f>VLOOKUP($A602,[1]!Customer_Names[#Data],3,0)</f>
        <v xml:space="preserve">  Tracy L</v>
      </c>
      <c r="C602" s="5">
        <v>20.045000000000002</v>
      </c>
      <c r="D602" s="5" t="str" cm="1">
        <f t="array" ref="D602">_xlfn.IFS(Healthcare!$C602&lt;18.5,"under weight",Healthcare!$C602&lt;=24.9,"Normal Weight",Healthcare!$C602&gt;=25,"overweight",Healthcare!$C602&gt;=30,"obese")</f>
        <v>Normal Weight</v>
      </c>
      <c r="E602" s="5">
        <v>4.7699999999999996</v>
      </c>
      <c r="F602" s="5" t="str" cm="1">
        <f t="array" ref="F602">_xlfn.IFS(Healthcare!$E602&lt;5.7,"normal",Healthcare!$E602&lt;=6.4,"prediabetes",Healthcare!$E602&gt;=6.5,"diabetes")</f>
        <v>normal</v>
      </c>
      <c r="G602" s="5" t="s">
        <v>20</v>
      </c>
      <c r="H602" s="5" t="s">
        <v>19</v>
      </c>
      <c r="I602" s="5" t="s">
        <v>19</v>
      </c>
      <c r="J602" s="5">
        <v>1</v>
      </c>
      <c r="K602" s="5" t="s">
        <v>20</v>
      </c>
      <c r="L602" s="5" t="str">
        <f>VLOOKUP(Healthcare!$A602,hospital_details,2,0)</f>
        <v>28-Sep-1995</v>
      </c>
      <c r="M602" s="5">
        <f t="shared" ref="M602:M665" ca="1" si="3599">VLOOKUP(A602,hospital_details,3,0)</f>
        <v>31</v>
      </c>
      <c r="N602" s="5">
        <f t="shared" ref="N602:N665" si="3600">VLOOKUP($A602,hospital_details,4,0)</f>
        <v>3</v>
      </c>
      <c r="O602" s="6">
        <f t="shared" ref="O602:O665" si="3601">VLOOKUP($A602,hospital_details,5,0)</f>
        <v>16420.490000000002</v>
      </c>
      <c r="P602" s="5" t="str">
        <f t="shared" ref="P602:P665" si="3602">VLOOKUP($A602,hospital_details,6,0)</f>
        <v>tier - 2</v>
      </c>
      <c r="Q602" s="5" t="str">
        <f t="shared" ref="Q602:Q665" si="3603">VLOOKUP($A602,hospital_details,7,0)</f>
        <v>tier - 3</v>
      </c>
      <c r="R602" s="5" t="str">
        <f t="shared" ref="R602:R665" si="3604">VLOOKUP($A602,hospital_details,8,0)</f>
        <v>R1012</v>
      </c>
    </row>
    <row r="603" spans="1:18" ht="14.4" customHeight="1" x14ac:dyDescent="0.3">
      <c r="A603" s="7" t="s">
        <v>623</v>
      </c>
      <c r="B603" s="7" t="str">
        <f>VLOOKUP($A603,[1]!Customer_Names[#Data],3,0)</f>
        <v xml:space="preserve">  Heather</v>
      </c>
      <c r="C603" s="7">
        <v>40.24</v>
      </c>
      <c r="D603" s="7" t="str" cm="1">
        <f t="array" ref="D603">_xlfn.IFS(Healthcare!$C603&lt;18.5,"under weight",Healthcare!$C603&lt;=24.9,"Normal Weight",Healthcare!$C603&gt;=25,"overweight",Healthcare!$C603&gt;=30,"obese")</f>
        <v>overweight</v>
      </c>
      <c r="E603" s="7">
        <v>6.83</v>
      </c>
      <c r="F603" s="7" t="str" cm="1">
        <f t="array" ref="F603">_xlfn.IFS(Healthcare!$E603&lt;5.7,"normal",Healthcare!$E603&lt;=6.4,"prediabetes",Healthcare!$E603&gt;=6.5,"diabetes")</f>
        <v>diabetes</v>
      </c>
      <c r="G603" s="7" t="s">
        <v>19</v>
      </c>
      <c r="H603" s="7" t="s">
        <v>19</v>
      </c>
      <c r="I603" s="7" t="s">
        <v>19</v>
      </c>
      <c r="J603" s="7">
        <v>0</v>
      </c>
      <c r="K603" s="7" t="s">
        <v>19</v>
      </c>
      <c r="L603" s="7" t="str">
        <f>VLOOKUP(Healthcare!$A603,hospital_details,2,0)</f>
        <v>5-Dec-1965</v>
      </c>
      <c r="M603" s="7">
        <f t="shared" ref="M603:M666" ca="1" si="3605">VLOOKUP(A603,hospital_details,3,0)</f>
        <v>60</v>
      </c>
      <c r="N603" s="7">
        <f t="shared" ref="N603:N666" si="3606">VLOOKUP($A603,hospital_details,4,0)</f>
        <v>0</v>
      </c>
      <c r="O603" s="8">
        <f t="shared" ref="O603:O666" si="3607">VLOOKUP($A603,hospital_details,5,0)</f>
        <v>16351.42</v>
      </c>
      <c r="P603" s="7" t="str">
        <f t="shared" ref="P603:P666" si="3608">VLOOKUP($A603,hospital_details,6,0)</f>
        <v>tier - 2</v>
      </c>
      <c r="Q603" s="7" t="str">
        <f t="shared" ref="Q603:Q666" si="3609">VLOOKUP($A603,hospital_details,7,0)</f>
        <v>tier - 3</v>
      </c>
      <c r="R603" s="7" t="str">
        <f t="shared" ref="R603:R666" si="3610">VLOOKUP($A603,hospital_details,8,0)</f>
        <v>R1026</v>
      </c>
    </row>
    <row r="604" spans="1:18" ht="14.4" customHeight="1" x14ac:dyDescent="0.3">
      <c r="A604" s="5" t="s">
        <v>624</v>
      </c>
      <c r="B604" s="5" t="str">
        <f>VLOOKUP($A604,[1]!Customer_Names[#Data],3,0)</f>
        <v xml:space="preserve">  Megan C</v>
      </c>
      <c r="C604" s="5">
        <v>43.15</v>
      </c>
      <c r="D604" s="5" t="str" cm="1">
        <f t="array" ref="D604">_xlfn.IFS(Healthcare!$C604&lt;18.5,"under weight",Healthcare!$C604&lt;=24.9,"Normal Weight",Healthcare!$C604&gt;=25,"overweight",Healthcare!$C604&gt;=30,"obese")</f>
        <v>overweight</v>
      </c>
      <c r="E604" s="5">
        <v>6.14</v>
      </c>
      <c r="F604" s="5" t="str" cm="1">
        <f t="array" ref="F604">_xlfn.IFS(Healthcare!$E604&lt;5.7,"normal",Healthcare!$E604&lt;=6.4,"prediabetes",Healthcare!$E604&gt;=6.5,"diabetes")</f>
        <v>prediabetes</v>
      </c>
      <c r="G604" s="5" t="s">
        <v>20</v>
      </c>
      <c r="H604" s="5" t="s">
        <v>19</v>
      </c>
      <c r="I604" s="5" t="s">
        <v>29</v>
      </c>
      <c r="J604" s="5">
        <v>1</v>
      </c>
      <c r="K604" s="5" t="s">
        <v>19</v>
      </c>
      <c r="L604" s="5" t="str">
        <f>VLOOKUP(Healthcare!$A604,hospital_details,2,0)</f>
        <v>8-Aug-1969</v>
      </c>
      <c r="M604" s="5">
        <f t="shared" ref="M604:M667" ca="1" si="3611">VLOOKUP(A604,hospital_details,3,0)</f>
        <v>57</v>
      </c>
      <c r="N604" s="5">
        <f t="shared" ref="N604:N667" si="3612">VLOOKUP($A604,hospital_details,4,0)</f>
        <v>0</v>
      </c>
      <c r="O604" s="6">
        <f t="shared" ref="O604:O667" si="3613">VLOOKUP($A604,hospital_details,5,0)</f>
        <v>16311.05</v>
      </c>
      <c r="P604" s="5" t="str">
        <f t="shared" ref="P604:P667" si="3614">VLOOKUP($A604,hospital_details,6,0)</f>
        <v>tier - 2</v>
      </c>
      <c r="Q604" s="5" t="str">
        <f t="shared" ref="Q604:Q667" si="3615">VLOOKUP($A604,hospital_details,7,0)</f>
        <v>tier - 3</v>
      </c>
      <c r="R604" s="5" t="str">
        <f t="shared" ref="R604:R667" si="3616">VLOOKUP($A604,hospital_details,8,0)</f>
        <v>R1026</v>
      </c>
    </row>
    <row r="605" spans="1:18" ht="14.4" customHeight="1" x14ac:dyDescent="0.3">
      <c r="A605" s="7" t="s">
        <v>625</v>
      </c>
      <c r="B605" s="7" t="str">
        <f>VLOOKUP($A605,[1]!Customer_Names[#Data],3,0)</f>
        <v xml:space="preserve">  Jonathan</v>
      </c>
      <c r="C605" s="7">
        <v>27.7</v>
      </c>
      <c r="D605" s="7" t="str" cm="1">
        <f t="array" ref="D605">_xlfn.IFS(Healthcare!$C605&lt;18.5,"under weight",Healthcare!$C605&lt;=24.9,"Normal Weight",Healthcare!$C605&gt;=25,"overweight",Healthcare!$C605&gt;=30,"obese")</f>
        <v>overweight</v>
      </c>
      <c r="E605" s="7">
        <v>5.6</v>
      </c>
      <c r="F605" s="7" t="str" cm="1">
        <f t="array" ref="F605">_xlfn.IFS(Healthcare!$E605&lt;5.7,"normal",Healthcare!$E605&lt;=6.4,"prediabetes",Healthcare!$E605&gt;=6.5,"diabetes")</f>
        <v>normal</v>
      </c>
      <c r="G605" s="7" t="s">
        <v>19</v>
      </c>
      <c r="H605" s="7" t="s">
        <v>19</v>
      </c>
      <c r="I605" s="7" t="s">
        <v>29</v>
      </c>
      <c r="J605" s="7">
        <v>1</v>
      </c>
      <c r="K605" s="7" t="s">
        <v>20</v>
      </c>
      <c r="L605" s="7" t="str">
        <f>VLOOKUP(Healthcare!$A605,hospital_details,2,0)</f>
        <v>24-Aug-2003</v>
      </c>
      <c r="M605" s="7">
        <f t="shared" ref="M605:M668" ca="1" si="3617">VLOOKUP(A605,hospital_details,3,0)</f>
        <v>23</v>
      </c>
      <c r="N605" s="7">
        <f t="shared" ref="N605:N668" si="3618">VLOOKUP($A605,hospital_details,4,0)</f>
        <v>0</v>
      </c>
      <c r="O605" s="8">
        <f t="shared" ref="O605:O668" si="3619">VLOOKUP($A605,hospital_details,5,0)</f>
        <v>16297.85</v>
      </c>
      <c r="P605" s="7" t="str">
        <f t="shared" ref="P605:P668" si="3620">VLOOKUP($A605,hospital_details,6,0)</f>
        <v>tier - 2</v>
      </c>
      <c r="Q605" s="7" t="str">
        <f t="shared" ref="Q605:Q668" si="3621">VLOOKUP($A605,hospital_details,7,0)</f>
        <v>tier - 3</v>
      </c>
      <c r="R605" s="7" t="str">
        <f t="shared" ref="R605:R668" si="3622">VLOOKUP($A605,hospital_details,8,0)</f>
        <v>R1011</v>
      </c>
    </row>
    <row r="606" spans="1:18" ht="14.4" customHeight="1" x14ac:dyDescent="0.3">
      <c r="A606" s="5" t="s">
        <v>626</v>
      </c>
      <c r="B606" s="5" t="str">
        <f>VLOOKUP($A606,[1]!Customer_Names[#Data],3,0)</f>
        <v xml:space="preserve">  Greg D</v>
      </c>
      <c r="C606" s="5">
        <v>45.68</v>
      </c>
      <c r="D606" s="5" t="str" cm="1">
        <f t="array" ref="D606">_xlfn.IFS(Healthcare!$C606&lt;18.5,"under weight",Healthcare!$C606&lt;=24.9,"Normal Weight",Healthcare!$C606&gt;=25,"overweight",Healthcare!$C606&gt;=30,"obese")</f>
        <v>overweight</v>
      </c>
      <c r="E606" s="5">
        <v>4.8</v>
      </c>
      <c r="F606" s="5" t="str" cm="1">
        <f t="array" ref="F606">_xlfn.IFS(Healthcare!$E606&lt;5.7,"normal",Healthcare!$E606&lt;=6.4,"prediabetes",Healthcare!$E606&gt;=6.5,"diabetes")</f>
        <v>normal</v>
      </c>
      <c r="G606" s="5" t="s">
        <v>19</v>
      </c>
      <c r="H606" s="5" t="s">
        <v>19</v>
      </c>
      <c r="I606" s="5" t="s">
        <v>19</v>
      </c>
      <c r="J606" s="5">
        <v>2</v>
      </c>
      <c r="K606" s="5" t="s">
        <v>19</v>
      </c>
      <c r="L606" s="5" t="str">
        <f>VLOOKUP(Healthcare!$A606,hospital_details,2,0)</f>
        <v>30-Jul-1972</v>
      </c>
      <c r="M606" s="5">
        <f t="shared" ref="M606:M669" ca="1" si="3623">VLOOKUP(A606,hospital_details,3,0)</f>
        <v>54</v>
      </c>
      <c r="N606" s="5">
        <f t="shared" ref="N606:N669" si="3624">VLOOKUP($A606,hospital_details,4,0)</f>
        <v>0</v>
      </c>
      <c r="O606" s="6">
        <f t="shared" ref="O606:O669" si="3625">VLOOKUP($A606,hospital_details,5,0)</f>
        <v>16267.32</v>
      </c>
      <c r="P606" s="5" t="str">
        <f t="shared" ref="P606:P669" si="3626">VLOOKUP($A606,hospital_details,6,0)</f>
        <v>tier - 2</v>
      </c>
      <c r="Q606" s="5" t="str">
        <f t="shared" ref="Q606:Q669" si="3627">VLOOKUP($A606,hospital_details,7,0)</f>
        <v>tier - 2</v>
      </c>
      <c r="R606" s="5" t="str">
        <f t="shared" ref="R606:R669" si="3628">VLOOKUP($A606,hospital_details,8,0)</f>
        <v>R1023</v>
      </c>
    </row>
    <row r="607" spans="1:18" ht="14.4" customHeight="1" x14ac:dyDescent="0.3">
      <c r="A607" s="7" t="s">
        <v>627</v>
      </c>
      <c r="B607" s="7" t="str">
        <f>VLOOKUP($A607,[1]!Customer_Names[#Data],3,0)</f>
        <v xml:space="preserve">  Steven L</v>
      </c>
      <c r="C607" s="7">
        <v>27.3</v>
      </c>
      <c r="D607" s="7" t="str" cm="1">
        <f t="array" ref="D607">_xlfn.IFS(Healthcare!$C607&lt;18.5,"under weight",Healthcare!$C607&lt;=24.9,"Normal Weight",Healthcare!$C607&gt;=25,"overweight",Healthcare!$C607&gt;=30,"obese")</f>
        <v>overweight</v>
      </c>
      <c r="E607" s="7">
        <v>11.89</v>
      </c>
      <c r="F607" s="7" t="str" cm="1">
        <f t="array" ref="F607">_xlfn.IFS(Healthcare!$E607&lt;5.7,"normal",Healthcare!$E607&lt;=6.4,"prediabetes",Healthcare!$E607&gt;=6.5,"diabetes")</f>
        <v>diabetes</v>
      </c>
      <c r="G607" s="7" t="s">
        <v>19</v>
      </c>
      <c r="H607" s="7" t="s">
        <v>19</v>
      </c>
      <c r="I607" s="7" t="s">
        <v>19</v>
      </c>
      <c r="J607" s="7">
        <v>0</v>
      </c>
      <c r="K607" s="7" t="s">
        <v>20</v>
      </c>
      <c r="L607" s="7" t="str">
        <f>VLOOKUP(Healthcare!$A607,hospital_details,2,0)</f>
        <v>8-Sep-2002</v>
      </c>
      <c r="M607" s="7">
        <f t="shared" ref="M607:M670" ca="1" si="3629">VLOOKUP(A607,hospital_details,3,0)</f>
        <v>24</v>
      </c>
      <c r="N607" s="7">
        <f t="shared" ref="N607:N670" si="3630">VLOOKUP($A607,hospital_details,4,0)</f>
        <v>0</v>
      </c>
      <c r="O607" s="8">
        <f t="shared" ref="O607:O670" si="3631">VLOOKUP($A607,hospital_details,5,0)</f>
        <v>16232.85</v>
      </c>
      <c r="P607" s="7" t="str">
        <f t="shared" ref="P607:P670" si="3632">VLOOKUP($A607,hospital_details,6,0)</f>
        <v>tier - 2</v>
      </c>
      <c r="Q607" s="7" t="str">
        <f t="shared" ref="Q607:Q670" si="3633">VLOOKUP($A607,hospital_details,7,0)</f>
        <v>tier - 1</v>
      </c>
      <c r="R607" s="7" t="str">
        <f t="shared" ref="R607:R670" si="3634">VLOOKUP($A607,hospital_details,8,0)</f>
        <v>R1011</v>
      </c>
    </row>
    <row r="608" spans="1:18" ht="14.4" customHeight="1" x14ac:dyDescent="0.3">
      <c r="A608" s="5" t="s">
        <v>628</v>
      </c>
      <c r="B608" s="5" t="str">
        <f>VLOOKUP($A608,[1]!Customer_Names[#Data],3,0)</f>
        <v xml:space="preserve">  Gianfilippo</v>
      </c>
      <c r="C608" s="5">
        <v>54.45</v>
      </c>
      <c r="D608" s="5" t="str" cm="1">
        <f t="array" ref="D608">_xlfn.IFS(Healthcare!$C608&lt;18.5,"under weight",Healthcare!$C608&lt;=24.9,"Normal Weight",Healthcare!$C608&gt;=25,"overweight",Healthcare!$C608&gt;=30,"obese")</f>
        <v>overweight</v>
      </c>
      <c r="E608" s="5">
        <v>4.7300000000000004</v>
      </c>
      <c r="F608" s="5" t="str" cm="1">
        <f t="array" ref="F608">_xlfn.IFS(Healthcare!$E608&lt;5.7,"normal",Healthcare!$E608&lt;=6.4,"prediabetes",Healthcare!$E608&gt;=6.5,"diabetes")</f>
        <v>normal</v>
      </c>
      <c r="G608" s="5" t="s">
        <v>20</v>
      </c>
      <c r="H608" s="5" t="s">
        <v>19</v>
      </c>
      <c r="I608" s="5" t="s">
        <v>19</v>
      </c>
      <c r="J608" s="5">
        <v>1</v>
      </c>
      <c r="K608" s="5" t="s">
        <v>19</v>
      </c>
      <c r="L608" s="5" t="str">
        <f>VLOOKUP(Healthcare!$A608,hospital_details,2,0)</f>
        <v>21-Aug-1988</v>
      </c>
      <c r="M608" s="5">
        <f t="shared" ref="M608:M671" ca="1" si="3635">VLOOKUP(A608,hospital_details,3,0)</f>
        <v>38</v>
      </c>
      <c r="N608" s="5">
        <f t="shared" ref="N608:N671" si="3636">VLOOKUP($A608,hospital_details,4,0)</f>
        <v>3</v>
      </c>
      <c r="O608" s="6">
        <f t="shared" ref="O608:O671" si="3637">VLOOKUP($A608,hospital_details,5,0)</f>
        <v>16205.88</v>
      </c>
      <c r="P608" s="5" t="str">
        <f t="shared" ref="P608:P671" si="3638">VLOOKUP($A608,hospital_details,6,0)</f>
        <v>tier - 2</v>
      </c>
      <c r="Q608" s="5" t="str">
        <f t="shared" ref="Q608:Q671" si="3639">VLOOKUP($A608,hospital_details,7,0)</f>
        <v>tier - 1</v>
      </c>
      <c r="R608" s="5" t="str">
        <f t="shared" ref="R608:R671" si="3640">VLOOKUP($A608,hospital_details,8,0)</f>
        <v>R1012</v>
      </c>
    </row>
    <row r="609" spans="1:18" ht="14.4" customHeight="1" x14ac:dyDescent="0.3">
      <c r="A609" s="7" t="s">
        <v>629</v>
      </c>
      <c r="B609" s="7" t="str">
        <f>VLOOKUP($A609,[1]!Customer_Names[#Data],3,0)</f>
        <v xml:space="preserve">  Hector</v>
      </c>
      <c r="C609" s="7">
        <v>54.43</v>
      </c>
      <c r="D609" s="7" t="str" cm="1">
        <f t="array" ref="D609">_xlfn.IFS(Healthcare!$C609&lt;18.5,"under weight",Healthcare!$C609&lt;=24.9,"Normal Weight",Healthcare!$C609&gt;=25,"overweight",Healthcare!$C609&gt;=30,"obese")</f>
        <v>overweight</v>
      </c>
      <c r="E609" s="7">
        <v>4.6100000000000003</v>
      </c>
      <c r="F609" s="7" t="str" cm="1">
        <f t="array" ref="F609">_xlfn.IFS(Healthcare!$E609&lt;5.7,"normal",Healthcare!$E609&lt;=6.4,"prediabetes",Healthcare!$E609&gt;=6.5,"diabetes")</f>
        <v>normal</v>
      </c>
      <c r="G609" s="7" t="s">
        <v>20</v>
      </c>
      <c r="H609" s="7" t="s">
        <v>19</v>
      </c>
      <c r="I609" s="7" t="s">
        <v>19</v>
      </c>
      <c r="J609" s="7">
        <v>1</v>
      </c>
      <c r="K609" s="7" t="s">
        <v>19</v>
      </c>
      <c r="L609" s="7" t="str">
        <f>VLOOKUP(Healthcare!$A609,hospital_details,2,0)</f>
        <v>6-Aug-1988</v>
      </c>
      <c r="M609" s="7">
        <f t="shared" ref="M609:M672" ca="1" si="3641">VLOOKUP(A609,hospital_details,3,0)</f>
        <v>38</v>
      </c>
      <c r="N609" s="7">
        <f t="shared" ref="N609:N672" si="3642">VLOOKUP($A609,hospital_details,4,0)</f>
        <v>3</v>
      </c>
      <c r="O609" s="8">
        <f t="shared" ref="O609:O672" si="3643">VLOOKUP($A609,hospital_details,5,0)</f>
        <v>16199.1</v>
      </c>
      <c r="P609" s="7" t="str">
        <f t="shared" ref="P609:P672" si="3644">VLOOKUP($A609,hospital_details,6,0)</f>
        <v>tier - 2</v>
      </c>
      <c r="Q609" s="7" t="str">
        <f t="shared" ref="Q609:Q672" si="3645">VLOOKUP($A609,hospital_details,7,0)</f>
        <v>tier - 2</v>
      </c>
      <c r="R609" s="7" t="str">
        <f t="shared" ref="R609:R672" si="3646">VLOOKUP($A609,hospital_details,8,0)</f>
        <v>R1012</v>
      </c>
    </row>
    <row r="610" spans="1:18" ht="14.4" customHeight="1" x14ac:dyDescent="0.3">
      <c r="A610" s="5" t="s">
        <v>630</v>
      </c>
      <c r="B610" s="5" t="str">
        <f>VLOOKUP($A610,[1]!Customer_Names[#Data],3,0)</f>
        <v xml:space="preserve">  Mark W</v>
      </c>
      <c r="C610" s="5">
        <v>48.01</v>
      </c>
      <c r="D610" s="5" t="str" cm="1">
        <f t="array" ref="D610">_xlfn.IFS(Healthcare!$C610&lt;18.5,"under weight",Healthcare!$C610&lt;=24.9,"Normal Weight",Healthcare!$C610&gt;=25,"overweight",Healthcare!$C610&gt;=30,"obese")</f>
        <v>overweight</v>
      </c>
      <c r="E610" s="5">
        <v>7.3</v>
      </c>
      <c r="F610" s="5" t="str" cm="1">
        <f t="array" ref="F610">_xlfn.IFS(Healthcare!$E610&lt;5.7,"normal",Healthcare!$E610&lt;=6.4,"prediabetes",Healthcare!$E610&gt;=6.5,"diabetes")</f>
        <v>diabetes</v>
      </c>
      <c r="G610" s="5" t="s">
        <v>19</v>
      </c>
      <c r="H610" s="5" t="s">
        <v>19</v>
      </c>
      <c r="I610" s="5" t="s">
        <v>19</v>
      </c>
      <c r="J610" s="5">
        <v>0</v>
      </c>
      <c r="K610" s="5" t="s">
        <v>19</v>
      </c>
      <c r="L610" s="5" t="str">
        <f>VLOOKUP(Healthcare!$A610,hospital_details,2,0)</f>
        <v>11-Sep-1974</v>
      </c>
      <c r="M610" s="5">
        <f t="shared" ref="M610:M673" ca="1" si="3647">VLOOKUP(A610,hospital_details,3,0)</f>
        <v>52</v>
      </c>
      <c r="N610" s="5">
        <f t="shared" ref="N610:N673" si="3648">VLOOKUP($A610,hospital_details,4,0)</f>
        <v>0</v>
      </c>
      <c r="O610" s="6">
        <f t="shared" ref="O610:O673" si="3649">VLOOKUP($A610,hospital_details,5,0)</f>
        <v>16190.97</v>
      </c>
      <c r="P610" s="5" t="str">
        <f t="shared" ref="P610:P673" si="3650">VLOOKUP($A610,hospital_details,6,0)</f>
        <v>tier - 2</v>
      </c>
      <c r="Q610" s="5" t="str">
        <f t="shared" ref="Q610:Q673" si="3651">VLOOKUP($A610,hospital_details,7,0)</f>
        <v>tier - 3</v>
      </c>
      <c r="R610" s="5" t="str">
        <f t="shared" ref="R610:R673" si="3652">VLOOKUP($A610,hospital_details,8,0)</f>
        <v>R1012</v>
      </c>
    </row>
    <row r="611" spans="1:18" ht="14.4" customHeight="1" x14ac:dyDescent="0.3">
      <c r="A611" s="7" t="s">
        <v>631</v>
      </c>
      <c r="B611" s="7" t="str">
        <f>VLOOKUP($A611,[1]!Customer_Names[#Data],3,0)</f>
        <v xml:space="preserve">  Aubri</v>
      </c>
      <c r="C611" s="7">
        <v>48.32</v>
      </c>
      <c r="D611" s="7" t="str" cm="1">
        <f t="array" ref="D611">_xlfn.IFS(Healthcare!$C611&lt;18.5,"under weight",Healthcare!$C611&lt;=24.9,"Normal Weight",Healthcare!$C611&gt;=25,"overweight",Healthcare!$C611&gt;=30,"obese")</f>
        <v>overweight</v>
      </c>
      <c r="E611" s="7">
        <v>5.88</v>
      </c>
      <c r="F611" s="7" t="str" cm="1">
        <f t="array" ref="F611">_xlfn.IFS(Healthcare!$E611&lt;5.7,"normal",Healthcare!$E611&lt;=6.4,"prediabetes",Healthcare!$E611&gt;=6.5,"diabetes")</f>
        <v>prediabetes</v>
      </c>
      <c r="G611" s="7" t="s">
        <v>19</v>
      </c>
      <c r="H611" s="7" t="s">
        <v>19</v>
      </c>
      <c r="I611" s="7" t="s">
        <v>19</v>
      </c>
      <c r="J611" s="7">
        <v>0</v>
      </c>
      <c r="K611" s="7" t="s">
        <v>19</v>
      </c>
      <c r="L611" s="7" t="str">
        <f>VLOOKUP(Healthcare!$A611,hospital_details,2,0)</f>
        <v>6-Jul-1982</v>
      </c>
      <c r="M611" s="7">
        <f t="shared" ref="M611:M674" ca="1" si="3653">VLOOKUP(A611,hospital_details,3,0)</f>
        <v>44</v>
      </c>
      <c r="N611" s="7">
        <f t="shared" ref="N611:N674" si="3654">VLOOKUP($A611,hospital_details,4,0)</f>
        <v>3</v>
      </c>
      <c r="O611" s="8">
        <f t="shared" ref="O611:O674" si="3655">VLOOKUP($A611,hospital_details,5,0)</f>
        <v>16152.04</v>
      </c>
      <c r="P611" s="7" t="str">
        <f t="shared" ref="P611:P674" si="3656">VLOOKUP($A611,hospital_details,6,0)</f>
        <v>tier - 2</v>
      </c>
      <c r="Q611" s="7" t="str">
        <f t="shared" ref="Q611:Q674" si="3657">VLOOKUP($A611,hospital_details,7,0)</f>
        <v>tier - 1</v>
      </c>
      <c r="R611" s="7" t="str">
        <f t="shared" ref="R611:R674" si="3658">VLOOKUP($A611,hospital_details,8,0)</f>
        <v>R1026</v>
      </c>
    </row>
    <row r="612" spans="1:18" ht="14.4" customHeight="1" x14ac:dyDescent="0.3">
      <c r="A612" s="5" t="s">
        <v>632</v>
      </c>
      <c r="B612" s="5" t="str">
        <f>VLOOKUP($A612,[1]!Customer_Names[#Data],3,0)</f>
        <v xml:space="preserve">  Justin</v>
      </c>
      <c r="C612" s="5">
        <v>22.895</v>
      </c>
      <c r="D612" s="5" t="str" cm="1">
        <f t="array" ref="D612">_xlfn.IFS(Healthcare!$C612&lt;18.5,"under weight",Healthcare!$C612&lt;=24.9,"Normal Weight",Healthcare!$C612&gt;=25,"overweight",Healthcare!$C612&gt;=30,"obese")</f>
        <v>Normal Weight</v>
      </c>
      <c r="E612" s="5">
        <v>4.0599999999999996</v>
      </c>
      <c r="F612" s="5" t="str" cm="1">
        <f t="array" ref="F612">_xlfn.IFS(Healthcare!$E612&lt;5.7,"normal",Healthcare!$E612&lt;=6.4,"prediabetes",Healthcare!$E612&gt;=6.5,"diabetes")</f>
        <v>normal</v>
      </c>
      <c r="G612" s="5" t="s">
        <v>19</v>
      </c>
      <c r="H612" s="5" t="s">
        <v>19</v>
      </c>
      <c r="I612" s="5" t="s">
        <v>29</v>
      </c>
      <c r="J612" s="5">
        <v>1</v>
      </c>
      <c r="K612" s="5" t="s">
        <v>20</v>
      </c>
      <c r="L612" s="5" t="str">
        <f>VLOOKUP(Healthcare!$A612,hospital_details,2,0)</f>
        <v>12-Dec-1993</v>
      </c>
      <c r="M612" s="5">
        <f t="shared" ref="M612:M675" ca="1" si="3659">VLOOKUP(A612,hospital_details,3,0)</f>
        <v>32</v>
      </c>
      <c r="N612" s="5">
        <f t="shared" ref="N612:N675" si="3660">VLOOKUP($A612,hospital_details,4,0)</f>
        <v>0</v>
      </c>
      <c r="O612" s="6">
        <f t="shared" ref="O612:O675" si="3661">VLOOKUP($A612,hospital_details,5,0)</f>
        <v>16138.76</v>
      </c>
      <c r="P612" s="5" t="str">
        <f t="shared" ref="P612:P675" si="3662">VLOOKUP($A612,hospital_details,6,0)</f>
        <v>tier - 2</v>
      </c>
      <c r="Q612" s="5" t="str">
        <f t="shared" ref="Q612:Q675" si="3663">VLOOKUP($A612,hospital_details,7,0)</f>
        <v>tier - 3</v>
      </c>
      <c r="R612" s="5" t="str">
        <f t="shared" ref="R612:R675" si="3664">VLOOKUP($A612,hospital_details,8,0)</f>
        <v>R1017</v>
      </c>
    </row>
    <row r="613" spans="1:18" ht="14.4" customHeight="1" x14ac:dyDescent="0.3">
      <c r="A613" s="7" t="s">
        <v>633</v>
      </c>
      <c r="B613" s="7" t="str">
        <f>VLOOKUP($A613,[1]!Customer_Names[#Data],3,0)</f>
        <v xml:space="preserve">  Megan A</v>
      </c>
      <c r="C613" s="7">
        <v>54.85</v>
      </c>
      <c r="D613" s="7" t="str" cm="1">
        <f t="array" ref="D613">_xlfn.IFS(Healthcare!$C613&lt;18.5,"under weight",Healthcare!$C613&lt;=24.9,"Normal Weight",Healthcare!$C613&gt;=25,"overweight",Healthcare!$C613&gt;=30,"obese")</f>
        <v>overweight</v>
      </c>
      <c r="E613" s="7">
        <v>4.9000000000000004</v>
      </c>
      <c r="F613" s="7" t="str" cm="1">
        <f t="array" ref="F613">_xlfn.IFS(Healthcare!$E613&lt;5.7,"normal",Healthcare!$E613&lt;=6.4,"prediabetes",Healthcare!$E613&gt;=6.5,"diabetes")</f>
        <v>normal</v>
      </c>
      <c r="G613" s="7" t="s">
        <v>19</v>
      </c>
      <c r="H613" s="7" t="s">
        <v>19</v>
      </c>
      <c r="I613" s="7" t="s">
        <v>19</v>
      </c>
      <c r="J613" s="7">
        <v>1</v>
      </c>
      <c r="K613" s="7" t="s">
        <v>19</v>
      </c>
      <c r="L613" s="7" t="str">
        <f>VLOOKUP(Healthcare!$A613,hospital_details,2,0)</f>
        <v>6-Oct-1987</v>
      </c>
      <c r="M613" s="7">
        <f t="shared" ref="M613:M676" ca="1" si="3665">VLOOKUP(A613,hospital_details,3,0)</f>
        <v>39</v>
      </c>
      <c r="N613" s="7">
        <f t="shared" ref="N613:N676" si="3666">VLOOKUP($A613,hospital_details,4,0)</f>
        <v>3</v>
      </c>
      <c r="O613" s="8">
        <f t="shared" ref="O613:O676" si="3667">VLOOKUP($A613,hospital_details,5,0)</f>
        <v>16122.65</v>
      </c>
      <c r="P613" s="7" t="str">
        <f t="shared" ref="P613:P676" si="3668">VLOOKUP($A613,hospital_details,6,0)</f>
        <v>tier - 2</v>
      </c>
      <c r="Q613" s="7" t="str">
        <f t="shared" ref="Q613:Q676" si="3669">VLOOKUP($A613,hospital_details,7,0)</f>
        <v>tier - 1</v>
      </c>
      <c r="R613" s="7" t="str">
        <f t="shared" ref="R613:R676" si="3670">VLOOKUP($A613,hospital_details,8,0)</f>
        <v>R1011</v>
      </c>
    </row>
    <row r="614" spans="1:18" ht="14.4" customHeight="1" x14ac:dyDescent="0.3">
      <c r="A614" s="5" t="s">
        <v>634</v>
      </c>
      <c r="B614" s="5" t="str">
        <f>VLOOKUP($A614,[1]!Customer_Names[#Data],3,0)</f>
        <v xml:space="preserve">  Erika M</v>
      </c>
      <c r="C614" s="5">
        <v>21.85</v>
      </c>
      <c r="D614" s="5" t="str" cm="1">
        <f t="array" ref="D614">_xlfn.IFS(Healthcare!$C614&lt;18.5,"under weight",Healthcare!$C614&lt;=24.9,"Normal Weight",Healthcare!$C614&gt;=25,"overweight",Healthcare!$C614&gt;=30,"obese")</f>
        <v>Normal Weight</v>
      </c>
      <c r="E614" s="5">
        <v>5.52</v>
      </c>
      <c r="F614" s="5" t="str" cm="1">
        <f t="array" ref="F614">_xlfn.IFS(Healthcare!$E614&lt;5.7,"normal",Healthcare!$E614&lt;=6.4,"prediabetes",Healthcare!$E614&gt;=6.5,"diabetes")</f>
        <v>normal</v>
      </c>
      <c r="G614" s="5" t="s">
        <v>19</v>
      </c>
      <c r="H614" s="5" t="s">
        <v>19</v>
      </c>
      <c r="I614" s="5" t="s">
        <v>29</v>
      </c>
      <c r="J614" s="5">
        <v>1</v>
      </c>
      <c r="K614" s="5" t="s">
        <v>20</v>
      </c>
      <c r="L614" s="5" t="str">
        <f>VLOOKUP(Healthcare!$A614,hospital_details,2,0)</f>
        <v>8-Aug-1993</v>
      </c>
      <c r="M614" s="5">
        <f t="shared" ref="M614:M677" ca="1" si="3671">VLOOKUP(A614,hospital_details,3,0)</f>
        <v>33</v>
      </c>
      <c r="N614" s="5">
        <f t="shared" ref="N614:N677" si="3672">VLOOKUP($A614,hospital_details,4,0)</f>
        <v>0</v>
      </c>
      <c r="O614" s="6">
        <f t="shared" ref="O614:O677" si="3673">VLOOKUP($A614,hospital_details,5,0)</f>
        <v>16115.3</v>
      </c>
      <c r="P614" s="5" t="str">
        <f t="shared" ref="P614:P677" si="3674">VLOOKUP($A614,hospital_details,6,0)</f>
        <v>tier - 2</v>
      </c>
      <c r="Q614" s="5" t="str">
        <f t="shared" ref="Q614:Q677" si="3675">VLOOKUP($A614,hospital_details,7,0)</f>
        <v>tier - 1</v>
      </c>
      <c r="R614" s="5" t="str">
        <f t="shared" ref="R614:R677" si="3676">VLOOKUP($A614,hospital_details,8,0)</f>
        <v>R1024</v>
      </c>
    </row>
    <row r="615" spans="1:18" ht="14.4" customHeight="1" x14ac:dyDescent="0.3">
      <c r="A615" s="7" t="s">
        <v>635</v>
      </c>
      <c r="B615" s="7" t="str">
        <f>VLOOKUP($A615,[1]!Customer_Names[#Data],3,0)</f>
        <v xml:space="preserve">  Daniel G</v>
      </c>
      <c r="C615" s="7">
        <v>51.86</v>
      </c>
      <c r="D615" s="7" t="str" cm="1">
        <f t="array" ref="D615">_xlfn.IFS(Healthcare!$C615&lt;18.5,"under weight",Healthcare!$C615&lt;=24.9,"Normal Weight",Healthcare!$C615&gt;=25,"overweight",Healthcare!$C615&gt;=30,"obese")</f>
        <v>overweight</v>
      </c>
      <c r="E615" s="7">
        <v>5.2</v>
      </c>
      <c r="F615" s="7" t="str" cm="1">
        <f t="array" ref="F615">_xlfn.IFS(Healthcare!$E615&lt;5.7,"normal",Healthcare!$E615&lt;=6.4,"prediabetes",Healthcare!$E615&gt;=6.5,"diabetes")</f>
        <v>normal</v>
      </c>
      <c r="G615" s="7" t="s">
        <v>20</v>
      </c>
      <c r="H615" s="7" t="s">
        <v>19</v>
      </c>
      <c r="I615" s="7" t="s">
        <v>19</v>
      </c>
      <c r="J615" s="7">
        <v>0</v>
      </c>
      <c r="K615" s="7" t="s">
        <v>19</v>
      </c>
      <c r="L615" s="7" t="str">
        <f>VLOOKUP(Healthcare!$A615,hospital_details,2,0)</f>
        <v>27-Aug-1985</v>
      </c>
      <c r="M615" s="7">
        <f t="shared" ref="M615:M678" ca="1" si="3677">VLOOKUP(A615,hospital_details,3,0)</f>
        <v>41</v>
      </c>
      <c r="N615" s="7">
        <f t="shared" ref="N615:N678" si="3678">VLOOKUP($A615,hospital_details,4,0)</f>
        <v>3</v>
      </c>
      <c r="O615" s="8">
        <f t="shared" ref="O615:O678" si="3679">VLOOKUP($A615,hospital_details,5,0)</f>
        <v>16097.94</v>
      </c>
      <c r="P615" s="7" t="str">
        <f t="shared" ref="P615:P678" si="3680">VLOOKUP($A615,hospital_details,6,0)</f>
        <v>tier - 2</v>
      </c>
      <c r="Q615" s="7" t="str">
        <f t="shared" ref="Q615:Q678" si="3681">VLOOKUP($A615,hospital_details,7,0)</f>
        <v>tier - 3</v>
      </c>
      <c r="R615" s="7" t="str">
        <f t="shared" ref="R615:R678" si="3682">VLOOKUP($A615,hospital_details,8,0)</f>
        <v>R1012</v>
      </c>
    </row>
    <row r="616" spans="1:18" ht="14.4" customHeight="1" x14ac:dyDescent="0.3">
      <c r="A616" s="5" t="s">
        <v>636</v>
      </c>
      <c r="B616" s="5" t="str">
        <f>VLOOKUP($A616,[1]!Customer_Names[#Data],3,0)</f>
        <v xml:space="preserve">  Devin C</v>
      </c>
      <c r="C616" s="5">
        <v>39.049999999999997</v>
      </c>
      <c r="D616" s="5" t="str" cm="1">
        <f t="array" ref="D616">_xlfn.IFS(Healthcare!$C616&lt;18.5,"under weight",Healthcare!$C616&lt;=24.9,"Normal Weight",Healthcare!$C616&gt;=25,"overweight",Healthcare!$C616&gt;=30,"obese")</f>
        <v>overweight</v>
      </c>
      <c r="E616" s="5">
        <v>7.59</v>
      </c>
      <c r="F616" s="5" t="str" cm="1">
        <f t="array" ref="F616">_xlfn.IFS(Healthcare!$E616&lt;5.7,"normal",Healthcare!$E616&lt;=6.4,"prediabetes",Healthcare!$E616&gt;=6.5,"diabetes")</f>
        <v>diabetes</v>
      </c>
      <c r="G616" s="5" t="s">
        <v>19</v>
      </c>
      <c r="H616" s="5" t="s">
        <v>19</v>
      </c>
      <c r="I616" s="5" t="s">
        <v>19</v>
      </c>
      <c r="J616" s="5">
        <v>3</v>
      </c>
      <c r="K616" s="5" t="s">
        <v>19</v>
      </c>
      <c r="L616" s="5" t="str">
        <f>VLOOKUP(Healthcare!$A616,hospital_details,2,0)</f>
        <v>21-Jun-1958</v>
      </c>
      <c r="M616" s="5">
        <f t="shared" ref="M616:M679" ca="1" si="3683">VLOOKUP(A616,hospital_details,3,0)</f>
        <v>68</v>
      </c>
      <c r="N616" s="5">
        <f t="shared" ref="N616:N679" si="3684">VLOOKUP($A616,hospital_details,4,0)</f>
        <v>3</v>
      </c>
      <c r="O616" s="6">
        <f t="shared" ref="O616:O679" si="3685">VLOOKUP($A616,hospital_details,5,0)</f>
        <v>16085.13</v>
      </c>
      <c r="P616" s="5" t="str">
        <f t="shared" ref="P616:P679" si="3686">VLOOKUP($A616,hospital_details,6,0)</f>
        <v>tier - 2</v>
      </c>
      <c r="Q616" s="5" t="str">
        <f t="shared" ref="Q616:Q679" si="3687">VLOOKUP($A616,hospital_details,7,0)</f>
        <v>tier - 2</v>
      </c>
      <c r="R616" s="5" t="str">
        <f t="shared" ref="R616:R679" si="3688">VLOOKUP($A616,hospital_details,8,0)</f>
        <v>R1013</v>
      </c>
    </row>
    <row r="617" spans="1:18" ht="14.4" customHeight="1" x14ac:dyDescent="0.3">
      <c r="A617" s="7" t="s">
        <v>637</v>
      </c>
      <c r="B617" s="7" t="str">
        <f>VLOOKUP($A617,[1]!Customer_Names[#Data],3,0)</f>
        <v xml:space="preserve">  Louise A</v>
      </c>
      <c r="C617" s="7">
        <v>31.824999999999999</v>
      </c>
      <c r="D617" s="7" t="str" cm="1">
        <f t="array" ref="D617">_xlfn.IFS(Healthcare!$C617&lt;18.5,"under weight",Healthcare!$C617&lt;=24.9,"Normal Weight",Healthcare!$C617&gt;=25,"overweight",Healthcare!$C617&gt;=30,"obese")</f>
        <v>overweight</v>
      </c>
      <c r="E617" s="7">
        <v>8.2799999999999994</v>
      </c>
      <c r="F617" s="7" t="str" cm="1">
        <f t="array" ref="F617">_xlfn.IFS(Healthcare!$E617&lt;5.7,"normal",Healthcare!$E617&lt;=6.4,"prediabetes",Healthcare!$E617&gt;=6.5,"diabetes")</f>
        <v>diabetes</v>
      </c>
      <c r="G617" s="7" t="s">
        <v>19</v>
      </c>
      <c r="H617" s="7" t="s">
        <v>19</v>
      </c>
      <c r="I617" s="7" t="s">
        <v>19</v>
      </c>
      <c r="J617" s="7">
        <v>3</v>
      </c>
      <c r="K617" s="7" t="s">
        <v>19</v>
      </c>
      <c r="L617" s="7" t="str">
        <f>VLOOKUP(Healthcare!$A617,hospital_details,2,0)</f>
        <v>22-Oct-1958</v>
      </c>
      <c r="M617" s="7">
        <f t="shared" ref="M617:M680" ca="1" si="3689">VLOOKUP(A617,hospital_details,3,0)</f>
        <v>67</v>
      </c>
      <c r="N617" s="7">
        <f t="shared" ref="N617:N680" si="3690">VLOOKUP($A617,hospital_details,4,0)</f>
        <v>2</v>
      </c>
      <c r="O617" s="8">
        <f t="shared" ref="O617:O680" si="3691">VLOOKUP($A617,hospital_details,5,0)</f>
        <v>16069.08</v>
      </c>
      <c r="P617" s="7" t="str">
        <f t="shared" ref="P617:P680" si="3692">VLOOKUP($A617,hospital_details,6,0)</f>
        <v>tier - 2</v>
      </c>
      <c r="Q617" s="7" t="str">
        <f t="shared" ref="Q617:Q680" si="3693">VLOOKUP($A617,hospital_details,7,0)</f>
        <v>tier - 2</v>
      </c>
      <c r="R617" s="7" t="str">
        <f t="shared" ref="R617:R680" si="3694">VLOOKUP($A617,hospital_details,8,0)</f>
        <v>R1024</v>
      </c>
    </row>
    <row r="618" spans="1:18" ht="14.4" customHeight="1" x14ac:dyDescent="0.3">
      <c r="A618" s="5" t="s">
        <v>638</v>
      </c>
      <c r="B618" s="5" t="str">
        <f>VLOOKUP($A618,[1]!Customer_Names[#Data],3,0)</f>
        <v xml:space="preserve">  Sarah</v>
      </c>
      <c r="C618" s="5">
        <v>46.43</v>
      </c>
      <c r="D618" s="5" t="str" cm="1">
        <f t="array" ref="D618">_xlfn.IFS(Healthcare!$C618&lt;18.5,"under weight",Healthcare!$C618&lt;=24.9,"Normal Weight",Healthcare!$C618&gt;=25,"overweight",Healthcare!$C618&gt;=30,"obese")</f>
        <v>overweight</v>
      </c>
      <c r="E618" s="5">
        <v>6.72</v>
      </c>
      <c r="F618" s="5" t="str" cm="1">
        <f t="array" ref="F618">_xlfn.IFS(Healthcare!$E618&lt;5.7,"normal",Healthcare!$E618&lt;=6.4,"prediabetes",Healthcare!$E618&gt;=6.5,"diabetes")</f>
        <v>diabetes</v>
      </c>
      <c r="G618" s="5" t="s">
        <v>19</v>
      </c>
      <c r="H618" s="5" t="s">
        <v>19</v>
      </c>
      <c r="I618" s="5" t="s">
        <v>19</v>
      </c>
      <c r="J618" s="5">
        <v>0</v>
      </c>
      <c r="K618" s="5" t="s">
        <v>19</v>
      </c>
      <c r="L618" s="5" t="str">
        <f>VLOOKUP(Healthcare!$A618,hospital_details,2,0)</f>
        <v>16-Sep-1978</v>
      </c>
      <c r="M618" s="5">
        <f t="shared" ref="M618:M681" ca="1" si="3695">VLOOKUP(A618,hospital_details,3,0)</f>
        <v>48</v>
      </c>
      <c r="N618" s="5">
        <f t="shared" ref="N618:N681" si="3696">VLOOKUP($A618,hospital_details,4,0)</f>
        <v>2</v>
      </c>
      <c r="O618" s="6">
        <f t="shared" ref="O618:O681" si="3697">VLOOKUP($A618,hospital_details,5,0)</f>
        <v>16062.89</v>
      </c>
      <c r="P618" s="5" t="str">
        <f t="shared" ref="P618:P681" si="3698">VLOOKUP($A618,hospital_details,6,0)</f>
        <v>tier - 2</v>
      </c>
      <c r="Q618" s="5" t="str">
        <f t="shared" ref="Q618:Q681" si="3699">VLOOKUP($A618,hospital_details,7,0)</f>
        <v>tier - 2</v>
      </c>
      <c r="R618" s="5" t="str">
        <f t="shared" ref="R618:R681" si="3700">VLOOKUP($A618,hospital_details,8,0)</f>
        <v>R1026</v>
      </c>
    </row>
    <row r="619" spans="1:18" ht="14.4" customHeight="1" x14ac:dyDescent="0.3">
      <c r="A619" s="7" t="s">
        <v>639</v>
      </c>
      <c r="B619" s="7" t="str">
        <f>VLOOKUP($A619,[1]!Customer_Names[#Data],3,0)</f>
        <v xml:space="preserve">  Amy</v>
      </c>
      <c r="C619" s="7">
        <v>53.63</v>
      </c>
      <c r="D619" s="7" t="str" cm="1">
        <f t="array" ref="D619">_xlfn.IFS(Healthcare!$C619&lt;18.5,"under weight",Healthcare!$C619&lt;=24.9,"Normal Weight",Healthcare!$C619&gt;=25,"overweight",Healthcare!$C619&gt;=30,"obese")</f>
        <v>overweight</v>
      </c>
      <c r="E619" s="7">
        <v>5.47</v>
      </c>
      <c r="F619" s="7" t="str" cm="1">
        <f t="array" ref="F619">_xlfn.IFS(Healthcare!$E619&lt;5.7,"normal",Healthcare!$E619&lt;=6.4,"prediabetes",Healthcare!$E619&gt;=6.5,"diabetes")</f>
        <v>normal</v>
      </c>
      <c r="G619" s="7" t="s">
        <v>20</v>
      </c>
      <c r="H619" s="7" t="s">
        <v>19</v>
      </c>
      <c r="I619" s="7" t="s">
        <v>19</v>
      </c>
      <c r="J619" s="7">
        <v>1</v>
      </c>
      <c r="K619" s="7" t="s">
        <v>19</v>
      </c>
      <c r="L619" s="7" t="str">
        <f>VLOOKUP(Healthcare!$A619,hospital_details,2,0)</f>
        <v>5-Dec-1988</v>
      </c>
      <c r="M619" s="7">
        <f t="shared" ref="M619:M682" ca="1" si="3701">VLOOKUP(A619,hospital_details,3,0)</f>
        <v>37</v>
      </c>
      <c r="N619" s="7">
        <f t="shared" ref="N619:N682" si="3702">VLOOKUP($A619,hospital_details,4,0)</f>
        <v>3</v>
      </c>
      <c r="O619" s="8">
        <f t="shared" ref="O619:O682" si="3703">VLOOKUP($A619,hospital_details,5,0)</f>
        <v>16059.06</v>
      </c>
      <c r="P619" s="7" t="str">
        <f t="shared" ref="P619:P682" si="3704">VLOOKUP($A619,hospital_details,6,0)</f>
        <v>tier - 2</v>
      </c>
      <c r="Q619" s="7" t="str">
        <f t="shared" ref="Q619:Q682" si="3705">VLOOKUP($A619,hospital_details,7,0)</f>
        <v>tier - 3</v>
      </c>
      <c r="R619" s="7" t="str">
        <f t="shared" ref="R619:R682" si="3706">VLOOKUP($A619,hospital_details,8,0)</f>
        <v>R1012</v>
      </c>
    </row>
    <row r="620" spans="1:18" ht="14.4" customHeight="1" x14ac:dyDescent="0.3">
      <c r="A620" s="5" t="s">
        <v>640</v>
      </c>
      <c r="B620" s="5" t="str">
        <f>VLOOKUP($A620,[1]!Customer_Names[#Data],3,0)</f>
        <v xml:space="preserve">  Brittany L</v>
      </c>
      <c r="C620" s="5">
        <v>48.7</v>
      </c>
      <c r="D620" s="5" t="str" cm="1">
        <f t="array" ref="D620">_xlfn.IFS(Healthcare!$C620&lt;18.5,"under weight",Healthcare!$C620&lt;=24.9,"Normal Weight",Healthcare!$C620&gt;=25,"overweight",Healthcare!$C620&gt;=30,"obese")</f>
        <v>overweight</v>
      </c>
      <c r="E620" s="5">
        <v>4.71</v>
      </c>
      <c r="F620" s="5" t="str" cm="1">
        <f t="array" ref="F620">_xlfn.IFS(Healthcare!$E620&lt;5.7,"normal",Healthcare!$E620&lt;=6.4,"prediabetes",Healthcare!$E620&gt;=6.5,"diabetes")</f>
        <v>normal</v>
      </c>
      <c r="G620" s="5" t="s">
        <v>19</v>
      </c>
      <c r="H620" s="5" t="s">
        <v>19</v>
      </c>
      <c r="I620" s="5" t="s">
        <v>19</v>
      </c>
      <c r="J620" s="5">
        <v>0</v>
      </c>
      <c r="K620" s="5" t="s">
        <v>19</v>
      </c>
      <c r="L620" s="5" t="str">
        <f>VLOOKUP(Healthcare!$A620,hospital_details,2,0)</f>
        <v>19-Sep-1980</v>
      </c>
      <c r="M620" s="5">
        <f t="shared" ref="M620:M683" ca="1" si="3707">VLOOKUP(A620,hospital_details,3,0)</f>
        <v>46</v>
      </c>
      <c r="N620" s="5">
        <f t="shared" ref="N620:N683" si="3708">VLOOKUP($A620,hospital_details,4,0)</f>
        <v>2</v>
      </c>
      <c r="O620" s="6">
        <f t="shared" ref="O620:O683" si="3709">VLOOKUP($A620,hospital_details,5,0)</f>
        <v>15966.19</v>
      </c>
      <c r="P620" s="5" t="str">
        <f t="shared" ref="P620:P683" si="3710">VLOOKUP($A620,hospital_details,6,0)</f>
        <v>tier - 2</v>
      </c>
      <c r="Q620" s="5" t="str">
        <f t="shared" ref="Q620:Q683" si="3711">VLOOKUP($A620,hospital_details,7,0)</f>
        <v>tier - 2</v>
      </c>
      <c r="R620" s="5" t="str">
        <f t="shared" ref="R620:R683" si="3712">VLOOKUP($A620,hospital_details,8,0)</f>
        <v>R1012</v>
      </c>
    </row>
    <row r="621" spans="1:18" ht="14.4" customHeight="1" x14ac:dyDescent="0.3">
      <c r="A621" s="7" t="s">
        <v>641</v>
      </c>
      <c r="B621" s="7" t="str">
        <f>VLOOKUP($A621,[1]!Customer_Names[#Data],3,0)</f>
        <v xml:space="preserve">  Jessica L</v>
      </c>
      <c r="C621" s="7">
        <v>48.81</v>
      </c>
      <c r="D621" s="7" t="str" cm="1">
        <f t="array" ref="D621">_xlfn.IFS(Healthcare!$C621&lt;18.5,"under weight",Healthcare!$C621&lt;=24.9,"Normal Weight",Healthcare!$C621&gt;=25,"overweight",Healthcare!$C621&gt;=30,"obese")</f>
        <v>overweight</v>
      </c>
      <c r="E621" s="7">
        <v>5.49</v>
      </c>
      <c r="F621" s="7" t="str" cm="1">
        <f t="array" ref="F621">_xlfn.IFS(Healthcare!$E621&lt;5.7,"normal",Healthcare!$E621&lt;=6.4,"prediabetes",Healthcare!$E621&gt;=6.5,"diabetes")</f>
        <v>normal</v>
      </c>
      <c r="G621" s="7" t="s">
        <v>19</v>
      </c>
      <c r="H621" s="7" t="s">
        <v>19</v>
      </c>
      <c r="I621" s="7" t="s">
        <v>19</v>
      </c>
      <c r="J621" s="7">
        <v>0</v>
      </c>
      <c r="K621" s="7" t="s">
        <v>19</v>
      </c>
      <c r="L621" s="7" t="str">
        <f>VLOOKUP(Healthcare!$A621,hospital_details,2,0)</f>
        <v>24-Jul-1982</v>
      </c>
      <c r="M621" s="7">
        <f t="shared" ref="M621:M684" ca="1" si="3713">VLOOKUP(A621,hospital_details,3,0)</f>
        <v>44</v>
      </c>
      <c r="N621" s="7">
        <f t="shared" ref="N621:N684" si="3714">VLOOKUP($A621,hospital_details,4,0)</f>
        <v>3</v>
      </c>
      <c r="O621" s="8">
        <f t="shared" ref="O621:O684" si="3715">VLOOKUP($A621,hospital_details,5,0)</f>
        <v>15965.29</v>
      </c>
      <c r="P621" s="7" t="str">
        <f t="shared" ref="P621:P684" si="3716">VLOOKUP($A621,hospital_details,6,0)</f>
        <v>tier - 2</v>
      </c>
      <c r="Q621" s="7" t="str">
        <f t="shared" ref="Q621:Q684" si="3717">VLOOKUP($A621,hospital_details,7,0)</f>
        <v>tier - 1</v>
      </c>
      <c r="R621" s="7" t="str">
        <f t="shared" ref="R621:R684" si="3718">VLOOKUP($A621,hospital_details,8,0)</f>
        <v>R1012</v>
      </c>
    </row>
    <row r="622" spans="1:18" ht="14.4" customHeight="1" x14ac:dyDescent="0.3">
      <c r="A622" s="5" t="s">
        <v>642</v>
      </c>
      <c r="B622" s="5" t="str">
        <f>VLOOKUP($A622,[1]!Customer_Names[#Data],3,0)</f>
        <v xml:space="preserve">  Kristina K</v>
      </c>
      <c r="C622" s="5">
        <v>47.53</v>
      </c>
      <c r="D622" s="5" t="str" cm="1">
        <f t="array" ref="D622">_xlfn.IFS(Healthcare!$C622&lt;18.5,"under weight",Healthcare!$C622&lt;=24.9,"Normal Weight",Healthcare!$C622&gt;=25,"overweight",Healthcare!$C622&gt;=30,"obese")</f>
        <v>overweight</v>
      </c>
      <c r="E622" s="5">
        <v>4.72</v>
      </c>
      <c r="F622" s="5" t="str" cm="1">
        <f t="array" ref="F622">_xlfn.IFS(Healthcare!$E622&lt;5.7,"normal",Healthcare!$E622&lt;=6.4,"prediabetes",Healthcare!$E622&gt;=6.5,"diabetes")</f>
        <v>normal</v>
      </c>
      <c r="G622" s="5" t="s">
        <v>19</v>
      </c>
      <c r="H622" s="5" t="s">
        <v>19</v>
      </c>
      <c r="I622" s="5" t="s">
        <v>19</v>
      </c>
      <c r="J622" s="5">
        <v>0</v>
      </c>
      <c r="K622" s="5" t="s">
        <v>19</v>
      </c>
      <c r="L622" s="5" t="str">
        <f>VLOOKUP(Healthcare!$A622,hospital_details,2,0)</f>
        <v>12-Oct-1980</v>
      </c>
      <c r="M622" s="5">
        <f t="shared" ref="M622:M685" ca="1" si="3719">VLOOKUP(A622,hospital_details,3,0)</f>
        <v>46</v>
      </c>
      <c r="N622" s="5">
        <f t="shared" ref="N622:N685" si="3720">VLOOKUP($A622,hospital_details,4,0)</f>
        <v>2</v>
      </c>
      <c r="O622" s="6">
        <f t="shared" ref="O622:O685" si="3721">VLOOKUP($A622,hospital_details,5,0)</f>
        <v>15922.29</v>
      </c>
      <c r="P622" s="5" t="str">
        <f t="shared" ref="P622:P685" si="3722">VLOOKUP($A622,hospital_details,6,0)</f>
        <v>tier - 2</v>
      </c>
      <c r="Q622" s="5" t="str">
        <f t="shared" ref="Q622:Q685" si="3723">VLOOKUP($A622,hospital_details,7,0)</f>
        <v>tier - 3</v>
      </c>
      <c r="R622" s="5" t="str">
        <f t="shared" ref="R622:R685" si="3724">VLOOKUP($A622,hospital_details,8,0)</f>
        <v>R1026</v>
      </c>
    </row>
    <row r="623" spans="1:18" ht="14.4" customHeight="1" x14ac:dyDescent="0.3">
      <c r="A623" s="7" t="s">
        <v>643</v>
      </c>
      <c r="B623" s="7" t="str">
        <f>VLOOKUP($A623,[1]!Customer_Names[#Data],3,0)</f>
        <v xml:space="preserve">  Brad</v>
      </c>
      <c r="C623" s="7">
        <v>36.85</v>
      </c>
      <c r="D623" s="7" t="str" cm="1">
        <f t="array" ref="D623">_xlfn.IFS(Healthcare!$C623&lt;18.5,"under weight",Healthcare!$C623&lt;=24.9,"Normal Weight",Healthcare!$C623&gt;=25,"overweight",Healthcare!$C623&gt;=30,"obese")</f>
        <v>overweight</v>
      </c>
      <c r="E623" s="7">
        <v>6.7</v>
      </c>
      <c r="F623" s="7" t="str" cm="1">
        <f t="array" ref="F623">_xlfn.IFS(Healthcare!$E623&lt;5.7,"normal",Healthcare!$E623&lt;=6.4,"prediabetes",Healthcare!$E623&gt;=6.5,"diabetes")</f>
        <v>diabetes</v>
      </c>
      <c r="G623" s="7" t="s">
        <v>19</v>
      </c>
      <c r="H623" s="7" t="s">
        <v>19</v>
      </c>
      <c r="I623" s="7" t="s">
        <v>19</v>
      </c>
      <c r="J623" s="7">
        <v>0</v>
      </c>
      <c r="K623" s="7" t="s">
        <v>19</v>
      </c>
      <c r="L623" s="7" t="str">
        <f>VLOOKUP(Healthcare!$A623,hospital_details,2,0)</f>
        <v>25-Dec-1962</v>
      </c>
      <c r="M623" s="7">
        <f t="shared" ref="M623:M686" ca="1" si="3725">VLOOKUP(A623,hospital_details,3,0)</f>
        <v>63</v>
      </c>
      <c r="N623" s="7">
        <f t="shared" ref="N623:N686" si="3726">VLOOKUP($A623,hospital_details,4,0)</f>
        <v>0</v>
      </c>
      <c r="O623" s="8">
        <f t="shared" ref="O623:O686" si="3727">VLOOKUP($A623,hospital_details,5,0)</f>
        <v>15840.81</v>
      </c>
      <c r="P623" s="7" t="str">
        <f t="shared" ref="P623:P686" si="3728">VLOOKUP($A623,hospital_details,6,0)</f>
        <v>tier - 2</v>
      </c>
      <c r="Q623" s="7" t="str">
        <f t="shared" ref="Q623:Q686" si="3729">VLOOKUP($A623,hospital_details,7,0)</f>
        <v>tier - 1</v>
      </c>
      <c r="R623" s="7" t="str">
        <f t="shared" ref="R623:R686" si="3730">VLOOKUP($A623,hospital_details,8,0)</f>
        <v>R1022</v>
      </c>
    </row>
    <row r="624" spans="1:18" ht="14.4" customHeight="1" x14ac:dyDescent="0.3">
      <c r="A624" s="5" t="s">
        <v>644</v>
      </c>
      <c r="B624" s="5" t="str">
        <f>VLOOKUP($A624,[1]!Customer_Names[#Data],3,0)</f>
        <v xml:space="preserve">  Margaret O</v>
      </c>
      <c r="C624" s="5">
        <v>29.3</v>
      </c>
      <c r="D624" s="5" t="str" cm="1">
        <f t="array" ref="D624">_xlfn.IFS(Healthcare!$C624&lt;18.5,"under weight",Healthcare!$C624&lt;=24.9,"Normal Weight",Healthcare!$C624&gt;=25,"overweight",Healthcare!$C624&gt;=30,"obese")</f>
        <v>overweight</v>
      </c>
      <c r="E624" s="5">
        <v>5.5</v>
      </c>
      <c r="F624" s="5" t="str" cm="1">
        <f t="array" ref="F624">_xlfn.IFS(Healthcare!$E624&lt;5.7,"normal",Healthcare!$E624&lt;=6.4,"prediabetes",Healthcare!$E624&gt;=6.5,"diabetes")</f>
        <v>normal</v>
      </c>
      <c r="G624" s="5" t="s">
        <v>19</v>
      </c>
      <c r="H624" s="5" t="s">
        <v>19</v>
      </c>
      <c r="I624" s="5" t="s">
        <v>19</v>
      </c>
      <c r="J624" s="5">
        <v>0</v>
      </c>
      <c r="K624" s="5" t="s">
        <v>19</v>
      </c>
      <c r="L624" s="5" t="str">
        <f>VLOOKUP(Healthcare!$A624,hospital_details,2,0)</f>
        <v>11-Nov-1982</v>
      </c>
      <c r="M624" s="5">
        <f t="shared" ref="M624:M687" ca="1" si="3731">VLOOKUP(A624,hospital_details,3,0)</f>
        <v>43</v>
      </c>
      <c r="N624" s="5">
        <f t="shared" ref="N624:N687" si="3732">VLOOKUP($A624,hospital_details,4,0)</f>
        <v>4</v>
      </c>
      <c r="O624" s="6">
        <f t="shared" ref="O624:O687" si="3733">VLOOKUP($A624,hospital_details,5,0)</f>
        <v>15828.82</v>
      </c>
      <c r="P624" s="5" t="str">
        <f t="shared" ref="P624:P687" si="3734">VLOOKUP($A624,hospital_details,6,0)</f>
        <v>tier - 2</v>
      </c>
      <c r="Q624" s="5" t="str">
        <f t="shared" ref="Q624:Q687" si="3735">VLOOKUP($A624,hospital_details,7,0)</f>
        <v>tier - 3</v>
      </c>
      <c r="R624" s="5" t="str">
        <f t="shared" ref="R624:R687" si="3736">VLOOKUP($A624,hospital_details,8,0)</f>
        <v>R1011</v>
      </c>
    </row>
    <row r="625" spans="1:18" ht="14.4" customHeight="1" x14ac:dyDescent="0.3">
      <c r="A625" s="7" t="s">
        <v>645</v>
      </c>
      <c r="B625" s="7" t="str">
        <f>VLOOKUP($A625,[1]!Customer_Names[#Data],3,0)</f>
        <v xml:space="preserve">  Craig R</v>
      </c>
      <c r="C625" s="7">
        <v>19.3</v>
      </c>
      <c r="D625" s="7" t="str" cm="1">
        <f t="array" ref="D625">_xlfn.IFS(Healthcare!$C625&lt;18.5,"under weight",Healthcare!$C625&lt;=24.9,"Normal Weight",Healthcare!$C625&gt;=25,"overweight",Healthcare!$C625&gt;=30,"obese")</f>
        <v>Normal Weight</v>
      </c>
      <c r="E625" s="7">
        <v>4.46</v>
      </c>
      <c r="F625" s="7" t="str" cm="1">
        <f t="array" ref="F625">_xlfn.IFS(Healthcare!$E625&lt;5.7,"normal",Healthcare!$E625&lt;=6.4,"prediabetes",Healthcare!$E625&gt;=6.5,"diabetes")</f>
        <v>normal</v>
      </c>
      <c r="G625" s="7" t="s">
        <v>19</v>
      </c>
      <c r="H625" s="7" t="s">
        <v>19</v>
      </c>
      <c r="I625" s="7" t="s">
        <v>19</v>
      </c>
      <c r="J625" s="7">
        <v>1</v>
      </c>
      <c r="K625" s="7" t="s">
        <v>20</v>
      </c>
      <c r="L625" s="7" t="str">
        <f>VLOOKUP(Healthcare!$A625,hospital_details,2,0)</f>
        <v>26-Jun-1984</v>
      </c>
      <c r="M625" s="7">
        <f t="shared" ref="M625:M688" ca="1" si="3737">VLOOKUP(A625,hospital_details,3,0)</f>
        <v>42</v>
      </c>
      <c r="N625" s="7">
        <f t="shared" ref="N625:N688" si="3738">VLOOKUP($A625,hospital_details,4,0)</f>
        <v>0</v>
      </c>
      <c r="O625" s="8">
        <f t="shared" ref="O625:O688" si="3739">VLOOKUP($A625,hospital_details,5,0)</f>
        <v>15820.7</v>
      </c>
      <c r="P625" s="7" t="str">
        <f t="shared" ref="P625:P688" si="3740">VLOOKUP($A625,hospital_details,6,0)</f>
        <v>tier - 2</v>
      </c>
      <c r="Q625" s="7" t="str">
        <f t="shared" ref="Q625:Q688" si="3741">VLOOKUP($A625,hospital_details,7,0)</f>
        <v>tier - 3</v>
      </c>
      <c r="R625" s="7" t="str">
        <f t="shared" ref="R625:R688" si="3742">VLOOKUP($A625,hospital_details,8,0)</f>
        <v>R1011</v>
      </c>
    </row>
    <row r="626" spans="1:18" ht="14.4" customHeight="1" x14ac:dyDescent="0.3">
      <c r="A626" s="5" t="s">
        <v>646</v>
      </c>
      <c r="B626" s="5" t="str">
        <f>VLOOKUP($A626,[1]!Customer_Names[#Data],3,0)</f>
        <v xml:space="preserve">  Simo</v>
      </c>
      <c r="C626" s="5">
        <v>24.13</v>
      </c>
      <c r="D626" s="5" t="str" cm="1">
        <f t="array" ref="D626">_xlfn.IFS(Healthcare!$C626&lt;18.5,"under weight",Healthcare!$C626&lt;=24.9,"Normal Weight",Healthcare!$C626&gt;=25,"overweight",Healthcare!$C626&gt;=30,"obese")</f>
        <v>Normal Weight</v>
      </c>
      <c r="E626" s="5">
        <v>5.29</v>
      </c>
      <c r="F626" s="5" t="str" cm="1">
        <f t="array" ref="F626">_xlfn.IFS(Healthcare!$E626&lt;5.7,"normal",Healthcare!$E626&lt;=6.4,"prediabetes",Healthcare!$E626&gt;=6.5,"diabetes")</f>
        <v>normal</v>
      </c>
      <c r="G626" s="5" t="s">
        <v>20</v>
      </c>
      <c r="H626" s="5" t="s">
        <v>19</v>
      </c>
      <c r="I626" s="5" t="s">
        <v>29</v>
      </c>
      <c r="J626" s="5">
        <v>1</v>
      </c>
      <c r="K626" s="5" t="s">
        <v>20</v>
      </c>
      <c r="L626" s="5" t="str">
        <f>VLOOKUP(Healthcare!$A626,hospital_details,2,0)</f>
        <v>9-Oct-1997</v>
      </c>
      <c r="M626" s="5">
        <f t="shared" ref="M626:M689" ca="1" si="3743">VLOOKUP(A626,hospital_details,3,0)</f>
        <v>29</v>
      </c>
      <c r="N626" s="5">
        <f t="shared" ref="N626:N689" si="3744">VLOOKUP($A626,hospital_details,4,0)</f>
        <v>0</v>
      </c>
      <c r="O626" s="6">
        <f t="shared" ref="O626:O689" si="3745">VLOOKUP($A626,hospital_details,5,0)</f>
        <v>15817.99</v>
      </c>
      <c r="P626" s="5" t="str">
        <f t="shared" ref="P626:P689" si="3746">VLOOKUP($A626,hospital_details,6,0)</f>
        <v>tier - 2</v>
      </c>
      <c r="Q626" s="5" t="str">
        <f t="shared" ref="Q626:Q689" si="3747">VLOOKUP($A626,hospital_details,7,0)</f>
        <v>tier - 2</v>
      </c>
      <c r="R626" s="5" t="str">
        <f t="shared" ref="R626:R689" si="3748">VLOOKUP($A626,hospital_details,8,0)</f>
        <v>R1012</v>
      </c>
    </row>
    <row r="627" spans="1:18" ht="14.4" customHeight="1" x14ac:dyDescent="0.3">
      <c r="A627" s="7" t="s">
        <v>647</v>
      </c>
      <c r="B627" s="7" t="str">
        <f>VLOOKUP($A627,[1]!Customer_Names[#Data],3,0)</f>
        <v xml:space="preserve">  Christopher J</v>
      </c>
      <c r="C627" s="7">
        <v>46.7</v>
      </c>
      <c r="D627" s="7" t="str" cm="1">
        <f t="array" ref="D627">_xlfn.IFS(Healthcare!$C627&lt;18.5,"under weight",Healthcare!$C627&lt;=24.9,"Normal Weight",Healthcare!$C627&gt;=25,"overweight",Healthcare!$C627&gt;=30,"obese")</f>
        <v>overweight</v>
      </c>
      <c r="E627" s="7">
        <v>10.99</v>
      </c>
      <c r="F627" s="7" t="str" cm="1">
        <f t="array" ref="F627">_xlfn.IFS(Healthcare!$E627&lt;5.7,"normal",Healthcare!$E627&lt;=6.4,"prediabetes",Healthcare!$E627&gt;=6.5,"diabetes")</f>
        <v>diabetes</v>
      </c>
      <c r="G627" s="7" t="s">
        <v>19</v>
      </c>
      <c r="H627" s="7" t="s">
        <v>19</v>
      </c>
      <c r="I627" s="7" t="s">
        <v>19</v>
      </c>
      <c r="J627" s="7">
        <v>0</v>
      </c>
      <c r="K627" s="7" t="s">
        <v>19</v>
      </c>
      <c r="L627" s="7" t="str">
        <f>VLOOKUP(Healthcare!$A627,hospital_details,2,0)</f>
        <v>29-Aug-1974</v>
      </c>
      <c r="M627" s="7">
        <f t="shared" ref="M627:M690" ca="1" si="3749">VLOOKUP(A627,hospital_details,3,0)</f>
        <v>52</v>
      </c>
      <c r="N627" s="7">
        <f t="shared" ref="N627:N690" si="3750">VLOOKUP($A627,hospital_details,4,0)</f>
        <v>0</v>
      </c>
      <c r="O627" s="8">
        <f t="shared" ref="O627:O690" si="3751">VLOOKUP($A627,hospital_details,5,0)</f>
        <v>15746.62</v>
      </c>
      <c r="P627" s="7" t="str">
        <f t="shared" ref="P627:P690" si="3752">VLOOKUP($A627,hospital_details,6,0)</f>
        <v>tier - 2</v>
      </c>
      <c r="Q627" s="7" t="str">
        <f t="shared" ref="Q627:Q690" si="3753">VLOOKUP($A627,hospital_details,7,0)</f>
        <v>tier - 1</v>
      </c>
      <c r="R627" s="7" t="str">
        <f t="shared" ref="R627:R690" si="3754">VLOOKUP($A627,hospital_details,8,0)</f>
        <v>R1012</v>
      </c>
    </row>
    <row r="628" spans="1:18" ht="14.4" customHeight="1" x14ac:dyDescent="0.3">
      <c r="A628" s="5" t="s">
        <v>648</v>
      </c>
      <c r="B628" s="5" t="str">
        <f>VLOOKUP($A628,[1]!Customer_Names[#Data],3,0)</f>
        <v xml:space="preserve">  Mario Sr</v>
      </c>
      <c r="C628" s="5">
        <v>45.27</v>
      </c>
      <c r="D628" s="5" t="str" cm="1">
        <f t="array" ref="D628">_xlfn.IFS(Healthcare!$C628&lt;18.5,"under weight",Healthcare!$C628&lt;=24.9,"Normal Weight",Healthcare!$C628&gt;=25,"overweight",Healthcare!$C628&gt;=30,"obese")</f>
        <v>overweight</v>
      </c>
      <c r="E628" s="5">
        <v>5.2</v>
      </c>
      <c r="F628" s="5" t="str" cm="1">
        <f t="array" ref="F628">_xlfn.IFS(Healthcare!$E628&lt;5.7,"normal",Healthcare!$E628&lt;=6.4,"prediabetes",Healthcare!$E628&gt;=6.5,"diabetes")</f>
        <v>normal</v>
      </c>
      <c r="G628" s="5" t="s">
        <v>20</v>
      </c>
      <c r="H628" s="5" t="s">
        <v>19</v>
      </c>
      <c r="I628" s="5" t="s">
        <v>19</v>
      </c>
      <c r="J628" s="5">
        <v>0</v>
      </c>
      <c r="K628" s="5" t="s">
        <v>19</v>
      </c>
      <c r="L628" s="5" t="str">
        <f>VLOOKUP(Healthcare!$A628,hospital_details,2,0)</f>
        <v>20-Sep-1976</v>
      </c>
      <c r="M628" s="5">
        <f t="shared" ref="M628:M691" ca="1" si="3755">VLOOKUP(A628,hospital_details,3,0)</f>
        <v>50</v>
      </c>
      <c r="N628" s="5">
        <f t="shared" ref="N628:N691" si="3756">VLOOKUP($A628,hospital_details,4,0)</f>
        <v>2</v>
      </c>
      <c r="O628" s="6">
        <f t="shared" ref="O628:O691" si="3757">VLOOKUP($A628,hospital_details,5,0)</f>
        <v>15698.86</v>
      </c>
      <c r="P628" s="5" t="str">
        <f t="shared" ref="P628:P691" si="3758">VLOOKUP($A628,hospital_details,6,0)</f>
        <v>tier - 2</v>
      </c>
      <c r="Q628" s="5" t="str">
        <f t="shared" ref="Q628:Q691" si="3759">VLOOKUP($A628,hospital_details,7,0)</f>
        <v>tier - 2</v>
      </c>
      <c r="R628" s="5" t="str">
        <f t="shared" ref="R628:R691" si="3760">VLOOKUP($A628,hospital_details,8,0)</f>
        <v>R1012</v>
      </c>
    </row>
    <row r="629" spans="1:18" ht="14.4" customHeight="1" x14ac:dyDescent="0.3">
      <c r="A629" s="7" t="s">
        <v>649</v>
      </c>
      <c r="B629" s="7" t="str">
        <f>VLOOKUP($A629,[1]!Customer_Names[#Data],3,0)</f>
        <v xml:space="preserve">  Meghann R</v>
      </c>
      <c r="C629" s="7">
        <v>44.29</v>
      </c>
      <c r="D629" s="7" t="str" cm="1">
        <f t="array" ref="D629">_xlfn.IFS(Healthcare!$C629&lt;18.5,"under weight",Healthcare!$C629&lt;=24.9,"Normal Weight",Healthcare!$C629&gt;=25,"overweight",Healthcare!$C629&gt;=30,"obese")</f>
        <v>overweight</v>
      </c>
      <c r="E629" s="7">
        <v>9.66</v>
      </c>
      <c r="F629" s="7" t="str" cm="1">
        <f t="array" ref="F629">_xlfn.IFS(Healthcare!$E629&lt;5.7,"normal",Healthcare!$E629&lt;=6.4,"prediabetes",Healthcare!$E629&gt;=6.5,"diabetes")</f>
        <v>diabetes</v>
      </c>
      <c r="G629" s="7" t="s">
        <v>19</v>
      </c>
      <c r="H629" s="7" t="s">
        <v>19</v>
      </c>
      <c r="I629" s="7" t="s">
        <v>19</v>
      </c>
      <c r="J629" s="7">
        <v>2</v>
      </c>
      <c r="K629" s="7" t="s">
        <v>19</v>
      </c>
      <c r="L629" s="7" t="str">
        <f>VLOOKUP(Healthcare!$A629,hospital_details,2,0)</f>
        <v>26-Jun-1973</v>
      </c>
      <c r="M629" s="7">
        <f t="shared" ref="M629:M692" ca="1" si="3761">VLOOKUP(A629,hospital_details,3,0)</f>
        <v>53</v>
      </c>
      <c r="N629" s="7">
        <f t="shared" ref="N629:N692" si="3762">VLOOKUP($A629,hospital_details,4,0)</f>
        <v>0</v>
      </c>
      <c r="O629" s="8">
        <f t="shared" ref="O629:O692" si="3763">VLOOKUP($A629,hospital_details,5,0)</f>
        <v>15670.3</v>
      </c>
      <c r="P629" s="7" t="str">
        <f t="shared" ref="P629:P692" si="3764">VLOOKUP($A629,hospital_details,6,0)</f>
        <v>tier - 2</v>
      </c>
      <c r="Q629" s="7" t="str">
        <f t="shared" ref="Q629:Q692" si="3765">VLOOKUP($A629,hospital_details,7,0)</f>
        <v>tier - 2</v>
      </c>
      <c r="R629" s="7" t="str">
        <f t="shared" ref="R629:R692" si="3766">VLOOKUP($A629,hospital_details,8,0)</f>
        <v>R1026</v>
      </c>
    </row>
    <row r="630" spans="1:18" ht="14.4" customHeight="1" x14ac:dyDescent="0.3">
      <c r="A630" s="5" t="s">
        <v>650</v>
      </c>
      <c r="B630" s="5" t="str">
        <f>VLOOKUP($A630,[1]!Customer_Names[#Data],3,0)</f>
        <v xml:space="preserve">  Scott M</v>
      </c>
      <c r="C630" s="5">
        <v>54.59</v>
      </c>
      <c r="D630" s="5" t="str" cm="1">
        <f t="array" ref="D630">_xlfn.IFS(Healthcare!$C630&lt;18.5,"under weight",Healthcare!$C630&lt;=24.9,"Normal Weight",Healthcare!$C630&gt;=25,"overweight",Healthcare!$C630&gt;=30,"obese")</f>
        <v>overweight</v>
      </c>
      <c r="E630" s="5">
        <v>4.22</v>
      </c>
      <c r="F630" s="5" t="str" cm="1">
        <f t="array" ref="F630">_xlfn.IFS(Healthcare!$E630&lt;5.7,"normal",Healthcare!$E630&lt;=6.4,"prediabetes",Healthcare!$E630&gt;=6.5,"diabetes")</f>
        <v>normal</v>
      </c>
      <c r="G630" s="5" t="s">
        <v>20</v>
      </c>
      <c r="H630" s="5" t="s">
        <v>19</v>
      </c>
      <c r="I630" s="5" t="s">
        <v>19</v>
      </c>
      <c r="J630" s="5">
        <v>1</v>
      </c>
      <c r="K630" s="5" t="s">
        <v>19</v>
      </c>
      <c r="L630" s="5" t="str">
        <f>VLOOKUP(Healthcare!$A630,hospital_details,2,0)</f>
        <v>22-Dec-1988</v>
      </c>
      <c r="M630" s="5">
        <f t="shared" ref="M630:M693" ca="1" si="3767">VLOOKUP(A630,hospital_details,3,0)</f>
        <v>37</v>
      </c>
      <c r="N630" s="5">
        <f t="shared" ref="N630:N693" si="3768">VLOOKUP($A630,hospital_details,4,0)</f>
        <v>3</v>
      </c>
      <c r="O630" s="6">
        <f t="shared" ref="O630:O693" si="3769">VLOOKUP($A630,hospital_details,5,0)</f>
        <v>15646.28</v>
      </c>
      <c r="P630" s="5" t="str">
        <f t="shared" ref="P630:P693" si="3770">VLOOKUP($A630,hospital_details,6,0)</f>
        <v>tier - 2</v>
      </c>
      <c r="Q630" s="5" t="str">
        <f t="shared" ref="Q630:Q693" si="3771">VLOOKUP($A630,hospital_details,7,0)</f>
        <v>tier - 2</v>
      </c>
      <c r="R630" s="5" t="str">
        <f t="shared" ref="R630:R693" si="3772">VLOOKUP($A630,hospital_details,8,0)</f>
        <v>R1011</v>
      </c>
    </row>
    <row r="631" spans="1:18" ht="14.4" customHeight="1" x14ac:dyDescent="0.3">
      <c r="A631" s="7" t="s">
        <v>651</v>
      </c>
      <c r="B631" s="7" t="str">
        <f>VLOOKUP($A631,[1]!Customer_Names[#Data],3,0)</f>
        <v xml:space="preserve">  Caitlin E</v>
      </c>
      <c r="C631" s="7">
        <v>32.965000000000003</v>
      </c>
      <c r="D631" s="7" t="str" cm="1">
        <f t="array" ref="D631">_xlfn.IFS(Healthcare!$C631&lt;18.5,"under weight",Healthcare!$C631&lt;=24.9,"Normal Weight",Healthcare!$C631&gt;=25,"overweight",Healthcare!$C631&gt;=30,"obese")</f>
        <v>overweight</v>
      </c>
      <c r="E631" s="7">
        <v>11.78</v>
      </c>
      <c r="F631" s="7" t="str" cm="1">
        <f t="array" ref="F631">_xlfn.IFS(Healthcare!$E631&lt;5.7,"normal",Healthcare!$E631&lt;=6.4,"prediabetes",Healthcare!$E631&gt;=6.5,"diabetes")</f>
        <v>diabetes</v>
      </c>
      <c r="G631" s="7" t="s">
        <v>19</v>
      </c>
      <c r="H631" s="7" t="s">
        <v>19</v>
      </c>
      <c r="I631" s="7" t="s">
        <v>19</v>
      </c>
      <c r="J631" s="7">
        <v>0</v>
      </c>
      <c r="K631" s="7" t="s">
        <v>19</v>
      </c>
      <c r="L631" s="7" t="str">
        <f>VLOOKUP(Healthcare!$A631,hospital_details,2,0)</f>
        <v>6-Jun-1960</v>
      </c>
      <c r="M631" s="7">
        <f t="shared" ref="M631:M694" ca="1" si="3773">VLOOKUP(A631,hospital_details,3,0)</f>
        <v>66</v>
      </c>
      <c r="N631" s="7">
        <f t="shared" ref="N631:N694" si="3774">VLOOKUP($A631,hospital_details,4,0)</f>
        <v>3</v>
      </c>
      <c r="O631" s="8">
        <f t="shared" ref="O631:O694" si="3775">VLOOKUP($A631,hospital_details,5,0)</f>
        <v>15612.19</v>
      </c>
      <c r="P631" s="7" t="str">
        <f t="shared" ref="P631:P694" si="3776">VLOOKUP($A631,hospital_details,6,0)</f>
        <v>tier - 2</v>
      </c>
      <c r="Q631" s="7" t="str">
        <f t="shared" ref="Q631:Q694" si="3777">VLOOKUP($A631,hospital_details,7,0)</f>
        <v>tier - 2</v>
      </c>
      <c r="R631" s="7" t="str">
        <f t="shared" ref="R631:R694" si="3778">VLOOKUP($A631,hospital_details,8,0)</f>
        <v>R1012</v>
      </c>
    </row>
    <row r="632" spans="1:18" ht="14.4" customHeight="1" x14ac:dyDescent="0.3">
      <c r="A632" s="5" t="s">
        <v>652</v>
      </c>
      <c r="B632" s="5" t="str">
        <f>VLOOKUP($A632,[1]!Customer_Names[#Data],3,0)</f>
        <v xml:space="preserve">  Samantha A</v>
      </c>
      <c r="C632" s="5">
        <v>38.049999999999997</v>
      </c>
      <c r="D632" s="5" t="str" cm="1">
        <f t="array" ref="D632">_xlfn.IFS(Healthcare!$C632&lt;18.5,"under weight",Healthcare!$C632&lt;=24.9,"Normal Weight",Healthcare!$C632&gt;=25,"overweight",Healthcare!$C632&gt;=30,"obese")</f>
        <v>overweight</v>
      </c>
      <c r="E632" s="5">
        <v>9.6199999999999992</v>
      </c>
      <c r="F632" s="5" t="str" cm="1">
        <f t="array" ref="F632">_xlfn.IFS(Healthcare!$E632&lt;5.7,"normal",Healthcare!$E632&lt;=6.4,"prediabetes",Healthcare!$E632&gt;=6.5,"diabetes")</f>
        <v>diabetes</v>
      </c>
      <c r="G632" s="5" t="s">
        <v>19</v>
      </c>
      <c r="H632" s="5" t="s">
        <v>19</v>
      </c>
      <c r="I632" s="5" t="s">
        <v>19</v>
      </c>
      <c r="J632" s="5">
        <v>0</v>
      </c>
      <c r="K632" s="5" t="s">
        <v>19</v>
      </c>
      <c r="L632" s="5" t="str">
        <f>VLOOKUP(Healthcare!$A632,hospital_details,2,0)</f>
        <v>28-Oct-1965</v>
      </c>
      <c r="M632" s="5">
        <f t="shared" ref="M632:M695" ca="1" si="3779">VLOOKUP(A632,hospital_details,3,0)</f>
        <v>60</v>
      </c>
      <c r="N632" s="5">
        <f t="shared" ref="N632:N695" si="3780">VLOOKUP($A632,hospital_details,4,0)</f>
        <v>0</v>
      </c>
      <c r="O632" s="6">
        <f t="shared" ref="O632:O695" si="3781">VLOOKUP($A632,hospital_details,5,0)</f>
        <v>15608.58</v>
      </c>
      <c r="P632" s="5" t="str">
        <f t="shared" ref="P632:P695" si="3782">VLOOKUP($A632,hospital_details,6,0)</f>
        <v>tier - 2</v>
      </c>
      <c r="Q632" s="5" t="str">
        <f t="shared" ref="Q632:Q695" si="3783">VLOOKUP($A632,hospital_details,7,0)</f>
        <v>tier - 2</v>
      </c>
      <c r="R632" s="5" t="str">
        <f t="shared" ref="R632:R695" si="3784">VLOOKUP($A632,hospital_details,8,0)</f>
        <v>R1026</v>
      </c>
    </row>
    <row r="633" spans="1:18" ht="14.4" customHeight="1" x14ac:dyDescent="0.3">
      <c r="A633" s="7" t="s">
        <v>653</v>
      </c>
      <c r="B633" s="7" t="str">
        <f>VLOOKUP($A633,[1]!Customer_Names[#Data],3,0)</f>
        <v xml:space="preserve">  Erik</v>
      </c>
      <c r="C633" s="7">
        <v>46.14</v>
      </c>
      <c r="D633" s="7" t="str" cm="1">
        <f t="array" ref="D633">_xlfn.IFS(Healthcare!$C633&lt;18.5,"under weight",Healthcare!$C633&lt;=24.9,"Normal Weight",Healthcare!$C633&gt;=25,"overweight",Healthcare!$C633&gt;=30,"obese")</f>
        <v>overweight</v>
      </c>
      <c r="E633" s="7">
        <v>10.78</v>
      </c>
      <c r="F633" s="7" t="str" cm="1">
        <f t="array" ref="F633">_xlfn.IFS(Healthcare!$E633&lt;5.7,"normal",Healthcare!$E633&lt;=6.4,"prediabetes",Healthcare!$E633&gt;=6.5,"diabetes")</f>
        <v>diabetes</v>
      </c>
      <c r="G633" s="7" t="s">
        <v>19</v>
      </c>
      <c r="H633" s="7" t="s">
        <v>19</v>
      </c>
      <c r="I633" s="7" t="s">
        <v>19</v>
      </c>
      <c r="J633" s="7">
        <v>0</v>
      </c>
      <c r="K633" s="7" t="s">
        <v>19</v>
      </c>
      <c r="L633" s="7" t="str">
        <f>VLOOKUP(Healthcare!$A633,hospital_details,2,0)</f>
        <v>30-Jul-1974</v>
      </c>
      <c r="M633" s="7">
        <f t="shared" ref="M633:M696" ca="1" si="3785">VLOOKUP(A633,hospital_details,3,0)</f>
        <v>52</v>
      </c>
      <c r="N633" s="7">
        <f t="shared" ref="N633:N696" si="3786">VLOOKUP($A633,hospital_details,4,0)</f>
        <v>0</v>
      </c>
      <c r="O633" s="8">
        <f t="shared" ref="O633:O696" si="3787">VLOOKUP($A633,hospital_details,5,0)</f>
        <v>15556.67</v>
      </c>
      <c r="P633" s="7" t="str">
        <f t="shared" ref="P633:P696" si="3788">VLOOKUP($A633,hospital_details,6,0)</f>
        <v>tier - 2</v>
      </c>
      <c r="Q633" s="7" t="str">
        <f t="shared" ref="Q633:Q696" si="3789">VLOOKUP($A633,hospital_details,7,0)</f>
        <v>tier - 2</v>
      </c>
      <c r="R633" s="7" t="str">
        <f t="shared" ref="R633:R696" si="3790">VLOOKUP($A633,hospital_details,8,0)</f>
        <v>R1012</v>
      </c>
    </row>
    <row r="634" spans="1:18" ht="14.4" customHeight="1" x14ac:dyDescent="0.3">
      <c r="A634" s="5" t="s">
        <v>654</v>
      </c>
      <c r="B634" s="5" t="str">
        <f>VLOOKUP($A634,[1]!Customer_Names[#Data],3,0)</f>
        <v xml:space="preserve">  Christopher</v>
      </c>
      <c r="C634" s="5">
        <v>41.325000000000003</v>
      </c>
      <c r="D634" s="5" t="str" cm="1">
        <f t="array" ref="D634">_xlfn.IFS(Healthcare!$C634&lt;18.5,"under weight",Healthcare!$C634&lt;=24.9,"Normal Weight",Healthcare!$C634&gt;=25,"overweight",Healthcare!$C634&gt;=30,"obese")</f>
        <v>overweight</v>
      </c>
      <c r="E634" s="5">
        <v>5.1100000000000003</v>
      </c>
      <c r="F634" s="5" t="str" cm="1">
        <f t="array" ref="F634">_xlfn.IFS(Healthcare!$E634&lt;5.7,"normal",Healthcare!$E634&lt;=6.4,"prediabetes",Healthcare!$E634&gt;=6.5,"diabetes")</f>
        <v>normal</v>
      </c>
      <c r="G634" s="5" t="s">
        <v>20</v>
      </c>
      <c r="H634" s="5" t="s">
        <v>19</v>
      </c>
      <c r="I634" s="5" t="s">
        <v>19</v>
      </c>
      <c r="J634" s="5">
        <v>2</v>
      </c>
      <c r="K634" s="5" t="s">
        <v>19</v>
      </c>
      <c r="L634" s="5" t="str">
        <f>VLOOKUP(Healthcare!$A634,hospital_details,2,0)</f>
        <v>2-Oct-1959</v>
      </c>
      <c r="M634" s="5">
        <f t="shared" ref="M634:M697" ca="1" si="3791">VLOOKUP(A634,hospital_details,3,0)</f>
        <v>67</v>
      </c>
      <c r="N634" s="5">
        <f t="shared" ref="N634:N697" si="3792">VLOOKUP($A634,hospital_details,4,0)</f>
        <v>3</v>
      </c>
      <c r="O634" s="6">
        <f t="shared" ref="O634:O697" si="3793">VLOOKUP($A634,hospital_details,5,0)</f>
        <v>15555.19</v>
      </c>
      <c r="P634" s="5" t="str">
        <f t="shared" ref="P634:P697" si="3794">VLOOKUP($A634,hospital_details,6,0)</f>
        <v>tier - 2</v>
      </c>
      <c r="Q634" s="5" t="str">
        <f t="shared" ref="Q634:Q697" si="3795">VLOOKUP($A634,hospital_details,7,0)</f>
        <v>tier - 3</v>
      </c>
      <c r="R634" s="5" t="str">
        <f t="shared" ref="R634:R697" si="3796">VLOOKUP($A634,hospital_details,8,0)</f>
        <v>R1012</v>
      </c>
    </row>
    <row r="635" spans="1:18" ht="14.4" customHeight="1" x14ac:dyDescent="0.3">
      <c r="A635" s="7" t="s">
        <v>655</v>
      </c>
      <c r="B635" s="7" t="str">
        <f>VLOOKUP($A635,[1]!Customer_Names[#Data],3,0)</f>
        <v xml:space="preserve">  Maya</v>
      </c>
      <c r="C635" s="7">
        <v>44.64</v>
      </c>
      <c r="D635" s="7" t="str" cm="1">
        <f t="array" ref="D635">_xlfn.IFS(Healthcare!$C635&lt;18.5,"under weight",Healthcare!$C635&lt;=24.9,"Normal Weight",Healthcare!$C635&gt;=25,"overweight",Healthcare!$C635&gt;=30,"obese")</f>
        <v>overweight</v>
      </c>
      <c r="E635" s="7">
        <v>7.18</v>
      </c>
      <c r="F635" s="7" t="str" cm="1">
        <f t="array" ref="F635">_xlfn.IFS(Healthcare!$E635&lt;5.7,"normal",Healthcare!$E635&lt;=6.4,"prediabetes",Healthcare!$E635&gt;=6.5,"diabetes")</f>
        <v>diabetes</v>
      </c>
      <c r="G635" s="7" t="s">
        <v>19</v>
      </c>
      <c r="H635" s="7" t="s">
        <v>19</v>
      </c>
      <c r="I635" s="7" t="s">
        <v>19</v>
      </c>
      <c r="J635" s="7">
        <v>0</v>
      </c>
      <c r="K635" s="7" t="s">
        <v>19</v>
      </c>
      <c r="L635" s="7" t="str">
        <f>VLOOKUP(Healthcare!$A635,hospital_details,2,0)</f>
        <v>28-Jun-1974</v>
      </c>
      <c r="M635" s="7">
        <f t="shared" ref="M635:M698" ca="1" si="3797">VLOOKUP(A635,hospital_details,3,0)</f>
        <v>52</v>
      </c>
      <c r="N635" s="7">
        <f t="shared" ref="N635:N698" si="3798">VLOOKUP($A635,hospital_details,4,0)</f>
        <v>0</v>
      </c>
      <c r="O635" s="8">
        <f t="shared" ref="O635:O698" si="3799">VLOOKUP($A635,hospital_details,5,0)</f>
        <v>15532.16</v>
      </c>
      <c r="P635" s="7" t="str">
        <f t="shared" ref="P635:P698" si="3800">VLOOKUP($A635,hospital_details,6,0)</f>
        <v>tier - 2</v>
      </c>
      <c r="Q635" s="7" t="str">
        <f t="shared" ref="Q635:Q698" si="3801">VLOOKUP($A635,hospital_details,7,0)</f>
        <v>tier - 2</v>
      </c>
      <c r="R635" s="7" t="str">
        <f t="shared" ref="R635:R698" si="3802">VLOOKUP($A635,hospital_details,8,0)</f>
        <v>R1026</v>
      </c>
    </row>
    <row r="636" spans="1:18" ht="14.4" customHeight="1" x14ac:dyDescent="0.3">
      <c r="A636" s="5" t="s">
        <v>656</v>
      </c>
      <c r="B636" s="5" t="str">
        <f>VLOOKUP($A636,[1]!Customer_Names[#Data],3,0)</f>
        <v xml:space="preserve">  Zachary T</v>
      </c>
      <c r="C636" s="5">
        <v>25.175000000000001</v>
      </c>
      <c r="D636" s="5" t="str" cm="1">
        <f t="array" ref="D636">_xlfn.IFS(Healthcare!$C636&lt;18.5,"under weight",Healthcare!$C636&lt;=24.9,"Normal Weight",Healthcare!$C636&gt;=25,"overweight",Healthcare!$C636&gt;=30,"obese")</f>
        <v>overweight</v>
      </c>
      <c r="E636" s="5">
        <v>4.96</v>
      </c>
      <c r="F636" s="5" t="str" cm="1">
        <f t="array" ref="F636">_xlfn.IFS(Healthcare!$E636&lt;5.7,"normal",Healthcare!$E636&lt;=6.4,"prediabetes",Healthcare!$E636&gt;=6.5,"diabetes")</f>
        <v>normal</v>
      </c>
      <c r="G636" s="5" t="s">
        <v>19</v>
      </c>
      <c r="H636" s="5" t="s">
        <v>20</v>
      </c>
      <c r="I636" s="5" t="s">
        <v>19</v>
      </c>
      <c r="J636" s="5">
        <v>1</v>
      </c>
      <c r="K636" s="5" t="s">
        <v>581</v>
      </c>
      <c r="L636" s="5" t="str">
        <f>VLOOKUP(Healthcare!$A636,hospital_details,2,0)</f>
        <v>17-Jul-2004</v>
      </c>
      <c r="M636" s="5">
        <f t="shared" ref="M636:M699" ca="1" si="3803">VLOOKUP(A636,hospital_details,3,0)</f>
        <v>22</v>
      </c>
      <c r="N636" s="5">
        <f t="shared" ref="N636:N699" si="3804">VLOOKUP($A636,hospital_details,4,0)</f>
        <v>0</v>
      </c>
      <c r="O636" s="6">
        <f t="shared" ref="O636:O699" si="3805">VLOOKUP($A636,hospital_details,5,0)</f>
        <v>15518.18</v>
      </c>
      <c r="P636" s="5" t="str">
        <f t="shared" ref="P636:P699" si="3806">VLOOKUP($A636,hospital_details,6,0)</f>
        <v>tier - 2</v>
      </c>
      <c r="Q636" s="5" t="str">
        <f t="shared" ref="Q636:Q699" si="3807">VLOOKUP($A636,hospital_details,7,0)</f>
        <v>tier - 3</v>
      </c>
      <c r="R636" s="5" t="str">
        <f t="shared" ref="R636:R699" si="3808">VLOOKUP($A636,hospital_details,8,0)</f>
        <v>R1015</v>
      </c>
    </row>
    <row r="637" spans="1:18" ht="14.4" customHeight="1" x14ac:dyDescent="0.3">
      <c r="A637" s="7" t="s">
        <v>657</v>
      </c>
      <c r="B637" s="7" t="str">
        <f>VLOOKUP($A637,[1]!Customer_Names[#Data],3,0)</f>
        <v xml:space="preserve">  Hilda</v>
      </c>
      <c r="C637" s="7">
        <v>43.11</v>
      </c>
      <c r="D637" s="7" t="str" cm="1">
        <f t="array" ref="D637">_xlfn.IFS(Healthcare!$C637&lt;18.5,"under weight",Healthcare!$C637&lt;=24.9,"Normal Weight",Healthcare!$C637&gt;=25,"overweight",Healthcare!$C637&gt;=30,"obese")</f>
        <v>overweight</v>
      </c>
      <c r="E637" s="7">
        <v>4.67</v>
      </c>
      <c r="F637" s="7" t="str" cm="1">
        <f t="array" ref="F637">_xlfn.IFS(Healthcare!$E637&lt;5.7,"normal",Healthcare!$E637&lt;=6.4,"prediabetes",Healthcare!$E637&gt;=6.5,"diabetes")</f>
        <v>normal</v>
      </c>
      <c r="G637" s="7" t="s">
        <v>20</v>
      </c>
      <c r="H637" s="7" t="s">
        <v>19</v>
      </c>
      <c r="I637" s="7" t="s">
        <v>19</v>
      </c>
      <c r="J637" s="7">
        <v>0</v>
      </c>
      <c r="K637" s="7" t="s">
        <v>19</v>
      </c>
      <c r="L637" s="7" t="str">
        <f>VLOOKUP(Healthcare!$A637,hospital_details,2,0)</f>
        <v>20-Jul-1976</v>
      </c>
      <c r="M637" s="7">
        <f t="shared" ref="M637:M700" ca="1" si="3809">VLOOKUP(A637,hospital_details,3,0)</f>
        <v>50</v>
      </c>
      <c r="N637" s="7">
        <f t="shared" ref="N637:N700" si="3810">VLOOKUP($A637,hospital_details,4,0)</f>
        <v>2</v>
      </c>
      <c r="O637" s="8">
        <f t="shared" ref="O637:O700" si="3811">VLOOKUP($A637,hospital_details,5,0)</f>
        <v>15450.48</v>
      </c>
      <c r="P637" s="7" t="str">
        <f t="shared" ref="P637:P700" si="3812">VLOOKUP($A637,hospital_details,6,0)</f>
        <v>tier - 2</v>
      </c>
      <c r="Q637" s="7" t="str">
        <f t="shared" ref="Q637:Q700" si="3813">VLOOKUP($A637,hospital_details,7,0)</f>
        <v>tier - 1</v>
      </c>
      <c r="R637" s="7" t="str">
        <f t="shared" ref="R637:R700" si="3814">VLOOKUP($A637,hospital_details,8,0)</f>
        <v>R1026</v>
      </c>
    </row>
    <row r="638" spans="1:18" ht="14.4" customHeight="1" x14ac:dyDescent="0.3">
      <c r="A638" s="5" t="s">
        <v>658</v>
      </c>
      <c r="B638" s="5" t="str">
        <f>VLOOKUP($A638,[1]!Customer_Names[#Data],3,0)</f>
        <v xml:space="preserve">  Stephanie</v>
      </c>
      <c r="C638" s="5">
        <v>53.32</v>
      </c>
      <c r="D638" s="5" t="str" cm="1">
        <f t="array" ref="D638">_xlfn.IFS(Healthcare!$C638&lt;18.5,"under weight",Healthcare!$C638&lt;=24.9,"Normal Weight",Healthcare!$C638&gt;=25,"overweight",Healthcare!$C638&gt;=30,"obese")</f>
        <v>overweight</v>
      </c>
      <c r="E638" s="5">
        <v>5.0599999999999996</v>
      </c>
      <c r="F638" s="5" t="str" cm="1">
        <f t="array" ref="F638">_xlfn.IFS(Healthcare!$E638&lt;5.7,"normal",Healthcare!$E638&lt;=6.4,"prediabetes",Healthcare!$E638&gt;=6.5,"diabetes")</f>
        <v>normal</v>
      </c>
      <c r="G638" s="5" t="s">
        <v>19</v>
      </c>
      <c r="H638" s="5" t="s">
        <v>19</v>
      </c>
      <c r="I638" s="5" t="s">
        <v>19</v>
      </c>
      <c r="J638" s="5">
        <v>0</v>
      </c>
      <c r="K638" s="5" t="s">
        <v>19</v>
      </c>
      <c r="L638" s="5" t="str">
        <f>VLOOKUP(Healthcare!$A638,hospital_details,2,0)</f>
        <v>25-Oct-1990</v>
      </c>
      <c r="M638" s="5">
        <f t="shared" ref="M638:M701" ca="1" si="3815">VLOOKUP(A638,hospital_details,3,0)</f>
        <v>35</v>
      </c>
      <c r="N638" s="5">
        <f t="shared" ref="N638:N701" si="3816">VLOOKUP($A638,hospital_details,4,0)</f>
        <v>3</v>
      </c>
      <c r="O638" s="6">
        <f t="shared" ref="O638:O701" si="3817">VLOOKUP($A638,hospital_details,5,0)</f>
        <v>15440.2</v>
      </c>
      <c r="P638" s="5" t="str">
        <f t="shared" ref="P638:P701" si="3818">VLOOKUP($A638,hospital_details,6,0)</f>
        <v>tier - 2</v>
      </c>
      <c r="Q638" s="5" t="str">
        <f t="shared" ref="Q638:Q701" si="3819">VLOOKUP($A638,hospital_details,7,0)</f>
        <v>tier - 1</v>
      </c>
      <c r="R638" s="5" t="str">
        <f t="shared" ref="R638:R701" si="3820">VLOOKUP($A638,hospital_details,8,0)</f>
        <v>R1012</v>
      </c>
    </row>
    <row r="639" spans="1:18" ht="14.4" customHeight="1" x14ac:dyDescent="0.3">
      <c r="A639" s="7" t="s">
        <v>659</v>
      </c>
      <c r="B639" s="7" t="str">
        <f>VLOOKUP($A639,[1]!Customer_Names[#Data],3,0)</f>
        <v xml:space="preserve">  Doug</v>
      </c>
      <c r="C639" s="7">
        <v>38.04</v>
      </c>
      <c r="D639" s="7" t="str" cm="1">
        <f t="array" ref="D639">_xlfn.IFS(Healthcare!$C639&lt;18.5,"under weight",Healthcare!$C639&lt;=24.9,"Normal Weight",Healthcare!$C639&gt;=25,"overweight",Healthcare!$C639&gt;=30,"obese")</f>
        <v>overweight</v>
      </c>
      <c r="E639" s="7">
        <v>5.0199999999999996</v>
      </c>
      <c r="F639" s="7" t="str" cm="1">
        <f t="array" ref="F639">_xlfn.IFS(Healthcare!$E639&lt;5.7,"normal",Healthcare!$E639&lt;=6.4,"prediabetes",Healthcare!$E639&gt;=6.5,"diabetes")</f>
        <v>normal</v>
      </c>
      <c r="G639" s="7" t="s">
        <v>20</v>
      </c>
      <c r="H639" s="7" t="s">
        <v>19</v>
      </c>
      <c r="I639" s="7" t="s">
        <v>19</v>
      </c>
      <c r="J639" s="7">
        <v>1</v>
      </c>
      <c r="K639" s="7" t="s">
        <v>19</v>
      </c>
      <c r="L639" s="7" t="str">
        <f>VLOOKUP(Healthcare!$A639,hospital_details,2,0)</f>
        <v>4-Sep-1964</v>
      </c>
      <c r="M639" s="7">
        <f t="shared" ref="M639:M702" ca="1" si="3821">VLOOKUP(A639,hospital_details,3,0)</f>
        <v>62</v>
      </c>
      <c r="N639" s="7">
        <f t="shared" ref="N639:N702" si="3822">VLOOKUP($A639,hospital_details,4,0)</f>
        <v>0</v>
      </c>
      <c r="O639" s="8">
        <f t="shared" ref="O639:O702" si="3823">VLOOKUP($A639,hospital_details,5,0)</f>
        <v>15377.77</v>
      </c>
      <c r="P639" s="7" t="str">
        <f t="shared" ref="P639:P702" si="3824">VLOOKUP($A639,hospital_details,6,0)</f>
        <v>tier - 2</v>
      </c>
      <c r="Q639" s="7" t="str">
        <f t="shared" ref="Q639:Q702" si="3825">VLOOKUP($A639,hospital_details,7,0)</f>
        <v>tier - 2</v>
      </c>
      <c r="R639" s="7" t="str">
        <f t="shared" ref="R639:R702" si="3826">VLOOKUP($A639,hospital_details,8,0)</f>
        <v>R1012</v>
      </c>
    </row>
    <row r="640" spans="1:18" ht="14.4" customHeight="1" x14ac:dyDescent="0.3">
      <c r="A640" s="5" t="s">
        <v>660</v>
      </c>
      <c r="B640" s="5" t="str">
        <f>VLOOKUP($A640,[1]!Customer_Names[#Data],3,0)</f>
        <v xml:space="preserve">  Bethany N</v>
      </c>
      <c r="C640" s="5">
        <v>37.9</v>
      </c>
      <c r="D640" s="5" t="str" cm="1">
        <f t="array" ref="D640">_xlfn.IFS(Healthcare!$C640&lt;18.5,"under weight",Healthcare!$C640&lt;=24.9,"Normal Weight",Healthcare!$C640&gt;=25,"overweight",Healthcare!$C640&gt;=30,"obese")</f>
        <v>overweight</v>
      </c>
      <c r="E640" s="5">
        <v>7.76</v>
      </c>
      <c r="F640" s="5" t="str" cm="1">
        <f t="array" ref="F640">_xlfn.IFS(Healthcare!$E640&lt;5.7,"normal",Healthcare!$E640&lt;=6.4,"prediabetes",Healthcare!$E640&gt;=6.5,"diabetes")</f>
        <v>diabetes</v>
      </c>
      <c r="G640" s="5" t="s">
        <v>19</v>
      </c>
      <c r="H640" s="5" t="s">
        <v>19</v>
      </c>
      <c r="I640" s="5" t="s">
        <v>19</v>
      </c>
      <c r="J640" s="5">
        <v>0</v>
      </c>
      <c r="K640" s="5" t="s">
        <v>19</v>
      </c>
      <c r="L640" s="5" t="str">
        <f>VLOOKUP(Healthcare!$A640,hospital_details,2,0)</f>
        <v>6-Sep-1962</v>
      </c>
      <c r="M640" s="5">
        <f t="shared" ref="M640:M703" ca="1" si="3827">VLOOKUP(A640,hospital_details,3,0)</f>
        <v>64</v>
      </c>
      <c r="N640" s="5">
        <f t="shared" ref="N640:N703" si="3828">VLOOKUP($A640,hospital_details,4,0)</f>
        <v>0</v>
      </c>
      <c r="O640" s="6">
        <f t="shared" ref="O640:O703" si="3829">VLOOKUP($A640,hospital_details,5,0)</f>
        <v>15368.22</v>
      </c>
      <c r="P640" s="5" t="str">
        <f t="shared" ref="P640:P703" si="3830">VLOOKUP($A640,hospital_details,6,0)</f>
        <v>tier - 2</v>
      </c>
      <c r="Q640" s="5" t="str">
        <f t="shared" ref="Q640:Q703" si="3831">VLOOKUP($A640,hospital_details,7,0)</f>
        <v>tier - 2</v>
      </c>
      <c r="R640" s="5" t="str">
        <f t="shared" ref="R640:R703" si="3832">VLOOKUP($A640,hospital_details,8,0)</f>
        <v>R1011</v>
      </c>
    </row>
    <row r="641" spans="1:18" ht="14.4" customHeight="1" x14ac:dyDescent="0.3">
      <c r="A641" s="7" t="s">
        <v>661</v>
      </c>
      <c r="B641" s="7" t="str">
        <f>VLOOKUP($A641,[1]!Customer_Names[#Data],3,0)</f>
        <v xml:space="preserve">  Sandra H</v>
      </c>
      <c r="C641" s="7">
        <v>39.6</v>
      </c>
      <c r="D641" s="7" t="str" cm="1">
        <f t="array" ref="D641">_xlfn.IFS(Healthcare!$C641&lt;18.5,"under weight",Healthcare!$C641&lt;=24.9,"Normal Weight",Healthcare!$C641&gt;=25,"overweight",Healthcare!$C641&gt;=30,"obese")</f>
        <v>overweight</v>
      </c>
      <c r="E641" s="7">
        <v>9.32</v>
      </c>
      <c r="F641" s="7" t="str" cm="1">
        <f t="array" ref="F641">_xlfn.IFS(Healthcare!$E641&lt;5.7,"normal",Healthcare!$E641&lt;=6.4,"prediabetes",Healthcare!$E641&gt;=6.5,"diabetes")</f>
        <v>diabetes</v>
      </c>
      <c r="G641" s="7" t="s">
        <v>19</v>
      </c>
      <c r="H641" s="7" t="s">
        <v>19</v>
      </c>
      <c r="I641" s="7" t="s">
        <v>19</v>
      </c>
      <c r="J641" s="7">
        <v>0</v>
      </c>
      <c r="K641" s="7" t="s">
        <v>19</v>
      </c>
      <c r="L641" s="7" t="str">
        <f>VLOOKUP(Healthcare!$A641,hospital_details,2,0)</f>
        <v>18-Jul-1968</v>
      </c>
      <c r="M641" s="7">
        <f t="shared" ref="M641:M704" ca="1" si="3833">VLOOKUP(A641,hospital_details,3,0)</f>
        <v>58</v>
      </c>
      <c r="N641" s="7">
        <f t="shared" ref="N641:N704" si="3834">VLOOKUP($A641,hospital_details,4,0)</f>
        <v>0</v>
      </c>
      <c r="O641" s="8">
        <f t="shared" ref="O641:O704" si="3835">VLOOKUP($A641,hospital_details,5,0)</f>
        <v>15363.77</v>
      </c>
      <c r="P641" s="7" t="str">
        <f t="shared" ref="P641:P704" si="3836">VLOOKUP($A641,hospital_details,6,0)</f>
        <v>tier - 2</v>
      </c>
      <c r="Q641" s="7" t="str">
        <f t="shared" ref="Q641:Q704" si="3837">VLOOKUP($A641,hospital_details,7,0)</f>
        <v>tier - 1</v>
      </c>
      <c r="R641" s="7" t="str">
        <f t="shared" ref="R641:R704" si="3838">VLOOKUP($A641,hospital_details,8,0)</f>
        <v>R1026</v>
      </c>
    </row>
    <row r="642" spans="1:18" ht="14.4" customHeight="1" x14ac:dyDescent="0.3">
      <c r="A642" s="5" t="s">
        <v>662</v>
      </c>
      <c r="B642" s="5" t="str">
        <f>VLOOKUP($A642,[1]!Customer_Names[#Data],3,0)</f>
        <v xml:space="preserve">  Takuo</v>
      </c>
      <c r="C642" s="5">
        <v>50.92</v>
      </c>
      <c r="D642" s="5" t="str" cm="1">
        <f t="array" ref="D642">_xlfn.IFS(Healthcare!$C642&lt;18.5,"under weight",Healthcare!$C642&lt;=24.9,"Normal Weight",Healthcare!$C642&gt;=25,"overweight",Healthcare!$C642&gt;=30,"obese")</f>
        <v>overweight</v>
      </c>
      <c r="E642" s="5">
        <v>5.31</v>
      </c>
      <c r="F642" s="5" t="str" cm="1">
        <f t="array" ref="F642">_xlfn.IFS(Healthcare!$E642&lt;5.7,"normal",Healthcare!$E642&lt;=6.4,"prediabetes",Healthcare!$E642&gt;=6.5,"diabetes")</f>
        <v>normal</v>
      </c>
      <c r="G642" s="5" t="s">
        <v>20</v>
      </c>
      <c r="H642" s="5" t="s">
        <v>19</v>
      </c>
      <c r="I642" s="5" t="s">
        <v>19</v>
      </c>
      <c r="J642" s="5">
        <v>1</v>
      </c>
      <c r="K642" s="5" t="s">
        <v>19</v>
      </c>
      <c r="L642" s="5" t="str">
        <f>VLOOKUP(Healthcare!$A642,hospital_details,2,0)</f>
        <v>17-Dec-1988</v>
      </c>
      <c r="M642" s="5">
        <f t="shared" ref="M642:M705" ca="1" si="3839">VLOOKUP(A642,hospital_details,3,0)</f>
        <v>37</v>
      </c>
      <c r="N642" s="5">
        <f t="shared" ref="N642:N705" si="3840">VLOOKUP($A642,hospital_details,4,0)</f>
        <v>3</v>
      </c>
      <c r="O642" s="6">
        <f t="shared" ref="O642:O705" si="3841">VLOOKUP($A642,hospital_details,5,0)</f>
        <v>15361.5</v>
      </c>
      <c r="P642" s="5" t="str">
        <f t="shared" ref="P642:P705" si="3842">VLOOKUP($A642,hospital_details,6,0)</f>
        <v>tier - 2</v>
      </c>
      <c r="Q642" s="5" t="str">
        <f t="shared" ref="Q642:Q705" si="3843">VLOOKUP($A642,hospital_details,7,0)</f>
        <v>tier - 3</v>
      </c>
      <c r="R642" s="5" t="str">
        <f t="shared" ref="R642:R705" si="3844">VLOOKUP($A642,hospital_details,8,0)</f>
        <v>R1023</v>
      </c>
    </row>
    <row r="643" spans="1:18" ht="14.4" customHeight="1" x14ac:dyDescent="0.3">
      <c r="A643" s="7" t="s">
        <v>663</v>
      </c>
      <c r="B643" s="7" t="str">
        <f>VLOOKUP($A643,[1]!Customer_Names[#Data],3,0)</f>
        <v xml:space="preserve">  Kelly A</v>
      </c>
      <c r="C643" s="7">
        <v>21.85</v>
      </c>
      <c r="D643" s="7" t="str" cm="1">
        <f t="array" ref="D643">_xlfn.IFS(Healthcare!$C643&lt;18.5,"under weight",Healthcare!$C643&lt;=24.9,"Normal Weight",Healthcare!$C643&gt;=25,"overweight",Healthcare!$C643&gt;=30,"obese")</f>
        <v>Normal Weight</v>
      </c>
      <c r="E643" s="7">
        <v>5.56</v>
      </c>
      <c r="F643" s="7" t="str" cm="1">
        <f t="array" ref="F643">_xlfn.IFS(Healthcare!$E643&lt;5.7,"normal",Healthcare!$E643&lt;=6.4,"prediabetes",Healthcare!$E643&gt;=6.5,"diabetes")</f>
        <v>normal</v>
      </c>
      <c r="G643" s="7" t="s">
        <v>20</v>
      </c>
      <c r="H643" s="7" t="s">
        <v>19</v>
      </c>
      <c r="I643" s="7" t="s">
        <v>19</v>
      </c>
      <c r="J643" s="7">
        <v>0</v>
      </c>
      <c r="K643" s="7" t="s">
        <v>20</v>
      </c>
      <c r="L643" s="7" t="str">
        <f>VLOOKUP(Healthcare!$A643,hospital_details,2,0)</f>
        <v>14-Jul-2001</v>
      </c>
      <c r="M643" s="7">
        <f t="shared" ref="M643:M706" ca="1" si="3845">VLOOKUP(A643,hospital_details,3,0)</f>
        <v>25</v>
      </c>
      <c r="N643" s="7">
        <f t="shared" ref="N643:N706" si="3846">VLOOKUP($A643,hospital_details,4,0)</f>
        <v>1</v>
      </c>
      <c r="O643" s="8">
        <f t="shared" ref="O643:O706" si="3847">VLOOKUP($A643,hospital_details,5,0)</f>
        <v>15359.1</v>
      </c>
      <c r="P643" s="7" t="str">
        <f t="shared" ref="P643:P706" si="3848">VLOOKUP($A643,hospital_details,6,0)</f>
        <v>tier - 2</v>
      </c>
      <c r="Q643" s="7" t="str">
        <f t="shared" ref="Q643:Q706" si="3849">VLOOKUP($A643,hospital_details,7,0)</f>
        <v>tier - 3</v>
      </c>
      <c r="R643" s="7" t="str">
        <f t="shared" ref="R643:R706" si="3850">VLOOKUP($A643,hospital_details,8,0)</f>
        <v>R1024</v>
      </c>
    </row>
    <row r="644" spans="1:18" ht="14.4" customHeight="1" x14ac:dyDescent="0.3">
      <c r="A644" s="5" t="s">
        <v>664</v>
      </c>
      <c r="B644" s="5" t="str">
        <f>VLOOKUP($A644,[1]!Customer_Names[#Data],3,0)</f>
        <v xml:space="preserve">  Scott</v>
      </c>
      <c r="C644" s="5">
        <v>36.08</v>
      </c>
      <c r="D644" s="5" t="str" cm="1">
        <f t="array" ref="D644">_xlfn.IFS(Healthcare!$C644&lt;18.5,"under weight",Healthcare!$C644&lt;=24.9,"Normal Weight",Healthcare!$C644&gt;=25,"overweight",Healthcare!$C644&gt;=30,"obese")</f>
        <v>overweight</v>
      </c>
      <c r="E644" s="5">
        <v>7.11</v>
      </c>
      <c r="F644" s="5" t="str" cm="1">
        <f t="array" ref="F644">_xlfn.IFS(Healthcare!$E644&lt;5.7,"normal",Healthcare!$E644&lt;=6.4,"prediabetes",Healthcare!$E644&gt;=6.5,"diabetes")</f>
        <v>diabetes</v>
      </c>
      <c r="G644" s="5" t="s">
        <v>20</v>
      </c>
      <c r="H644" s="5" t="s">
        <v>19</v>
      </c>
      <c r="I644" s="5" t="s">
        <v>29</v>
      </c>
      <c r="J644" s="5">
        <v>1</v>
      </c>
      <c r="K644" s="5" t="s">
        <v>19</v>
      </c>
      <c r="L644" s="5" t="str">
        <f>VLOOKUP(Healthcare!$A644,hospital_details,2,0)</f>
        <v>13-Dec-1963</v>
      </c>
      <c r="M644" s="5">
        <f t="shared" ref="M644:M707" ca="1" si="3851">VLOOKUP(A644,hospital_details,3,0)</f>
        <v>62</v>
      </c>
      <c r="N644" s="5">
        <f t="shared" ref="N644:N707" si="3852">VLOOKUP($A644,hospital_details,4,0)</f>
        <v>0</v>
      </c>
      <c r="O644" s="6">
        <f t="shared" ref="O644:O707" si="3853">VLOOKUP($A644,hospital_details,5,0)</f>
        <v>15322.77</v>
      </c>
      <c r="P644" s="5" t="str">
        <f t="shared" ref="P644:P707" si="3854">VLOOKUP($A644,hospital_details,6,0)</f>
        <v>tier - 2</v>
      </c>
      <c r="Q644" s="5" t="str">
        <f t="shared" ref="Q644:Q707" si="3855">VLOOKUP($A644,hospital_details,7,0)</f>
        <v>tier - 3</v>
      </c>
      <c r="R644" s="5" t="str">
        <f t="shared" ref="R644:R707" si="3856">VLOOKUP($A644,hospital_details,8,0)</f>
        <v>R1021</v>
      </c>
    </row>
    <row r="645" spans="1:18" ht="14.4" customHeight="1" x14ac:dyDescent="0.3">
      <c r="A645" s="7" t="s">
        <v>665</v>
      </c>
      <c r="B645" s="7" t="str">
        <f>VLOOKUP($A645,[1]!Customer_Names[#Data],3,0)</f>
        <v xml:space="preserve">  Benoit</v>
      </c>
      <c r="C645" s="7">
        <v>40.44</v>
      </c>
      <c r="D645" s="7" t="str" cm="1">
        <f t="array" ref="D645">_xlfn.IFS(Healthcare!$C645&lt;18.5,"under weight",Healthcare!$C645&lt;=24.9,"Normal Weight",Healthcare!$C645&gt;=25,"overweight",Healthcare!$C645&gt;=30,"obese")</f>
        <v>overweight</v>
      </c>
      <c r="E645" s="7">
        <v>5.13</v>
      </c>
      <c r="F645" s="7" t="str" cm="1">
        <f t="array" ref="F645">_xlfn.IFS(Healthcare!$E645&lt;5.7,"normal",Healthcare!$E645&lt;=6.4,"prediabetes",Healthcare!$E645&gt;=6.5,"diabetes")</f>
        <v>normal</v>
      </c>
      <c r="G645" s="7" t="s">
        <v>20</v>
      </c>
      <c r="H645" s="7" t="s">
        <v>19</v>
      </c>
      <c r="I645" s="7" t="s">
        <v>29</v>
      </c>
      <c r="J645" s="7">
        <v>1</v>
      </c>
      <c r="K645" s="7" t="s">
        <v>19</v>
      </c>
      <c r="L645" s="7" t="str">
        <f>VLOOKUP(Healthcare!$A645,hospital_details,2,0)</f>
        <v>16-Sep-1969</v>
      </c>
      <c r="M645" s="7">
        <f t="shared" ref="M645:M708" ca="1" si="3857">VLOOKUP(A645,hospital_details,3,0)</f>
        <v>57</v>
      </c>
      <c r="N645" s="7">
        <f t="shared" ref="N645:N708" si="3858">VLOOKUP($A645,hospital_details,4,0)</f>
        <v>0</v>
      </c>
      <c r="O645" s="8">
        <f t="shared" ref="O645:O708" si="3859">VLOOKUP($A645,hospital_details,5,0)</f>
        <v>15260.52</v>
      </c>
      <c r="P645" s="7" t="str">
        <f t="shared" ref="P645:P708" si="3860">VLOOKUP($A645,hospital_details,6,0)</f>
        <v>tier - 2</v>
      </c>
      <c r="Q645" s="7" t="str">
        <f t="shared" ref="Q645:Q708" si="3861">VLOOKUP($A645,hospital_details,7,0)</f>
        <v>tier - 2</v>
      </c>
      <c r="R645" s="7" t="str">
        <f t="shared" ref="R645:R708" si="3862">VLOOKUP($A645,hospital_details,8,0)</f>
        <v>R1023</v>
      </c>
    </row>
    <row r="646" spans="1:18" ht="14.4" customHeight="1" x14ac:dyDescent="0.3">
      <c r="A646" s="5" t="s">
        <v>666</v>
      </c>
      <c r="B646" s="5" t="str">
        <f>VLOOKUP($A646,[1]!Customer_Names[#Data],3,0)</f>
        <v xml:space="preserve">  Elizabeth M</v>
      </c>
      <c r="C646" s="5">
        <v>38.094999999999999</v>
      </c>
      <c r="D646" s="5" t="str" cm="1">
        <f t="array" ref="D646">_xlfn.IFS(Healthcare!$C646&lt;18.5,"under weight",Healthcare!$C646&lt;=24.9,"Normal Weight",Healthcare!$C646&gt;=25,"overweight",Healthcare!$C646&gt;=30,"obese")</f>
        <v>overweight</v>
      </c>
      <c r="E646" s="5">
        <v>10.199999999999999</v>
      </c>
      <c r="F646" s="5" t="str" cm="1">
        <f t="array" ref="F646">_xlfn.IFS(Healthcare!$E646&lt;5.7,"normal",Healthcare!$E646&lt;=6.4,"prediabetes",Healthcare!$E646&gt;=6.5,"diabetes")</f>
        <v>diabetes</v>
      </c>
      <c r="G646" s="5" t="s">
        <v>19</v>
      </c>
      <c r="H646" s="5" t="s">
        <v>19</v>
      </c>
      <c r="I646" s="5" t="s">
        <v>19</v>
      </c>
      <c r="J646" s="5">
        <v>0</v>
      </c>
      <c r="K646" s="5" t="s">
        <v>19</v>
      </c>
      <c r="L646" s="5" t="str">
        <f>VLOOKUP(Healthcare!$A646,hospital_details,2,0)</f>
        <v>25-Jul-1960</v>
      </c>
      <c r="M646" s="5">
        <f t="shared" ref="M646:M709" ca="1" si="3863">VLOOKUP(A646,hospital_details,3,0)</f>
        <v>66</v>
      </c>
      <c r="N646" s="5">
        <f t="shared" ref="N646:N709" si="3864">VLOOKUP($A646,hospital_details,4,0)</f>
        <v>2</v>
      </c>
      <c r="O646" s="6">
        <f t="shared" ref="O646:O709" si="3865">VLOOKUP($A646,hospital_details,5,0)</f>
        <v>15230.32</v>
      </c>
      <c r="P646" s="5" t="str">
        <f t="shared" ref="P646:P709" si="3866">VLOOKUP($A646,hospital_details,6,0)</f>
        <v>tier - 2</v>
      </c>
      <c r="Q646" s="5" t="str">
        <f t="shared" ref="Q646:Q709" si="3867">VLOOKUP($A646,hospital_details,7,0)</f>
        <v>tier - 2</v>
      </c>
      <c r="R646" s="5" t="str">
        <f t="shared" ref="R646:R709" si="3868">VLOOKUP($A646,hospital_details,8,0)</f>
        <v>R1024</v>
      </c>
    </row>
    <row r="647" spans="1:18" ht="14.4" customHeight="1" x14ac:dyDescent="0.3">
      <c r="A647" s="7" t="s">
        <v>667</v>
      </c>
      <c r="B647" s="7" t="str">
        <f>VLOOKUP($A647,[1]!Customer_Names[#Data],3,0)</f>
        <v xml:space="preserve">  Jessica A</v>
      </c>
      <c r="C647" s="7">
        <v>44.95</v>
      </c>
      <c r="D647" s="7" t="str" cm="1">
        <f t="array" ref="D647">_xlfn.IFS(Healthcare!$C647&lt;18.5,"under weight",Healthcare!$C647&lt;=24.9,"Normal Weight",Healthcare!$C647&gt;=25,"overweight",Healthcare!$C647&gt;=30,"obese")</f>
        <v>overweight</v>
      </c>
      <c r="E647" s="7">
        <v>10.4</v>
      </c>
      <c r="F647" s="7" t="str" cm="1">
        <f t="array" ref="F647">_xlfn.IFS(Healthcare!$E647&lt;5.7,"normal",Healthcare!$E647&lt;=6.4,"prediabetes",Healthcare!$E647&gt;=6.5,"diabetes")</f>
        <v>diabetes</v>
      </c>
      <c r="G647" s="7" t="s">
        <v>19</v>
      </c>
      <c r="H647" s="7" t="s">
        <v>19</v>
      </c>
      <c r="I647" s="7" t="s">
        <v>19</v>
      </c>
      <c r="J647" s="7">
        <v>0</v>
      </c>
      <c r="K647" s="7" t="s">
        <v>19</v>
      </c>
      <c r="L647" s="7" t="str">
        <f>VLOOKUP(Healthcare!$A647,hospital_details,2,0)</f>
        <v>23-Nov-1978</v>
      </c>
      <c r="M647" s="7">
        <f t="shared" ref="M647:M710" ca="1" si="3869">VLOOKUP(A647,hospital_details,3,0)</f>
        <v>47</v>
      </c>
      <c r="N647" s="7">
        <f t="shared" ref="N647:N710" si="3870">VLOOKUP($A647,hospital_details,4,0)</f>
        <v>2</v>
      </c>
      <c r="O647" s="8">
        <f t="shared" ref="O647:O710" si="3871">VLOOKUP($A647,hospital_details,5,0)</f>
        <v>15207.92</v>
      </c>
      <c r="P647" s="7" t="str">
        <f t="shared" ref="P647:P710" si="3872">VLOOKUP($A647,hospital_details,6,0)</f>
        <v>tier - 2</v>
      </c>
      <c r="Q647" s="7" t="str">
        <f t="shared" ref="Q647:Q710" si="3873">VLOOKUP($A647,hospital_details,7,0)</f>
        <v>tier - 1</v>
      </c>
      <c r="R647" s="7" t="str">
        <f t="shared" ref="R647:R710" si="3874">VLOOKUP($A647,hospital_details,8,0)</f>
        <v>R1012</v>
      </c>
    </row>
    <row r="648" spans="1:18" ht="14.4" customHeight="1" x14ac:dyDescent="0.3">
      <c r="A648" s="5" t="s">
        <v>668</v>
      </c>
      <c r="B648" s="5" t="str">
        <f>VLOOKUP($A648,[1]!Customer_Names[#Data],3,0)</f>
        <v xml:space="preserve">  Monica K</v>
      </c>
      <c r="C648" s="5">
        <v>35.54</v>
      </c>
      <c r="D648" s="5" t="str" cm="1">
        <f t="array" ref="D648">_xlfn.IFS(Healthcare!$C648&lt;18.5,"under weight",Healthcare!$C648&lt;=24.9,"Normal Weight",Healthcare!$C648&gt;=25,"overweight",Healthcare!$C648&gt;=30,"obese")</f>
        <v>overweight</v>
      </c>
      <c r="E648" s="5">
        <v>10.67</v>
      </c>
      <c r="F648" s="5" t="str" cm="1">
        <f t="array" ref="F648">_xlfn.IFS(Healthcare!$E648&lt;5.7,"normal",Healthcare!$E648&lt;=6.4,"prediabetes",Healthcare!$E648&gt;=6.5,"diabetes")</f>
        <v>diabetes</v>
      </c>
      <c r="G648" s="5" t="s">
        <v>19</v>
      </c>
      <c r="H648" s="5" t="s">
        <v>19</v>
      </c>
      <c r="I648" s="5" t="s">
        <v>19</v>
      </c>
      <c r="J648" s="5">
        <v>0</v>
      </c>
      <c r="K648" s="5" t="s">
        <v>19</v>
      </c>
      <c r="L648" s="5" t="str">
        <f>VLOOKUP(Healthcare!$A648,hospital_details,2,0)</f>
        <v>17-Jun-1962</v>
      </c>
      <c r="M648" s="5">
        <f t="shared" ref="M648:M711" ca="1" si="3875">VLOOKUP(A648,hospital_details,3,0)</f>
        <v>64</v>
      </c>
      <c r="N648" s="5">
        <f t="shared" ref="N648:N711" si="3876">VLOOKUP($A648,hospital_details,4,0)</f>
        <v>0</v>
      </c>
      <c r="O648" s="6">
        <f t="shared" ref="O648:O711" si="3877">VLOOKUP($A648,hospital_details,5,0)</f>
        <v>15174.81</v>
      </c>
      <c r="P648" s="5" t="str">
        <f t="shared" ref="P648:P711" si="3878">VLOOKUP($A648,hospital_details,6,0)</f>
        <v>tier - 2</v>
      </c>
      <c r="Q648" s="5" t="str">
        <f t="shared" ref="Q648:Q711" si="3879">VLOOKUP($A648,hospital_details,7,0)</f>
        <v>tier - 1</v>
      </c>
      <c r="R648" s="5" t="str">
        <f t="shared" ref="R648:R711" si="3880">VLOOKUP($A648,hospital_details,8,0)</f>
        <v>R1012</v>
      </c>
    </row>
    <row r="649" spans="1:18" ht="14.4" customHeight="1" x14ac:dyDescent="0.3">
      <c r="A649" s="7" t="s">
        <v>669</v>
      </c>
      <c r="B649" s="7" t="str">
        <f>VLOOKUP($A649,[1]!Customer_Names[#Data],3,0)</f>
        <v xml:space="preserve">  Kevin L</v>
      </c>
      <c r="C649" s="7">
        <v>39.799999999999997</v>
      </c>
      <c r="D649" s="7" t="str" cm="1">
        <f t="array" ref="D649">_xlfn.IFS(Healthcare!$C649&lt;18.5,"under weight",Healthcare!$C649&lt;=24.9,"Normal Weight",Healthcare!$C649&gt;=25,"overweight",Healthcare!$C649&gt;=30,"obese")</f>
        <v>overweight</v>
      </c>
      <c r="E649" s="7">
        <v>4.6500000000000004</v>
      </c>
      <c r="F649" s="7" t="str" cm="1">
        <f t="array" ref="F649">_xlfn.IFS(Healthcare!$E649&lt;5.7,"normal",Healthcare!$E649&lt;=6.4,"prediabetes",Healthcare!$E649&gt;=6.5,"diabetes")</f>
        <v>normal</v>
      </c>
      <c r="G649" s="7" t="s">
        <v>20</v>
      </c>
      <c r="H649" s="7" t="s">
        <v>19</v>
      </c>
      <c r="I649" s="7" t="s">
        <v>19</v>
      </c>
      <c r="J649" s="7">
        <v>2</v>
      </c>
      <c r="K649" s="7" t="s">
        <v>19</v>
      </c>
      <c r="L649" s="7" t="str">
        <f>VLOOKUP(Healthcare!$A649,hospital_details,2,0)</f>
        <v>3-Dec-1959</v>
      </c>
      <c r="M649" s="7">
        <f t="shared" ref="M649:M712" ca="1" si="3881">VLOOKUP(A649,hospital_details,3,0)</f>
        <v>66</v>
      </c>
      <c r="N649" s="7">
        <f t="shared" ref="N649:N712" si="3882">VLOOKUP($A649,hospital_details,4,0)</f>
        <v>3</v>
      </c>
      <c r="O649" s="8">
        <f t="shared" ref="O649:O712" si="3883">VLOOKUP($A649,hospital_details,5,0)</f>
        <v>15170.07</v>
      </c>
      <c r="P649" s="7" t="str">
        <f t="shared" ref="P649:P712" si="3884">VLOOKUP($A649,hospital_details,6,0)</f>
        <v>tier - 2</v>
      </c>
      <c r="Q649" s="7" t="str">
        <f t="shared" ref="Q649:Q712" si="3885">VLOOKUP($A649,hospital_details,7,0)</f>
        <v>tier - 3</v>
      </c>
      <c r="R649" s="7" t="str">
        <f t="shared" ref="R649:R712" si="3886">VLOOKUP($A649,hospital_details,8,0)</f>
        <v>R1011</v>
      </c>
    </row>
    <row r="650" spans="1:18" ht="14.4" customHeight="1" x14ac:dyDescent="0.3">
      <c r="A650" s="5" t="s">
        <v>670</v>
      </c>
      <c r="B650" s="5" t="str">
        <f>VLOOKUP($A650,[1]!Customer_Names[#Data],3,0)</f>
        <v xml:space="preserve">  Gregory</v>
      </c>
      <c r="C650" s="5">
        <v>33.659999999999997</v>
      </c>
      <c r="D650" s="5" t="str" cm="1">
        <f t="array" ref="D650">_xlfn.IFS(Healthcare!$C650&lt;18.5,"under weight",Healthcare!$C650&lt;=24.9,"Normal Weight",Healthcare!$C650&gt;=25,"overweight",Healthcare!$C650&gt;=30,"obese")</f>
        <v>overweight</v>
      </c>
      <c r="E650" s="5">
        <v>5.65</v>
      </c>
      <c r="F650" s="5" t="str" cm="1">
        <f t="array" ref="F650">_xlfn.IFS(Healthcare!$E650&lt;5.7,"normal",Healthcare!$E650&lt;=6.4,"prediabetes",Healthcare!$E650&gt;=6.5,"diabetes")</f>
        <v>normal</v>
      </c>
      <c r="G650" s="5" t="s">
        <v>20</v>
      </c>
      <c r="H650" s="5" t="s">
        <v>19</v>
      </c>
      <c r="I650" s="5" t="s">
        <v>19</v>
      </c>
      <c r="J650" s="5">
        <v>2</v>
      </c>
      <c r="K650" s="5" t="s">
        <v>19</v>
      </c>
      <c r="L650" s="5" t="str">
        <f>VLOOKUP(Healthcare!$A650,hospital_details,2,0)</f>
        <v>4-Jun-1959</v>
      </c>
      <c r="M650" s="5">
        <f t="shared" ref="M650:M713" ca="1" si="3887">VLOOKUP(A650,hospital_details,3,0)</f>
        <v>67</v>
      </c>
      <c r="N650" s="5">
        <f t="shared" ref="N650:N713" si="3888">VLOOKUP($A650,hospital_details,4,0)</f>
        <v>3</v>
      </c>
      <c r="O650" s="6">
        <f t="shared" ref="O650:O713" si="3889">VLOOKUP($A650,hospital_details,5,0)</f>
        <v>15161.53</v>
      </c>
      <c r="P650" s="5" t="str">
        <f t="shared" ref="P650:P713" si="3890">VLOOKUP($A650,hospital_details,6,0)</f>
        <v>tier - 2</v>
      </c>
      <c r="Q650" s="5" t="str">
        <f t="shared" ref="Q650:Q713" si="3891">VLOOKUP($A650,hospital_details,7,0)</f>
        <v>tier - 1</v>
      </c>
      <c r="R650" s="5" t="str">
        <f t="shared" ref="R650:R713" si="3892">VLOOKUP($A650,hospital_details,8,0)</f>
        <v>R1013</v>
      </c>
    </row>
    <row r="651" spans="1:18" ht="14.4" customHeight="1" x14ac:dyDescent="0.3">
      <c r="A651" s="7" t="s">
        <v>671</v>
      </c>
      <c r="B651" s="7" t="str">
        <f>VLOOKUP($A651,[1]!Customer_Names[#Data],3,0)</f>
        <v xml:space="preserve">  Della</v>
      </c>
      <c r="C651" s="7">
        <v>35.5</v>
      </c>
      <c r="D651" s="7" t="str" cm="1">
        <f t="array" ref="D651">_xlfn.IFS(Healthcare!$C651&lt;18.5,"under weight",Healthcare!$C651&lt;=24.9,"Normal Weight",Healthcare!$C651&gt;=25,"overweight",Healthcare!$C651&gt;=30,"obese")</f>
        <v>overweight</v>
      </c>
      <c r="E651" s="7">
        <v>11.97</v>
      </c>
      <c r="F651" s="7" t="str" cm="1">
        <f t="array" ref="F651">_xlfn.IFS(Healthcare!$E651&lt;5.7,"normal",Healthcare!$E651&lt;=6.4,"prediabetes",Healthcare!$E651&gt;=6.5,"diabetes")</f>
        <v>diabetes</v>
      </c>
      <c r="G651" s="7" t="s">
        <v>19</v>
      </c>
      <c r="H651" s="7" t="s">
        <v>19</v>
      </c>
      <c r="I651" s="7" t="s">
        <v>19</v>
      </c>
      <c r="J651" s="7">
        <v>0</v>
      </c>
      <c r="K651" s="7" t="s">
        <v>19</v>
      </c>
      <c r="L651" s="7" t="str">
        <f>VLOOKUP(Healthcare!$A651,hospital_details,2,0)</f>
        <v>25-Oct-1962</v>
      </c>
      <c r="M651" s="7">
        <f t="shared" ref="M651:M714" ca="1" si="3893">VLOOKUP(A651,hospital_details,3,0)</f>
        <v>63</v>
      </c>
      <c r="N651" s="7">
        <f t="shared" ref="N651:N714" si="3894">VLOOKUP($A651,hospital_details,4,0)</f>
        <v>0</v>
      </c>
      <c r="O651" s="8">
        <f t="shared" ref="O651:O714" si="3895">VLOOKUP($A651,hospital_details,5,0)</f>
        <v>15161.25</v>
      </c>
      <c r="P651" s="7" t="str">
        <f t="shared" ref="P651:P714" si="3896">VLOOKUP($A651,hospital_details,6,0)</f>
        <v>tier - 2</v>
      </c>
      <c r="Q651" s="7" t="str">
        <f t="shared" ref="Q651:Q714" si="3897">VLOOKUP($A651,hospital_details,7,0)</f>
        <v>tier - 2</v>
      </c>
      <c r="R651" s="7" t="str">
        <f t="shared" ref="R651:R714" si="3898">VLOOKUP($A651,hospital_details,8,0)</f>
        <v>R1012</v>
      </c>
    </row>
    <row r="652" spans="1:18" ht="14.4" customHeight="1" x14ac:dyDescent="0.3">
      <c r="A652" s="5" t="s">
        <v>672</v>
      </c>
      <c r="B652" s="5" t="str">
        <f>VLOOKUP($A652,[1]!Customer_Names[#Data],3,0)</f>
        <v xml:space="preserve">  David</v>
      </c>
      <c r="C652" s="5">
        <v>41.63</v>
      </c>
      <c r="D652" s="5" t="str" cm="1">
        <f t="array" ref="D652">_xlfn.IFS(Healthcare!$C652&lt;18.5,"under weight",Healthcare!$C652&lt;=24.9,"Normal Weight",Healthcare!$C652&gt;=25,"overweight",Healthcare!$C652&gt;=30,"obese")</f>
        <v>overweight</v>
      </c>
      <c r="E652" s="5">
        <v>6.71</v>
      </c>
      <c r="F652" s="5" t="str" cm="1">
        <f t="array" ref="F652">_xlfn.IFS(Healthcare!$E652&lt;5.7,"normal",Healthcare!$E652&lt;=6.4,"prediabetes",Healthcare!$E652&gt;=6.5,"diabetes")</f>
        <v>diabetes</v>
      </c>
      <c r="G652" s="5" t="s">
        <v>19</v>
      </c>
      <c r="H652" s="5" t="s">
        <v>19</v>
      </c>
      <c r="I652" s="5" t="s">
        <v>19</v>
      </c>
      <c r="J652" s="5">
        <v>0</v>
      </c>
      <c r="K652" s="5" t="s">
        <v>19</v>
      </c>
      <c r="L652" s="5" t="str">
        <f>VLOOKUP(Healthcare!$A652,hospital_details,2,0)</f>
        <v>25-Nov-1971</v>
      </c>
      <c r="M652" s="5">
        <f t="shared" ref="M652:M715" ca="1" si="3899">VLOOKUP(A652,hospital_details,3,0)</f>
        <v>54</v>
      </c>
      <c r="N652" s="5">
        <f t="shared" ref="N652:N715" si="3900">VLOOKUP($A652,hospital_details,4,0)</f>
        <v>0</v>
      </c>
      <c r="O652" s="6">
        <f t="shared" ref="O652:O715" si="3901">VLOOKUP($A652,hospital_details,5,0)</f>
        <v>15150.44</v>
      </c>
      <c r="P652" s="5" t="str">
        <f t="shared" ref="P652:P715" si="3902">VLOOKUP($A652,hospital_details,6,0)</f>
        <v>tier - 2</v>
      </c>
      <c r="Q652" s="5" t="str">
        <f t="shared" ref="Q652:Q715" si="3903">VLOOKUP($A652,hospital_details,7,0)</f>
        <v>tier - 1</v>
      </c>
      <c r="R652" s="5" t="str">
        <f t="shared" ref="R652:R715" si="3904">VLOOKUP($A652,hospital_details,8,0)</f>
        <v>R1023</v>
      </c>
    </row>
    <row r="653" spans="1:18" ht="14.4" customHeight="1" x14ac:dyDescent="0.3">
      <c r="A653" s="7" t="s">
        <v>673</v>
      </c>
      <c r="B653" s="7" t="str">
        <f>VLOOKUP($A653,[1]!Customer_Names[#Data],3,0)</f>
        <v xml:space="preserve">  Victoria</v>
      </c>
      <c r="C653" s="7">
        <v>46.49</v>
      </c>
      <c r="D653" s="7" t="str" cm="1">
        <f t="array" ref="D653">_xlfn.IFS(Healthcare!$C653&lt;18.5,"under weight",Healthcare!$C653&lt;=24.9,"Normal Weight",Healthcare!$C653&gt;=25,"overweight",Healthcare!$C653&gt;=30,"obese")</f>
        <v>overweight</v>
      </c>
      <c r="E653" s="7">
        <v>11.92</v>
      </c>
      <c r="F653" s="7" t="str" cm="1">
        <f t="array" ref="F653">_xlfn.IFS(Healthcare!$E653&lt;5.7,"normal",Healthcare!$E653&lt;=6.4,"prediabetes",Healthcare!$E653&gt;=6.5,"diabetes")</f>
        <v>diabetes</v>
      </c>
      <c r="G653" s="7" t="s">
        <v>19</v>
      </c>
      <c r="H653" s="7" t="s">
        <v>19</v>
      </c>
      <c r="I653" s="7" t="s">
        <v>19</v>
      </c>
      <c r="J653" s="7">
        <v>0</v>
      </c>
      <c r="K653" s="7" t="s">
        <v>19</v>
      </c>
      <c r="L653" s="7" t="str">
        <f>VLOOKUP(Healthcare!$A653,hospital_details,2,0)</f>
        <v>5-Sep-1978</v>
      </c>
      <c r="M653" s="7">
        <f t="shared" ref="M653:M716" ca="1" si="3905">VLOOKUP(A653,hospital_details,3,0)</f>
        <v>48</v>
      </c>
      <c r="N653" s="7">
        <f t="shared" ref="N653:N716" si="3906">VLOOKUP($A653,hospital_details,4,0)</f>
        <v>2</v>
      </c>
      <c r="O653" s="8">
        <f t="shared" ref="O653:O716" si="3907">VLOOKUP($A653,hospital_details,5,0)</f>
        <v>15123.19</v>
      </c>
      <c r="P653" s="7" t="str">
        <f t="shared" ref="P653:P716" si="3908">VLOOKUP($A653,hospital_details,6,0)</f>
        <v>tier - 2</v>
      </c>
      <c r="Q653" s="7" t="str">
        <f t="shared" ref="Q653:Q716" si="3909">VLOOKUP($A653,hospital_details,7,0)</f>
        <v>tier - 1</v>
      </c>
      <c r="R653" s="7" t="str">
        <f t="shared" ref="R653:R716" si="3910">VLOOKUP($A653,hospital_details,8,0)</f>
        <v>R1011</v>
      </c>
    </row>
    <row r="654" spans="1:18" ht="14.4" customHeight="1" x14ac:dyDescent="0.3">
      <c r="A654" s="5" t="s">
        <v>674</v>
      </c>
      <c r="B654" s="5" t="str">
        <f>VLOOKUP($A654,[1]!Customer_Names[#Data],3,0)</f>
        <v xml:space="preserve">  Tasos</v>
      </c>
      <c r="C654" s="5">
        <v>43.29</v>
      </c>
      <c r="D654" s="5" t="str" cm="1">
        <f t="array" ref="D654">_xlfn.IFS(Healthcare!$C654&lt;18.5,"under weight",Healthcare!$C654&lt;=24.9,"Normal Weight",Healthcare!$C654&gt;=25,"overweight",Healthcare!$C654&gt;=30,"obese")</f>
        <v>overweight</v>
      </c>
      <c r="E654" s="5">
        <v>5.35</v>
      </c>
      <c r="F654" s="5" t="str" cm="1">
        <f t="array" ref="F654">_xlfn.IFS(Healthcare!$E654&lt;5.7,"normal",Healthcare!$E654&lt;=6.4,"prediabetes",Healthcare!$E654&gt;=6.5,"diabetes")</f>
        <v>normal</v>
      </c>
      <c r="G654" s="5" t="s">
        <v>19</v>
      </c>
      <c r="H654" s="5" t="s">
        <v>19</v>
      </c>
      <c r="I654" s="5" t="s">
        <v>19</v>
      </c>
      <c r="J654" s="5">
        <v>2</v>
      </c>
      <c r="K654" s="5" t="s">
        <v>19</v>
      </c>
      <c r="L654" s="5" t="str">
        <f>VLOOKUP(Healthcare!$A654,hospital_details,2,0)</f>
        <v>7-Nov-1972</v>
      </c>
      <c r="M654" s="5">
        <f t="shared" ref="M654:M717" ca="1" si="3911">VLOOKUP(A654,hospital_details,3,0)</f>
        <v>53</v>
      </c>
      <c r="N654" s="5">
        <f t="shared" ref="N654:N717" si="3912">VLOOKUP($A654,hospital_details,4,0)</f>
        <v>0</v>
      </c>
      <c r="O654" s="6">
        <f t="shared" ref="O654:O717" si="3913">VLOOKUP($A654,hospital_details,5,0)</f>
        <v>15103.69</v>
      </c>
      <c r="P654" s="5" t="str">
        <f t="shared" ref="P654:P717" si="3914">VLOOKUP($A654,hospital_details,6,0)</f>
        <v>tier - 2</v>
      </c>
      <c r="Q654" s="5" t="str">
        <f t="shared" ref="Q654:Q717" si="3915">VLOOKUP($A654,hospital_details,7,0)</f>
        <v>tier - 1</v>
      </c>
      <c r="R654" s="5" t="str">
        <f t="shared" ref="R654:R717" si="3916">VLOOKUP($A654,hospital_details,8,0)</f>
        <v>R1012</v>
      </c>
    </row>
    <row r="655" spans="1:18" ht="14.4" customHeight="1" x14ac:dyDescent="0.3">
      <c r="A655" s="7" t="s">
        <v>675</v>
      </c>
      <c r="B655" s="7" t="str">
        <f>VLOOKUP($A655,[1]!Customer_Names[#Data],3,0)</f>
        <v xml:space="preserve">  Thomas</v>
      </c>
      <c r="C655" s="7">
        <v>43.08</v>
      </c>
      <c r="D655" s="7" t="str" cm="1">
        <f t="array" ref="D655">_xlfn.IFS(Healthcare!$C655&lt;18.5,"under weight",Healthcare!$C655&lt;=24.9,"Normal Weight",Healthcare!$C655&gt;=25,"overweight",Healthcare!$C655&gt;=30,"obese")</f>
        <v>overweight</v>
      </c>
      <c r="E655" s="7">
        <v>8.9600000000000009</v>
      </c>
      <c r="F655" s="7" t="str" cm="1">
        <f t="array" ref="F655">_xlfn.IFS(Healthcare!$E655&lt;5.7,"normal",Healthcare!$E655&lt;=6.4,"prediabetes",Healthcare!$E655&gt;=6.5,"diabetes")</f>
        <v>diabetes</v>
      </c>
      <c r="G655" s="7" t="s">
        <v>20</v>
      </c>
      <c r="H655" s="7" t="s">
        <v>19</v>
      </c>
      <c r="I655" s="7" t="s">
        <v>19</v>
      </c>
      <c r="J655" s="7">
        <v>1</v>
      </c>
      <c r="K655" s="7" t="s">
        <v>19</v>
      </c>
      <c r="L655" s="7" t="str">
        <f>VLOOKUP(Healthcare!$A655,hospital_details,2,0)</f>
        <v>26-Oct-1975</v>
      </c>
      <c r="M655" s="7">
        <f t="shared" ref="M655:M718" ca="1" si="3917">VLOOKUP(A655,hospital_details,3,0)</f>
        <v>50</v>
      </c>
      <c r="N655" s="7">
        <f t="shared" ref="N655:N718" si="3918">VLOOKUP($A655,hospital_details,4,0)</f>
        <v>1</v>
      </c>
      <c r="O655" s="8">
        <f t="shared" ref="O655:O718" si="3919">VLOOKUP($A655,hospital_details,5,0)</f>
        <v>15090.35</v>
      </c>
      <c r="P655" s="7" t="str">
        <f t="shared" ref="P655:P718" si="3920">VLOOKUP($A655,hospital_details,6,0)</f>
        <v>tier - 2</v>
      </c>
      <c r="Q655" s="7" t="str">
        <f t="shared" ref="Q655:Q718" si="3921">VLOOKUP($A655,hospital_details,7,0)</f>
        <v>tier - 1</v>
      </c>
      <c r="R655" s="7" t="str">
        <f t="shared" ref="R655:R718" si="3922">VLOOKUP($A655,hospital_details,8,0)</f>
        <v>R1023</v>
      </c>
    </row>
    <row r="656" spans="1:18" ht="14.4" customHeight="1" x14ac:dyDescent="0.3">
      <c r="A656" s="5" t="s">
        <v>676</v>
      </c>
      <c r="B656" s="5" t="str">
        <f>VLOOKUP($A656,[1]!Customer_Names[#Data],3,0)</f>
        <v xml:space="preserve">  Lukasz</v>
      </c>
      <c r="C656" s="5">
        <v>39.07</v>
      </c>
      <c r="D656" s="5" t="str" cm="1">
        <f t="array" ref="D656">_xlfn.IFS(Healthcare!$C656&lt;18.5,"under weight",Healthcare!$C656&lt;=24.9,"Normal Weight",Healthcare!$C656&gt;=25,"overweight",Healthcare!$C656&gt;=30,"obese")</f>
        <v>overweight</v>
      </c>
      <c r="E656" s="5">
        <v>11.93</v>
      </c>
      <c r="F656" s="5" t="str" cm="1">
        <f t="array" ref="F656">_xlfn.IFS(Healthcare!$E656&lt;5.7,"normal",Healthcare!$E656&lt;=6.4,"prediabetes",Healthcare!$E656&gt;=6.5,"diabetes")</f>
        <v>diabetes</v>
      </c>
      <c r="G656" s="5" t="s">
        <v>19</v>
      </c>
      <c r="H656" s="5" t="s">
        <v>19</v>
      </c>
      <c r="I656" s="5" t="s">
        <v>19</v>
      </c>
      <c r="J656" s="5">
        <v>0</v>
      </c>
      <c r="K656" s="5" t="s">
        <v>19</v>
      </c>
      <c r="L656" s="5" t="str">
        <f>VLOOKUP(Healthcare!$A656,hospital_details,2,0)</f>
        <v>12-Jun-1968</v>
      </c>
      <c r="M656" s="5">
        <f t="shared" ref="M656:M719" ca="1" si="3923">VLOOKUP(A656,hospital_details,3,0)</f>
        <v>58</v>
      </c>
      <c r="N656" s="5">
        <f t="shared" ref="N656:N719" si="3924">VLOOKUP($A656,hospital_details,4,0)</f>
        <v>0</v>
      </c>
      <c r="O656" s="6">
        <f t="shared" ref="O656:O719" si="3925">VLOOKUP($A656,hospital_details,5,0)</f>
        <v>15052.68</v>
      </c>
      <c r="P656" s="5" t="str">
        <f t="shared" ref="P656:P719" si="3926">VLOOKUP($A656,hospital_details,6,0)</f>
        <v>tier - 2</v>
      </c>
      <c r="Q656" s="5" t="str">
        <f t="shared" ref="Q656:Q719" si="3927">VLOOKUP($A656,hospital_details,7,0)</f>
        <v>tier - 2</v>
      </c>
      <c r="R656" s="5" t="str">
        <f t="shared" ref="R656:R719" si="3928">VLOOKUP($A656,hospital_details,8,0)</f>
        <v>R1022</v>
      </c>
    </row>
    <row r="657" spans="1:18" ht="14.4" customHeight="1" x14ac:dyDescent="0.3">
      <c r="A657" s="7" t="s">
        <v>677</v>
      </c>
      <c r="B657" s="7" t="str">
        <f>VLOOKUP($A657,[1]!Customer_Names[#Data],3,0)</f>
        <v xml:space="preserve">  Matthew A</v>
      </c>
      <c r="C657" s="7">
        <v>41.3</v>
      </c>
      <c r="D657" s="7" t="str" cm="1">
        <f t="array" ref="D657">_xlfn.IFS(Healthcare!$C657&lt;18.5,"under weight",Healthcare!$C657&lt;=24.9,"Normal Weight",Healthcare!$C657&gt;=25,"overweight",Healthcare!$C657&gt;=30,"obese")</f>
        <v>overweight</v>
      </c>
      <c r="E657" s="7">
        <v>9.59</v>
      </c>
      <c r="F657" s="7" t="str" cm="1">
        <f t="array" ref="F657">_xlfn.IFS(Healthcare!$E657&lt;5.7,"normal",Healthcare!$E657&lt;=6.4,"prediabetes",Healthcare!$E657&gt;=6.5,"diabetes")</f>
        <v>diabetes</v>
      </c>
      <c r="G657" s="7" t="s">
        <v>19</v>
      </c>
      <c r="H657" s="7" t="s">
        <v>19</v>
      </c>
      <c r="I657" s="7" t="s">
        <v>19</v>
      </c>
      <c r="J657" s="7">
        <v>0</v>
      </c>
      <c r="K657" s="7" t="s">
        <v>19</v>
      </c>
      <c r="L657" s="7" t="str">
        <f>VLOOKUP(Healthcare!$A657,hospital_details,2,0)</f>
        <v>15-Aug-1971</v>
      </c>
      <c r="M657" s="7">
        <f t="shared" ref="M657:M720" ca="1" si="3929">VLOOKUP(A657,hospital_details,3,0)</f>
        <v>55</v>
      </c>
      <c r="N657" s="7">
        <f t="shared" ref="N657:N720" si="3930">VLOOKUP($A657,hospital_details,4,0)</f>
        <v>0</v>
      </c>
      <c r="O657" s="8">
        <f t="shared" ref="O657:O720" si="3931">VLOOKUP($A657,hospital_details,5,0)</f>
        <v>15038.51</v>
      </c>
      <c r="P657" s="7" t="str">
        <f t="shared" ref="P657:P720" si="3932">VLOOKUP($A657,hospital_details,6,0)</f>
        <v>tier - 2</v>
      </c>
      <c r="Q657" s="7" t="str">
        <f t="shared" ref="Q657:Q720" si="3933">VLOOKUP($A657,hospital_details,7,0)</f>
        <v>tier - 3</v>
      </c>
      <c r="R657" s="7" t="str">
        <f t="shared" ref="R657:R720" si="3934">VLOOKUP($A657,hospital_details,8,0)</f>
        <v>R1023</v>
      </c>
    </row>
    <row r="658" spans="1:18" ht="14.4" customHeight="1" x14ac:dyDescent="0.3">
      <c r="A658" s="5" t="s">
        <v>678</v>
      </c>
      <c r="B658" s="5" t="str">
        <f>VLOOKUP($A658,[1]!Customer_Names[#Data],3,0)</f>
        <v xml:space="preserve">  Meta</v>
      </c>
      <c r="C658" s="5">
        <v>42.95</v>
      </c>
      <c r="D658" s="5" t="str" cm="1">
        <f t="array" ref="D658">_xlfn.IFS(Healthcare!$C658&lt;18.5,"under weight",Healthcare!$C658&lt;=24.9,"Normal Weight",Healthcare!$C658&gt;=25,"overweight",Healthcare!$C658&gt;=30,"obese")</f>
        <v>overweight</v>
      </c>
      <c r="E658" s="5">
        <v>11.88</v>
      </c>
      <c r="F658" s="5" t="str" cm="1">
        <f t="array" ref="F658">_xlfn.IFS(Healthcare!$E658&lt;5.7,"normal",Healthcare!$E658&lt;=6.4,"prediabetes",Healthcare!$E658&gt;=6.5,"diabetes")</f>
        <v>diabetes</v>
      </c>
      <c r="G658" s="5" t="s">
        <v>20</v>
      </c>
      <c r="H658" s="5" t="s">
        <v>19</v>
      </c>
      <c r="I658" s="5" t="s">
        <v>19</v>
      </c>
      <c r="J658" s="5">
        <v>2</v>
      </c>
      <c r="K658" s="5" t="s">
        <v>19</v>
      </c>
      <c r="L658" s="5" t="str">
        <f>VLOOKUP(Healthcare!$A658,hospital_details,2,0)</f>
        <v>11-Sep-1970</v>
      </c>
      <c r="M658" s="5">
        <f t="shared" ref="M658:M721" ca="1" si="3935">VLOOKUP(A658,hospital_details,3,0)</f>
        <v>56</v>
      </c>
      <c r="N658" s="5">
        <f t="shared" ref="N658:N721" si="3936">VLOOKUP($A658,hospital_details,4,0)</f>
        <v>0</v>
      </c>
      <c r="O658" s="6">
        <f t="shared" ref="O658:O721" si="3937">VLOOKUP($A658,hospital_details,5,0)</f>
        <v>15026.3</v>
      </c>
      <c r="P658" s="5" t="str">
        <f t="shared" ref="P658:P721" si="3938">VLOOKUP($A658,hospital_details,6,0)</f>
        <v>tier - 2</v>
      </c>
      <c r="Q658" s="5" t="str">
        <f t="shared" ref="Q658:Q721" si="3939">VLOOKUP($A658,hospital_details,7,0)</f>
        <v>tier - 3</v>
      </c>
      <c r="R658" s="5" t="str">
        <f t="shared" ref="R658:R721" si="3940">VLOOKUP($A658,hospital_details,8,0)</f>
        <v>R1011</v>
      </c>
    </row>
    <row r="659" spans="1:18" ht="14.4" customHeight="1" x14ac:dyDescent="0.3">
      <c r="A659" s="7" t="s">
        <v>679</v>
      </c>
      <c r="B659" s="7" t="str">
        <f>VLOOKUP($A659,[1]!Customer_Names[#Data],3,0)</f>
        <v xml:space="preserve">  Rachel E</v>
      </c>
      <c r="C659" s="7">
        <v>46.96</v>
      </c>
      <c r="D659" s="7" t="str" cm="1">
        <f t="array" ref="D659">_xlfn.IFS(Healthcare!$C659&lt;18.5,"under weight",Healthcare!$C659&lt;=24.9,"Normal Weight",Healthcare!$C659&gt;=25,"overweight",Healthcare!$C659&gt;=30,"obese")</f>
        <v>overweight</v>
      </c>
      <c r="E659" s="7">
        <v>4.6399999999999997</v>
      </c>
      <c r="F659" s="7" t="str" cm="1">
        <f t="array" ref="F659">_xlfn.IFS(Healthcare!$E659&lt;5.7,"normal",Healthcare!$E659&lt;=6.4,"prediabetes",Healthcare!$E659&gt;=6.5,"diabetes")</f>
        <v>normal</v>
      </c>
      <c r="G659" s="7" t="s">
        <v>19</v>
      </c>
      <c r="H659" s="7" t="s">
        <v>19</v>
      </c>
      <c r="I659" s="7" t="s">
        <v>29</v>
      </c>
      <c r="J659" s="7">
        <v>1</v>
      </c>
      <c r="K659" s="7" t="s">
        <v>19</v>
      </c>
      <c r="L659" s="7" t="str">
        <f>VLOOKUP(Healthcare!$A659,hospital_details,2,0)</f>
        <v>25-Nov-1979</v>
      </c>
      <c r="M659" s="7">
        <f t="shared" ref="M659:M722" ca="1" si="3941">VLOOKUP(A659,hospital_details,3,0)</f>
        <v>46</v>
      </c>
      <c r="N659" s="7">
        <f t="shared" ref="N659:N722" si="3942">VLOOKUP($A659,hospital_details,4,0)</f>
        <v>2</v>
      </c>
      <c r="O659" s="8">
        <f t="shared" ref="O659:O722" si="3943">VLOOKUP($A659,hospital_details,5,0)</f>
        <v>15025.76</v>
      </c>
      <c r="P659" s="7" t="str">
        <f t="shared" ref="P659:P722" si="3944">VLOOKUP($A659,hospital_details,6,0)</f>
        <v>tier - 2</v>
      </c>
      <c r="Q659" s="7" t="str">
        <f t="shared" ref="Q659:Q722" si="3945">VLOOKUP($A659,hospital_details,7,0)</f>
        <v>tier - 1</v>
      </c>
      <c r="R659" s="7" t="str">
        <f t="shared" ref="R659:R722" si="3946">VLOOKUP($A659,hospital_details,8,0)</f>
        <v>R1011</v>
      </c>
    </row>
    <row r="660" spans="1:18" ht="14.4" customHeight="1" x14ac:dyDescent="0.3">
      <c r="A660" s="5" t="s">
        <v>680</v>
      </c>
      <c r="B660" s="5" t="str">
        <f>VLOOKUP($A660,[1]!Customer_Names[#Data],3,0)</f>
        <v xml:space="preserve">  Angelica</v>
      </c>
      <c r="C660" s="5">
        <v>30.495000000000001</v>
      </c>
      <c r="D660" s="5" t="str" cm="1">
        <f t="array" ref="D660">_xlfn.IFS(Healthcare!$C660&lt;18.5,"under weight",Healthcare!$C660&lt;=24.9,"Normal Weight",Healthcare!$C660&gt;=25,"overweight",Healthcare!$C660&gt;=30,"obese")</f>
        <v>overweight</v>
      </c>
      <c r="E660" s="5">
        <v>9.5299999999999994</v>
      </c>
      <c r="F660" s="5" t="str" cm="1">
        <f t="array" ref="F660">_xlfn.IFS(Healthcare!$E660&lt;5.7,"normal",Healthcare!$E660&lt;=6.4,"prediabetes",Healthcare!$E660&gt;=6.5,"diabetes")</f>
        <v>diabetes</v>
      </c>
      <c r="G660" s="5" t="s">
        <v>19</v>
      </c>
      <c r="H660" s="5" t="s">
        <v>19</v>
      </c>
      <c r="I660" s="5" t="s">
        <v>19</v>
      </c>
      <c r="J660" s="5">
        <v>0</v>
      </c>
      <c r="K660" s="5" t="s">
        <v>19</v>
      </c>
      <c r="L660" s="5" t="str">
        <f>VLOOKUP(Healthcare!$A660,hospital_details,2,0)</f>
        <v>8-Aug-1960</v>
      </c>
      <c r="M660" s="5">
        <f t="shared" ref="M660:M723" ca="1" si="3947">VLOOKUP(A660,hospital_details,3,0)</f>
        <v>66</v>
      </c>
      <c r="N660" s="5">
        <f t="shared" ref="N660:N723" si="3948">VLOOKUP($A660,hospital_details,4,0)</f>
        <v>2</v>
      </c>
      <c r="O660" s="6">
        <f t="shared" ref="O660:O723" si="3949">VLOOKUP($A660,hospital_details,5,0)</f>
        <v>15019.76</v>
      </c>
      <c r="P660" s="5" t="str">
        <f t="shared" ref="P660:P723" si="3950">VLOOKUP($A660,hospital_details,6,0)</f>
        <v>tier - 2</v>
      </c>
      <c r="Q660" s="5" t="str">
        <f t="shared" ref="Q660:Q723" si="3951">VLOOKUP($A660,hospital_details,7,0)</f>
        <v>tier - 2</v>
      </c>
      <c r="R660" s="5" t="str">
        <f t="shared" ref="R660:R723" si="3952">VLOOKUP($A660,hospital_details,8,0)</f>
        <v>R1012</v>
      </c>
    </row>
    <row r="661" spans="1:18" ht="14.4" customHeight="1" x14ac:dyDescent="0.3">
      <c r="A661" s="7" t="s">
        <v>681</v>
      </c>
      <c r="B661" s="7" t="str">
        <f>VLOOKUP($A661,[1]!Customer_Names[#Data],3,0)</f>
        <v xml:space="preserve">  Kathleen</v>
      </c>
      <c r="C661" s="7">
        <v>17.954999999999998</v>
      </c>
      <c r="D661" s="7" t="str" cm="1">
        <f t="array" ref="D661">_xlfn.IFS(Healthcare!$C661&lt;18.5,"under weight",Healthcare!$C661&lt;=24.9,"Normal Weight",Healthcare!$C661&gt;=25,"overweight",Healthcare!$C661&gt;=30,"obese")</f>
        <v>under weight</v>
      </c>
      <c r="E661" s="7">
        <v>5.29</v>
      </c>
      <c r="F661" s="7" t="str" cm="1">
        <f t="array" ref="F661">_xlfn.IFS(Healthcare!$E661&lt;5.7,"normal",Healthcare!$E661&lt;=6.4,"prediabetes",Healthcare!$E661&gt;=6.5,"diabetes")</f>
        <v>normal</v>
      </c>
      <c r="G661" s="7" t="s">
        <v>20</v>
      </c>
      <c r="H661" s="7" t="s">
        <v>19</v>
      </c>
      <c r="I661" s="7" t="s">
        <v>19</v>
      </c>
      <c r="J661" s="7">
        <v>1</v>
      </c>
      <c r="K661" s="7" t="s">
        <v>20</v>
      </c>
      <c r="L661" s="7" t="str">
        <f>VLOOKUP(Healthcare!$A661,hospital_details,2,0)</f>
        <v>2-Aug-1995</v>
      </c>
      <c r="M661" s="7">
        <f t="shared" ref="M661:M724" ca="1" si="3953">VLOOKUP(A661,hospital_details,3,0)</f>
        <v>31</v>
      </c>
      <c r="N661" s="7">
        <f t="shared" ref="N661:N724" si="3954">VLOOKUP($A661,hospital_details,4,0)</f>
        <v>2</v>
      </c>
      <c r="O661" s="8">
        <f t="shared" ref="O661:O724" si="3955">VLOOKUP($A661,hospital_details,5,0)</f>
        <v>15006.58</v>
      </c>
      <c r="P661" s="7" t="str">
        <f t="shared" ref="P661:P724" si="3956">VLOOKUP($A661,hospital_details,6,0)</f>
        <v>tier - 2</v>
      </c>
      <c r="Q661" s="7" t="str">
        <f t="shared" ref="Q661:Q724" si="3957">VLOOKUP($A661,hospital_details,7,0)</f>
        <v>tier - 2</v>
      </c>
      <c r="R661" s="7" t="str">
        <f t="shared" ref="R661:R724" si="3958">VLOOKUP($A661,hospital_details,8,0)</f>
        <v>R1024</v>
      </c>
    </row>
    <row r="662" spans="1:18" ht="14.4" customHeight="1" x14ac:dyDescent="0.3">
      <c r="A662" s="5" t="s">
        <v>682</v>
      </c>
      <c r="B662" s="5" t="str">
        <f>VLOOKUP($A662,[1]!Customer_Names[#Data],3,0)</f>
        <v xml:space="preserve">  Gabriel D</v>
      </c>
      <c r="C662" s="5">
        <v>25.6</v>
      </c>
      <c r="D662" s="5" t="str" cm="1">
        <f t="array" ref="D662">_xlfn.IFS(Healthcare!$C662&lt;18.5,"under weight",Healthcare!$C662&lt;=24.9,"Normal Weight",Healthcare!$C662&gt;=25,"overweight",Healthcare!$C662&gt;=30,"obese")</f>
        <v>overweight</v>
      </c>
      <c r="E662" s="5">
        <v>10.95</v>
      </c>
      <c r="F662" s="5" t="str" cm="1">
        <f t="array" ref="F662">_xlfn.IFS(Healthcare!$E662&lt;5.7,"normal",Healthcare!$E662&lt;=6.4,"prediabetes",Healthcare!$E662&gt;=6.5,"diabetes")</f>
        <v>diabetes</v>
      </c>
      <c r="G662" s="5" t="s">
        <v>19</v>
      </c>
      <c r="H662" s="5" t="s">
        <v>19</v>
      </c>
      <c r="I662" s="5" t="s">
        <v>19</v>
      </c>
      <c r="J662" s="5">
        <v>3</v>
      </c>
      <c r="K662" s="5" t="s">
        <v>19</v>
      </c>
      <c r="L662" s="5" t="str">
        <f>VLOOKUP(Healthcare!$A662,hospital_details,2,0)</f>
        <v>29-Jul-1958</v>
      </c>
      <c r="M662" s="5">
        <f t="shared" ref="M662:M725" ca="1" si="3959">VLOOKUP(A662,hospital_details,3,0)</f>
        <v>68</v>
      </c>
      <c r="N662" s="5">
        <f t="shared" ref="N662:N725" si="3960">VLOOKUP($A662,hospital_details,4,0)</f>
        <v>2</v>
      </c>
      <c r="O662" s="6">
        <f t="shared" ref="O662:O725" si="3961">VLOOKUP($A662,hospital_details,5,0)</f>
        <v>14988.43</v>
      </c>
      <c r="P662" s="5" t="str">
        <f t="shared" ref="P662:P725" si="3962">VLOOKUP($A662,hospital_details,6,0)</f>
        <v>tier - 2</v>
      </c>
      <c r="Q662" s="5" t="str">
        <f t="shared" ref="Q662:Q725" si="3963">VLOOKUP($A662,hospital_details,7,0)</f>
        <v>tier - 3</v>
      </c>
      <c r="R662" s="5" t="str">
        <f t="shared" ref="R662:R725" si="3964">VLOOKUP($A662,hospital_details,8,0)</f>
        <v>R1011</v>
      </c>
    </row>
    <row r="663" spans="1:18" ht="14.4" customHeight="1" x14ac:dyDescent="0.3">
      <c r="A663" s="7" t="s">
        <v>683</v>
      </c>
      <c r="B663" s="7" t="str">
        <f>VLOOKUP($A663,[1]!Customer_Names[#Data],3,0)</f>
        <v xml:space="preserve">  Jeff T</v>
      </c>
      <c r="C663" s="7">
        <v>34.21</v>
      </c>
      <c r="D663" s="7" t="str" cm="1">
        <f t="array" ref="D663">_xlfn.IFS(Healthcare!$C663&lt;18.5,"under weight",Healthcare!$C663&lt;=24.9,"Normal Weight",Healthcare!$C663&gt;=25,"overweight",Healthcare!$C663&gt;=30,"obese")</f>
        <v>overweight</v>
      </c>
      <c r="E663" s="7">
        <v>9.17</v>
      </c>
      <c r="F663" s="7" t="str" cm="1">
        <f t="array" ref="F663">_xlfn.IFS(Healthcare!$E663&lt;5.7,"normal",Healthcare!$E663&lt;=6.4,"prediabetes",Healthcare!$E663&gt;=6.5,"diabetes")</f>
        <v>diabetes</v>
      </c>
      <c r="G663" s="7" t="s">
        <v>19</v>
      </c>
      <c r="H663" s="7" t="s">
        <v>19</v>
      </c>
      <c r="I663" s="7" t="s">
        <v>19</v>
      </c>
      <c r="J663" s="7">
        <v>0</v>
      </c>
      <c r="K663" s="7" t="s">
        <v>19</v>
      </c>
      <c r="L663" s="7" t="str">
        <f>VLOOKUP(Healthcare!$A663,hospital_details,2,0)</f>
        <v>29-Nov-1962</v>
      </c>
      <c r="M663" s="7">
        <f t="shared" ref="M663:M726" ca="1" si="3965">VLOOKUP(A663,hospital_details,3,0)</f>
        <v>63</v>
      </c>
      <c r="N663" s="7">
        <f t="shared" ref="N663:N726" si="3966">VLOOKUP($A663,hospital_details,4,0)</f>
        <v>0</v>
      </c>
      <c r="O663" s="8">
        <f t="shared" ref="O663:O726" si="3967">VLOOKUP($A663,hospital_details,5,0)</f>
        <v>14945.34</v>
      </c>
      <c r="P663" s="7" t="str">
        <f t="shared" ref="P663:P726" si="3968">VLOOKUP($A663,hospital_details,6,0)</f>
        <v>tier - 2</v>
      </c>
      <c r="Q663" s="7" t="str">
        <f t="shared" ref="Q663:Q726" si="3969">VLOOKUP($A663,hospital_details,7,0)</f>
        <v>tier - 1</v>
      </c>
      <c r="R663" s="7" t="str">
        <f t="shared" ref="R663:R726" si="3970">VLOOKUP($A663,hospital_details,8,0)</f>
        <v>R1021</v>
      </c>
    </row>
    <row r="664" spans="1:18" ht="14.4" customHeight="1" x14ac:dyDescent="0.3">
      <c r="A664" s="5" t="s">
        <v>684</v>
      </c>
      <c r="B664" s="5" t="str">
        <f>VLOOKUP($A664,[1]!Customer_Names[#Data],3,0)</f>
        <v xml:space="preserve">  Neil D</v>
      </c>
      <c r="C664" s="5">
        <v>39.74</v>
      </c>
      <c r="D664" s="5" t="str" cm="1">
        <f t="array" ref="D664">_xlfn.IFS(Healthcare!$C664&lt;18.5,"under weight",Healthcare!$C664&lt;=24.9,"Normal Weight",Healthcare!$C664&gt;=25,"overweight",Healthcare!$C664&gt;=30,"obese")</f>
        <v>overweight</v>
      </c>
      <c r="E664" s="5">
        <v>7.39</v>
      </c>
      <c r="F664" s="5" t="str" cm="1">
        <f t="array" ref="F664">_xlfn.IFS(Healthcare!$E664&lt;5.7,"normal",Healthcare!$E664&lt;=6.4,"prediabetes",Healthcare!$E664&gt;=6.5,"diabetes")</f>
        <v>diabetes</v>
      </c>
      <c r="G664" s="5" t="s">
        <v>19</v>
      </c>
      <c r="H664" s="5" t="s">
        <v>19</v>
      </c>
      <c r="I664" s="5" t="s">
        <v>19</v>
      </c>
      <c r="J664" s="5">
        <v>0</v>
      </c>
      <c r="K664" s="5" t="s">
        <v>19</v>
      </c>
      <c r="L664" s="5" t="str">
        <f>VLOOKUP(Healthcare!$A664,hospital_details,2,0)</f>
        <v>8-Nov-1968</v>
      </c>
      <c r="M664" s="5">
        <f t="shared" ref="M664:M727" ca="1" si="3971">VLOOKUP(A664,hospital_details,3,0)</f>
        <v>57</v>
      </c>
      <c r="N664" s="5">
        <f t="shared" ref="N664:N727" si="3972">VLOOKUP($A664,hospital_details,4,0)</f>
        <v>0</v>
      </c>
      <c r="O664" s="6">
        <f t="shared" ref="O664:O727" si="3973">VLOOKUP($A664,hospital_details,5,0)</f>
        <v>14926.97</v>
      </c>
      <c r="P664" s="5" t="str">
        <f t="shared" ref="P664:P727" si="3974">VLOOKUP($A664,hospital_details,6,0)</f>
        <v>tier - 2</v>
      </c>
      <c r="Q664" s="5" t="str">
        <f t="shared" ref="Q664:Q727" si="3975">VLOOKUP($A664,hospital_details,7,0)</f>
        <v>tier - 2</v>
      </c>
      <c r="R664" s="5" t="str">
        <f t="shared" ref="R664:R727" si="3976">VLOOKUP($A664,hospital_details,8,0)</f>
        <v>R1012</v>
      </c>
    </row>
    <row r="665" spans="1:18" ht="14.4" customHeight="1" x14ac:dyDescent="0.3">
      <c r="A665" s="7" t="s">
        <v>685</v>
      </c>
      <c r="B665" s="7" t="str">
        <f>VLOOKUP($A665,[1]!Customer_Names[#Data],3,0)</f>
        <v xml:space="preserve">  Katherine L</v>
      </c>
      <c r="C665" s="7">
        <v>49.53</v>
      </c>
      <c r="D665" s="7" t="str" cm="1">
        <f t="array" ref="D665">_xlfn.IFS(Healthcare!$C665&lt;18.5,"under weight",Healthcare!$C665&lt;=24.9,"Normal Weight",Healthcare!$C665&gt;=25,"overweight",Healthcare!$C665&gt;=30,"obese")</f>
        <v>overweight</v>
      </c>
      <c r="E665" s="7">
        <v>9.1300000000000008</v>
      </c>
      <c r="F665" s="7" t="str" cm="1">
        <f t="array" ref="F665">_xlfn.IFS(Healthcare!$E665&lt;5.7,"normal",Healthcare!$E665&lt;=6.4,"prediabetes",Healthcare!$E665&gt;=6.5,"diabetes")</f>
        <v>diabetes</v>
      </c>
      <c r="G665" s="7" t="s">
        <v>20</v>
      </c>
      <c r="H665" s="7" t="s">
        <v>19</v>
      </c>
      <c r="I665" s="7" t="s">
        <v>19</v>
      </c>
      <c r="J665" s="7">
        <v>0</v>
      </c>
      <c r="K665" s="7" t="s">
        <v>19</v>
      </c>
      <c r="L665" s="7" t="str">
        <f>VLOOKUP(Healthcare!$A665,hospital_details,2,0)</f>
        <v>4-Jul-1981</v>
      </c>
      <c r="M665" s="7">
        <f t="shared" ref="M665:M728" ca="1" si="3977">VLOOKUP(A665,hospital_details,3,0)</f>
        <v>45</v>
      </c>
      <c r="N665" s="7">
        <f t="shared" ref="N665:N728" si="3978">VLOOKUP($A665,hospital_details,4,0)</f>
        <v>1</v>
      </c>
      <c r="O665" s="8">
        <f t="shared" ref="O665:O728" si="3979">VLOOKUP($A665,hospital_details,5,0)</f>
        <v>14908.27</v>
      </c>
      <c r="P665" s="7" t="str">
        <f t="shared" ref="P665:P728" si="3980">VLOOKUP($A665,hospital_details,6,0)</f>
        <v>tier - 2</v>
      </c>
      <c r="Q665" s="7" t="str">
        <f t="shared" ref="Q665:Q728" si="3981">VLOOKUP($A665,hospital_details,7,0)</f>
        <v>tier - 1</v>
      </c>
      <c r="R665" s="7" t="str">
        <f t="shared" ref="R665:R728" si="3982">VLOOKUP($A665,hospital_details,8,0)</f>
        <v>R1011</v>
      </c>
    </row>
    <row r="666" spans="1:18" ht="14.4" customHeight="1" x14ac:dyDescent="0.3">
      <c r="A666" s="5" t="s">
        <v>686</v>
      </c>
      <c r="B666" s="5" t="str">
        <f>VLOOKUP($A666,[1]!Customer_Names[#Data],3,0)</f>
        <v xml:space="preserve">  Ariel E</v>
      </c>
      <c r="C666" s="5">
        <v>39.33</v>
      </c>
      <c r="D666" s="5" t="str" cm="1">
        <f t="array" ref="D666">_xlfn.IFS(Healthcare!$C666&lt;18.5,"under weight",Healthcare!$C666&lt;=24.9,"Normal Weight",Healthcare!$C666&gt;=25,"overweight",Healthcare!$C666&gt;=30,"obese")</f>
        <v>overweight</v>
      </c>
      <c r="E666" s="5">
        <v>10.4</v>
      </c>
      <c r="F666" s="5" t="str" cm="1">
        <f t="array" ref="F666">_xlfn.IFS(Healthcare!$E666&lt;5.7,"normal",Healthcare!$E666&lt;=6.4,"prediabetes",Healthcare!$E666&gt;=6.5,"diabetes")</f>
        <v>diabetes</v>
      </c>
      <c r="G666" s="5" t="s">
        <v>19</v>
      </c>
      <c r="H666" s="5" t="s">
        <v>19</v>
      </c>
      <c r="I666" s="5" t="s">
        <v>19</v>
      </c>
      <c r="J666" s="5">
        <v>3</v>
      </c>
      <c r="K666" s="5" t="s">
        <v>19</v>
      </c>
      <c r="L666" s="5" t="str">
        <f>VLOOKUP(Healthcare!$A666,hospital_details,2,0)</f>
        <v>17-Oct-1958</v>
      </c>
      <c r="M666" s="5">
        <f t="shared" ref="M666:M729" ca="1" si="3983">VLOOKUP(A666,hospital_details,3,0)</f>
        <v>68</v>
      </c>
      <c r="N666" s="5">
        <f t="shared" ref="N666:N729" si="3984">VLOOKUP($A666,hospital_details,4,0)</f>
        <v>0</v>
      </c>
      <c r="O666" s="6">
        <f t="shared" ref="O666:O729" si="3985">VLOOKUP($A666,hospital_details,5,0)</f>
        <v>14901.52</v>
      </c>
      <c r="P666" s="5" t="str">
        <f t="shared" ref="P666:P729" si="3986">VLOOKUP($A666,hospital_details,6,0)</f>
        <v>tier - 2</v>
      </c>
      <c r="Q666" s="5" t="str">
        <f t="shared" ref="Q666:Q729" si="3987">VLOOKUP($A666,hospital_details,7,0)</f>
        <v>tier - 2</v>
      </c>
      <c r="R666" s="5" t="str">
        <f t="shared" ref="R666:R729" si="3988">VLOOKUP($A666,hospital_details,8,0)</f>
        <v>R1024</v>
      </c>
    </row>
    <row r="667" spans="1:18" ht="14.4" customHeight="1" x14ac:dyDescent="0.3">
      <c r="A667" s="7" t="s">
        <v>687</v>
      </c>
      <c r="B667" s="7" t="str">
        <f>VLOOKUP($A667,[1]!Customer_Names[#Data],3,0)</f>
        <v xml:space="preserve">  Christopher P</v>
      </c>
      <c r="C667" s="7">
        <v>39.979999999999997</v>
      </c>
      <c r="D667" s="7" t="str" cm="1">
        <f t="array" ref="D667">_xlfn.IFS(Healthcare!$C667&lt;18.5,"under weight",Healthcare!$C667&lt;=24.9,"Normal Weight",Healthcare!$C667&gt;=25,"overweight",Healthcare!$C667&gt;=30,"obese")</f>
        <v>overweight</v>
      </c>
      <c r="E667" s="7">
        <v>9.4600000000000009</v>
      </c>
      <c r="F667" s="7" t="str" cm="1">
        <f t="array" ref="F667">_xlfn.IFS(Healthcare!$E667&lt;5.7,"normal",Healthcare!$E667&lt;=6.4,"prediabetes",Healthcare!$E667&gt;=6.5,"diabetes")</f>
        <v>diabetes</v>
      </c>
      <c r="G667" s="7" t="s">
        <v>20</v>
      </c>
      <c r="H667" s="7" t="s">
        <v>19</v>
      </c>
      <c r="I667" s="7" t="s">
        <v>19</v>
      </c>
      <c r="J667" s="7">
        <v>2</v>
      </c>
      <c r="K667" s="7" t="s">
        <v>19</v>
      </c>
      <c r="L667" s="7" t="str">
        <f>VLOOKUP(Healthcare!$A667,hospital_details,2,0)</f>
        <v>11-Nov-1970</v>
      </c>
      <c r="M667" s="7">
        <f t="shared" ref="M667:M730" ca="1" si="3989">VLOOKUP(A667,hospital_details,3,0)</f>
        <v>55</v>
      </c>
      <c r="N667" s="7">
        <f t="shared" ref="N667:N730" si="3990">VLOOKUP($A667,hospital_details,4,0)</f>
        <v>0</v>
      </c>
      <c r="O667" s="8">
        <f t="shared" ref="O667:O730" si="3991">VLOOKUP($A667,hospital_details,5,0)</f>
        <v>14847.63</v>
      </c>
      <c r="P667" s="7" t="str">
        <f t="shared" ref="P667:P730" si="3992">VLOOKUP($A667,hospital_details,6,0)</f>
        <v>tier - 2</v>
      </c>
      <c r="Q667" s="7" t="str">
        <f t="shared" ref="Q667:Q730" si="3993">VLOOKUP($A667,hospital_details,7,0)</f>
        <v>tier - 2</v>
      </c>
      <c r="R667" s="7" t="str">
        <f t="shared" ref="R667:R730" si="3994">VLOOKUP($A667,hospital_details,8,0)</f>
        <v>R1023</v>
      </c>
    </row>
    <row r="668" spans="1:18" ht="14.4" customHeight="1" x14ac:dyDescent="0.3">
      <c r="A668" s="5" t="s">
        <v>688</v>
      </c>
      <c r="B668" s="5" t="str">
        <f>VLOOKUP($A668,[1]!Customer_Names[#Data],3,0)</f>
        <v xml:space="preserve">  Erin M</v>
      </c>
      <c r="C668" s="5">
        <v>46.51</v>
      </c>
      <c r="D668" s="5" t="str" cm="1">
        <f t="array" ref="D668">_xlfn.IFS(Healthcare!$C668&lt;18.5,"under weight",Healthcare!$C668&lt;=24.9,"Normal Weight",Healthcare!$C668&gt;=25,"overweight",Healthcare!$C668&gt;=30,"obese")</f>
        <v>overweight</v>
      </c>
      <c r="E668" s="5">
        <v>8.69</v>
      </c>
      <c r="F668" s="5" t="str" cm="1">
        <f t="array" ref="F668">_xlfn.IFS(Healthcare!$E668&lt;5.7,"normal",Healthcare!$E668&lt;=6.4,"prediabetes",Healthcare!$E668&gt;=6.5,"diabetes")</f>
        <v>diabetes</v>
      </c>
      <c r="G668" s="5" t="s">
        <v>20</v>
      </c>
      <c r="H668" s="5" t="s">
        <v>19</v>
      </c>
      <c r="I668" s="5" t="s">
        <v>19</v>
      </c>
      <c r="J668" s="5">
        <v>0</v>
      </c>
      <c r="K668" s="5" t="s">
        <v>19</v>
      </c>
      <c r="L668" s="5" t="str">
        <f>VLOOKUP(Healthcare!$A668,hospital_details,2,0)</f>
        <v>5-Jun-1981</v>
      </c>
      <c r="M668" s="5">
        <f t="shared" ref="M668:M731" ca="1" si="3995">VLOOKUP(A668,hospital_details,3,0)</f>
        <v>45</v>
      </c>
      <c r="N668" s="5">
        <f t="shared" ref="N668:N731" si="3996">VLOOKUP($A668,hospital_details,4,0)</f>
        <v>1</v>
      </c>
      <c r="O668" s="6">
        <f t="shared" ref="O668:O731" si="3997">VLOOKUP($A668,hospital_details,5,0)</f>
        <v>14843.96</v>
      </c>
      <c r="P668" s="5" t="str">
        <f t="shared" ref="P668:P731" si="3998">VLOOKUP($A668,hospital_details,6,0)</f>
        <v>tier - 2</v>
      </c>
      <c r="Q668" s="5" t="str">
        <f t="shared" ref="Q668:Q731" si="3999">VLOOKUP($A668,hospital_details,7,0)</f>
        <v>tier - 3</v>
      </c>
      <c r="R668" s="5" t="str">
        <f t="shared" ref="R668:R731" si="4000">VLOOKUP($A668,hospital_details,8,0)</f>
        <v>R1026</v>
      </c>
    </row>
    <row r="669" spans="1:18" ht="14.4" customHeight="1" x14ac:dyDescent="0.3">
      <c r="A669" s="7" t="s">
        <v>689</v>
      </c>
      <c r="B669" s="7" t="str">
        <f>VLOOKUP($A669,[1]!Customer_Names[#Data],3,0)</f>
        <v xml:space="preserve">  Molly K</v>
      </c>
      <c r="C669" s="7">
        <v>43.58</v>
      </c>
      <c r="D669" s="7" t="str" cm="1">
        <f t="array" ref="D669">_xlfn.IFS(Healthcare!$C669&lt;18.5,"under weight",Healthcare!$C669&lt;=24.9,"Normal Weight",Healthcare!$C669&gt;=25,"overweight",Healthcare!$C669&gt;=30,"obese")</f>
        <v>overweight</v>
      </c>
      <c r="E669" s="7">
        <v>4.2300000000000004</v>
      </c>
      <c r="F669" s="7" t="str" cm="1">
        <f t="array" ref="F669">_xlfn.IFS(Healthcare!$E669&lt;5.7,"normal",Healthcare!$E669&lt;=6.4,"prediabetes",Healthcare!$E669&gt;=6.5,"diabetes")</f>
        <v>normal</v>
      </c>
      <c r="G669" s="7" t="s">
        <v>19</v>
      </c>
      <c r="H669" s="7" t="s">
        <v>19</v>
      </c>
      <c r="I669" s="7" t="s">
        <v>29</v>
      </c>
      <c r="J669" s="7">
        <v>1</v>
      </c>
      <c r="K669" s="7" t="s">
        <v>19</v>
      </c>
      <c r="L669" s="7" t="str">
        <f>VLOOKUP(Healthcare!$A669,hospital_details,2,0)</f>
        <v>18-Oct-1979</v>
      </c>
      <c r="M669" s="7">
        <f t="shared" ref="M669:M732" ca="1" si="4001">VLOOKUP(A669,hospital_details,3,0)</f>
        <v>47</v>
      </c>
      <c r="N669" s="7">
        <f t="shared" ref="N669:N732" si="4002">VLOOKUP($A669,hospital_details,4,0)</f>
        <v>2</v>
      </c>
      <c r="O669" s="8">
        <f t="shared" ref="O669:O732" si="4003">VLOOKUP($A669,hospital_details,5,0)</f>
        <v>14839.34</v>
      </c>
      <c r="P669" s="7" t="str">
        <f t="shared" ref="P669:P732" si="4004">VLOOKUP($A669,hospital_details,6,0)</f>
        <v>tier - 2</v>
      </c>
      <c r="Q669" s="7" t="str">
        <f t="shared" ref="Q669:Q732" si="4005">VLOOKUP($A669,hospital_details,7,0)</f>
        <v>tier - 3</v>
      </c>
      <c r="R669" s="7" t="str">
        <f t="shared" ref="R669:R732" si="4006">VLOOKUP($A669,hospital_details,8,0)</f>
        <v>R1026</v>
      </c>
    </row>
    <row r="670" spans="1:18" ht="14.4" customHeight="1" x14ac:dyDescent="0.3">
      <c r="A670" s="5" t="s">
        <v>690</v>
      </c>
      <c r="B670" s="5" t="str">
        <f>VLOOKUP($A670,[1]!Customer_Names[#Data],3,0)</f>
        <v xml:space="preserve">  Ryan J</v>
      </c>
      <c r="C670" s="5">
        <v>42.28</v>
      </c>
      <c r="D670" s="5" t="str" cm="1">
        <f t="array" ref="D670">_xlfn.IFS(Healthcare!$C670&lt;18.5,"under weight",Healthcare!$C670&lt;=24.9,"Normal Weight",Healthcare!$C670&gt;=25,"overweight",Healthcare!$C670&gt;=30,"obese")</f>
        <v>overweight</v>
      </c>
      <c r="E670" s="5">
        <v>9.16</v>
      </c>
      <c r="F670" s="5" t="str" cm="1">
        <f t="array" ref="F670">_xlfn.IFS(Healthcare!$E670&lt;5.7,"normal",Healthcare!$E670&lt;=6.4,"prediabetes",Healthcare!$E670&gt;=6.5,"diabetes")</f>
        <v>diabetes</v>
      </c>
      <c r="G670" s="5" t="s">
        <v>20</v>
      </c>
      <c r="H670" s="5" t="s">
        <v>19</v>
      </c>
      <c r="I670" s="5" t="s">
        <v>19</v>
      </c>
      <c r="J670" s="5">
        <v>1</v>
      </c>
      <c r="K670" s="5" t="s">
        <v>19</v>
      </c>
      <c r="L670" s="5" t="str">
        <f>VLOOKUP(Healthcare!$A670,hospital_details,2,0)</f>
        <v>10-Dec-1975</v>
      </c>
      <c r="M670" s="5">
        <f t="shared" ref="M670:M733" ca="1" si="4007">VLOOKUP(A670,hospital_details,3,0)</f>
        <v>50</v>
      </c>
      <c r="N670" s="5">
        <f t="shared" ref="N670:N733" si="4008">VLOOKUP($A670,hospital_details,4,0)</f>
        <v>1</v>
      </c>
      <c r="O670" s="6">
        <f t="shared" ref="O670:O733" si="4009">VLOOKUP($A670,hospital_details,5,0)</f>
        <v>14819</v>
      </c>
      <c r="P670" s="5" t="str">
        <f t="shared" ref="P670:P733" si="4010">VLOOKUP($A670,hospital_details,6,0)</f>
        <v>tier - 2</v>
      </c>
      <c r="Q670" s="5" t="str">
        <f t="shared" ref="Q670:Q733" si="4011">VLOOKUP($A670,hospital_details,7,0)</f>
        <v>tier - 3</v>
      </c>
      <c r="R670" s="5" t="str">
        <f t="shared" ref="R670:R733" si="4012">VLOOKUP($A670,hospital_details,8,0)</f>
        <v>R1023</v>
      </c>
    </row>
    <row r="671" spans="1:18" ht="14.4" customHeight="1" x14ac:dyDescent="0.3">
      <c r="A671" s="7" t="s">
        <v>691</v>
      </c>
      <c r="B671" s="7" t="str">
        <f>VLOOKUP($A671,[1]!Customer_Names[#Data],3,0)</f>
        <v xml:space="preserve">  Jennifer</v>
      </c>
      <c r="C671" s="7">
        <v>35.520000000000003</v>
      </c>
      <c r="D671" s="7" t="str" cm="1">
        <f t="array" ref="D671">_xlfn.IFS(Healthcare!$C671&lt;18.5,"under weight",Healthcare!$C671&lt;=24.9,"Normal Weight",Healthcare!$C671&gt;=25,"overweight",Healthcare!$C671&gt;=30,"obese")</f>
        <v>overweight</v>
      </c>
      <c r="E671" s="7">
        <v>8.26</v>
      </c>
      <c r="F671" s="7" t="str" cm="1">
        <f t="array" ref="F671">_xlfn.IFS(Healthcare!$E671&lt;5.7,"normal",Healthcare!$E671&lt;=6.4,"prediabetes",Healthcare!$E671&gt;=6.5,"diabetes")</f>
        <v>diabetes</v>
      </c>
      <c r="G671" s="7" t="s">
        <v>19</v>
      </c>
      <c r="H671" s="7" t="s">
        <v>19</v>
      </c>
      <c r="I671" s="7" t="s">
        <v>19</v>
      </c>
      <c r="J671" s="7">
        <v>0</v>
      </c>
      <c r="K671" s="7" t="s">
        <v>19</v>
      </c>
      <c r="L671" s="7" t="str">
        <f>VLOOKUP(Healthcare!$A671,hospital_details,2,0)</f>
        <v>27-Jul-1965</v>
      </c>
      <c r="M671" s="7">
        <f t="shared" ref="M671:M734" ca="1" si="4013">VLOOKUP(A671,hospital_details,3,0)</f>
        <v>61</v>
      </c>
      <c r="N671" s="7">
        <f t="shared" ref="N671:N734" si="4014">VLOOKUP($A671,hospital_details,4,0)</f>
        <v>0</v>
      </c>
      <c r="O671" s="8">
        <f t="shared" ref="O671:O734" si="4015">VLOOKUP($A671,hospital_details,5,0)</f>
        <v>14750.42</v>
      </c>
      <c r="P671" s="7" t="str">
        <f t="shared" ref="P671:P734" si="4016">VLOOKUP($A671,hospital_details,6,0)</f>
        <v>tier - 2</v>
      </c>
      <c r="Q671" s="7" t="str">
        <f t="shared" ref="Q671:Q734" si="4017">VLOOKUP($A671,hospital_details,7,0)</f>
        <v>tier - 2</v>
      </c>
      <c r="R671" s="7" t="str">
        <f t="shared" ref="R671:R734" si="4018">VLOOKUP($A671,hospital_details,8,0)</f>
        <v>R1026</v>
      </c>
    </row>
    <row r="672" spans="1:18" ht="14.4" customHeight="1" x14ac:dyDescent="0.3">
      <c r="A672" s="5" t="s">
        <v>692</v>
      </c>
      <c r="B672" s="5" t="str">
        <f>VLOOKUP($A672,[1]!Customer_Names[#Data],3,0)</f>
        <v xml:space="preserve">  Daniel M</v>
      </c>
      <c r="C672" s="5">
        <v>33.6</v>
      </c>
      <c r="D672" s="5" t="str" cm="1">
        <f t="array" ref="D672">_xlfn.IFS(Healthcare!$C672&lt;18.5,"under weight",Healthcare!$C672&lt;=24.9,"Normal Weight",Healthcare!$C672&gt;=25,"overweight",Healthcare!$C672&gt;=30,"obese")</f>
        <v>overweight</v>
      </c>
      <c r="E672" s="5">
        <v>11.25</v>
      </c>
      <c r="F672" s="5" t="str" cm="1">
        <f t="array" ref="F672">_xlfn.IFS(Healthcare!$E672&lt;5.7,"normal",Healthcare!$E672&lt;=6.4,"prediabetes",Healthcare!$E672&gt;=6.5,"diabetes")</f>
        <v>diabetes</v>
      </c>
      <c r="G672" s="5" t="s">
        <v>19</v>
      </c>
      <c r="H672" s="5" t="s">
        <v>19</v>
      </c>
      <c r="I672" s="5" t="s">
        <v>19</v>
      </c>
      <c r="J672" s="5">
        <v>0</v>
      </c>
      <c r="K672" s="5" t="s">
        <v>19</v>
      </c>
      <c r="L672" s="5" t="str">
        <f>VLOOKUP(Healthcare!$A672,hospital_details,2,0)</f>
        <v>29-Jul-1962</v>
      </c>
      <c r="M672" s="5">
        <f t="shared" ref="M672:M735" ca="1" si="4019">VLOOKUP(A672,hospital_details,3,0)</f>
        <v>64</v>
      </c>
      <c r="N672" s="5">
        <f t="shared" ref="N672:N735" si="4020">VLOOKUP($A672,hospital_details,4,0)</f>
        <v>0</v>
      </c>
      <c r="O672" s="6">
        <f t="shared" ref="O672:O735" si="4021">VLOOKUP($A672,hospital_details,5,0)</f>
        <v>14738.43</v>
      </c>
      <c r="P672" s="5" t="str">
        <f t="shared" ref="P672:P735" si="4022">VLOOKUP($A672,hospital_details,6,0)</f>
        <v>tier - 2</v>
      </c>
      <c r="Q672" s="5" t="str">
        <f t="shared" ref="Q672:Q735" si="4023">VLOOKUP($A672,hospital_details,7,0)</f>
        <v>tier - 3</v>
      </c>
      <c r="R672" s="5" t="str">
        <f t="shared" ref="R672:R735" si="4024">VLOOKUP($A672,hospital_details,8,0)</f>
        <v>R1021</v>
      </c>
    </row>
    <row r="673" spans="1:18" ht="14.4" customHeight="1" x14ac:dyDescent="0.3">
      <c r="A673" s="7" t="s">
        <v>693</v>
      </c>
      <c r="B673" s="7" t="str">
        <f>VLOOKUP($A673,[1]!Customer_Names[#Data],3,0)</f>
        <v xml:space="preserve">  Hiruni</v>
      </c>
      <c r="C673" s="7">
        <v>22.42</v>
      </c>
      <c r="D673" s="7" t="str" cm="1">
        <f t="array" ref="D673">_xlfn.IFS(Healthcare!$C673&lt;18.5,"under weight",Healthcare!$C673&lt;=24.9,"Normal Weight",Healthcare!$C673&gt;=25,"overweight",Healthcare!$C673&gt;=30,"obese")</f>
        <v>Normal Weight</v>
      </c>
      <c r="E673" s="7">
        <v>6.74</v>
      </c>
      <c r="F673" s="7" t="str" cm="1">
        <f t="array" ref="F673">_xlfn.IFS(Healthcare!$E673&lt;5.7,"normal",Healthcare!$E673&lt;=6.4,"prediabetes",Healthcare!$E673&gt;=6.5,"diabetes")</f>
        <v>diabetes</v>
      </c>
      <c r="G673" s="7" t="s">
        <v>19</v>
      </c>
      <c r="H673" s="7" t="s">
        <v>19</v>
      </c>
      <c r="I673" s="7" t="s">
        <v>19</v>
      </c>
      <c r="J673" s="7">
        <v>0</v>
      </c>
      <c r="K673" s="7" t="s">
        <v>20</v>
      </c>
      <c r="L673" s="7" t="str">
        <f>VLOOKUP(Healthcare!$A673,hospital_details,2,0)</f>
        <v>24-Sep-2002</v>
      </c>
      <c r="M673" s="7">
        <f t="shared" ref="M673:M736" ca="1" si="4025">VLOOKUP(A673,hospital_details,3,0)</f>
        <v>24</v>
      </c>
      <c r="N673" s="7">
        <f t="shared" ref="N673:N736" si="4026">VLOOKUP($A673,hospital_details,4,0)</f>
        <v>0</v>
      </c>
      <c r="O673" s="8">
        <f t="shared" ref="O673:O736" si="4027">VLOOKUP($A673,hospital_details,5,0)</f>
        <v>14711.74</v>
      </c>
      <c r="P673" s="7" t="str">
        <f t="shared" ref="P673:P736" si="4028">VLOOKUP($A673,hospital_details,6,0)</f>
        <v>tier - 2</v>
      </c>
      <c r="Q673" s="7" t="str">
        <f t="shared" ref="Q673:Q736" si="4029">VLOOKUP($A673,hospital_details,7,0)</f>
        <v>tier - 2</v>
      </c>
      <c r="R673" s="7" t="str">
        <f t="shared" ref="R673:R736" si="4030">VLOOKUP($A673,hospital_details,8,0)</f>
        <v>R1012</v>
      </c>
    </row>
    <row r="674" spans="1:18" ht="14.4" customHeight="1" x14ac:dyDescent="0.3">
      <c r="A674" s="5" t="s">
        <v>694</v>
      </c>
      <c r="B674" s="5" t="str">
        <f>VLOOKUP($A674,[1]!Customer_Names[#Data],3,0)</f>
        <v xml:space="preserve">  Reina H</v>
      </c>
      <c r="C674" s="5">
        <v>46.86</v>
      </c>
      <c r="D674" s="5" t="str" cm="1">
        <f t="array" ref="D674">_xlfn.IFS(Healthcare!$C674&lt;18.5,"under weight",Healthcare!$C674&lt;=24.9,"Normal Weight",Healthcare!$C674&gt;=25,"overweight",Healthcare!$C674&gt;=30,"obese")</f>
        <v>overweight</v>
      </c>
      <c r="E674" s="5">
        <v>4.87</v>
      </c>
      <c r="F674" s="5" t="str" cm="1">
        <f t="array" ref="F674">_xlfn.IFS(Healthcare!$E674&lt;5.7,"normal",Healthcare!$E674&lt;=6.4,"prediabetes",Healthcare!$E674&gt;=6.5,"diabetes")</f>
        <v>normal</v>
      </c>
      <c r="G674" s="5" t="s">
        <v>19</v>
      </c>
      <c r="H674" s="5" t="s">
        <v>19</v>
      </c>
      <c r="I674" s="5" t="s">
        <v>19</v>
      </c>
      <c r="J674" s="5">
        <v>0</v>
      </c>
      <c r="K674" s="5" t="s">
        <v>19</v>
      </c>
      <c r="L674" s="5" t="str">
        <f>VLOOKUP(Healthcare!$A674,hospital_details,2,0)</f>
        <v>4-Sep-1982</v>
      </c>
      <c r="M674" s="5">
        <f t="shared" ref="M674:M737" ca="1" si="4031">VLOOKUP(A674,hospital_details,3,0)</f>
        <v>44</v>
      </c>
      <c r="N674" s="5">
        <f t="shared" ref="N674:N737" si="4032">VLOOKUP($A674,hospital_details,4,0)</f>
        <v>3</v>
      </c>
      <c r="O674" s="6">
        <f t="shared" ref="O674:O737" si="4033">VLOOKUP($A674,hospital_details,5,0)</f>
        <v>14696.77</v>
      </c>
      <c r="P674" s="5" t="str">
        <f t="shared" ref="P674:P737" si="4034">VLOOKUP($A674,hospital_details,6,0)</f>
        <v>tier - 2</v>
      </c>
      <c r="Q674" s="5" t="str">
        <f t="shared" ref="Q674:Q737" si="4035">VLOOKUP($A674,hospital_details,7,0)</f>
        <v>tier - 2</v>
      </c>
      <c r="R674" s="5" t="str">
        <f t="shared" ref="R674:R737" si="4036">VLOOKUP($A674,hospital_details,8,0)</f>
        <v>R1011</v>
      </c>
    </row>
    <row r="675" spans="1:18" ht="14.4" customHeight="1" x14ac:dyDescent="0.3">
      <c r="A675" s="7" t="s">
        <v>695</v>
      </c>
      <c r="B675" s="7" t="str">
        <f>VLOOKUP($A675,[1]!Customer_Names[#Data],3,0)</f>
        <v xml:space="preserve">  Kristi</v>
      </c>
      <c r="C675" s="7">
        <v>32.965000000000003</v>
      </c>
      <c r="D675" s="7" t="str" cm="1">
        <f t="array" ref="D675">_xlfn.IFS(Healthcare!$C675&lt;18.5,"under weight",Healthcare!$C675&lt;=24.9,"Normal Weight",Healthcare!$C675&gt;=25,"overweight",Healthcare!$C675&gt;=30,"obese")</f>
        <v>overweight</v>
      </c>
      <c r="E675" s="7">
        <v>6.68</v>
      </c>
      <c r="F675" s="7" t="str" cm="1">
        <f t="array" ref="F675">_xlfn.IFS(Healthcare!$E675&lt;5.7,"normal",Healthcare!$E675&lt;=6.4,"prediabetes",Healthcare!$E675&gt;=6.5,"diabetes")</f>
        <v>diabetes</v>
      </c>
      <c r="G675" s="7" t="s">
        <v>19</v>
      </c>
      <c r="H675" s="7" t="s">
        <v>19</v>
      </c>
      <c r="I675" s="7" t="s">
        <v>19</v>
      </c>
      <c r="J675" s="7">
        <v>3</v>
      </c>
      <c r="K675" s="7" t="s">
        <v>19</v>
      </c>
      <c r="L675" s="7" t="str">
        <f>VLOOKUP(Healthcare!$A675,hospital_details,2,0)</f>
        <v>23-Jul-1958</v>
      </c>
      <c r="M675" s="7">
        <f t="shared" ref="M675:M738" ca="1" si="4037">VLOOKUP(A675,hospital_details,3,0)</f>
        <v>68</v>
      </c>
      <c r="N675" s="7">
        <f t="shared" ref="N675:N738" si="4038">VLOOKUP($A675,hospital_details,4,0)</f>
        <v>0</v>
      </c>
      <c r="O675" s="8">
        <f t="shared" ref="O675:O738" si="4039">VLOOKUP($A675,hospital_details,5,0)</f>
        <v>14692.67</v>
      </c>
      <c r="P675" s="7" t="str">
        <f t="shared" ref="P675:P738" si="4040">VLOOKUP($A675,hospital_details,6,0)</f>
        <v>tier - 2</v>
      </c>
      <c r="Q675" s="7" t="str">
        <f t="shared" ref="Q675:Q738" si="4041">VLOOKUP($A675,hospital_details,7,0)</f>
        <v>tier - 1</v>
      </c>
      <c r="R675" s="7" t="str">
        <f t="shared" ref="R675:R738" si="4042">VLOOKUP($A675,hospital_details,8,0)</f>
        <v>R1012</v>
      </c>
    </row>
    <row r="676" spans="1:18" ht="14.4" customHeight="1" x14ac:dyDescent="0.3">
      <c r="A676" s="5" t="s">
        <v>696</v>
      </c>
      <c r="B676" s="5" t="str">
        <f>VLOOKUP($A676,[1]!Customer_Names[#Data],3,0)</f>
        <v xml:space="preserve">  Meredith L</v>
      </c>
      <c r="C676" s="5">
        <v>39.340000000000003</v>
      </c>
      <c r="D676" s="5" t="str" cm="1">
        <f t="array" ref="D676">_xlfn.IFS(Healthcare!$C676&lt;18.5,"under weight",Healthcare!$C676&lt;=24.9,"Normal Weight",Healthcare!$C676&gt;=25,"overweight",Healthcare!$C676&gt;=30,"obese")</f>
        <v>overweight</v>
      </c>
      <c r="E676" s="5">
        <v>5.0199999999999996</v>
      </c>
      <c r="F676" s="5" t="str" cm="1">
        <f t="array" ref="F676">_xlfn.IFS(Healthcare!$E676&lt;5.7,"normal",Healthcare!$E676&lt;=6.4,"prediabetes",Healthcare!$E676&gt;=6.5,"diabetes")</f>
        <v>normal</v>
      </c>
      <c r="G676" s="5" t="s">
        <v>20</v>
      </c>
      <c r="H676" s="5" t="s">
        <v>19</v>
      </c>
      <c r="I676" s="5" t="s">
        <v>29</v>
      </c>
      <c r="J676" s="5">
        <v>1</v>
      </c>
      <c r="K676" s="5" t="s">
        <v>19</v>
      </c>
      <c r="L676" s="5" t="str">
        <f>VLOOKUP(Healthcare!$A676,hospital_details,2,0)</f>
        <v>20-Oct-1969</v>
      </c>
      <c r="M676" s="5">
        <f t="shared" ref="M676:M739" ca="1" si="4043">VLOOKUP(A676,hospital_details,3,0)</f>
        <v>56</v>
      </c>
      <c r="N676" s="5">
        <f t="shared" ref="N676:N739" si="4044">VLOOKUP($A676,hospital_details,4,0)</f>
        <v>0</v>
      </c>
      <c r="O676" s="6">
        <f t="shared" ref="O676:O739" si="4045">VLOOKUP($A676,hospital_details,5,0)</f>
        <v>14665.75</v>
      </c>
      <c r="P676" s="5" t="str">
        <f t="shared" ref="P676:P739" si="4046">VLOOKUP($A676,hospital_details,6,0)</f>
        <v>tier - 2</v>
      </c>
      <c r="Q676" s="5" t="str">
        <f t="shared" ref="Q676:Q739" si="4047">VLOOKUP($A676,hospital_details,7,0)</f>
        <v>tier - 1</v>
      </c>
      <c r="R676" s="5" t="str">
        <f t="shared" ref="R676:R739" si="4048">VLOOKUP($A676,hospital_details,8,0)</f>
        <v>R1012</v>
      </c>
    </row>
    <row r="677" spans="1:18" ht="14.4" customHeight="1" x14ac:dyDescent="0.3">
      <c r="A677" s="7" t="s">
        <v>697</v>
      </c>
      <c r="B677" s="7" t="str">
        <f>VLOOKUP($A677,[1]!Customer_Names[#Data],3,0)</f>
        <v xml:space="preserve">  Jocelyn</v>
      </c>
      <c r="C677" s="7">
        <v>47</v>
      </c>
      <c r="D677" s="7" t="str" cm="1">
        <f t="array" ref="D677">_xlfn.IFS(Healthcare!$C677&lt;18.5,"under weight",Healthcare!$C677&lt;=24.9,"Normal Weight",Healthcare!$C677&gt;=25,"overweight",Healthcare!$C677&gt;=30,"obese")</f>
        <v>overweight</v>
      </c>
      <c r="E677" s="7">
        <v>10.64</v>
      </c>
      <c r="F677" s="7" t="str" cm="1">
        <f t="array" ref="F677">_xlfn.IFS(Healthcare!$E677&lt;5.7,"normal",Healthcare!$E677&lt;=6.4,"prediabetes",Healthcare!$E677&gt;=6.5,"diabetes")</f>
        <v>diabetes</v>
      </c>
      <c r="G677" s="7" t="s">
        <v>20</v>
      </c>
      <c r="H677" s="7" t="s">
        <v>19</v>
      </c>
      <c r="I677" s="7" t="s">
        <v>19</v>
      </c>
      <c r="J677" s="7">
        <v>0</v>
      </c>
      <c r="K677" s="7" t="s">
        <v>19</v>
      </c>
      <c r="L677" s="7" t="str">
        <f>VLOOKUP(Healthcare!$A677,hospital_details,2,0)</f>
        <v>13-Nov-1981</v>
      </c>
      <c r="M677" s="7">
        <f t="shared" ref="M677:M740" ca="1" si="4049">VLOOKUP(A677,hospital_details,3,0)</f>
        <v>44</v>
      </c>
      <c r="N677" s="7">
        <f t="shared" ref="N677:N740" si="4050">VLOOKUP($A677,hospital_details,4,0)</f>
        <v>1</v>
      </c>
      <c r="O677" s="8">
        <f t="shared" ref="O677:O740" si="4051">VLOOKUP($A677,hospital_details,5,0)</f>
        <v>14657.2</v>
      </c>
      <c r="P677" s="7" t="str">
        <f t="shared" ref="P677:P740" si="4052">VLOOKUP($A677,hospital_details,6,0)</f>
        <v>tier - 2</v>
      </c>
      <c r="Q677" s="7" t="str">
        <f t="shared" ref="Q677:Q740" si="4053">VLOOKUP($A677,hospital_details,7,0)</f>
        <v>tier - 1</v>
      </c>
      <c r="R677" s="7" t="str">
        <f t="shared" ref="R677:R740" si="4054">VLOOKUP($A677,hospital_details,8,0)</f>
        <v>R1012</v>
      </c>
    </row>
    <row r="678" spans="1:18" ht="14.4" customHeight="1" x14ac:dyDescent="0.3">
      <c r="A678" s="5" t="s">
        <v>698</v>
      </c>
      <c r="B678" s="5" t="str">
        <f>VLOOKUP($A678,[1]!Customer_Names[#Data],3,0)</f>
        <v xml:space="preserve">  Daphne</v>
      </c>
      <c r="C678" s="5">
        <v>36.71</v>
      </c>
      <c r="D678" s="5" t="str" cm="1">
        <f t="array" ref="D678">_xlfn.IFS(Healthcare!$C678&lt;18.5,"under weight",Healthcare!$C678&lt;=24.9,"Normal Weight",Healthcare!$C678&gt;=25,"overweight",Healthcare!$C678&gt;=30,"obese")</f>
        <v>overweight</v>
      </c>
      <c r="E678" s="5">
        <v>8.74</v>
      </c>
      <c r="F678" s="5" t="str" cm="1">
        <f t="array" ref="F678">_xlfn.IFS(Healthcare!$E678&lt;5.7,"normal",Healthcare!$E678&lt;=6.4,"prediabetes",Healthcare!$E678&gt;=6.5,"diabetes")</f>
        <v>diabetes</v>
      </c>
      <c r="G678" s="5" t="s">
        <v>20</v>
      </c>
      <c r="H678" s="5" t="s">
        <v>19</v>
      </c>
      <c r="I678" s="5" t="s">
        <v>19</v>
      </c>
      <c r="J678" s="5">
        <v>0</v>
      </c>
      <c r="K678" s="5" t="s">
        <v>19</v>
      </c>
      <c r="L678" s="5" t="str">
        <f>VLOOKUP(Healthcare!$A678,hospital_details,2,0)</f>
        <v>1-Sep-1967</v>
      </c>
      <c r="M678" s="5">
        <f t="shared" ref="M678:M741" ca="1" si="4055">VLOOKUP(A678,hospital_details,3,0)</f>
        <v>59</v>
      </c>
      <c r="N678" s="5">
        <f t="shared" ref="N678:N741" si="4056">VLOOKUP($A678,hospital_details,4,0)</f>
        <v>0</v>
      </c>
      <c r="O678" s="6">
        <f t="shared" ref="O678:O741" si="4057">VLOOKUP($A678,hospital_details,5,0)</f>
        <v>14640.35</v>
      </c>
      <c r="P678" s="5" t="str">
        <f t="shared" ref="P678:P741" si="4058">VLOOKUP($A678,hospital_details,6,0)</f>
        <v>tier - 2</v>
      </c>
      <c r="Q678" s="5" t="str">
        <f t="shared" ref="Q678:Q741" si="4059">VLOOKUP($A678,hospital_details,7,0)</f>
        <v>tier - 3</v>
      </c>
      <c r="R678" s="5" t="str">
        <f t="shared" ref="R678:R741" si="4060">VLOOKUP($A678,hospital_details,8,0)</f>
        <v>R1026</v>
      </c>
    </row>
    <row r="679" spans="1:18" ht="14.4" customHeight="1" x14ac:dyDescent="0.3">
      <c r="A679" s="7" t="s">
        <v>699</v>
      </c>
      <c r="B679" s="7" t="str">
        <f>VLOOKUP($A679,[1]!Customer_Names[#Data],3,0)</f>
        <v xml:space="preserve">  Margaret E</v>
      </c>
      <c r="C679" s="7">
        <v>53.48</v>
      </c>
      <c r="D679" s="7" t="str" cm="1">
        <f t="array" ref="D679">_xlfn.IFS(Healthcare!$C679&lt;18.5,"under weight",Healthcare!$C679&lt;=24.9,"Normal Weight",Healthcare!$C679&gt;=25,"overweight",Healthcare!$C679&gt;=30,"obese")</f>
        <v>overweight</v>
      </c>
      <c r="E679" s="7">
        <v>5.64</v>
      </c>
      <c r="F679" s="7" t="str" cm="1">
        <f t="array" ref="F679">_xlfn.IFS(Healthcare!$E679&lt;5.7,"normal",Healthcare!$E679&lt;=6.4,"prediabetes",Healthcare!$E679&gt;=6.5,"diabetes")</f>
        <v>normal</v>
      </c>
      <c r="G679" s="7" t="s">
        <v>19</v>
      </c>
      <c r="H679" s="7" t="s">
        <v>19</v>
      </c>
      <c r="I679" s="7" t="s">
        <v>19</v>
      </c>
      <c r="J679" s="7">
        <v>0</v>
      </c>
      <c r="K679" s="7" t="s">
        <v>19</v>
      </c>
      <c r="L679" s="7" t="str">
        <f>VLOOKUP(Healthcare!$A679,hospital_details,2,0)</f>
        <v>21-Aug-1991</v>
      </c>
      <c r="M679" s="7">
        <f t="shared" ref="M679:M742" ca="1" si="4061">VLOOKUP(A679,hospital_details,3,0)</f>
        <v>35</v>
      </c>
      <c r="N679" s="7">
        <f t="shared" ref="N679:N742" si="4062">VLOOKUP($A679,hospital_details,4,0)</f>
        <v>3</v>
      </c>
      <c r="O679" s="8">
        <f t="shared" ref="O679:O742" si="4063">VLOOKUP($A679,hospital_details,5,0)</f>
        <v>14630.52</v>
      </c>
      <c r="P679" s="7" t="str">
        <f t="shared" ref="P679:P742" si="4064">VLOOKUP($A679,hospital_details,6,0)</f>
        <v>tier - 2</v>
      </c>
      <c r="Q679" s="7" t="str">
        <f t="shared" ref="Q679:Q742" si="4065">VLOOKUP($A679,hospital_details,7,0)</f>
        <v>tier - 3</v>
      </c>
      <c r="R679" s="7" t="str">
        <f t="shared" ref="R679:R742" si="4066">VLOOKUP($A679,hospital_details,8,0)</f>
        <v>R1011</v>
      </c>
    </row>
    <row r="680" spans="1:18" ht="14.4" customHeight="1" x14ac:dyDescent="0.3">
      <c r="A680" s="5" t="s">
        <v>700</v>
      </c>
      <c r="B680" s="5" t="str">
        <f>VLOOKUP($A680,[1]!Customer_Names[#Data],3,0)</f>
        <v xml:space="preserve">  Mario J</v>
      </c>
      <c r="C680" s="5">
        <v>35.5</v>
      </c>
      <c r="D680" s="5" t="str" cm="1">
        <f t="array" ref="D680">_xlfn.IFS(Healthcare!$C680&lt;18.5,"under weight",Healthcare!$C680&lt;=24.9,"Normal Weight",Healthcare!$C680&gt;=25,"overweight",Healthcare!$C680&gt;=30,"obese")</f>
        <v>overweight</v>
      </c>
      <c r="E680" s="5">
        <v>10.37</v>
      </c>
      <c r="F680" s="5" t="str" cm="1">
        <f t="array" ref="F680">_xlfn.IFS(Healthcare!$E680&lt;5.7,"normal",Healthcare!$E680&lt;=6.4,"prediabetes",Healthcare!$E680&gt;=6.5,"diabetes")</f>
        <v>diabetes</v>
      </c>
      <c r="G680" s="5" t="s">
        <v>19</v>
      </c>
      <c r="H680" s="5" t="s">
        <v>19</v>
      </c>
      <c r="I680" s="5" t="s">
        <v>19</v>
      </c>
      <c r="J680" s="5">
        <v>0</v>
      </c>
      <c r="K680" s="5" t="s">
        <v>19</v>
      </c>
      <c r="L680" s="5" t="str">
        <f>VLOOKUP(Healthcare!$A680,hospital_details,2,0)</f>
        <v>8-Nov-1965</v>
      </c>
      <c r="M680" s="5">
        <f t="shared" ref="M680:M743" ca="1" si="4067">VLOOKUP(A680,hospital_details,3,0)</f>
        <v>60</v>
      </c>
      <c r="N680" s="5">
        <f t="shared" ref="N680:N743" si="4068">VLOOKUP($A680,hospital_details,4,0)</f>
        <v>0</v>
      </c>
      <c r="O680" s="6">
        <f t="shared" ref="O680:O743" si="4069">VLOOKUP($A680,hospital_details,5,0)</f>
        <v>14612.33</v>
      </c>
      <c r="P680" s="5" t="str">
        <f t="shared" ref="P680:P743" si="4070">VLOOKUP($A680,hospital_details,6,0)</f>
        <v>tier - 2</v>
      </c>
      <c r="Q680" s="5" t="str">
        <f t="shared" ref="Q680:Q743" si="4071">VLOOKUP($A680,hospital_details,7,0)</f>
        <v>tier - 3</v>
      </c>
      <c r="R680" s="5" t="str">
        <f t="shared" ref="R680:R743" si="4072">VLOOKUP($A680,hospital_details,8,0)</f>
        <v>R1021</v>
      </c>
    </row>
    <row r="681" spans="1:18" ht="14.4" customHeight="1" x14ac:dyDescent="0.3">
      <c r="A681" s="7" t="s">
        <v>701</v>
      </c>
      <c r="B681" s="7" t="str">
        <f>VLOOKUP($A681,[1]!Customer_Names[#Data],3,0)</f>
        <v xml:space="preserve">  Peter</v>
      </c>
      <c r="C681" s="7">
        <v>36.979999999999997</v>
      </c>
      <c r="D681" s="7" t="str" cm="1">
        <f t="array" ref="D681">_xlfn.IFS(Healthcare!$C681&lt;18.5,"under weight",Healthcare!$C681&lt;=24.9,"Normal Weight",Healthcare!$C681&gt;=25,"overweight",Healthcare!$C681&gt;=30,"obese")</f>
        <v>overweight</v>
      </c>
      <c r="E681" s="7">
        <v>9.56</v>
      </c>
      <c r="F681" s="7" t="str" cm="1">
        <f t="array" ref="F681">_xlfn.IFS(Healthcare!$E681&lt;5.7,"normal",Healthcare!$E681&lt;=6.4,"prediabetes",Healthcare!$E681&gt;=6.5,"diabetes")</f>
        <v>diabetes</v>
      </c>
      <c r="G681" s="7" t="s">
        <v>20</v>
      </c>
      <c r="H681" s="7" t="s">
        <v>19</v>
      </c>
      <c r="I681" s="7" t="s">
        <v>19</v>
      </c>
      <c r="J681" s="7">
        <v>0</v>
      </c>
      <c r="K681" s="7" t="s">
        <v>19</v>
      </c>
      <c r="L681" s="7" t="str">
        <f>VLOOKUP(Healthcare!$A681,hospital_details,2,0)</f>
        <v>18-Jul-1967</v>
      </c>
      <c r="M681" s="7">
        <f t="shared" ref="M681:M744" ca="1" si="4073">VLOOKUP(A681,hospital_details,3,0)</f>
        <v>59</v>
      </c>
      <c r="N681" s="7">
        <f t="shared" ref="N681:N744" si="4074">VLOOKUP($A681,hospital_details,4,0)</f>
        <v>0</v>
      </c>
      <c r="O681" s="8">
        <f t="shared" ref="O681:O744" si="4075">VLOOKUP($A681,hospital_details,5,0)</f>
        <v>14600.62</v>
      </c>
      <c r="P681" s="7" t="str">
        <f t="shared" ref="P681:P744" si="4076">VLOOKUP($A681,hospital_details,6,0)</f>
        <v>tier - 2</v>
      </c>
      <c r="Q681" s="7" t="str">
        <f t="shared" ref="Q681:Q744" si="4077">VLOOKUP($A681,hospital_details,7,0)</f>
        <v>tier - 3</v>
      </c>
      <c r="R681" s="7" t="str">
        <f t="shared" ref="R681:R744" si="4078">VLOOKUP($A681,hospital_details,8,0)</f>
        <v>R1022</v>
      </c>
    </row>
    <row r="682" spans="1:18" ht="14.4" customHeight="1" x14ac:dyDescent="0.3">
      <c r="A682" s="5" t="s">
        <v>702</v>
      </c>
      <c r="B682" s="5" t="str">
        <f>VLOOKUP($A682,[1]!Customer_Names[#Data],3,0)</f>
        <v xml:space="preserve">  Carolina</v>
      </c>
      <c r="C682" s="5">
        <v>32.395000000000003</v>
      </c>
      <c r="D682" s="5" t="str" cm="1">
        <f t="array" ref="D682">_xlfn.IFS(Healthcare!$C682&lt;18.5,"under weight",Healthcare!$C682&lt;=24.9,"Normal Weight",Healthcare!$C682&gt;=25,"overweight",Healthcare!$C682&gt;=30,"obese")</f>
        <v>overweight</v>
      </c>
      <c r="E682" s="5">
        <v>8.23</v>
      </c>
      <c r="F682" s="5" t="str" cm="1">
        <f t="array" ref="F682">_xlfn.IFS(Healthcare!$E682&lt;5.7,"normal",Healthcare!$E682&lt;=6.4,"prediabetes",Healthcare!$E682&gt;=6.5,"diabetes")</f>
        <v>diabetes</v>
      </c>
      <c r="G682" s="5" t="s">
        <v>20</v>
      </c>
      <c r="H682" s="5" t="s">
        <v>19</v>
      </c>
      <c r="I682" s="5" t="s">
        <v>29</v>
      </c>
      <c r="J682" s="5">
        <v>1</v>
      </c>
      <c r="K682" s="5" t="s">
        <v>19</v>
      </c>
      <c r="L682" s="5" t="str">
        <f>VLOOKUP(Healthcare!$A682,hospital_details,2,0)</f>
        <v>14-Oct-1963</v>
      </c>
      <c r="M682" s="5">
        <f t="shared" ref="M682:M745" ca="1" si="4079">VLOOKUP(A682,hospital_details,3,0)</f>
        <v>63</v>
      </c>
      <c r="N682" s="5">
        <f t="shared" ref="N682:N745" si="4080">VLOOKUP($A682,hospital_details,4,0)</f>
        <v>3</v>
      </c>
      <c r="O682" s="6">
        <f t="shared" ref="O682:O745" si="4081">VLOOKUP($A682,hospital_details,5,0)</f>
        <v>14590.63</v>
      </c>
      <c r="P682" s="5" t="str">
        <f t="shared" ref="P682:P745" si="4082">VLOOKUP($A682,hospital_details,6,0)</f>
        <v>tier - 2</v>
      </c>
      <c r="Q682" s="5" t="str">
        <f t="shared" ref="Q682:Q745" si="4083">VLOOKUP($A682,hospital_details,7,0)</f>
        <v>tier - 1</v>
      </c>
      <c r="R682" s="5" t="str">
        <f t="shared" ref="R682:R745" si="4084">VLOOKUP($A682,hospital_details,8,0)</f>
        <v>R1024</v>
      </c>
    </row>
    <row r="683" spans="1:18" ht="14.4" customHeight="1" x14ac:dyDescent="0.3">
      <c r="A683" s="7" t="s">
        <v>703</v>
      </c>
      <c r="B683" s="7" t="str">
        <f>VLOOKUP($A683,[1]!Customer_Names[#Data],3,0)</f>
        <v xml:space="preserve">  Jenny K</v>
      </c>
      <c r="C683" s="7">
        <v>32.729999999999997</v>
      </c>
      <c r="D683" s="7" t="str" cm="1">
        <f t="array" ref="D683">_xlfn.IFS(Healthcare!$C683&lt;18.5,"under weight",Healthcare!$C683&lt;=24.9,"Normal Weight",Healthcare!$C683&gt;=25,"overweight",Healthcare!$C683&gt;=30,"obese")</f>
        <v>overweight</v>
      </c>
      <c r="E683" s="7">
        <v>7.03</v>
      </c>
      <c r="F683" s="7" t="str" cm="1">
        <f t="array" ref="F683">_xlfn.IFS(Healthcare!$E683&lt;5.7,"normal",Healthcare!$E683&lt;=6.4,"prediabetes",Healthcare!$E683&gt;=6.5,"diabetes")</f>
        <v>diabetes</v>
      </c>
      <c r="G683" s="7" t="s">
        <v>19</v>
      </c>
      <c r="H683" s="7" t="s">
        <v>19</v>
      </c>
      <c r="I683" s="7" t="s">
        <v>19</v>
      </c>
      <c r="J683" s="7">
        <v>0</v>
      </c>
      <c r="K683" s="7" t="s">
        <v>19</v>
      </c>
      <c r="L683" s="7" t="str">
        <f>VLOOKUP(Healthcare!$A683,hospital_details,2,0)</f>
        <v>3-Dec-1962</v>
      </c>
      <c r="M683" s="7">
        <f t="shared" ref="M683:M746" ca="1" si="4085">VLOOKUP(A683,hospital_details,3,0)</f>
        <v>63</v>
      </c>
      <c r="N683" s="7">
        <f t="shared" ref="N683:N746" si="4086">VLOOKUP($A683,hospital_details,4,0)</f>
        <v>0</v>
      </c>
      <c r="O683" s="8">
        <f t="shared" ref="O683:O746" si="4087">VLOOKUP($A683,hospital_details,5,0)</f>
        <v>14574.64</v>
      </c>
      <c r="P683" s="7" t="str">
        <f t="shared" ref="P683:P746" si="4088">VLOOKUP($A683,hospital_details,6,0)</f>
        <v>tier - 2</v>
      </c>
      <c r="Q683" s="7" t="str">
        <f t="shared" ref="Q683:Q746" si="4089">VLOOKUP($A683,hospital_details,7,0)</f>
        <v>tier - 1</v>
      </c>
      <c r="R683" s="7" t="str">
        <f t="shared" ref="R683:R746" si="4090">VLOOKUP($A683,hospital_details,8,0)</f>
        <v>R1025</v>
      </c>
    </row>
    <row r="684" spans="1:18" ht="14.4" customHeight="1" x14ac:dyDescent="0.3">
      <c r="A684" s="5" t="s">
        <v>704</v>
      </c>
      <c r="B684" s="5" t="str">
        <f>VLOOKUP($A684,[1]!Customer_Names[#Data],3,0)</f>
        <v xml:space="preserve">  Jessica</v>
      </c>
      <c r="C684" s="5">
        <v>20.52</v>
      </c>
      <c r="D684" s="5" t="str" cm="1">
        <f t="array" ref="D684">_xlfn.IFS(Healthcare!$C684&lt;18.5,"under weight",Healthcare!$C684&lt;=24.9,"Normal Weight",Healthcare!$C684&gt;=25,"overweight",Healthcare!$C684&gt;=30,"obese")</f>
        <v>Normal Weight</v>
      </c>
      <c r="E684" s="5">
        <v>5.45</v>
      </c>
      <c r="F684" s="5" t="str" cm="1">
        <f t="array" ref="F684">_xlfn.IFS(Healthcare!$E684&lt;5.7,"normal",Healthcare!$E684&lt;=6.4,"prediabetes",Healthcare!$E684&gt;=6.5,"diabetes")</f>
        <v>normal</v>
      </c>
      <c r="G684" s="5" t="s">
        <v>19</v>
      </c>
      <c r="H684" s="5" t="s">
        <v>19</v>
      </c>
      <c r="I684" s="5" t="s">
        <v>19</v>
      </c>
      <c r="J684" s="5">
        <v>1</v>
      </c>
      <c r="K684" s="5" t="s">
        <v>20</v>
      </c>
      <c r="L684" s="5" t="str">
        <f>VLOOKUP(Healthcare!$A684,hospital_details,2,0)</f>
        <v>12-Sep-1998</v>
      </c>
      <c r="M684" s="5">
        <f t="shared" ref="M684:M747" ca="1" si="4091">VLOOKUP(A684,hospital_details,3,0)</f>
        <v>28</v>
      </c>
      <c r="N684" s="5">
        <f t="shared" ref="N684:N747" si="4092">VLOOKUP($A684,hospital_details,4,0)</f>
        <v>0</v>
      </c>
      <c r="O684" s="6">
        <f t="shared" ref="O684:O747" si="4093">VLOOKUP($A684,hospital_details,5,0)</f>
        <v>14571.89</v>
      </c>
      <c r="P684" s="5" t="str">
        <f t="shared" ref="P684:P747" si="4094">VLOOKUP($A684,hospital_details,6,0)</f>
        <v>tier - 2</v>
      </c>
      <c r="Q684" s="5" t="str">
        <f t="shared" ref="Q684:Q747" si="4095">VLOOKUP($A684,hospital_details,7,0)</f>
        <v>tier - 1</v>
      </c>
      <c r="R684" s="5" t="str">
        <f t="shared" ref="R684:R747" si="4096">VLOOKUP($A684,hospital_details,8,0)</f>
        <v>R1024</v>
      </c>
    </row>
    <row r="685" spans="1:18" ht="14.4" customHeight="1" x14ac:dyDescent="0.3">
      <c r="A685" s="7" t="s">
        <v>705</v>
      </c>
      <c r="B685" s="7" t="str">
        <f>VLOOKUP($A685,[1]!Customer_Names[#Data],3,0)</f>
        <v xml:space="preserve">  Kimberly D</v>
      </c>
      <c r="C685" s="7">
        <v>51.72</v>
      </c>
      <c r="D685" s="7" t="str" cm="1">
        <f t="array" ref="D685">_xlfn.IFS(Healthcare!$C685&lt;18.5,"under weight",Healthcare!$C685&lt;=24.9,"Normal Weight",Healthcare!$C685&gt;=25,"overweight",Healthcare!$C685&gt;=30,"obese")</f>
        <v>overweight</v>
      </c>
      <c r="E685" s="7">
        <v>5.76</v>
      </c>
      <c r="F685" s="7" t="str" cm="1">
        <f t="array" ref="F685">_xlfn.IFS(Healthcare!$E685&lt;5.7,"normal",Healthcare!$E685&lt;=6.4,"prediabetes",Healthcare!$E685&gt;=6.5,"diabetes")</f>
        <v>prediabetes</v>
      </c>
      <c r="G685" s="7" t="s">
        <v>19</v>
      </c>
      <c r="H685" s="7" t="s">
        <v>19</v>
      </c>
      <c r="I685" s="7" t="s">
        <v>19</v>
      </c>
      <c r="J685" s="7">
        <v>0</v>
      </c>
      <c r="K685" s="7" t="s">
        <v>19</v>
      </c>
      <c r="L685" s="7" t="str">
        <f>VLOOKUP(Healthcare!$A685,hospital_details,2,0)</f>
        <v>14-Jul-1989</v>
      </c>
      <c r="M685" s="7">
        <f t="shared" ref="M685:M748" ca="1" si="4097">VLOOKUP(A685,hospital_details,3,0)</f>
        <v>37</v>
      </c>
      <c r="N685" s="7">
        <f t="shared" ref="N685:N748" si="4098">VLOOKUP($A685,hospital_details,4,0)</f>
        <v>3</v>
      </c>
      <c r="O685" s="8">
        <f t="shared" ref="O685:O748" si="4099">VLOOKUP($A685,hospital_details,5,0)</f>
        <v>14547.26</v>
      </c>
      <c r="P685" s="7" t="str">
        <f t="shared" ref="P685:P748" si="4100">VLOOKUP($A685,hospital_details,6,0)</f>
        <v>tier - 2</v>
      </c>
      <c r="Q685" s="7" t="str">
        <f t="shared" ref="Q685:Q748" si="4101">VLOOKUP($A685,hospital_details,7,0)</f>
        <v>tier - 3</v>
      </c>
      <c r="R685" s="7" t="str">
        <f t="shared" ref="R685:R748" si="4102">VLOOKUP($A685,hospital_details,8,0)</f>
        <v>R1011</v>
      </c>
    </row>
    <row r="686" spans="1:18" ht="14.4" customHeight="1" x14ac:dyDescent="0.3">
      <c r="A686" s="5" t="s">
        <v>706</v>
      </c>
      <c r="B686" s="5" t="str">
        <f>VLOOKUP($A686,[1]!Customer_Names[#Data],3,0)</f>
        <v xml:space="preserve">  Marc-Olivier</v>
      </c>
      <c r="C686" s="5">
        <v>50.2</v>
      </c>
      <c r="D686" s="5" t="str" cm="1">
        <f t="array" ref="D686">_xlfn.IFS(Healthcare!$C686&lt;18.5,"under weight",Healthcare!$C686&lt;=24.9,"Normal Weight",Healthcare!$C686&gt;=25,"overweight",Healthcare!$C686&gt;=30,"obese")</f>
        <v>overweight</v>
      </c>
      <c r="E686" s="5">
        <v>5.4</v>
      </c>
      <c r="F686" s="5" t="str" cm="1">
        <f t="array" ref="F686">_xlfn.IFS(Healthcare!$E686&lt;5.7,"normal",Healthcare!$E686&lt;=6.4,"prediabetes",Healthcare!$E686&gt;=6.5,"diabetes")</f>
        <v>normal</v>
      </c>
      <c r="G686" s="5" t="s">
        <v>19</v>
      </c>
      <c r="H686" s="5" t="s">
        <v>19</v>
      </c>
      <c r="I686" s="5" t="s">
        <v>19</v>
      </c>
      <c r="J686" s="5">
        <v>0</v>
      </c>
      <c r="K686" s="5" t="s">
        <v>19</v>
      </c>
      <c r="L686" s="5" t="str">
        <f>VLOOKUP(Healthcare!$A686,hospital_details,2,0)</f>
        <v>22-Jul-1989</v>
      </c>
      <c r="M686" s="5">
        <f t="shared" ref="M686:M749" ca="1" si="4103">VLOOKUP(A686,hospital_details,3,0)</f>
        <v>37</v>
      </c>
      <c r="N686" s="5">
        <f t="shared" ref="N686:N749" si="4104">VLOOKUP($A686,hospital_details,4,0)</f>
        <v>3</v>
      </c>
      <c r="O686" s="6">
        <f t="shared" ref="O686:O749" si="4105">VLOOKUP($A686,hospital_details,5,0)</f>
        <v>14507.46</v>
      </c>
      <c r="P686" s="5" t="str">
        <f t="shared" ref="P686:P749" si="4106">VLOOKUP($A686,hospital_details,6,0)</f>
        <v>tier - 2</v>
      </c>
      <c r="Q686" s="5" t="str">
        <f t="shared" ref="Q686:Q749" si="4107">VLOOKUP($A686,hospital_details,7,0)</f>
        <v>tier - 3</v>
      </c>
      <c r="R686" s="5" t="str">
        <f t="shared" ref="R686:R749" si="4108">VLOOKUP($A686,hospital_details,8,0)</f>
        <v>R1012</v>
      </c>
    </row>
    <row r="687" spans="1:18" ht="14.4" customHeight="1" x14ac:dyDescent="0.3">
      <c r="A687" s="7" t="s">
        <v>707</v>
      </c>
      <c r="B687" s="7" t="str">
        <f>VLOOKUP($A687,[1]!Customer_Names[#Data],3,0)</f>
        <v xml:space="preserve">  Russell J</v>
      </c>
      <c r="C687" s="7">
        <v>25.52</v>
      </c>
      <c r="D687" s="7" t="str" cm="1">
        <f t="array" ref="D687">_xlfn.IFS(Healthcare!$C687&lt;18.5,"under weight",Healthcare!$C687&lt;=24.9,"Normal Weight",Healthcare!$C687&gt;=25,"overweight",Healthcare!$C687&gt;=30,"obese")</f>
        <v>overweight</v>
      </c>
      <c r="E687" s="7">
        <v>6.35</v>
      </c>
      <c r="F687" s="7" t="str" cm="1">
        <f t="array" ref="F687">_xlfn.IFS(Healthcare!$E687&lt;5.7,"normal",Healthcare!$E687&lt;=6.4,"prediabetes",Healthcare!$E687&gt;=6.5,"diabetes")</f>
        <v>prediabetes</v>
      </c>
      <c r="G687" s="7" t="s">
        <v>19</v>
      </c>
      <c r="H687" s="7" t="s">
        <v>19</v>
      </c>
      <c r="I687" s="7" t="s">
        <v>29</v>
      </c>
      <c r="J687" s="7">
        <v>1</v>
      </c>
      <c r="K687" s="7" t="s">
        <v>19</v>
      </c>
      <c r="L687" s="7" t="str">
        <f>VLOOKUP(Healthcare!$A687,hospital_details,2,0)</f>
        <v>20-Oct-1979</v>
      </c>
      <c r="M687" s="7">
        <f t="shared" ref="M687:M750" ca="1" si="4109">VLOOKUP(A687,hospital_details,3,0)</f>
        <v>46</v>
      </c>
      <c r="N687" s="7">
        <f t="shared" ref="N687:N750" si="4110">VLOOKUP($A687,hospital_details,4,0)</f>
        <v>5</v>
      </c>
      <c r="O687" s="8">
        <f t="shared" ref="O687:O750" si="4111">VLOOKUP($A687,hospital_details,5,0)</f>
        <v>14478.33</v>
      </c>
      <c r="P687" s="7" t="str">
        <f t="shared" ref="P687:P750" si="4112">VLOOKUP($A687,hospital_details,6,0)</f>
        <v>tier - 2</v>
      </c>
      <c r="Q687" s="7" t="str">
        <f t="shared" ref="Q687:Q750" si="4113">VLOOKUP($A687,hospital_details,7,0)</f>
        <v>tier - 2</v>
      </c>
      <c r="R687" s="7" t="str">
        <f t="shared" ref="R687:R750" si="4114">VLOOKUP($A687,hospital_details,8,0)</f>
        <v>R1013</v>
      </c>
    </row>
    <row r="688" spans="1:18" ht="14.4" customHeight="1" x14ac:dyDescent="0.3">
      <c r="A688" s="5" t="s">
        <v>708</v>
      </c>
      <c r="B688" s="5" t="str">
        <f>VLOOKUP($A688,[1]!Customer_Names[#Data],3,0)</f>
        <v xml:space="preserve">  Karine</v>
      </c>
      <c r="C688" s="5">
        <v>35.200000000000003</v>
      </c>
      <c r="D688" s="5" t="str" cm="1">
        <f t="array" ref="D688">_xlfn.IFS(Healthcare!$C688&lt;18.5,"under weight",Healthcare!$C688&lt;=24.9,"Normal Weight",Healthcare!$C688&gt;=25,"overweight",Healthcare!$C688&gt;=30,"obese")</f>
        <v>overweight</v>
      </c>
      <c r="E688" s="5">
        <v>6.26</v>
      </c>
      <c r="F688" s="5" t="str" cm="1">
        <f t="array" ref="F688">_xlfn.IFS(Healthcare!$E688&lt;5.7,"normal",Healthcare!$E688&lt;=6.4,"prediabetes",Healthcare!$E688&gt;=6.5,"diabetes")</f>
        <v>prediabetes</v>
      </c>
      <c r="G688" s="5" t="s">
        <v>20</v>
      </c>
      <c r="H688" s="5" t="s">
        <v>19</v>
      </c>
      <c r="I688" s="5" t="s">
        <v>19</v>
      </c>
      <c r="J688" s="5">
        <v>2</v>
      </c>
      <c r="K688" s="5" t="s">
        <v>19</v>
      </c>
      <c r="L688" s="5" t="str">
        <f>VLOOKUP(Healthcare!$A688,hospital_details,2,0)</f>
        <v>20-Nov-1959</v>
      </c>
      <c r="M688" s="5">
        <f t="shared" ref="M688:M751" ca="1" si="4115">VLOOKUP(A688,hospital_details,3,0)</f>
        <v>66</v>
      </c>
      <c r="N688" s="5">
        <f t="shared" ref="N688:N751" si="4116">VLOOKUP($A688,hospital_details,4,0)</f>
        <v>1</v>
      </c>
      <c r="O688" s="6">
        <f t="shared" ref="O688:O751" si="4117">VLOOKUP($A688,hospital_details,5,0)</f>
        <v>14474.68</v>
      </c>
      <c r="P688" s="5" t="str">
        <f t="shared" ref="P688:P751" si="4118">VLOOKUP($A688,hospital_details,6,0)</f>
        <v>tier - 2</v>
      </c>
      <c r="Q688" s="5" t="str">
        <f t="shared" ref="Q688:Q751" si="4119">VLOOKUP($A688,hospital_details,7,0)</f>
        <v>tier - 2</v>
      </c>
      <c r="R688" s="5" t="str">
        <f t="shared" ref="R688:R751" si="4120">VLOOKUP($A688,hospital_details,8,0)</f>
        <v>R1013</v>
      </c>
    </row>
    <row r="689" spans="1:18" ht="14.4" customHeight="1" x14ac:dyDescent="0.3">
      <c r="A689" s="7" t="s">
        <v>709</v>
      </c>
      <c r="B689" s="7" t="str">
        <f>VLOOKUP($A689,[1]!Customer_Names[#Data],3,0)</f>
        <v xml:space="preserve">  Cheryl</v>
      </c>
      <c r="C689" s="7">
        <v>41.26</v>
      </c>
      <c r="D689" s="7" t="str" cm="1">
        <f t="array" ref="D689">_xlfn.IFS(Healthcare!$C689&lt;18.5,"under weight",Healthcare!$C689&lt;=24.9,"Normal Weight",Healthcare!$C689&gt;=25,"overweight",Healthcare!$C689&gt;=30,"obese")</f>
        <v>overweight</v>
      </c>
      <c r="E689" s="7">
        <v>5.97</v>
      </c>
      <c r="F689" s="7" t="str" cm="1">
        <f t="array" ref="F689">_xlfn.IFS(Healthcare!$E689&lt;5.7,"normal",Healthcare!$E689&lt;=6.4,"prediabetes",Healthcare!$E689&gt;=6.5,"diabetes")</f>
        <v>prediabetes</v>
      </c>
      <c r="G689" s="7" t="s">
        <v>20</v>
      </c>
      <c r="H689" s="7" t="s">
        <v>19</v>
      </c>
      <c r="I689" s="7" t="s">
        <v>19</v>
      </c>
      <c r="J689" s="7">
        <v>0</v>
      </c>
      <c r="K689" s="7" t="s">
        <v>19</v>
      </c>
      <c r="L689" s="7" t="str">
        <f>VLOOKUP(Healthcare!$A689,hospital_details,2,0)</f>
        <v>27-Nov-1976</v>
      </c>
      <c r="M689" s="7">
        <f t="shared" ref="M689:M752" ca="1" si="4121">VLOOKUP(A689,hospital_details,3,0)</f>
        <v>49</v>
      </c>
      <c r="N689" s="7">
        <f t="shared" ref="N689:N752" si="4122">VLOOKUP($A689,hospital_details,4,0)</f>
        <v>2</v>
      </c>
      <c r="O689" s="8">
        <f t="shared" ref="O689:O752" si="4123">VLOOKUP($A689,hospital_details,5,0)</f>
        <v>14470.01</v>
      </c>
      <c r="P689" s="7" t="str">
        <f t="shared" ref="P689:P752" si="4124">VLOOKUP($A689,hospital_details,6,0)</f>
        <v>tier - 2</v>
      </c>
      <c r="Q689" s="7" t="str">
        <f t="shared" ref="Q689:Q752" si="4125">VLOOKUP($A689,hospital_details,7,0)</f>
        <v>tier - 3</v>
      </c>
      <c r="R689" s="7" t="str">
        <f t="shared" ref="R689:R752" si="4126">VLOOKUP($A689,hospital_details,8,0)</f>
        <v>R1012</v>
      </c>
    </row>
    <row r="690" spans="1:18" ht="14.4" customHeight="1" x14ac:dyDescent="0.3">
      <c r="A690" s="5" t="s">
        <v>710</v>
      </c>
      <c r="B690" s="5" t="str">
        <f>VLOOKUP($A690,[1]!Customer_Names[#Data],3,0)</f>
        <v xml:space="preserve">  Allison M</v>
      </c>
      <c r="C690" s="5">
        <v>17.195</v>
      </c>
      <c r="D690" s="5" t="str" cm="1">
        <f t="array" ref="D690">_xlfn.IFS(Healthcare!$C690&lt;18.5,"under weight",Healthcare!$C690&lt;=24.9,"Normal Weight",Healthcare!$C690&gt;=25,"overweight",Healthcare!$C690&gt;=30,"obese")</f>
        <v>under weight</v>
      </c>
      <c r="E690" s="5">
        <v>5.29</v>
      </c>
      <c r="F690" s="5" t="str" cm="1">
        <f t="array" ref="F690">_xlfn.IFS(Healthcare!$E690&lt;5.7,"normal",Healthcare!$E690&lt;=6.4,"prediabetes",Healthcare!$E690&gt;=6.5,"diabetes")</f>
        <v>normal</v>
      </c>
      <c r="G690" s="5" t="s">
        <v>20</v>
      </c>
      <c r="H690" s="5" t="s">
        <v>19</v>
      </c>
      <c r="I690" s="5" t="s">
        <v>19</v>
      </c>
      <c r="J690" s="5">
        <v>0</v>
      </c>
      <c r="K690" s="5" t="s">
        <v>20</v>
      </c>
      <c r="L690" s="5" t="str">
        <f>VLOOKUP(Healthcare!$A690,hospital_details,2,0)</f>
        <v>10-Nov-1996</v>
      </c>
      <c r="M690" s="5">
        <f t="shared" ref="M690:M753" ca="1" si="4127">VLOOKUP(A690,hospital_details,3,0)</f>
        <v>29</v>
      </c>
      <c r="N690" s="5">
        <f t="shared" ref="N690:N753" si="4128">VLOOKUP($A690,hospital_details,4,0)</f>
        <v>2</v>
      </c>
      <c r="O690" s="6">
        <f t="shared" ref="O690:O753" si="4129">VLOOKUP($A690,hospital_details,5,0)</f>
        <v>14455.64</v>
      </c>
      <c r="P690" s="5" t="str">
        <f t="shared" ref="P690:P753" si="4130">VLOOKUP($A690,hospital_details,6,0)</f>
        <v>tier - 2</v>
      </c>
      <c r="Q690" s="5" t="str">
        <f t="shared" ref="Q690:Q753" si="4131">VLOOKUP($A690,hospital_details,7,0)</f>
        <v>tier - 3</v>
      </c>
      <c r="R690" s="5" t="str">
        <f t="shared" ref="R690:R753" si="4132">VLOOKUP($A690,hospital_details,8,0)</f>
        <v>R1024</v>
      </c>
    </row>
    <row r="691" spans="1:18" ht="14.4" customHeight="1" x14ac:dyDescent="0.3">
      <c r="A691" s="7" t="s">
        <v>711</v>
      </c>
      <c r="B691" s="7" t="str">
        <f>VLOOKUP($A691,[1]!Customer_Names[#Data],3,0)</f>
        <v xml:space="preserve">  Adriana</v>
      </c>
      <c r="C691" s="7">
        <v>23.085000000000001</v>
      </c>
      <c r="D691" s="7" t="str" cm="1">
        <f t="array" ref="D691">_xlfn.IFS(Healthcare!$C691&lt;18.5,"under weight",Healthcare!$C691&lt;=24.9,"Normal Weight",Healthcare!$C691&gt;=25,"overweight",Healthcare!$C691&gt;=30,"obese")</f>
        <v>Normal Weight</v>
      </c>
      <c r="E691" s="7">
        <v>4.2699999999999996</v>
      </c>
      <c r="F691" s="7" t="str" cm="1">
        <f t="array" ref="F691">_xlfn.IFS(Healthcare!$E691&lt;5.7,"normal",Healthcare!$E691&lt;=6.4,"prediabetes",Healthcare!$E691&gt;=6.5,"diabetes")</f>
        <v>normal</v>
      </c>
      <c r="G691" s="7" t="s">
        <v>20</v>
      </c>
      <c r="H691" s="7" t="s">
        <v>19</v>
      </c>
      <c r="I691" s="7" t="s">
        <v>19</v>
      </c>
      <c r="J691" s="7">
        <v>2</v>
      </c>
      <c r="K691" s="7" t="s">
        <v>19</v>
      </c>
      <c r="L691" s="7" t="str">
        <f>VLOOKUP(Healthcare!$A691,hospital_details,2,0)</f>
        <v>3-Aug-1959</v>
      </c>
      <c r="M691" s="7">
        <f t="shared" ref="M691:M754" ca="1" si="4133">VLOOKUP(A691,hospital_details,3,0)</f>
        <v>67</v>
      </c>
      <c r="N691" s="7">
        <f t="shared" ref="N691:N754" si="4134">VLOOKUP($A691,hospital_details,4,0)</f>
        <v>0</v>
      </c>
      <c r="O691" s="8">
        <f t="shared" ref="O691:O754" si="4135">VLOOKUP($A691,hospital_details,5,0)</f>
        <v>14451.84</v>
      </c>
      <c r="P691" s="7" t="str">
        <f t="shared" ref="P691:P754" si="4136">VLOOKUP($A691,hospital_details,6,0)</f>
        <v>tier - 2</v>
      </c>
      <c r="Q691" s="7" t="str">
        <f t="shared" ref="Q691:Q754" si="4137">VLOOKUP($A691,hospital_details,7,0)</f>
        <v>tier - 3</v>
      </c>
      <c r="R691" s="7" t="str">
        <f t="shared" ref="R691:R754" si="4138">VLOOKUP($A691,hospital_details,8,0)</f>
        <v>R1023</v>
      </c>
    </row>
    <row r="692" spans="1:18" ht="14.4" customHeight="1" x14ac:dyDescent="0.3">
      <c r="A692" s="5" t="s">
        <v>712</v>
      </c>
      <c r="B692" s="5" t="str">
        <f>VLOOKUP($A692,[1]!Customer_Names[#Data],3,0)</f>
        <v xml:space="preserve">  Miranda J</v>
      </c>
      <c r="C692" s="5">
        <v>21.66</v>
      </c>
      <c r="D692" s="5" t="str" cm="1">
        <f t="array" ref="D692">_xlfn.IFS(Healthcare!$C692&lt;18.5,"under weight",Healthcare!$C692&lt;=24.9,"Normal Weight",Healthcare!$C692&gt;=25,"overweight",Healthcare!$C692&gt;=30,"obese")</f>
        <v>Normal Weight</v>
      </c>
      <c r="E692" s="5">
        <v>5.2</v>
      </c>
      <c r="F692" s="5" t="str" cm="1">
        <f t="array" ref="F692">_xlfn.IFS(Healthcare!$E692&lt;5.7,"normal",Healthcare!$E692&lt;=6.4,"prediabetes",Healthcare!$E692&gt;=6.5,"diabetes")</f>
        <v>normal</v>
      </c>
      <c r="G692" s="5" t="s">
        <v>20</v>
      </c>
      <c r="H692" s="5" t="s">
        <v>19</v>
      </c>
      <c r="I692" s="5" t="s">
        <v>19</v>
      </c>
      <c r="J692" s="5">
        <v>2</v>
      </c>
      <c r="K692" s="5" t="s">
        <v>19</v>
      </c>
      <c r="L692" s="5" t="str">
        <f>VLOOKUP(Healthcare!$A692,hospital_details,2,0)</f>
        <v>29-Jun-1959</v>
      </c>
      <c r="M692" s="5">
        <f t="shared" ref="M692:M755" ca="1" si="4139">VLOOKUP(A692,hospital_details,3,0)</f>
        <v>67</v>
      </c>
      <c r="N692" s="5">
        <f t="shared" ref="N692:N755" si="4140">VLOOKUP($A692,hospital_details,4,0)</f>
        <v>0</v>
      </c>
      <c r="O692" s="6">
        <f t="shared" ref="O692:O755" si="4141">VLOOKUP($A692,hospital_details,5,0)</f>
        <v>14449.85</v>
      </c>
      <c r="P692" s="5" t="str">
        <f t="shared" ref="P692:P755" si="4142">VLOOKUP($A692,hospital_details,6,0)</f>
        <v>tier - 2</v>
      </c>
      <c r="Q692" s="5" t="str">
        <f t="shared" ref="Q692:Q755" si="4143">VLOOKUP($A692,hospital_details,7,0)</f>
        <v>tier - 1</v>
      </c>
      <c r="R692" s="5" t="str">
        <f t="shared" ref="R692:R755" si="4144">VLOOKUP($A692,hospital_details,8,0)</f>
        <v>R1024</v>
      </c>
    </row>
    <row r="693" spans="1:18" ht="14.4" customHeight="1" x14ac:dyDescent="0.3">
      <c r="A693" s="7" t="s">
        <v>713</v>
      </c>
      <c r="B693" s="7" t="str">
        <f>VLOOKUP($A693,[1]!Customer_Names[#Data],3,0)</f>
        <v xml:space="preserve">  Roberto</v>
      </c>
      <c r="C693" s="7">
        <v>36.47</v>
      </c>
      <c r="D693" s="7" t="str" cm="1">
        <f t="array" ref="D693">_xlfn.IFS(Healthcare!$C693&lt;18.5,"under weight",Healthcare!$C693&lt;=24.9,"Normal Weight",Healthcare!$C693&gt;=25,"overweight",Healthcare!$C693&gt;=30,"obese")</f>
        <v>overweight</v>
      </c>
      <c r="E693" s="7">
        <v>8.23</v>
      </c>
      <c r="F693" s="7" t="str" cm="1">
        <f t="array" ref="F693">_xlfn.IFS(Healthcare!$E693&lt;5.7,"normal",Healthcare!$E693&lt;=6.4,"prediabetes",Healthcare!$E693&gt;=6.5,"diabetes")</f>
        <v>diabetes</v>
      </c>
      <c r="G693" s="7" t="s">
        <v>20</v>
      </c>
      <c r="H693" s="7" t="s">
        <v>19</v>
      </c>
      <c r="I693" s="7" t="s">
        <v>19</v>
      </c>
      <c r="J693" s="7">
        <v>0</v>
      </c>
      <c r="K693" s="7" t="s">
        <v>19</v>
      </c>
      <c r="L693" s="7" t="str">
        <f>VLOOKUP(Healthcare!$A693,hospital_details,2,0)</f>
        <v>4-Nov-1967</v>
      </c>
      <c r="M693" s="7">
        <f t="shared" ref="M693:M756" ca="1" si="4145">VLOOKUP(A693,hospital_details,3,0)</f>
        <v>58</v>
      </c>
      <c r="N693" s="7">
        <f t="shared" ref="N693:N756" si="4146">VLOOKUP($A693,hospital_details,4,0)</f>
        <v>0</v>
      </c>
      <c r="O693" s="8">
        <f t="shared" ref="O693:O756" si="4147">VLOOKUP($A693,hospital_details,5,0)</f>
        <v>14427.63</v>
      </c>
      <c r="P693" s="7" t="str">
        <f t="shared" ref="P693:P756" si="4148">VLOOKUP($A693,hospital_details,6,0)</f>
        <v>tier - 2</v>
      </c>
      <c r="Q693" s="7" t="str">
        <f t="shared" ref="Q693:Q756" si="4149">VLOOKUP($A693,hospital_details,7,0)</f>
        <v>tier - 2</v>
      </c>
      <c r="R693" s="7" t="str">
        <f t="shared" ref="R693:R756" si="4150">VLOOKUP($A693,hospital_details,8,0)</f>
        <v>R1021</v>
      </c>
    </row>
    <row r="694" spans="1:18" ht="14.4" customHeight="1" x14ac:dyDescent="0.3">
      <c r="A694" s="5" t="s">
        <v>714</v>
      </c>
      <c r="B694" s="5" t="str">
        <f>VLOOKUP($A694,[1]!Customer_Names[#Data],3,0)</f>
        <v xml:space="preserve">  Rebecca B</v>
      </c>
      <c r="C694" s="5">
        <v>36.08</v>
      </c>
      <c r="D694" s="5" t="str" cm="1">
        <f t="array" ref="D694">_xlfn.IFS(Healthcare!$C694&lt;18.5,"under weight",Healthcare!$C694&lt;=24.9,"Normal Weight",Healthcare!$C694&gt;=25,"overweight",Healthcare!$C694&gt;=30,"obese")</f>
        <v>overweight</v>
      </c>
      <c r="E694" s="5">
        <v>10.33</v>
      </c>
      <c r="F694" s="5" t="str" cm="1">
        <f t="array" ref="F694">_xlfn.IFS(Healthcare!$E694&lt;5.7,"normal",Healthcare!$E694&lt;=6.4,"prediabetes",Healthcare!$E694&gt;=6.5,"diabetes")</f>
        <v>diabetes</v>
      </c>
      <c r="G694" s="5" t="s">
        <v>20</v>
      </c>
      <c r="H694" s="5" t="s">
        <v>19</v>
      </c>
      <c r="I694" s="5" t="s">
        <v>19</v>
      </c>
      <c r="J694" s="5">
        <v>0</v>
      </c>
      <c r="K694" s="5" t="s">
        <v>19</v>
      </c>
      <c r="L694" s="5" t="str">
        <f>VLOOKUP(Healthcare!$A694,hospital_details,2,0)</f>
        <v>15-Aug-1967</v>
      </c>
      <c r="M694" s="5">
        <f t="shared" ref="M694:M757" ca="1" si="4151">VLOOKUP(A694,hospital_details,3,0)</f>
        <v>59</v>
      </c>
      <c r="N694" s="5">
        <f t="shared" ref="N694:N757" si="4152">VLOOKUP($A694,hospital_details,4,0)</f>
        <v>0</v>
      </c>
      <c r="O694" s="6">
        <f t="shared" ref="O694:O757" si="4153">VLOOKUP($A694,hospital_details,5,0)</f>
        <v>14426.66</v>
      </c>
      <c r="P694" s="5" t="str">
        <f t="shared" ref="P694:P757" si="4154">VLOOKUP($A694,hospital_details,6,0)</f>
        <v>tier - 2</v>
      </c>
      <c r="Q694" s="5" t="str">
        <f t="shared" ref="Q694:Q757" si="4155">VLOOKUP($A694,hospital_details,7,0)</f>
        <v>tier - 2</v>
      </c>
      <c r="R694" s="5" t="str">
        <f t="shared" ref="R694:R757" si="4156">VLOOKUP($A694,hospital_details,8,0)</f>
        <v>R1026</v>
      </c>
    </row>
    <row r="695" spans="1:18" ht="14.4" customHeight="1" x14ac:dyDescent="0.3">
      <c r="A695" s="7" t="s">
        <v>715</v>
      </c>
      <c r="B695" s="7" t="str">
        <f>VLOOKUP($A695,[1]!Customer_Names[#Data],3,0)</f>
        <v xml:space="preserve">  Tiffany</v>
      </c>
      <c r="C695" s="7">
        <v>23.18</v>
      </c>
      <c r="D695" s="7" t="str" cm="1">
        <f t="array" ref="D695">_xlfn.IFS(Healthcare!$C695&lt;18.5,"under weight",Healthcare!$C695&lt;=24.9,"Normal Weight",Healthcare!$C695&gt;=25,"overweight",Healthcare!$C695&gt;=30,"obese")</f>
        <v>Normal Weight</v>
      </c>
      <c r="E695" s="7">
        <v>6.13</v>
      </c>
      <c r="F695" s="7" t="str" cm="1">
        <f t="array" ref="F695">_xlfn.IFS(Healthcare!$E695&lt;5.7,"normal",Healthcare!$E695&lt;=6.4,"prediabetes",Healthcare!$E695&gt;=6.5,"diabetes")</f>
        <v>prediabetes</v>
      </c>
      <c r="G695" s="7" t="s">
        <v>19</v>
      </c>
      <c r="H695" s="7" t="s">
        <v>19</v>
      </c>
      <c r="I695" s="7" t="s">
        <v>19</v>
      </c>
      <c r="J695" s="7">
        <v>0</v>
      </c>
      <c r="K695" s="7" t="s">
        <v>19</v>
      </c>
      <c r="L695" s="7" t="str">
        <f>VLOOKUP(Healthcare!$A695,hospital_details,2,0)</f>
        <v>10-Aug-1999</v>
      </c>
      <c r="M695" s="7">
        <f t="shared" ref="M695:M758" ca="1" si="4157">VLOOKUP(A695,hospital_details,3,0)</f>
        <v>27</v>
      </c>
      <c r="N695" s="7">
        <f t="shared" ref="N695:N758" si="4158">VLOOKUP($A695,hospital_details,4,0)</f>
        <v>2</v>
      </c>
      <c r="O695" s="8">
        <f t="shared" ref="O695:O758" si="4159">VLOOKUP($A695,hospital_details,5,0)</f>
        <v>14426.07</v>
      </c>
      <c r="P695" s="7" t="str">
        <f t="shared" ref="P695:P758" si="4160">VLOOKUP($A695,hospital_details,6,0)</f>
        <v>tier - 2</v>
      </c>
      <c r="Q695" s="7" t="str">
        <f t="shared" ref="Q695:Q758" si="4161">VLOOKUP($A695,hospital_details,7,0)</f>
        <v>tier - 1</v>
      </c>
      <c r="R695" s="7" t="str">
        <f t="shared" ref="R695:R758" si="4162">VLOOKUP($A695,hospital_details,8,0)</f>
        <v>R1012</v>
      </c>
    </row>
    <row r="696" spans="1:18" ht="14.4" customHeight="1" x14ac:dyDescent="0.3">
      <c r="A696" s="5" t="s">
        <v>716</v>
      </c>
      <c r="B696" s="5" t="str">
        <f>VLOOKUP($A696,[1]!Customer_Names[#Data],3,0)</f>
        <v xml:space="preserve">  Alexander</v>
      </c>
      <c r="C696" s="5">
        <v>39.159999999999997</v>
      </c>
      <c r="D696" s="5" t="str" cm="1">
        <f t="array" ref="D696">_xlfn.IFS(Healthcare!$C696&lt;18.5,"under weight",Healthcare!$C696&lt;=24.9,"Normal Weight",Healthcare!$C696&gt;=25,"overweight",Healthcare!$C696&gt;=30,"obese")</f>
        <v>overweight</v>
      </c>
      <c r="E696" s="5">
        <v>8.08</v>
      </c>
      <c r="F696" s="5" t="str" cm="1">
        <f t="array" ref="F696">_xlfn.IFS(Healthcare!$E696&lt;5.7,"normal",Healthcare!$E696&lt;=6.4,"prediabetes",Healthcare!$E696&gt;=6.5,"diabetes")</f>
        <v>diabetes</v>
      </c>
      <c r="G696" s="5" t="s">
        <v>19</v>
      </c>
      <c r="H696" s="5" t="s">
        <v>19</v>
      </c>
      <c r="I696" s="5" t="s">
        <v>19</v>
      </c>
      <c r="J696" s="5">
        <v>3</v>
      </c>
      <c r="K696" s="5" t="s">
        <v>19</v>
      </c>
      <c r="L696" s="5" t="str">
        <f>VLOOKUP(Healthcare!$A696,hospital_details,2,0)</f>
        <v>20-Sep-1958</v>
      </c>
      <c r="M696" s="5">
        <f t="shared" ref="M696:M759" ca="1" si="4163">VLOOKUP(A696,hospital_details,3,0)</f>
        <v>68</v>
      </c>
      <c r="N696" s="5">
        <f t="shared" ref="N696:N759" si="4164">VLOOKUP($A696,hospital_details,4,0)</f>
        <v>1</v>
      </c>
      <c r="O696" s="6">
        <f t="shared" ref="O696:O759" si="4165">VLOOKUP($A696,hospital_details,5,0)</f>
        <v>14418.28</v>
      </c>
      <c r="P696" s="5" t="str">
        <f t="shared" ref="P696:P759" si="4166">VLOOKUP($A696,hospital_details,6,0)</f>
        <v>tier - 2</v>
      </c>
      <c r="Q696" s="5" t="str">
        <f t="shared" ref="Q696:Q759" si="4167">VLOOKUP($A696,hospital_details,7,0)</f>
        <v>tier - 3</v>
      </c>
      <c r="R696" s="5" t="str">
        <f t="shared" ref="R696:R759" si="4168">VLOOKUP($A696,hospital_details,8,0)</f>
        <v>R1013</v>
      </c>
    </row>
    <row r="697" spans="1:18" ht="14.4" customHeight="1" x14ac:dyDescent="0.3">
      <c r="A697" s="7" t="s">
        <v>717</v>
      </c>
      <c r="B697" s="7" t="str">
        <f>VLOOKUP($A697,[1]!Customer_Names[#Data],3,0)</f>
        <v xml:space="preserve">  Rich M</v>
      </c>
      <c r="C697" s="7">
        <v>38.19</v>
      </c>
      <c r="D697" s="7" t="str" cm="1">
        <f t="array" ref="D697">_xlfn.IFS(Healthcare!$C697&lt;18.5,"under weight",Healthcare!$C697&lt;=24.9,"Normal Weight",Healthcare!$C697&gt;=25,"overweight",Healthcare!$C697&gt;=30,"obese")</f>
        <v>overweight</v>
      </c>
      <c r="E697" s="7">
        <v>10.49</v>
      </c>
      <c r="F697" s="7" t="str" cm="1">
        <f t="array" ref="F697">_xlfn.IFS(Healthcare!$E697&lt;5.7,"normal",Healthcare!$E697&lt;=6.4,"prediabetes",Healthcare!$E697&gt;=6.5,"diabetes")</f>
        <v>diabetes</v>
      </c>
      <c r="G697" s="7" t="s">
        <v>19</v>
      </c>
      <c r="H697" s="7" t="s">
        <v>19</v>
      </c>
      <c r="I697" s="7" t="s">
        <v>19</v>
      </c>
      <c r="J697" s="7">
        <v>3</v>
      </c>
      <c r="K697" s="7" t="s">
        <v>19</v>
      </c>
      <c r="L697" s="7" t="str">
        <f>VLOOKUP(Healthcare!$A697,hospital_details,2,0)</f>
        <v>29-Jul-1958</v>
      </c>
      <c r="M697" s="7">
        <f t="shared" ref="M697:M760" ca="1" si="4169">VLOOKUP(A697,hospital_details,3,0)</f>
        <v>68</v>
      </c>
      <c r="N697" s="7">
        <f t="shared" ref="N697:N760" si="4170">VLOOKUP($A697,hospital_details,4,0)</f>
        <v>0</v>
      </c>
      <c r="O697" s="8">
        <f t="shared" ref="O697:O760" si="4171">VLOOKUP($A697,hospital_details,5,0)</f>
        <v>14410.93</v>
      </c>
      <c r="P697" s="7" t="str">
        <f t="shared" ref="P697:P760" si="4172">VLOOKUP($A697,hospital_details,6,0)</f>
        <v>tier - 2</v>
      </c>
      <c r="Q697" s="7" t="str">
        <f t="shared" ref="Q697:Q760" si="4173">VLOOKUP($A697,hospital_details,7,0)</f>
        <v>tier - 2</v>
      </c>
      <c r="R697" s="7" t="str">
        <f t="shared" ref="R697:R760" si="4174">VLOOKUP($A697,hospital_details,8,0)</f>
        <v>R1016</v>
      </c>
    </row>
    <row r="698" spans="1:18" ht="14.4" customHeight="1" x14ac:dyDescent="0.3">
      <c r="A698" s="5" t="s">
        <v>718</v>
      </c>
      <c r="B698" s="5" t="str">
        <f>VLOOKUP($A698,[1]!Customer_Names[#Data],3,0)</f>
        <v xml:space="preserve">  Aaron C</v>
      </c>
      <c r="C698" s="5">
        <v>26.41</v>
      </c>
      <c r="D698" s="5" t="str" cm="1">
        <f t="array" ref="D698">_xlfn.IFS(Healthcare!$C698&lt;18.5,"under weight",Healthcare!$C698&lt;=24.9,"Normal Weight",Healthcare!$C698&gt;=25,"overweight",Healthcare!$C698&gt;=30,"obese")</f>
        <v>overweight</v>
      </c>
      <c r="E698" s="5">
        <v>8.11</v>
      </c>
      <c r="F698" s="5" t="str" cm="1">
        <f t="array" ref="F698">_xlfn.IFS(Healthcare!$E698&lt;5.7,"normal",Healthcare!$E698&lt;=6.4,"prediabetes",Healthcare!$E698&gt;=6.5,"diabetes")</f>
        <v>diabetes</v>
      </c>
      <c r="G698" s="5" t="s">
        <v>19</v>
      </c>
      <c r="H698" s="5" t="s">
        <v>19</v>
      </c>
      <c r="I698" s="5" t="s">
        <v>19</v>
      </c>
      <c r="J698" s="5">
        <v>3</v>
      </c>
      <c r="K698" s="5" t="s">
        <v>19</v>
      </c>
      <c r="L698" s="5" t="str">
        <f>VLOOKUP(Healthcare!$A698,hospital_details,2,0)</f>
        <v>14-Sep-1958</v>
      </c>
      <c r="M698" s="5">
        <f t="shared" ref="M698:M761" ca="1" si="4175">VLOOKUP(A698,hospital_details,3,0)</f>
        <v>68</v>
      </c>
      <c r="N698" s="5">
        <f t="shared" ref="N698:N761" si="4176">VLOOKUP($A698,hospital_details,4,0)</f>
        <v>0</v>
      </c>
      <c r="O698" s="6">
        <f t="shared" ref="O698:O761" si="4177">VLOOKUP($A698,hospital_details,5,0)</f>
        <v>14394.56</v>
      </c>
      <c r="P698" s="5" t="str">
        <f t="shared" ref="P698:P761" si="4178">VLOOKUP($A698,hospital_details,6,0)</f>
        <v>tier - 2</v>
      </c>
      <c r="Q698" s="5" t="str">
        <f t="shared" ref="Q698:Q761" si="4179">VLOOKUP($A698,hospital_details,7,0)</f>
        <v>tier - 1</v>
      </c>
      <c r="R698" s="5" t="str">
        <f t="shared" ref="R698:R761" si="4180">VLOOKUP($A698,hospital_details,8,0)</f>
        <v>R1018</v>
      </c>
    </row>
    <row r="699" spans="1:18" ht="14.4" customHeight="1" x14ac:dyDescent="0.3">
      <c r="A699" s="7" t="s">
        <v>719</v>
      </c>
      <c r="B699" s="7" t="str">
        <f>VLOOKUP($A699,[1]!Customer_Names[#Data],3,0)</f>
        <v xml:space="preserve">  Kate</v>
      </c>
      <c r="C699" s="7">
        <v>28.785</v>
      </c>
      <c r="D699" s="7" t="str" cm="1">
        <f t="array" ref="D699">_xlfn.IFS(Healthcare!$C699&lt;18.5,"under weight",Healthcare!$C699&lt;=24.9,"Normal Weight",Healthcare!$C699&gt;=25,"overweight",Healthcare!$C699&gt;=30,"obese")</f>
        <v>overweight</v>
      </c>
      <c r="E699" s="7">
        <v>6.6</v>
      </c>
      <c r="F699" s="7" t="str" cm="1">
        <f t="array" ref="F699">_xlfn.IFS(Healthcare!$E699&lt;5.7,"normal",Healthcare!$E699&lt;=6.4,"prediabetes",Healthcare!$E699&gt;=6.5,"diabetes")</f>
        <v>diabetes</v>
      </c>
      <c r="G699" s="7" t="s">
        <v>19</v>
      </c>
      <c r="H699" s="7" t="s">
        <v>19</v>
      </c>
      <c r="I699" s="7" t="s">
        <v>19</v>
      </c>
      <c r="J699" s="7">
        <v>0</v>
      </c>
      <c r="K699" s="7" t="s">
        <v>19</v>
      </c>
      <c r="L699" s="7" t="str">
        <f>VLOOKUP(Healthcare!$A699,hospital_details,2,0)</f>
        <v>22-Jun-1965</v>
      </c>
      <c r="M699" s="7">
        <f t="shared" ref="M699:M762" ca="1" si="4181">VLOOKUP(A699,hospital_details,3,0)</f>
        <v>61</v>
      </c>
      <c r="N699" s="7">
        <f t="shared" ref="N699:N762" si="4182">VLOOKUP($A699,hospital_details,4,0)</f>
        <v>4</v>
      </c>
      <c r="O699" s="8">
        <f t="shared" ref="O699:O762" si="4183">VLOOKUP($A699,hospital_details,5,0)</f>
        <v>14394.4</v>
      </c>
      <c r="P699" s="7" t="str">
        <f t="shared" ref="P699:P762" si="4184">VLOOKUP($A699,hospital_details,6,0)</f>
        <v>tier - 2</v>
      </c>
      <c r="Q699" s="7" t="str">
        <f t="shared" ref="Q699:Q762" si="4185">VLOOKUP($A699,hospital_details,7,0)</f>
        <v>tier - 3</v>
      </c>
      <c r="R699" s="7" t="str">
        <f t="shared" ref="R699:R762" si="4186">VLOOKUP($A699,hospital_details,8,0)</f>
        <v>R1024</v>
      </c>
    </row>
    <row r="700" spans="1:18" ht="14.4" customHeight="1" x14ac:dyDescent="0.3">
      <c r="A700" s="5" t="s">
        <v>720</v>
      </c>
      <c r="B700" s="5" t="str">
        <f>VLOOKUP($A700,[1]!Customer_Names[#Data],3,0)</f>
        <v xml:space="preserve">  Maria M</v>
      </c>
      <c r="C700" s="5">
        <v>26.695</v>
      </c>
      <c r="D700" s="5" t="str" cm="1">
        <f t="array" ref="D700">_xlfn.IFS(Healthcare!$C700&lt;18.5,"under weight",Healthcare!$C700&lt;=24.9,"Normal Weight",Healthcare!$C700&gt;=25,"overweight",Healthcare!$C700&gt;=30,"obese")</f>
        <v>overweight</v>
      </c>
      <c r="E700" s="5">
        <v>10.14</v>
      </c>
      <c r="F700" s="5" t="str" cm="1">
        <f t="array" ref="F700">_xlfn.IFS(Healthcare!$E700&lt;5.7,"normal",Healthcare!$E700&lt;=6.4,"prediabetes",Healthcare!$E700&gt;=6.5,"diabetes")</f>
        <v>diabetes</v>
      </c>
      <c r="G700" s="5" t="s">
        <v>20</v>
      </c>
      <c r="H700" s="5" t="s">
        <v>19</v>
      </c>
      <c r="I700" s="5" t="s">
        <v>29</v>
      </c>
      <c r="J700" s="5">
        <v>1</v>
      </c>
      <c r="K700" s="5" t="s">
        <v>19</v>
      </c>
      <c r="L700" s="5" t="str">
        <f>VLOOKUP(Healthcare!$A700,hospital_details,2,0)</f>
        <v>16-Jul-1963</v>
      </c>
      <c r="M700" s="5">
        <f t="shared" ref="M700:M763" ca="1" si="4187">VLOOKUP(A700,hospital_details,3,0)</f>
        <v>63</v>
      </c>
      <c r="N700" s="5">
        <f t="shared" ref="N700:N763" si="4188">VLOOKUP($A700,hospital_details,4,0)</f>
        <v>3</v>
      </c>
      <c r="O700" s="6">
        <f t="shared" ref="O700:O763" si="4189">VLOOKUP($A700,hospital_details,5,0)</f>
        <v>14382.71</v>
      </c>
      <c r="P700" s="5" t="str">
        <f t="shared" ref="P700:P763" si="4190">VLOOKUP($A700,hospital_details,6,0)</f>
        <v>tier - 2</v>
      </c>
      <c r="Q700" s="5" t="str">
        <f t="shared" ref="Q700:Q763" si="4191">VLOOKUP($A700,hospital_details,7,0)</f>
        <v>tier - 2</v>
      </c>
      <c r="R700" s="5" t="str">
        <f t="shared" ref="R700:R763" si="4192">VLOOKUP($A700,hospital_details,8,0)</f>
        <v>R1012</v>
      </c>
    </row>
    <row r="701" spans="1:18" ht="14.4" customHeight="1" x14ac:dyDescent="0.3">
      <c r="A701" s="7" t="s">
        <v>721</v>
      </c>
      <c r="B701" s="7" t="str">
        <f>VLOOKUP($A701,[1]!Customer_Names[#Data],3,0)</f>
        <v xml:space="preserve">  Daven W</v>
      </c>
      <c r="C701" s="7">
        <v>32.799999999999997</v>
      </c>
      <c r="D701" s="7" t="str" cm="1">
        <f t="array" ref="D701">_xlfn.IFS(Healthcare!$C701&lt;18.5,"under weight",Healthcare!$C701&lt;=24.9,"Normal Weight",Healthcare!$C701&gt;=25,"overweight",Healthcare!$C701&gt;=30,"obese")</f>
        <v>overweight</v>
      </c>
      <c r="E701" s="7">
        <v>6.06</v>
      </c>
      <c r="F701" s="7" t="str" cm="1">
        <f t="array" ref="F701">_xlfn.IFS(Healthcare!$E701&lt;5.7,"normal",Healthcare!$E701&lt;=6.4,"prediabetes",Healthcare!$E701&gt;=6.5,"diabetes")</f>
        <v>prediabetes</v>
      </c>
      <c r="G701" s="7" t="s">
        <v>20</v>
      </c>
      <c r="H701" s="7" t="s">
        <v>19</v>
      </c>
      <c r="I701" s="7" t="s">
        <v>19</v>
      </c>
      <c r="J701" s="7">
        <v>1</v>
      </c>
      <c r="K701" s="7" t="s">
        <v>19</v>
      </c>
      <c r="L701" s="7" t="str">
        <f>VLOOKUP(Healthcare!$A701,hospital_details,2,0)</f>
        <v>16-Nov-1988</v>
      </c>
      <c r="M701" s="7">
        <f t="shared" ref="M701:M764" ca="1" si="4193">VLOOKUP(A701,hospital_details,3,0)</f>
        <v>37</v>
      </c>
      <c r="N701" s="7">
        <f t="shared" ref="N701:N764" si="4194">VLOOKUP($A701,hospital_details,4,0)</f>
        <v>1</v>
      </c>
      <c r="O701" s="8">
        <f t="shared" ref="O701:O764" si="4195">VLOOKUP($A701,hospital_details,5,0)</f>
        <v>14358.36</v>
      </c>
      <c r="P701" s="7" t="str">
        <f t="shared" ref="P701:P764" si="4196">VLOOKUP($A701,hospital_details,6,0)</f>
        <v>tier - 2</v>
      </c>
      <c r="Q701" s="7" t="str">
        <f t="shared" ref="Q701:Q764" si="4197">VLOOKUP($A701,hospital_details,7,0)</f>
        <v>tier - 2</v>
      </c>
      <c r="R701" s="7" t="str">
        <f t="shared" ref="R701:R764" si="4198">VLOOKUP($A701,hospital_details,8,0)</f>
        <v>R1011</v>
      </c>
    </row>
    <row r="702" spans="1:18" ht="14.4" customHeight="1" x14ac:dyDescent="0.3">
      <c r="A702" s="5" t="s">
        <v>722</v>
      </c>
      <c r="B702" s="5" t="str">
        <f>VLOOKUP($A702,[1]!Customer_Names[#Data],3,0)</f>
        <v xml:space="preserve">  Brianne</v>
      </c>
      <c r="C702" s="5">
        <v>35.869999999999997</v>
      </c>
      <c r="D702" s="5" t="str" cm="1">
        <f t="array" ref="D702">_xlfn.IFS(Healthcare!$C702&lt;18.5,"under weight",Healthcare!$C702&lt;=24.9,"Normal Weight",Healthcare!$C702&gt;=25,"overweight",Healthcare!$C702&gt;=30,"obese")</f>
        <v>overweight</v>
      </c>
      <c r="E702" s="5">
        <v>9.91</v>
      </c>
      <c r="F702" s="5" t="str" cm="1">
        <f t="array" ref="F702">_xlfn.IFS(Healthcare!$E702&lt;5.7,"normal",Healthcare!$E702&lt;=6.4,"prediabetes",Healthcare!$E702&gt;=6.5,"diabetes")</f>
        <v>diabetes</v>
      </c>
      <c r="G702" s="5" t="s">
        <v>20</v>
      </c>
      <c r="H702" s="5" t="s">
        <v>19</v>
      </c>
      <c r="I702" s="5" t="s">
        <v>19</v>
      </c>
      <c r="J702" s="5">
        <v>0</v>
      </c>
      <c r="K702" s="5" t="s">
        <v>19</v>
      </c>
      <c r="L702" s="5" t="str">
        <f>VLOOKUP(Healthcare!$A702,hospital_details,2,0)</f>
        <v>10-Oct-1967</v>
      </c>
      <c r="M702" s="5">
        <f t="shared" ref="M702:M765" ca="1" si="4199">VLOOKUP(A702,hospital_details,3,0)</f>
        <v>59</v>
      </c>
      <c r="N702" s="5">
        <f t="shared" ref="N702:N765" si="4200">VLOOKUP($A702,hospital_details,4,0)</f>
        <v>0</v>
      </c>
      <c r="O702" s="6">
        <f t="shared" ref="O702:O765" si="4201">VLOOKUP($A702,hospital_details,5,0)</f>
        <v>14355.43</v>
      </c>
      <c r="P702" s="5" t="str">
        <f t="shared" ref="P702:P765" si="4202">VLOOKUP($A702,hospital_details,6,0)</f>
        <v>tier - 2</v>
      </c>
      <c r="Q702" s="5" t="str">
        <f t="shared" ref="Q702:Q765" si="4203">VLOOKUP($A702,hospital_details,7,0)</f>
        <v>tier - 1</v>
      </c>
      <c r="R702" s="5" t="str">
        <f t="shared" ref="R702:R765" si="4204">VLOOKUP($A702,hospital_details,8,0)</f>
        <v>R1026</v>
      </c>
    </row>
    <row r="703" spans="1:18" ht="14.4" customHeight="1" x14ac:dyDescent="0.3">
      <c r="A703" s="7" t="s">
        <v>723</v>
      </c>
      <c r="B703" s="7" t="str">
        <f>VLOOKUP($A703,[1]!Customer_Names[#Data],3,0)</f>
        <v xml:space="preserve">  Hiroki</v>
      </c>
      <c r="C703" s="7">
        <v>21.66</v>
      </c>
      <c r="D703" s="7" t="str" cm="1">
        <f t="array" ref="D703">_xlfn.IFS(Healthcare!$C703&lt;18.5,"under weight",Healthcare!$C703&lt;=24.9,"Normal Weight",Healthcare!$C703&gt;=25,"overweight",Healthcare!$C703&gt;=30,"obese")</f>
        <v>Normal Weight</v>
      </c>
      <c r="E703" s="7">
        <v>4.1399999999999997</v>
      </c>
      <c r="F703" s="7" t="str" cm="1">
        <f t="array" ref="F703">_xlfn.IFS(Healthcare!$E703&lt;5.7,"normal",Healthcare!$E703&lt;=6.4,"prediabetes",Healthcare!$E703&gt;=6.5,"diabetes")</f>
        <v>normal</v>
      </c>
      <c r="G703" s="7" t="s">
        <v>20</v>
      </c>
      <c r="H703" s="7" t="s">
        <v>19</v>
      </c>
      <c r="I703" s="7" t="s">
        <v>19</v>
      </c>
      <c r="J703" s="7">
        <v>2</v>
      </c>
      <c r="K703" s="7" t="s">
        <v>19</v>
      </c>
      <c r="L703" s="7" t="str">
        <f>VLOOKUP(Healthcare!$A703,hospital_details,2,0)</f>
        <v>24-Dec-1959</v>
      </c>
      <c r="M703" s="7">
        <f t="shared" ref="M703:M766" ca="1" si="4205">VLOOKUP(A703,hospital_details,3,0)</f>
        <v>66</v>
      </c>
      <c r="N703" s="7">
        <f t="shared" ref="N703:N766" si="4206">VLOOKUP($A703,hospital_details,4,0)</f>
        <v>1</v>
      </c>
      <c r="O703" s="8">
        <f t="shared" ref="O703:O766" si="4207">VLOOKUP($A703,hospital_details,5,0)</f>
        <v>14349.85</v>
      </c>
      <c r="P703" s="7" t="str">
        <f t="shared" ref="P703:P766" si="4208">VLOOKUP($A703,hospital_details,6,0)</f>
        <v>tier - 2</v>
      </c>
      <c r="Q703" s="7" t="str">
        <f t="shared" ref="Q703:Q766" si="4209">VLOOKUP($A703,hospital_details,7,0)</f>
        <v>tier - 2</v>
      </c>
      <c r="R703" s="7" t="str">
        <f t="shared" ref="R703:R766" si="4210">VLOOKUP($A703,hospital_details,8,0)</f>
        <v>R1012</v>
      </c>
    </row>
    <row r="704" spans="1:18" ht="14.4" customHeight="1" x14ac:dyDescent="0.3">
      <c r="A704" s="5" t="s">
        <v>724</v>
      </c>
      <c r="B704" s="5" t="str">
        <f>VLOOKUP($A704,[1]!Customer_Names[#Data],3,0)</f>
        <v xml:space="preserve">  Anders</v>
      </c>
      <c r="C704" s="5">
        <v>37.72</v>
      </c>
      <c r="D704" s="5" t="str" cm="1">
        <f t="array" ref="D704">_xlfn.IFS(Healthcare!$C704&lt;18.5,"under weight",Healthcare!$C704&lt;=24.9,"Normal Weight",Healthcare!$C704&gt;=25,"overweight",Healthcare!$C704&gt;=30,"obese")</f>
        <v>overweight</v>
      </c>
      <c r="E704" s="5">
        <v>4.38</v>
      </c>
      <c r="F704" s="5" t="str" cm="1">
        <f t="array" ref="F704">_xlfn.IFS(Healthcare!$E704&lt;5.7,"normal",Healthcare!$E704&lt;=6.4,"prediabetes",Healthcare!$E704&gt;=6.5,"diabetes")</f>
        <v>normal</v>
      </c>
      <c r="G704" s="5" t="s">
        <v>20</v>
      </c>
      <c r="H704" s="5" t="s">
        <v>19</v>
      </c>
      <c r="I704" s="5" t="s">
        <v>29</v>
      </c>
      <c r="J704" s="5">
        <v>1</v>
      </c>
      <c r="K704" s="5" t="s">
        <v>19</v>
      </c>
      <c r="L704" s="5" t="str">
        <f>VLOOKUP(Healthcare!$A704,hospital_details,2,0)</f>
        <v>26-Sep-1969</v>
      </c>
      <c r="M704" s="5">
        <f t="shared" ref="M704:M767" ca="1" si="4211">VLOOKUP(A704,hospital_details,3,0)</f>
        <v>57</v>
      </c>
      <c r="N704" s="5">
        <f t="shared" ref="N704:N767" si="4212">VLOOKUP($A704,hospital_details,4,0)</f>
        <v>0</v>
      </c>
      <c r="O704" s="6">
        <f t="shared" ref="O704:O767" si="4213">VLOOKUP($A704,hospital_details,5,0)</f>
        <v>14337.91</v>
      </c>
      <c r="P704" s="5" t="str">
        <f t="shared" ref="P704:P767" si="4214">VLOOKUP($A704,hospital_details,6,0)</f>
        <v>tier - 2</v>
      </c>
      <c r="Q704" s="5" t="str">
        <f t="shared" ref="Q704:Q767" si="4215">VLOOKUP($A704,hospital_details,7,0)</f>
        <v>tier - 3</v>
      </c>
      <c r="R704" s="5" t="str">
        <f t="shared" ref="R704:R767" si="4216">VLOOKUP($A704,hospital_details,8,0)</f>
        <v>R1022</v>
      </c>
    </row>
    <row r="705" spans="1:18" ht="14.4" customHeight="1" x14ac:dyDescent="0.3">
      <c r="A705" s="7" t="s">
        <v>725</v>
      </c>
      <c r="B705" s="7" t="str">
        <f>VLOOKUP($A705,[1]!Customer_Names[#Data],3,0)</f>
        <v xml:space="preserve">  Danielle</v>
      </c>
      <c r="C705" s="7">
        <v>39.700000000000003</v>
      </c>
      <c r="D705" s="7" t="str" cm="1">
        <f t="array" ref="D705">_xlfn.IFS(Healthcare!$C705&lt;18.5,"under weight",Healthcare!$C705&lt;=24.9,"Normal Weight",Healthcare!$C705&gt;=25,"overweight",Healthcare!$C705&gt;=30,"obese")</f>
        <v>overweight</v>
      </c>
      <c r="E705" s="7">
        <v>9.83</v>
      </c>
      <c r="F705" s="7" t="str" cm="1">
        <f t="array" ref="F705">_xlfn.IFS(Healthcare!$E705&lt;5.7,"normal",Healthcare!$E705&lt;=6.4,"prediabetes",Healthcare!$E705&gt;=6.5,"diabetes")</f>
        <v>diabetes</v>
      </c>
      <c r="G705" s="7" t="s">
        <v>19</v>
      </c>
      <c r="H705" s="7" t="s">
        <v>19</v>
      </c>
      <c r="I705" s="7" t="s">
        <v>19</v>
      </c>
      <c r="J705" s="7">
        <v>3</v>
      </c>
      <c r="K705" s="7" t="s">
        <v>19</v>
      </c>
      <c r="L705" s="7" t="str">
        <f>VLOOKUP(Healthcare!$A705,hospital_details,2,0)</f>
        <v>10-Jul-1958</v>
      </c>
      <c r="M705" s="7">
        <f t="shared" ref="M705:M768" ca="1" si="4217">VLOOKUP(A705,hospital_details,3,0)</f>
        <v>68</v>
      </c>
      <c r="N705" s="7">
        <f t="shared" ref="N705:N768" si="4218">VLOOKUP($A705,hospital_details,4,0)</f>
        <v>0</v>
      </c>
      <c r="O705" s="8">
        <f t="shared" ref="O705:O768" si="4219">VLOOKUP($A705,hospital_details,5,0)</f>
        <v>14319.03</v>
      </c>
      <c r="P705" s="7" t="str">
        <f t="shared" ref="P705:P768" si="4220">VLOOKUP($A705,hospital_details,6,0)</f>
        <v>tier - 2</v>
      </c>
      <c r="Q705" s="7" t="str">
        <f t="shared" ref="Q705:Q768" si="4221">VLOOKUP($A705,hospital_details,7,0)</f>
        <v>tier - 2</v>
      </c>
      <c r="R705" s="7" t="str">
        <f t="shared" ref="R705:R768" si="4222">VLOOKUP($A705,hospital_details,8,0)</f>
        <v>R1011</v>
      </c>
    </row>
    <row r="706" spans="1:18" ht="14.4" customHeight="1" x14ac:dyDescent="0.3">
      <c r="A706" s="5" t="s">
        <v>726</v>
      </c>
      <c r="B706" s="5" t="str">
        <f>VLOOKUP($A706,[1]!Customer_Names[#Data],3,0)</f>
        <v xml:space="preserve">  Candace N</v>
      </c>
      <c r="C706" s="5">
        <v>35.97</v>
      </c>
      <c r="D706" s="5" t="str" cm="1">
        <f t="array" ref="D706">_xlfn.IFS(Healthcare!$C706&lt;18.5,"under weight",Healthcare!$C706&lt;=24.9,"Normal Weight",Healthcare!$C706&gt;=25,"overweight",Healthcare!$C706&gt;=30,"obese")</f>
        <v>overweight</v>
      </c>
      <c r="E706" s="5">
        <v>11.08</v>
      </c>
      <c r="F706" s="5" t="str" cm="1">
        <f t="array" ref="F706">_xlfn.IFS(Healthcare!$E706&lt;5.7,"normal",Healthcare!$E706&lt;=6.4,"prediabetes",Healthcare!$E706&gt;=6.5,"diabetes")</f>
        <v>diabetes</v>
      </c>
      <c r="G706" s="5" t="s">
        <v>19</v>
      </c>
      <c r="H706" s="5" t="s">
        <v>19</v>
      </c>
      <c r="I706" s="5" t="s">
        <v>19</v>
      </c>
      <c r="J706" s="5">
        <v>3</v>
      </c>
      <c r="K706" s="5" t="s">
        <v>19</v>
      </c>
      <c r="L706" s="5" t="str">
        <f>VLOOKUP(Healthcare!$A706,hospital_details,2,0)</f>
        <v>15-Oct-1958</v>
      </c>
      <c r="M706" s="5">
        <f t="shared" ref="M706:M769" ca="1" si="4223">VLOOKUP(A706,hospital_details,3,0)</f>
        <v>68</v>
      </c>
      <c r="N706" s="5">
        <f t="shared" ref="N706:N769" si="4224">VLOOKUP($A706,hospital_details,4,0)</f>
        <v>0</v>
      </c>
      <c r="O706" s="6">
        <f t="shared" ref="O706:O769" si="4225">VLOOKUP($A706,hospital_details,5,0)</f>
        <v>14313.85</v>
      </c>
      <c r="P706" s="5" t="str">
        <f t="shared" ref="P706:P769" si="4226">VLOOKUP($A706,hospital_details,6,0)</f>
        <v>tier - 2</v>
      </c>
      <c r="Q706" s="5" t="str">
        <f t="shared" ref="Q706:Q769" si="4227">VLOOKUP($A706,hospital_details,7,0)</f>
        <v>tier - 3</v>
      </c>
      <c r="R706" s="5" t="str">
        <f t="shared" ref="R706:R769" si="4228">VLOOKUP($A706,hospital_details,8,0)</f>
        <v>R1013</v>
      </c>
    </row>
    <row r="707" spans="1:18" ht="14.4" customHeight="1" x14ac:dyDescent="0.3">
      <c r="A707" s="7" t="s">
        <v>727</v>
      </c>
      <c r="B707" s="7" t="str">
        <f>VLOOKUP($A707,[1]!Customer_Names[#Data],3,0)</f>
        <v xml:space="preserve">  Bruno F</v>
      </c>
      <c r="C707" s="7">
        <v>37.85</v>
      </c>
      <c r="D707" s="7" t="str" cm="1">
        <f t="array" ref="D707">_xlfn.IFS(Healthcare!$C707&lt;18.5,"under weight",Healthcare!$C707&lt;=24.9,"Normal Weight",Healthcare!$C707&gt;=25,"overweight",Healthcare!$C707&gt;=30,"obese")</f>
        <v>overweight</v>
      </c>
      <c r="E707" s="7">
        <v>11.01</v>
      </c>
      <c r="F707" s="7" t="str" cm="1">
        <f t="array" ref="F707">_xlfn.IFS(Healthcare!$E707&lt;5.7,"normal",Healthcare!$E707&lt;=6.4,"prediabetes",Healthcare!$E707&gt;=6.5,"diabetes")</f>
        <v>diabetes</v>
      </c>
      <c r="G707" s="7" t="s">
        <v>19</v>
      </c>
      <c r="H707" s="7" t="s">
        <v>19</v>
      </c>
      <c r="I707" s="7" t="s">
        <v>19</v>
      </c>
      <c r="J707" s="7">
        <v>0</v>
      </c>
      <c r="K707" s="7" t="s">
        <v>19</v>
      </c>
      <c r="L707" s="7" t="str">
        <f>VLOOKUP(Healthcare!$A707,hospital_details,2,0)</f>
        <v>15-Dec-1968</v>
      </c>
      <c r="M707" s="7">
        <f t="shared" ref="M707:M770" ca="1" si="4229">VLOOKUP(A707,hospital_details,3,0)</f>
        <v>57</v>
      </c>
      <c r="N707" s="7">
        <f t="shared" ref="N707:N770" si="4230">VLOOKUP($A707,hospital_details,4,0)</f>
        <v>0</v>
      </c>
      <c r="O707" s="8">
        <f t="shared" ref="O707:O770" si="4231">VLOOKUP($A707,hospital_details,5,0)</f>
        <v>14285.9</v>
      </c>
      <c r="P707" s="7" t="str">
        <f t="shared" ref="P707:P770" si="4232">VLOOKUP($A707,hospital_details,6,0)</f>
        <v>tier - 2</v>
      </c>
      <c r="Q707" s="7" t="str">
        <f t="shared" ref="Q707:Q770" si="4233">VLOOKUP($A707,hospital_details,7,0)</f>
        <v>tier - 3</v>
      </c>
      <c r="R707" s="7" t="str">
        <f t="shared" ref="R707:R770" si="4234">VLOOKUP($A707,hospital_details,8,0)</f>
        <v>R1012</v>
      </c>
    </row>
    <row r="708" spans="1:18" ht="14.4" customHeight="1" x14ac:dyDescent="0.3">
      <c r="A708" s="5" t="s">
        <v>728</v>
      </c>
      <c r="B708" s="5" t="str">
        <f>VLOOKUP($A708,[1]!Customer_Names[#Data],3,0)</f>
        <v xml:space="preserve">  Emily</v>
      </c>
      <c r="C708" s="5">
        <v>21.66</v>
      </c>
      <c r="D708" s="5" t="str" cm="1">
        <f t="array" ref="D708">_xlfn.IFS(Healthcare!$C708&lt;18.5,"under weight",Healthcare!$C708&lt;=24.9,"Normal Weight",Healthcare!$C708&gt;=25,"overweight",Healthcare!$C708&gt;=30,"obese")</f>
        <v>Normal Weight</v>
      </c>
      <c r="E708" s="5">
        <v>4.37</v>
      </c>
      <c r="F708" s="5" t="str" cm="1">
        <f t="array" ref="F708">_xlfn.IFS(Healthcare!$E708&lt;5.7,"normal",Healthcare!$E708&lt;=6.4,"prediabetes",Healthcare!$E708&gt;=6.5,"diabetes")</f>
        <v>normal</v>
      </c>
      <c r="G708" s="5" t="s">
        <v>19</v>
      </c>
      <c r="H708" s="5" t="s">
        <v>20</v>
      </c>
      <c r="I708" s="5" t="s">
        <v>19</v>
      </c>
      <c r="J708" s="5">
        <v>1</v>
      </c>
      <c r="K708" s="5" t="s">
        <v>20</v>
      </c>
      <c r="L708" s="5" t="str">
        <f>VLOOKUP(Healthcare!$A708,hospital_details,2,0)</f>
        <v>6-Sep-2004</v>
      </c>
      <c r="M708" s="5">
        <f t="shared" ref="M708:M771" ca="1" si="4235">VLOOKUP(A708,hospital_details,3,0)</f>
        <v>22</v>
      </c>
      <c r="N708" s="5">
        <f t="shared" ref="N708:N771" si="4236">VLOOKUP($A708,hospital_details,4,0)</f>
        <v>0</v>
      </c>
      <c r="O708" s="6">
        <f t="shared" ref="O708:O771" si="4237">VLOOKUP($A708,hospital_details,5,0)</f>
        <v>14283.46</v>
      </c>
      <c r="P708" s="5" t="str">
        <f t="shared" ref="P708:P771" si="4238">VLOOKUP($A708,hospital_details,6,0)</f>
        <v>tier - 2</v>
      </c>
      <c r="Q708" s="5" t="str">
        <f t="shared" ref="Q708:Q771" si="4239">VLOOKUP($A708,hospital_details,7,0)</f>
        <v>tier - 2</v>
      </c>
      <c r="R708" s="5" t="str">
        <f t="shared" ref="R708:R771" si="4240">VLOOKUP($A708,hospital_details,8,0)</f>
        <v>R1024</v>
      </c>
    </row>
    <row r="709" spans="1:18" ht="14.4" customHeight="1" x14ac:dyDescent="0.3">
      <c r="A709" s="7" t="s">
        <v>729</v>
      </c>
      <c r="B709" s="7" t="str">
        <f>VLOOKUP($A709,[1]!Customer_Names[#Data],3,0)</f>
        <v xml:space="preserve">  Katie</v>
      </c>
      <c r="C709" s="7">
        <v>39.369999999999997</v>
      </c>
      <c r="D709" s="7" t="str" cm="1">
        <f t="array" ref="D709">_xlfn.IFS(Healthcare!$C709&lt;18.5,"under weight",Healthcare!$C709&lt;=24.9,"Normal Weight",Healthcare!$C709&gt;=25,"overweight",Healthcare!$C709&gt;=30,"obese")</f>
        <v>overweight</v>
      </c>
      <c r="E709" s="7">
        <v>5.91</v>
      </c>
      <c r="F709" s="7" t="str" cm="1">
        <f t="array" ref="F709">_xlfn.IFS(Healthcare!$E709&lt;5.7,"normal",Healthcare!$E709&lt;=6.4,"prediabetes",Healthcare!$E709&gt;=6.5,"diabetes")</f>
        <v>prediabetes</v>
      </c>
      <c r="G709" s="7" t="s">
        <v>19</v>
      </c>
      <c r="H709" s="7" t="s">
        <v>19</v>
      </c>
      <c r="I709" s="7" t="s">
        <v>19</v>
      </c>
      <c r="J709" s="7">
        <v>2</v>
      </c>
      <c r="K709" s="7" t="s">
        <v>19</v>
      </c>
      <c r="L709" s="7" t="str">
        <f>VLOOKUP(Healthcare!$A709,hospital_details,2,0)</f>
        <v>13-Jul-1972</v>
      </c>
      <c r="M709" s="7">
        <f t="shared" ref="M709:M772" ca="1" si="4241">VLOOKUP(A709,hospital_details,3,0)</f>
        <v>54</v>
      </c>
      <c r="N709" s="7">
        <f t="shared" ref="N709:N772" si="4242">VLOOKUP($A709,hospital_details,4,0)</f>
        <v>0</v>
      </c>
      <c r="O709" s="8">
        <f t="shared" ref="O709:O772" si="4243">VLOOKUP($A709,hospital_details,5,0)</f>
        <v>14258.33</v>
      </c>
      <c r="P709" s="7" t="str">
        <f t="shared" ref="P709:P772" si="4244">VLOOKUP($A709,hospital_details,6,0)</f>
        <v>tier - 2</v>
      </c>
      <c r="Q709" s="7" t="str">
        <f t="shared" ref="Q709:Q772" si="4245">VLOOKUP($A709,hospital_details,7,0)</f>
        <v>tier - 2</v>
      </c>
      <c r="R709" s="7" t="str">
        <f t="shared" ref="R709:R772" si="4246">VLOOKUP($A709,hospital_details,8,0)</f>
        <v>R1026</v>
      </c>
    </row>
    <row r="710" spans="1:18" ht="14.4" customHeight="1" x14ac:dyDescent="0.3">
      <c r="A710" s="5" t="s">
        <v>730</v>
      </c>
      <c r="B710" s="5" t="str">
        <f>VLOOKUP($A710,[1]!Customer_Names[#Data],3,0)</f>
        <v xml:space="preserve">  Sally</v>
      </c>
      <c r="C710" s="5">
        <v>40.880000000000003</v>
      </c>
      <c r="D710" s="5" t="str" cm="1">
        <f t="array" ref="D710">_xlfn.IFS(Healthcare!$C710&lt;18.5,"under weight",Healthcare!$C710&lt;=24.9,"Normal Weight",Healthcare!$C710&gt;=25,"overweight",Healthcare!$C710&gt;=30,"obese")</f>
        <v>overweight</v>
      </c>
      <c r="E710" s="5">
        <v>7.65</v>
      </c>
      <c r="F710" s="5" t="str" cm="1">
        <f t="array" ref="F710">_xlfn.IFS(Healthcare!$E710&lt;5.7,"normal",Healthcare!$E710&lt;=6.4,"prediabetes",Healthcare!$E710&gt;=6.5,"diabetes")</f>
        <v>diabetes</v>
      </c>
      <c r="G710" s="5" t="s">
        <v>19</v>
      </c>
      <c r="H710" s="5" t="s">
        <v>19</v>
      </c>
      <c r="I710" s="5" t="s">
        <v>19</v>
      </c>
      <c r="J710" s="5">
        <v>0</v>
      </c>
      <c r="K710" s="5" t="s">
        <v>19</v>
      </c>
      <c r="L710" s="5" t="str">
        <f>VLOOKUP(Healthcare!$A710,hospital_details,2,0)</f>
        <v>26-Dec-1974</v>
      </c>
      <c r="M710" s="5">
        <f t="shared" ref="M710:M773" ca="1" si="4247">VLOOKUP(A710,hospital_details,3,0)</f>
        <v>51</v>
      </c>
      <c r="N710" s="5">
        <f t="shared" ref="N710:N773" si="4248">VLOOKUP($A710,hospital_details,4,0)</f>
        <v>0</v>
      </c>
      <c r="O710" s="6">
        <f t="shared" ref="O710:O773" si="4249">VLOOKUP($A710,hospital_details,5,0)</f>
        <v>14256.79</v>
      </c>
      <c r="P710" s="5" t="str">
        <f t="shared" ref="P710:P773" si="4250">VLOOKUP($A710,hospital_details,6,0)</f>
        <v>tier - 2</v>
      </c>
      <c r="Q710" s="5" t="str">
        <f t="shared" ref="Q710:Q773" si="4251">VLOOKUP($A710,hospital_details,7,0)</f>
        <v>tier - 2</v>
      </c>
      <c r="R710" s="5" t="str">
        <f t="shared" ref="R710:R773" si="4252">VLOOKUP($A710,hospital_details,8,0)</f>
        <v>R1026</v>
      </c>
    </row>
    <row r="711" spans="1:18" ht="14.4" customHeight="1" x14ac:dyDescent="0.3">
      <c r="A711" s="7" t="s">
        <v>731</v>
      </c>
      <c r="B711" s="7" t="str">
        <f>VLOOKUP($A711,[1]!Customer_Names[#Data],3,0)</f>
        <v xml:space="preserve">  Meaghan J</v>
      </c>
      <c r="C711" s="7">
        <v>26.22</v>
      </c>
      <c r="D711" s="7" t="str" cm="1">
        <f t="array" ref="D711">_xlfn.IFS(Healthcare!$C711&lt;18.5,"under weight",Healthcare!$C711&lt;=24.9,"Normal Weight",Healthcare!$C711&gt;=25,"overweight",Healthcare!$C711&gt;=30,"obese")</f>
        <v>overweight</v>
      </c>
      <c r="E711" s="7">
        <v>5.37</v>
      </c>
      <c r="F711" s="7" t="str" cm="1">
        <f t="array" ref="F711">_xlfn.IFS(Healthcare!$E711&lt;5.7,"normal",Healthcare!$E711&lt;=6.4,"prediabetes",Healthcare!$E711&gt;=6.5,"diabetes")</f>
        <v>normal</v>
      </c>
      <c r="G711" s="7" t="s">
        <v>20</v>
      </c>
      <c r="H711" s="7" t="s">
        <v>19</v>
      </c>
      <c r="I711" s="7" t="s">
        <v>19</v>
      </c>
      <c r="J711" s="7">
        <v>2</v>
      </c>
      <c r="K711" s="7" t="s">
        <v>19</v>
      </c>
      <c r="L711" s="7" t="str">
        <f>VLOOKUP(Healthcare!$A711,hospital_details,2,0)</f>
        <v>8-Nov-1959</v>
      </c>
      <c r="M711" s="7">
        <f t="shared" ref="M711:M774" ca="1" si="4253">VLOOKUP(A711,hospital_details,3,0)</f>
        <v>66</v>
      </c>
      <c r="N711" s="7">
        <f t="shared" ref="N711:N774" si="4254">VLOOKUP($A711,hospital_details,4,0)</f>
        <v>0</v>
      </c>
      <c r="O711" s="8">
        <f t="shared" ref="O711:O774" si="4255">VLOOKUP($A711,hospital_details,5,0)</f>
        <v>14256.19</v>
      </c>
      <c r="P711" s="7" t="str">
        <f t="shared" ref="P711:P774" si="4256">VLOOKUP($A711,hospital_details,6,0)</f>
        <v>tier - 2</v>
      </c>
      <c r="Q711" s="7" t="str">
        <f t="shared" ref="Q711:Q774" si="4257">VLOOKUP($A711,hospital_details,7,0)</f>
        <v>tier - 3</v>
      </c>
      <c r="R711" s="7" t="str">
        <f t="shared" ref="R711:R774" si="4258">VLOOKUP($A711,hospital_details,8,0)</f>
        <v>R1012</v>
      </c>
    </row>
    <row r="712" spans="1:18" ht="14.4" customHeight="1" x14ac:dyDescent="0.3">
      <c r="A712" s="5" t="s">
        <v>732</v>
      </c>
      <c r="B712" s="5" t="str">
        <f>VLOOKUP($A712,[1]!Customer_Names[#Data],3,0)</f>
        <v xml:space="preserve">  Rina</v>
      </c>
      <c r="C712" s="5">
        <v>25.08</v>
      </c>
      <c r="D712" s="5" t="str" cm="1">
        <f t="array" ref="D712">_xlfn.IFS(Healthcare!$C712&lt;18.5,"under weight",Healthcare!$C712&lt;=24.9,"Normal Weight",Healthcare!$C712&gt;=25,"overweight",Healthcare!$C712&gt;=30,"obese")</f>
        <v>overweight</v>
      </c>
      <c r="E712" s="5">
        <v>5.75</v>
      </c>
      <c r="F712" s="5" t="str" cm="1">
        <f t="array" ref="F712">_xlfn.IFS(Healthcare!$E712&lt;5.7,"normal",Healthcare!$E712&lt;=6.4,"prediabetes",Healthcare!$E712&gt;=6.5,"diabetes")</f>
        <v>prediabetes</v>
      </c>
      <c r="G712" s="5" t="s">
        <v>20</v>
      </c>
      <c r="H712" s="5" t="s">
        <v>19</v>
      </c>
      <c r="I712" s="5" t="s">
        <v>19</v>
      </c>
      <c r="J712" s="5">
        <v>2</v>
      </c>
      <c r="K712" s="5" t="s">
        <v>19</v>
      </c>
      <c r="L712" s="5" t="str">
        <f>VLOOKUP(Healthcare!$A712,hospital_details,2,0)</f>
        <v>10-Oct-1959</v>
      </c>
      <c r="M712" s="5">
        <f t="shared" ref="M712:M775" ca="1" si="4259">VLOOKUP(A712,hospital_details,3,0)</f>
        <v>67</v>
      </c>
      <c r="N712" s="5">
        <f t="shared" ref="N712:N775" si="4260">VLOOKUP($A712,hospital_details,4,0)</f>
        <v>0</v>
      </c>
      <c r="O712" s="6">
        <f t="shared" ref="O712:O775" si="4261">VLOOKUP($A712,hospital_details,5,0)</f>
        <v>14254.61</v>
      </c>
      <c r="P712" s="5" t="str">
        <f t="shared" ref="P712:P775" si="4262">VLOOKUP($A712,hospital_details,6,0)</f>
        <v>tier - 2</v>
      </c>
      <c r="Q712" s="5" t="str">
        <f t="shared" ref="Q712:Q775" si="4263">VLOOKUP($A712,hospital_details,7,0)</f>
        <v>tier - 1</v>
      </c>
      <c r="R712" s="5" t="str">
        <f t="shared" ref="R712:R775" si="4264">VLOOKUP($A712,hospital_details,8,0)</f>
        <v>R1012</v>
      </c>
    </row>
    <row r="713" spans="1:18" ht="14.4" customHeight="1" x14ac:dyDescent="0.3">
      <c r="A713" s="7" t="s">
        <v>733</v>
      </c>
      <c r="B713" s="7" t="str">
        <f>VLOOKUP($A713,[1]!Customer_Names[#Data],3,0)</f>
        <v xml:space="preserve">  Kristin P</v>
      </c>
      <c r="C713" s="7">
        <v>39.1</v>
      </c>
      <c r="D713" s="7" t="str" cm="1">
        <f t="array" ref="D713">_xlfn.IFS(Healthcare!$C713&lt;18.5,"under weight",Healthcare!$C713&lt;=24.9,"Normal Weight",Healthcare!$C713&gt;=25,"overweight",Healthcare!$C713&gt;=30,"obese")</f>
        <v>overweight</v>
      </c>
      <c r="E713" s="7">
        <v>6.79</v>
      </c>
      <c r="F713" s="7" t="str" cm="1">
        <f t="array" ref="F713">_xlfn.IFS(Healthcare!$E713&lt;5.7,"normal",Healthcare!$E713&lt;=6.4,"prediabetes",Healthcare!$E713&gt;=6.5,"diabetes")</f>
        <v>diabetes</v>
      </c>
      <c r="G713" s="7" t="s">
        <v>20</v>
      </c>
      <c r="H713" s="7" t="s">
        <v>19</v>
      </c>
      <c r="I713" s="7" t="s">
        <v>19</v>
      </c>
      <c r="J713" s="7">
        <v>2</v>
      </c>
      <c r="K713" s="7" t="s">
        <v>19</v>
      </c>
      <c r="L713" s="7" t="str">
        <f>VLOOKUP(Healthcare!$A713,hospital_details,2,0)</f>
        <v>25-Sep-1961</v>
      </c>
      <c r="M713" s="7">
        <f t="shared" ref="M713:M776" ca="1" si="4265">VLOOKUP(A713,hospital_details,3,0)</f>
        <v>65</v>
      </c>
      <c r="N713" s="7">
        <f t="shared" ref="N713:N776" si="4266">VLOOKUP($A713,hospital_details,4,0)</f>
        <v>2</v>
      </c>
      <c r="O713" s="8">
        <f t="shared" ref="O713:O776" si="4267">VLOOKUP($A713,hospital_details,5,0)</f>
        <v>14235.07</v>
      </c>
      <c r="P713" s="7" t="str">
        <f t="shared" ref="P713:P776" si="4268">VLOOKUP($A713,hospital_details,6,0)</f>
        <v>tier - 2</v>
      </c>
      <c r="Q713" s="7" t="str">
        <f t="shared" ref="Q713:Q776" si="4269">VLOOKUP($A713,hospital_details,7,0)</f>
        <v>tier - 1</v>
      </c>
      <c r="R713" s="7" t="str">
        <f t="shared" ref="R713:R776" si="4270">VLOOKUP($A713,hospital_details,8,0)</f>
        <v>R1011</v>
      </c>
    </row>
    <row r="714" spans="1:18" ht="14.4" customHeight="1" x14ac:dyDescent="0.3">
      <c r="A714" s="5" t="s">
        <v>734</v>
      </c>
      <c r="B714" s="5" t="str">
        <f>VLOOKUP($A714,[1]!Customer_Names[#Data],3,0)</f>
        <v xml:space="preserve">  Albert</v>
      </c>
      <c r="C714" s="5">
        <v>37.905000000000001</v>
      </c>
      <c r="D714" s="5" t="str" cm="1">
        <f t="array" ref="D714">_xlfn.IFS(Healthcare!$C714&lt;18.5,"under weight",Healthcare!$C714&lt;=24.9,"Normal Weight",Healthcare!$C714&gt;=25,"overweight",Healthcare!$C714&gt;=30,"obese")</f>
        <v>overweight</v>
      </c>
      <c r="E714" s="5">
        <v>7.03</v>
      </c>
      <c r="F714" s="5" t="str" cm="1">
        <f t="array" ref="F714">_xlfn.IFS(Healthcare!$E714&lt;5.7,"normal",Healthcare!$E714&lt;=6.4,"prediabetes",Healthcare!$E714&gt;=6.5,"diabetes")</f>
        <v>diabetes</v>
      </c>
      <c r="G714" s="5" t="s">
        <v>19</v>
      </c>
      <c r="H714" s="5" t="s">
        <v>19</v>
      </c>
      <c r="I714" s="5" t="s">
        <v>19</v>
      </c>
      <c r="J714" s="5">
        <v>3</v>
      </c>
      <c r="K714" s="5" t="s">
        <v>19</v>
      </c>
      <c r="L714" s="5" t="str">
        <f>VLOOKUP(Healthcare!$A714,hospital_details,2,0)</f>
        <v>21-Sep-1958</v>
      </c>
      <c r="M714" s="5">
        <f t="shared" ref="M714:M777" ca="1" si="4271">VLOOKUP(A714,hospital_details,3,0)</f>
        <v>68</v>
      </c>
      <c r="N714" s="5">
        <f t="shared" ref="N714:N777" si="4272">VLOOKUP($A714,hospital_details,4,0)</f>
        <v>0</v>
      </c>
      <c r="O714" s="6">
        <f t="shared" ref="O714:O777" si="4273">VLOOKUP($A714,hospital_details,5,0)</f>
        <v>14210.54</v>
      </c>
      <c r="P714" s="5" t="str">
        <f t="shared" ref="P714:P777" si="4274">VLOOKUP($A714,hospital_details,6,0)</f>
        <v>tier - 2</v>
      </c>
      <c r="Q714" s="5" t="str">
        <f t="shared" ref="Q714:Q777" si="4275">VLOOKUP($A714,hospital_details,7,0)</f>
        <v>tier - 2</v>
      </c>
      <c r="R714" s="5" t="str">
        <f t="shared" ref="R714:R777" si="4276">VLOOKUP($A714,hospital_details,8,0)</f>
        <v>R1012</v>
      </c>
    </row>
    <row r="715" spans="1:18" ht="14.4" customHeight="1" x14ac:dyDescent="0.3">
      <c r="A715" s="7" t="s">
        <v>735</v>
      </c>
      <c r="B715" s="7" t="str">
        <f>VLOOKUP($A715,[1]!Customer_Names[#Data],3,0)</f>
        <v xml:space="preserve">  Ashley</v>
      </c>
      <c r="C715" s="7">
        <v>43.35</v>
      </c>
      <c r="D715" s="7" t="str" cm="1">
        <f t="array" ref="D715">_xlfn.IFS(Healthcare!$C715&lt;18.5,"under weight",Healthcare!$C715&lt;=24.9,"Normal Weight",Healthcare!$C715&gt;=25,"overweight",Healthcare!$C715&gt;=30,"obese")</f>
        <v>overweight</v>
      </c>
      <c r="E715" s="7">
        <v>5.41</v>
      </c>
      <c r="F715" s="7" t="str" cm="1">
        <f t="array" ref="F715">_xlfn.IFS(Healthcare!$E715&lt;5.7,"normal",Healthcare!$E715&lt;=6.4,"prediabetes",Healthcare!$E715&gt;=6.5,"diabetes")</f>
        <v>normal</v>
      </c>
      <c r="G715" s="7" t="s">
        <v>20</v>
      </c>
      <c r="H715" s="7" t="s">
        <v>19</v>
      </c>
      <c r="I715" s="7" t="s">
        <v>29</v>
      </c>
      <c r="J715" s="7">
        <v>1</v>
      </c>
      <c r="K715" s="7" t="s">
        <v>19</v>
      </c>
      <c r="L715" s="7" t="str">
        <f>VLOOKUP(Healthcare!$A715,hospital_details,2,0)</f>
        <v>17-Nov-1983</v>
      </c>
      <c r="M715" s="7">
        <f t="shared" ref="M715:M778" ca="1" si="4277">VLOOKUP(A715,hospital_details,3,0)</f>
        <v>42</v>
      </c>
      <c r="N715" s="7">
        <f t="shared" ref="N715:N778" si="4278">VLOOKUP($A715,hospital_details,4,0)</f>
        <v>3</v>
      </c>
      <c r="O715" s="8">
        <f t="shared" ref="O715:O778" si="4279">VLOOKUP($A715,hospital_details,5,0)</f>
        <v>14209.4</v>
      </c>
      <c r="P715" s="7" t="str">
        <f t="shared" ref="P715:P778" si="4280">VLOOKUP($A715,hospital_details,6,0)</f>
        <v>tier - 2</v>
      </c>
      <c r="Q715" s="7" t="str">
        <f t="shared" ref="Q715:Q778" si="4281">VLOOKUP($A715,hospital_details,7,0)</f>
        <v>tier - 1</v>
      </c>
      <c r="R715" s="7" t="str">
        <f t="shared" ref="R715:R778" si="4282">VLOOKUP($A715,hospital_details,8,0)</f>
        <v>R1026</v>
      </c>
    </row>
    <row r="716" spans="1:18" ht="14.4" customHeight="1" x14ac:dyDescent="0.3">
      <c r="A716" s="5" t="s">
        <v>736</v>
      </c>
      <c r="B716" s="5" t="str">
        <f>VLOOKUP($A716,[1]!Customer_Names[#Data],3,0)</f>
        <v xml:space="preserve">  Shannon L</v>
      </c>
      <c r="C716" s="5">
        <v>36.15</v>
      </c>
      <c r="D716" s="5" t="str" cm="1">
        <f t="array" ref="D716">_xlfn.IFS(Healthcare!$C716&lt;18.5,"under weight",Healthcare!$C716&lt;=24.9,"Normal Weight",Healthcare!$C716&gt;=25,"overweight",Healthcare!$C716&gt;=30,"obese")</f>
        <v>overweight</v>
      </c>
      <c r="E716" s="5">
        <v>8.0500000000000007</v>
      </c>
      <c r="F716" s="5" t="str" cm="1">
        <f t="array" ref="F716">_xlfn.IFS(Healthcare!$E716&lt;5.7,"normal",Healthcare!$E716&lt;=6.4,"prediabetes",Healthcare!$E716&gt;=6.5,"diabetes")</f>
        <v>diabetes</v>
      </c>
      <c r="G716" s="5" t="s">
        <v>19</v>
      </c>
      <c r="H716" s="5" t="s">
        <v>19</v>
      </c>
      <c r="I716" s="5" t="s">
        <v>19</v>
      </c>
      <c r="J716" s="5">
        <v>0</v>
      </c>
      <c r="K716" s="5" t="s">
        <v>19</v>
      </c>
      <c r="L716" s="5" t="str">
        <f>VLOOKUP(Healthcare!$A716,hospital_details,2,0)</f>
        <v>25-Dec-1968</v>
      </c>
      <c r="M716" s="5">
        <f t="shared" ref="M716:M779" ca="1" si="4283">VLOOKUP(A716,hospital_details,3,0)</f>
        <v>57</v>
      </c>
      <c r="N716" s="5">
        <f t="shared" ref="N716:N779" si="4284">VLOOKUP($A716,hospital_details,4,0)</f>
        <v>0</v>
      </c>
      <c r="O716" s="6">
        <f t="shared" ref="O716:O779" si="4285">VLOOKUP($A716,hospital_details,5,0)</f>
        <v>14193.55</v>
      </c>
      <c r="P716" s="5" t="str">
        <f t="shared" ref="P716:P779" si="4286">VLOOKUP($A716,hospital_details,6,0)</f>
        <v>tier - 2</v>
      </c>
      <c r="Q716" s="5" t="str">
        <f t="shared" ref="Q716:Q779" si="4287">VLOOKUP($A716,hospital_details,7,0)</f>
        <v>tier - 1</v>
      </c>
      <c r="R716" s="5" t="str">
        <f t="shared" ref="R716:R779" si="4288">VLOOKUP($A716,hospital_details,8,0)</f>
        <v>R1026</v>
      </c>
    </row>
    <row r="717" spans="1:18" ht="14.4" customHeight="1" x14ac:dyDescent="0.3">
      <c r="A717" s="7" t="s">
        <v>737</v>
      </c>
      <c r="B717" s="7" t="str">
        <f>VLOOKUP($A717,[1]!Customer_Names[#Data],3,0)</f>
        <v xml:space="preserve">  Amy B</v>
      </c>
      <c r="C717" s="7">
        <v>44.98</v>
      </c>
      <c r="D717" s="7" t="str" cm="1">
        <f t="array" ref="D717">_xlfn.IFS(Healthcare!$C717&lt;18.5,"under weight",Healthcare!$C717&lt;=24.9,"Normal Weight",Healthcare!$C717&gt;=25,"overweight",Healthcare!$C717&gt;=30,"obese")</f>
        <v>overweight</v>
      </c>
      <c r="E717" s="7">
        <v>5.94</v>
      </c>
      <c r="F717" s="7" t="str" cm="1">
        <f t="array" ref="F717">_xlfn.IFS(Healthcare!$E717&lt;5.7,"normal",Healthcare!$E717&lt;=6.4,"prediabetes",Healthcare!$E717&gt;=6.5,"diabetes")</f>
        <v>prediabetes</v>
      </c>
      <c r="G717" s="7" t="s">
        <v>19</v>
      </c>
      <c r="H717" s="7" t="s">
        <v>19</v>
      </c>
      <c r="I717" s="7" t="s">
        <v>19</v>
      </c>
      <c r="J717" s="7">
        <v>1</v>
      </c>
      <c r="K717" s="7" t="s">
        <v>19</v>
      </c>
      <c r="L717" s="7" t="str">
        <f>VLOOKUP(Healthcare!$A717,hospital_details,2,0)</f>
        <v>7-Jul-1984</v>
      </c>
      <c r="M717" s="7">
        <f t="shared" ref="M717:M780" ca="1" si="4289">VLOOKUP(A717,hospital_details,3,0)</f>
        <v>42</v>
      </c>
      <c r="N717" s="7">
        <f t="shared" ref="N717:N780" si="4290">VLOOKUP($A717,hospital_details,4,0)</f>
        <v>3</v>
      </c>
      <c r="O717" s="8">
        <f t="shared" ref="O717:O780" si="4291">VLOOKUP($A717,hospital_details,5,0)</f>
        <v>14152.46</v>
      </c>
      <c r="P717" s="7" t="str">
        <f t="shared" ref="P717:P780" si="4292">VLOOKUP($A717,hospital_details,6,0)</f>
        <v>tier - 2</v>
      </c>
      <c r="Q717" s="7" t="str">
        <f t="shared" ref="Q717:Q780" si="4293">VLOOKUP($A717,hospital_details,7,0)</f>
        <v>tier - 1</v>
      </c>
      <c r="R717" s="7" t="str">
        <f t="shared" ref="R717:R780" si="4294">VLOOKUP($A717,hospital_details,8,0)</f>
        <v>R1012</v>
      </c>
    </row>
    <row r="718" spans="1:18" ht="14.4" customHeight="1" x14ac:dyDescent="0.3">
      <c r="A718" s="5" t="s">
        <v>738</v>
      </c>
      <c r="B718" s="5" t="str">
        <f>VLOOKUP($A718,[1]!Customer_Names[#Data],3,0)</f>
        <v xml:space="preserve">  A Danielle</v>
      </c>
      <c r="C718" s="5">
        <v>38.28</v>
      </c>
      <c r="D718" s="5" t="str" cm="1">
        <f t="array" ref="D718">_xlfn.IFS(Healthcare!$C718&lt;18.5,"under weight",Healthcare!$C718&lt;=24.9,"Normal Weight",Healthcare!$C718&gt;=25,"overweight",Healthcare!$C718&gt;=30,"obese")</f>
        <v>overweight</v>
      </c>
      <c r="E718" s="5">
        <v>5.51</v>
      </c>
      <c r="F718" s="5" t="str" cm="1">
        <f t="array" ref="F718">_xlfn.IFS(Healthcare!$E718&lt;5.7,"normal",Healthcare!$E718&lt;=6.4,"prediabetes",Healthcare!$E718&gt;=6.5,"diabetes")</f>
        <v>normal</v>
      </c>
      <c r="G718" s="5" t="s">
        <v>19</v>
      </c>
      <c r="H718" s="5" t="s">
        <v>20</v>
      </c>
      <c r="I718" s="5" t="s">
        <v>19</v>
      </c>
      <c r="J718" s="5">
        <v>1</v>
      </c>
      <c r="K718" s="5" t="s">
        <v>19</v>
      </c>
      <c r="L718" s="5" t="str">
        <f>VLOOKUP(Healthcare!$A718,hospital_details,2,0)</f>
        <v>6-Jul-2004</v>
      </c>
      <c r="M718" s="5">
        <f t="shared" ref="M718:M781" ca="1" si="4295">VLOOKUP(A718,hospital_details,3,0)</f>
        <v>22</v>
      </c>
      <c r="N718" s="5">
        <f t="shared" ref="N718:N781" si="4296">VLOOKUP($A718,hospital_details,4,0)</f>
        <v>0</v>
      </c>
      <c r="O718" s="6">
        <f t="shared" ref="O718:O781" si="4297">VLOOKUP($A718,hospital_details,5,0)</f>
        <v>14133.04</v>
      </c>
      <c r="P718" s="5" t="str">
        <f t="shared" ref="P718:P781" si="4298">VLOOKUP($A718,hospital_details,6,0)</f>
        <v>tier - 2</v>
      </c>
      <c r="Q718" s="5" t="str">
        <f t="shared" ref="Q718:Q781" si="4299">VLOOKUP($A718,hospital_details,7,0)</f>
        <v>tier - 3</v>
      </c>
      <c r="R718" s="5" t="str">
        <f t="shared" ref="R718:R781" si="4300">VLOOKUP($A718,hospital_details,8,0)</f>
        <v>R1013</v>
      </c>
    </row>
    <row r="719" spans="1:18" ht="14.4" customHeight="1" x14ac:dyDescent="0.3">
      <c r="A719" s="7" t="s">
        <v>739</v>
      </c>
      <c r="B719" s="7" t="str">
        <f>VLOOKUP($A719,[1]!Customer_Names[#Data],3,0)</f>
        <v xml:space="preserve">  Conrad F</v>
      </c>
      <c r="C719" s="7">
        <v>32.299999999999997</v>
      </c>
      <c r="D719" s="7" t="str" cm="1">
        <f t="array" ref="D719">_xlfn.IFS(Healthcare!$C719&lt;18.5,"under weight",Healthcare!$C719&lt;=24.9,"Normal Weight",Healthcare!$C719&gt;=25,"overweight",Healthcare!$C719&gt;=30,"obese")</f>
        <v>overweight</v>
      </c>
      <c r="E719" s="7">
        <v>6.55</v>
      </c>
      <c r="F719" s="7" t="str" cm="1">
        <f t="array" ref="F719">_xlfn.IFS(Healthcare!$E719&lt;5.7,"normal",Healthcare!$E719&lt;=6.4,"prediabetes",Healthcare!$E719&gt;=6.5,"diabetes")</f>
        <v>diabetes</v>
      </c>
      <c r="G719" s="7" t="s">
        <v>20</v>
      </c>
      <c r="H719" s="7" t="s">
        <v>19</v>
      </c>
      <c r="I719" s="7" t="s">
        <v>19</v>
      </c>
      <c r="J719" s="7">
        <v>2</v>
      </c>
      <c r="K719" s="7" t="s">
        <v>19</v>
      </c>
      <c r="L719" s="7" t="str">
        <f>VLOOKUP(Healthcare!$A719,hospital_details,2,0)</f>
        <v>14-Jun-1961</v>
      </c>
      <c r="M719" s="7">
        <f t="shared" ref="M719:M782" ca="1" si="4301">VLOOKUP(A719,hospital_details,3,0)</f>
        <v>65</v>
      </c>
      <c r="N719" s="7">
        <f t="shared" ref="N719:N782" si="4302">VLOOKUP($A719,hospital_details,4,0)</f>
        <v>2</v>
      </c>
      <c r="O719" s="8">
        <f t="shared" ref="O719:O782" si="4303">VLOOKUP($A719,hospital_details,5,0)</f>
        <v>14119.62</v>
      </c>
      <c r="P719" s="7" t="str">
        <f t="shared" ref="P719:P782" si="4304">VLOOKUP($A719,hospital_details,6,0)</f>
        <v>tier - 2</v>
      </c>
      <c r="Q719" s="7" t="str">
        <f t="shared" ref="Q719:Q782" si="4305">VLOOKUP($A719,hospital_details,7,0)</f>
        <v>tier - 1</v>
      </c>
      <c r="R719" s="7" t="str">
        <f t="shared" ref="R719:R782" si="4306">VLOOKUP($A719,hospital_details,8,0)</f>
        <v>R1012</v>
      </c>
    </row>
    <row r="720" spans="1:18" ht="14.4" customHeight="1" x14ac:dyDescent="0.3">
      <c r="A720" s="5" t="s">
        <v>740</v>
      </c>
      <c r="B720" s="5" t="str">
        <f>VLOOKUP($A720,[1]!Customer_Names[#Data],3,0)</f>
        <v xml:space="preserve">  Josh</v>
      </c>
      <c r="C720" s="5">
        <v>39.51</v>
      </c>
      <c r="D720" s="5" t="str" cm="1">
        <f t="array" ref="D720">_xlfn.IFS(Healthcare!$C720&lt;18.5,"under weight",Healthcare!$C720&lt;=24.9,"Normal Weight",Healthcare!$C720&gt;=25,"overweight",Healthcare!$C720&gt;=30,"obese")</f>
        <v>overweight</v>
      </c>
      <c r="E720" s="5">
        <v>5.79</v>
      </c>
      <c r="F720" s="5" t="str" cm="1">
        <f t="array" ref="F720">_xlfn.IFS(Healthcare!$E720&lt;5.7,"normal",Healthcare!$E720&lt;=6.4,"prediabetes",Healthcare!$E720&gt;=6.5,"diabetes")</f>
        <v>prediabetes</v>
      </c>
      <c r="G720" s="5" t="s">
        <v>20</v>
      </c>
      <c r="H720" s="5" t="s">
        <v>19</v>
      </c>
      <c r="I720" s="5" t="s">
        <v>19</v>
      </c>
      <c r="J720" s="5">
        <v>0</v>
      </c>
      <c r="K720" s="5" t="s">
        <v>19</v>
      </c>
      <c r="L720" s="5" t="str">
        <f>VLOOKUP(Healthcare!$A720,hospital_details,2,0)</f>
        <v>26-Sep-1976</v>
      </c>
      <c r="M720" s="5">
        <f t="shared" ref="M720:M783" ca="1" si="4307">VLOOKUP(A720,hospital_details,3,0)</f>
        <v>50</v>
      </c>
      <c r="N720" s="5">
        <f t="shared" ref="N720:N783" si="4308">VLOOKUP($A720,hospital_details,4,0)</f>
        <v>2</v>
      </c>
      <c r="O720" s="6">
        <f t="shared" ref="O720:O783" si="4309">VLOOKUP($A720,hospital_details,5,0)</f>
        <v>14098.07</v>
      </c>
      <c r="P720" s="5" t="str">
        <f t="shared" ref="P720:P783" si="4310">VLOOKUP($A720,hospital_details,6,0)</f>
        <v>tier - 2</v>
      </c>
      <c r="Q720" s="5" t="str">
        <f t="shared" ref="Q720:Q783" si="4311">VLOOKUP($A720,hospital_details,7,0)</f>
        <v>tier - 3</v>
      </c>
      <c r="R720" s="5" t="str">
        <f t="shared" ref="R720:R783" si="4312">VLOOKUP($A720,hospital_details,8,0)</f>
        <v>R1023</v>
      </c>
    </row>
    <row r="721" spans="1:18" ht="14.4" customHeight="1" x14ac:dyDescent="0.3">
      <c r="A721" s="7" t="s">
        <v>741</v>
      </c>
      <c r="B721" s="7" t="str">
        <f>VLOOKUP($A721,[1]!Customer_Names[#Data],3,0)</f>
        <v xml:space="preserve">  Maxime</v>
      </c>
      <c r="C721" s="7">
        <v>50.46</v>
      </c>
      <c r="D721" s="7" t="str" cm="1">
        <f t="array" ref="D721">_xlfn.IFS(Healthcare!$C721&lt;18.5,"under weight",Healthcare!$C721&lt;=24.9,"Normal Weight",Healthcare!$C721&gt;=25,"overweight",Healthcare!$C721&gt;=30,"obese")</f>
        <v>overweight</v>
      </c>
      <c r="E721" s="7">
        <v>4.5599999999999996</v>
      </c>
      <c r="F721" s="7" t="str" cm="1">
        <f t="array" ref="F721">_xlfn.IFS(Healthcare!$E721&lt;5.7,"normal",Healthcare!$E721&lt;=6.4,"prediabetes",Healthcare!$E721&gt;=6.5,"diabetes")</f>
        <v>normal</v>
      </c>
      <c r="G721" s="7" t="s">
        <v>19</v>
      </c>
      <c r="H721" s="7" t="s">
        <v>19</v>
      </c>
      <c r="I721" s="7" t="s">
        <v>19</v>
      </c>
      <c r="J721" s="7">
        <v>0</v>
      </c>
      <c r="K721" s="7" t="s">
        <v>19</v>
      </c>
      <c r="L721" s="7" t="str">
        <f>VLOOKUP(Healthcare!$A721,hospital_details,2,0)</f>
        <v>12-Sep-1991</v>
      </c>
      <c r="M721" s="7">
        <f t="shared" ref="M721:M784" ca="1" si="4313">VLOOKUP(A721,hospital_details,3,0)</f>
        <v>35</v>
      </c>
      <c r="N721" s="7">
        <f t="shared" ref="N721:N784" si="4314">VLOOKUP($A721,hospital_details,4,0)</f>
        <v>3</v>
      </c>
      <c r="O721" s="8">
        <f t="shared" ref="O721:O784" si="4315">VLOOKUP($A721,hospital_details,5,0)</f>
        <v>14081.93</v>
      </c>
      <c r="P721" s="7" t="str">
        <f t="shared" ref="P721:P784" si="4316">VLOOKUP($A721,hospital_details,6,0)</f>
        <v>tier - 2</v>
      </c>
      <c r="Q721" s="7" t="str">
        <f t="shared" ref="Q721:Q784" si="4317">VLOOKUP($A721,hospital_details,7,0)</f>
        <v>tier - 3</v>
      </c>
      <c r="R721" s="7" t="str">
        <f t="shared" ref="R721:R784" si="4318">VLOOKUP($A721,hospital_details,8,0)</f>
        <v>R1012</v>
      </c>
    </row>
    <row r="722" spans="1:18" ht="14.4" customHeight="1" x14ac:dyDescent="0.3">
      <c r="A722" s="5" t="s">
        <v>742</v>
      </c>
      <c r="B722" s="5" t="str">
        <f>VLOOKUP($A722,[1]!Customer_Names[#Data],3,0)</f>
        <v xml:space="preserve">  Natalie</v>
      </c>
      <c r="C722" s="5">
        <v>31.73</v>
      </c>
      <c r="D722" s="5" t="str" cm="1">
        <f t="array" ref="D722">_xlfn.IFS(Healthcare!$C722&lt;18.5,"under weight",Healthcare!$C722&lt;=24.9,"Normal Weight",Healthcare!$C722&gt;=25,"overweight",Healthcare!$C722&gt;=30,"obese")</f>
        <v>overweight</v>
      </c>
      <c r="E722" s="5">
        <v>7</v>
      </c>
      <c r="F722" s="5" t="str" cm="1">
        <f t="array" ref="F722">_xlfn.IFS(Healthcare!$E722&lt;5.7,"normal",Healthcare!$E722&lt;=6.4,"prediabetes",Healthcare!$E722&gt;=6.5,"diabetes")</f>
        <v>diabetes</v>
      </c>
      <c r="G722" s="5" t="s">
        <v>19</v>
      </c>
      <c r="H722" s="5" t="s">
        <v>19</v>
      </c>
      <c r="I722" s="5" t="s">
        <v>19</v>
      </c>
      <c r="J722" s="5">
        <v>0</v>
      </c>
      <c r="K722" s="5" t="s">
        <v>19</v>
      </c>
      <c r="L722" s="5" t="str">
        <f>VLOOKUP(Healthcare!$A722,hospital_details,2,0)</f>
        <v>8-Nov-1960</v>
      </c>
      <c r="M722" s="5">
        <f t="shared" ref="M722:M785" ca="1" si="4319">VLOOKUP(A722,hospital_details,3,0)</f>
        <v>65</v>
      </c>
      <c r="N722" s="5">
        <f t="shared" ref="N722:N785" si="4320">VLOOKUP($A722,hospital_details,4,0)</f>
        <v>0</v>
      </c>
      <c r="O722" s="6">
        <f t="shared" ref="O722:O785" si="4321">VLOOKUP($A722,hospital_details,5,0)</f>
        <v>14043.48</v>
      </c>
      <c r="P722" s="5" t="str">
        <f t="shared" ref="P722:P785" si="4322">VLOOKUP($A722,hospital_details,6,0)</f>
        <v>tier - 2</v>
      </c>
      <c r="Q722" s="5" t="str">
        <f t="shared" ref="Q722:Q785" si="4323">VLOOKUP($A722,hospital_details,7,0)</f>
        <v>tier - 3</v>
      </c>
      <c r="R722" s="5" t="str">
        <f t="shared" ref="R722:R785" si="4324">VLOOKUP($A722,hospital_details,8,0)</f>
        <v>R1024</v>
      </c>
    </row>
    <row r="723" spans="1:18" ht="14.4" customHeight="1" x14ac:dyDescent="0.3">
      <c r="A723" s="7" t="s">
        <v>743</v>
      </c>
      <c r="B723" s="7" t="str">
        <f>VLOOKUP($A723,[1]!Customer_Names[#Data],3,0)</f>
        <v xml:space="preserve">  Melissa</v>
      </c>
      <c r="C723" s="7">
        <v>32.1</v>
      </c>
      <c r="D723" s="7" t="str" cm="1">
        <f t="array" ref="D723">_xlfn.IFS(Healthcare!$C723&lt;18.5,"under weight",Healthcare!$C723&lt;=24.9,"Normal Weight",Healthcare!$C723&gt;=25,"overweight",Healthcare!$C723&gt;=30,"obese")</f>
        <v>overweight</v>
      </c>
      <c r="E723" s="7">
        <v>6.57</v>
      </c>
      <c r="F723" s="7" t="str" cm="1">
        <f t="array" ref="F723">_xlfn.IFS(Healthcare!$E723&lt;5.7,"normal",Healthcare!$E723&lt;=6.4,"prediabetes",Healthcare!$E723&gt;=6.5,"diabetes")</f>
        <v>diabetes</v>
      </c>
      <c r="G723" s="7" t="s">
        <v>20</v>
      </c>
      <c r="H723" s="7" t="s">
        <v>19</v>
      </c>
      <c r="I723" s="7" t="s">
        <v>29</v>
      </c>
      <c r="J723" s="7">
        <v>1</v>
      </c>
      <c r="K723" s="7" t="s">
        <v>19</v>
      </c>
      <c r="L723" s="7" t="str">
        <f>VLOOKUP(Healthcare!$A723,hospital_details,2,0)</f>
        <v>8-Jul-1963</v>
      </c>
      <c r="M723" s="7">
        <f t="shared" ref="M723:M786" ca="1" si="4325">VLOOKUP(A723,hospital_details,3,0)</f>
        <v>63</v>
      </c>
      <c r="N723" s="7">
        <f t="shared" ref="N723:N786" si="4326">VLOOKUP($A723,hospital_details,4,0)</f>
        <v>3</v>
      </c>
      <c r="O723" s="8">
        <f t="shared" ref="O723:O786" si="4327">VLOOKUP($A723,hospital_details,5,0)</f>
        <v>14007.22</v>
      </c>
      <c r="P723" s="7" t="str">
        <f t="shared" ref="P723:P786" si="4328">VLOOKUP($A723,hospital_details,6,0)</f>
        <v>tier - 2</v>
      </c>
      <c r="Q723" s="7" t="str">
        <f t="shared" ref="Q723:Q786" si="4329">VLOOKUP($A723,hospital_details,7,0)</f>
        <v>tier - 3</v>
      </c>
      <c r="R723" s="7" t="str">
        <f t="shared" ref="R723:R786" si="4330">VLOOKUP($A723,hospital_details,8,0)</f>
        <v>R1011</v>
      </c>
    </row>
    <row r="724" spans="1:18" ht="14.4" customHeight="1" x14ac:dyDescent="0.3">
      <c r="A724" s="5" t="s">
        <v>744</v>
      </c>
      <c r="B724" s="5" t="str">
        <f>VLOOKUP($A724,[1]!Customer_Names[#Data],3,0)</f>
        <v xml:space="preserve">  Laura P</v>
      </c>
      <c r="C724" s="5">
        <v>27.83</v>
      </c>
      <c r="D724" s="5" t="str" cm="1">
        <f t="array" ref="D724">_xlfn.IFS(Healthcare!$C724&lt;18.5,"under weight",Healthcare!$C724&lt;=24.9,"Normal Weight",Healthcare!$C724&gt;=25,"overweight",Healthcare!$C724&gt;=30,"obese")</f>
        <v>overweight</v>
      </c>
      <c r="E724" s="5">
        <v>11.61</v>
      </c>
      <c r="F724" s="5" t="str" cm="1">
        <f t="array" ref="F724">_xlfn.IFS(Healthcare!$E724&lt;5.7,"normal",Healthcare!$E724&lt;=6.4,"prediabetes",Healthcare!$E724&gt;=6.5,"diabetes")</f>
        <v>diabetes</v>
      </c>
      <c r="G724" s="5" t="s">
        <v>20</v>
      </c>
      <c r="H724" s="5" t="s">
        <v>19</v>
      </c>
      <c r="I724" s="5" t="s">
        <v>29</v>
      </c>
      <c r="J724" s="5">
        <v>1</v>
      </c>
      <c r="K724" s="5" t="s">
        <v>19</v>
      </c>
      <c r="L724" s="5" t="str">
        <f>VLOOKUP(Healthcare!$A724,hospital_details,2,0)</f>
        <v>6-Jul-1963</v>
      </c>
      <c r="M724" s="5">
        <f t="shared" ref="M724:M787" ca="1" si="4331">VLOOKUP(A724,hospital_details,3,0)</f>
        <v>63</v>
      </c>
      <c r="N724" s="5">
        <f t="shared" ref="N724:N787" si="4332">VLOOKUP($A724,hospital_details,4,0)</f>
        <v>3</v>
      </c>
      <c r="O724" s="6">
        <f t="shared" ref="O724:O787" si="4333">VLOOKUP($A724,hospital_details,5,0)</f>
        <v>14001.29</v>
      </c>
      <c r="P724" s="5" t="str">
        <f t="shared" ref="P724:P787" si="4334">VLOOKUP($A724,hospital_details,6,0)</f>
        <v>tier - 2</v>
      </c>
      <c r="Q724" s="5" t="str">
        <f t="shared" ref="Q724:Q787" si="4335">VLOOKUP($A724,hospital_details,7,0)</f>
        <v>tier - 2</v>
      </c>
      <c r="R724" s="5" t="str">
        <f t="shared" ref="R724:R787" si="4336">VLOOKUP($A724,hospital_details,8,0)</f>
        <v>R1013</v>
      </c>
    </row>
    <row r="725" spans="1:18" ht="14.4" customHeight="1" x14ac:dyDescent="0.3">
      <c r="A725" s="7" t="s">
        <v>745</v>
      </c>
      <c r="B725" s="7" t="str">
        <f>VLOOKUP($A725,[1]!Customer_Names[#Data],3,0)</f>
        <v xml:space="preserve">  Lisa</v>
      </c>
      <c r="C725" s="7">
        <v>27.72</v>
      </c>
      <c r="D725" s="7" t="str" cm="1">
        <f t="array" ref="D725">_xlfn.IFS(Healthcare!$C725&lt;18.5,"under weight",Healthcare!$C725&lt;=24.9,"Normal Weight",Healthcare!$C725&gt;=25,"overweight",Healthcare!$C725&gt;=30,"obese")</f>
        <v>overweight</v>
      </c>
      <c r="E725" s="7">
        <v>8.16</v>
      </c>
      <c r="F725" s="7" t="str" cm="1">
        <f t="array" ref="F725">_xlfn.IFS(Healthcare!$E725&lt;5.7,"normal",Healthcare!$E725&lt;=6.4,"prediabetes",Healthcare!$E725&gt;=6.5,"diabetes")</f>
        <v>diabetes</v>
      </c>
      <c r="G725" s="7" t="s">
        <v>20</v>
      </c>
      <c r="H725" s="7" t="s">
        <v>19</v>
      </c>
      <c r="I725" s="7" t="s">
        <v>29</v>
      </c>
      <c r="J725" s="7">
        <v>1</v>
      </c>
      <c r="K725" s="7" t="s">
        <v>19</v>
      </c>
      <c r="L725" s="7" t="str">
        <f>VLOOKUP(Healthcare!$A725,hospital_details,2,0)</f>
        <v>23-Dec-1963</v>
      </c>
      <c r="M725" s="7">
        <f t="shared" ref="M725:M788" ca="1" si="4337">VLOOKUP(A725,hospital_details,3,0)</f>
        <v>62</v>
      </c>
      <c r="N725" s="7">
        <f t="shared" ref="N725:N788" si="4338">VLOOKUP($A725,hospital_details,4,0)</f>
        <v>3</v>
      </c>
      <c r="O725" s="8">
        <f t="shared" ref="O725:O788" si="4339">VLOOKUP($A725,hospital_details,5,0)</f>
        <v>14001.13</v>
      </c>
      <c r="P725" s="7" t="str">
        <f t="shared" ref="P725:P788" si="4340">VLOOKUP($A725,hospital_details,6,0)</f>
        <v>tier - 2</v>
      </c>
      <c r="Q725" s="7" t="str">
        <f t="shared" ref="Q725:Q788" si="4341">VLOOKUP($A725,hospital_details,7,0)</f>
        <v>tier - 1</v>
      </c>
      <c r="R725" s="7" t="str">
        <f t="shared" ref="R725:R788" si="4342">VLOOKUP($A725,hospital_details,8,0)</f>
        <v>R1013</v>
      </c>
    </row>
    <row r="726" spans="1:18" ht="14.4" customHeight="1" x14ac:dyDescent="0.3">
      <c r="A726" s="5" t="s">
        <v>746</v>
      </c>
      <c r="B726" s="5" t="str">
        <f>VLOOKUP($A726,[1]!Customer_Names[#Data],3,0)</f>
        <v xml:space="preserve">  William D</v>
      </c>
      <c r="C726" s="5">
        <v>36.765000000000001</v>
      </c>
      <c r="D726" s="5" t="str" cm="1">
        <f t="array" ref="D726">_xlfn.IFS(Healthcare!$C726&lt;18.5,"under weight",Healthcare!$C726&lt;=24.9,"Normal Weight",Healthcare!$C726&gt;=25,"overweight",Healthcare!$C726&gt;=30,"obese")</f>
        <v>overweight</v>
      </c>
      <c r="E726" s="5">
        <v>4.4800000000000004</v>
      </c>
      <c r="F726" s="5" t="str" cm="1">
        <f t="array" ref="F726">_xlfn.IFS(Healthcare!$E726&lt;5.7,"normal",Healthcare!$E726&lt;=6.4,"prediabetes",Healthcare!$E726&gt;=6.5,"diabetes")</f>
        <v>normal</v>
      </c>
      <c r="G726" s="5" t="s">
        <v>20</v>
      </c>
      <c r="H726" s="5" t="s">
        <v>19</v>
      </c>
      <c r="I726" s="5" t="s">
        <v>19</v>
      </c>
      <c r="J726" s="5">
        <v>2</v>
      </c>
      <c r="K726" s="5" t="s">
        <v>19</v>
      </c>
      <c r="L726" s="5" t="str">
        <f>VLOOKUP(Healthcare!$A726,hospital_details,2,0)</f>
        <v>6-Sep-1959</v>
      </c>
      <c r="M726" s="5">
        <f t="shared" ref="M726:M789" ca="1" si="4343">VLOOKUP(A726,hospital_details,3,0)</f>
        <v>67</v>
      </c>
      <c r="N726" s="5">
        <f t="shared" ref="N726:N789" si="4344">VLOOKUP($A726,hospital_details,4,0)</f>
        <v>0</v>
      </c>
      <c r="O726" s="6">
        <f t="shared" ref="O726:O789" si="4345">VLOOKUP($A726,hospital_details,5,0)</f>
        <v>13981.85</v>
      </c>
      <c r="P726" s="5" t="str">
        <f t="shared" ref="P726:P789" si="4346">VLOOKUP($A726,hospital_details,6,0)</f>
        <v>tier - 2</v>
      </c>
      <c r="Q726" s="5" t="str">
        <f t="shared" ref="Q726:Q789" si="4347">VLOOKUP($A726,hospital_details,7,0)</f>
        <v>tier - 1</v>
      </c>
      <c r="R726" s="5" t="str">
        <f t="shared" ref="R726:R789" si="4348">VLOOKUP($A726,hospital_details,8,0)</f>
        <v>R1016</v>
      </c>
    </row>
    <row r="727" spans="1:18" ht="14.4" customHeight="1" x14ac:dyDescent="0.3">
      <c r="A727" s="7" t="s">
        <v>747</v>
      </c>
      <c r="B727" s="7" t="str">
        <f>VLOOKUP($A727,[1]!Customer_Names[#Data],3,0)</f>
        <v xml:space="preserve">  James</v>
      </c>
      <c r="C727" s="7">
        <v>48.36</v>
      </c>
      <c r="D727" s="7" t="str" cm="1">
        <f t="array" ref="D727">_xlfn.IFS(Healthcare!$C727&lt;18.5,"under weight",Healthcare!$C727&lt;=24.9,"Normal Weight",Healthcare!$C727&gt;=25,"overweight",Healthcare!$C727&gt;=30,"obese")</f>
        <v>overweight</v>
      </c>
      <c r="E727" s="7">
        <v>4.08</v>
      </c>
      <c r="F727" s="7" t="str" cm="1">
        <f t="array" ref="F727">_xlfn.IFS(Healthcare!$E727&lt;5.7,"normal",Healthcare!$E727&lt;=6.4,"prediabetes",Healthcare!$E727&gt;=6.5,"diabetes")</f>
        <v>normal</v>
      </c>
      <c r="G727" s="7" t="s">
        <v>19</v>
      </c>
      <c r="H727" s="7" t="s">
        <v>19</v>
      </c>
      <c r="I727" s="7" t="s">
        <v>19</v>
      </c>
      <c r="J727" s="7">
        <v>0</v>
      </c>
      <c r="K727" s="7" t="s">
        <v>19</v>
      </c>
      <c r="L727" s="7" t="str">
        <f>VLOOKUP(Healthcare!$A727,hospital_details,2,0)</f>
        <v>13-Jul-1990</v>
      </c>
      <c r="M727" s="7">
        <f t="shared" ref="M727:M790" ca="1" si="4349">VLOOKUP(A727,hospital_details,3,0)</f>
        <v>36</v>
      </c>
      <c r="N727" s="7">
        <f t="shared" ref="N727:N790" si="4350">VLOOKUP($A727,hospital_details,4,0)</f>
        <v>3</v>
      </c>
      <c r="O727" s="8">
        <f t="shared" ref="O727:O790" si="4351">VLOOKUP($A727,hospital_details,5,0)</f>
        <v>13979.45</v>
      </c>
      <c r="P727" s="7" t="str">
        <f t="shared" ref="P727:P790" si="4352">VLOOKUP($A727,hospital_details,6,0)</f>
        <v>tier - 2</v>
      </c>
      <c r="Q727" s="7" t="str">
        <f t="shared" ref="Q727:Q790" si="4353">VLOOKUP($A727,hospital_details,7,0)</f>
        <v>tier - 1</v>
      </c>
      <c r="R727" s="7" t="str">
        <f t="shared" ref="R727:R790" si="4354">VLOOKUP($A727,hospital_details,8,0)</f>
        <v>R1023</v>
      </c>
    </row>
    <row r="728" spans="1:18" ht="14.4" customHeight="1" x14ac:dyDescent="0.3">
      <c r="A728" s="5" t="s">
        <v>748</v>
      </c>
      <c r="B728" s="5" t="str">
        <f>VLOOKUP($A728,[1]!Customer_Names[#Data],3,0)</f>
        <v xml:space="preserve">  John</v>
      </c>
      <c r="C728" s="5">
        <v>31.445</v>
      </c>
      <c r="D728" s="5" t="str" cm="1">
        <f t="array" ref="D728">_xlfn.IFS(Healthcare!$C728&lt;18.5,"under weight",Healthcare!$C728&lt;=24.9,"Normal Weight",Healthcare!$C728&gt;=25,"overweight",Healthcare!$C728&gt;=30,"obese")</f>
        <v>overweight</v>
      </c>
      <c r="E728" s="5">
        <v>4.4000000000000004</v>
      </c>
      <c r="F728" s="5" t="str" cm="1">
        <f t="array" ref="F728">_xlfn.IFS(Healthcare!$E728&lt;5.7,"normal",Healthcare!$E728&lt;=6.4,"prediabetes",Healthcare!$E728&gt;=6.5,"diabetes")</f>
        <v>normal</v>
      </c>
      <c r="G728" s="5" t="s">
        <v>20</v>
      </c>
      <c r="H728" s="5" t="s">
        <v>19</v>
      </c>
      <c r="I728" s="5" t="s">
        <v>19</v>
      </c>
      <c r="J728" s="5">
        <v>2</v>
      </c>
      <c r="K728" s="5" t="s">
        <v>19</v>
      </c>
      <c r="L728" s="5" t="str">
        <f>VLOOKUP(Healthcare!$A728,hospital_details,2,0)</f>
        <v>29-Aug-1959</v>
      </c>
      <c r="M728" s="5">
        <f t="shared" ref="M728:M791" ca="1" si="4355">VLOOKUP(A728,hospital_details,3,0)</f>
        <v>67</v>
      </c>
      <c r="N728" s="5">
        <f t="shared" ref="N728:N791" si="4356">VLOOKUP($A728,hospital_details,4,0)</f>
        <v>0</v>
      </c>
      <c r="O728" s="6">
        <f t="shared" ref="O728:O791" si="4357">VLOOKUP($A728,hospital_details,5,0)</f>
        <v>13974.46</v>
      </c>
      <c r="P728" s="5" t="str">
        <f t="shared" ref="P728:P791" si="4358">VLOOKUP($A728,hospital_details,6,0)</f>
        <v>tier - 2</v>
      </c>
      <c r="Q728" s="5" t="str">
        <f t="shared" ref="Q728:Q791" si="4359">VLOOKUP($A728,hospital_details,7,0)</f>
        <v>tier - 2</v>
      </c>
      <c r="R728" s="5" t="str">
        <f t="shared" ref="R728:R791" si="4360">VLOOKUP($A728,hospital_details,8,0)</f>
        <v>R1019</v>
      </c>
    </row>
    <row r="729" spans="1:18" ht="14.4" customHeight="1" x14ac:dyDescent="0.3">
      <c r="A729" s="7" t="s">
        <v>749</v>
      </c>
      <c r="B729" s="7" t="str">
        <f>VLOOKUP($A729,[1]!Customer_Names[#Data],3,0)</f>
        <v xml:space="preserve">  Adam S</v>
      </c>
      <c r="C729" s="7">
        <v>27.55</v>
      </c>
      <c r="D729" s="7" t="str" cm="1">
        <f t="array" ref="D729">_xlfn.IFS(Healthcare!$C729&lt;18.5,"under weight",Healthcare!$C729&lt;=24.9,"Normal Weight",Healthcare!$C729&gt;=25,"overweight",Healthcare!$C729&gt;=30,"obese")</f>
        <v>overweight</v>
      </c>
      <c r="E729" s="7">
        <v>9.02</v>
      </c>
      <c r="F729" s="7" t="str" cm="1">
        <f t="array" ref="F729">_xlfn.IFS(Healthcare!$E729&lt;5.7,"normal",Healthcare!$E729&lt;=6.4,"prediabetes",Healthcare!$E729&gt;=6.5,"diabetes")</f>
        <v>diabetes</v>
      </c>
      <c r="G729" s="7" t="s">
        <v>19</v>
      </c>
      <c r="H729" s="7" t="s">
        <v>19</v>
      </c>
      <c r="I729" s="7" t="s">
        <v>19</v>
      </c>
      <c r="J729" s="7">
        <v>0</v>
      </c>
      <c r="K729" s="7" t="s">
        <v>19</v>
      </c>
      <c r="L729" s="7" t="str">
        <f>VLOOKUP(Healthcare!$A729,hospital_details,2,0)</f>
        <v>18-Jun-1960</v>
      </c>
      <c r="M729" s="7">
        <f t="shared" ref="M729:M792" ca="1" si="4361">VLOOKUP(A729,hospital_details,3,0)</f>
        <v>66</v>
      </c>
      <c r="N729" s="7">
        <f t="shared" ref="N729:N792" si="4362">VLOOKUP($A729,hospital_details,4,0)</f>
        <v>1</v>
      </c>
      <c r="O729" s="8">
        <f t="shared" ref="O729:O792" si="4363">VLOOKUP($A729,hospital_details,5,0)</f>
        <v>13937.67</v>
      </c>
      <c r="P729" s="7" t="str">
        <f t="shared" ref="P729:P792" si="4364">VLOOKUP($A729,hospital_details,6,0)</f>
        <v>tier - 2</v>
      </c>
      <c r="Q729" s="7" t="str">
        <f t="shared" ref="Q729:Q792" si="4365">VLOOKUP($A729,hospital_details,7,0)</f>
        <v>tier - 1</v>
      </c>
      <c r="R729" s="7" t="str">
        <f t="shared" ref="R729:R792" si="4366">VLOOKUP($A729,hospital_details,8,0)</f>
        <v>R1012</v>
      </c>
    </row>
    <row r="730" spans="1:18" ht="14.4" customHeight="1" x14ac:dyDescent="0.3">
      <c r="A730" s="5" t="s">
        <v>750</v>
      </c>
      <c r="B730" s="5" t="str">
        <f>VLOOKUP($A730,[1]!Customer_Names[#Data],3,0)</f>
        <v xml:space="preserve">  Armando</v>
      </c>
      <c r="C730" s="5">
        <v>33.11</v>
      </c>
      <c r="D730" s="5" t="str" cm="1">
        <f t="array" ref="D730">_xlfn.IFS(Healthcare!$C730&lt;18.5,"under weight",Healthcare!$C730&lt;=24.9,"Normal Weight",Healthcare!$C730&gt;=25,"overweight",Healthcare!$C730&gt;=30,"obese")</f>
        <v>overweight</v>
      </c>
      <c r="E730" s="5">
        <v>8.06</v>
      </c>
      <c r="F730" s="5" t="str" cm="1">
        <f t="array" ref="F730">_xlfn.IFS(Healthcare!$E730&lt;5.7,"normal",Healthcare!$E730&lt;=6.4,"prediabetes",Healthcare!$E730&gt;=6.5,"diabetes")</f>
        <v>diabetes</v>
      </c>
      <c r="G730" s="5" t="s">
        <v>19</v>
      </c>
      <c r="H730" s="5" t="s">
        <v>19</v>
      </c>
      <c r="I730" s="5" t="s">
        <v>19</v>
      </c>
      <c r="J730" s="5">
        <v>0</v>
      </c>
      <c r="K730" s="5" t="s">
        <v>19</v>
      </c>
      <c r="L730" s="5" t="str">
        <f>VLOOKUP(Healthcare!$A730,hospital_details,2,0)</f>
        <v>27-Jul-1962</v>
      </c>
      <c r="M730" s="5">
        <f t="shared" ref="M730:M793" ca="1" si="4367">VLOOKUP(A730,hospital_details,3,0)</f>
        <v>64</v>
      </c>
      <c r="N730" s="5">
        <f t="shared" ref="N730:N793" si="4368">VLOOKUP($A730,hospital_details,4,0)</f>
        <v>3</v>
      </c>
      <c r="O730" s="6">
        <f t="shared" ref="O730:O793" si="4369">VLOOKUP($A730,hospital_details,5,0)</f>
        <v>13919.82</v>
      </c>
      <c r="P730" s="5" t="str">
        <f t="shared" ref="P730:P793" si="4370">VLOOKUP($A730,hospital_details,6,0)</f>
        <v>tier - 2</v>
      </c>
      <c r="Q730" s="5" t="str">
        <f t="shared" ref="Q730:Q793" si="4371">VLOOKUP($A730,hospital_details,7,0)</f>
        <v>tier - 2</v>
      </c>
      <c r="R730" s="5" t="str">
        <f t="shared" ref="R730:R793" si="4372">VLOOKUP($A730,hospital_details,8,0)</f>
        <v>R1013</v>
      </c>
    </row>
    <row r="731" spans="1:18" ht="14.4" customHeight="1" x14ac:dyDescent="0.3">
      <c r="A731" s="7" t="s">
        <v>751</v>
      </c>
      <c r="B731" s="7" t="str">
        <f>VLOOKUP($A731,[1]!Customer_Names[#Data],3,0)</f>
        <v xml:space="preserve">  Dana</v>
      </c>
      <c r="C731" s="7">
        <v>36.85</v>
      </c>
      <c r="D731" s="7" t="str" cm="1">
        <f t="array" ref="D731">_xlfn.IFS(Healthcare!$C731&lt;18.5,"under weight",Healthcare!$C731&lt;=24.9,"Normal Weight",Healthcare!$C731&gt;=25,"overweight",Healthcare!$C731&gt;=30,"obese")</f>
        <v>overweight</v>
      </c>
      <c r="E731" s="7">
        <v>6.21</v>
      </c>
      <c r="F731" s="7" t="str" cm="1">
        <f t="array" ref="F731">_xlfn.IFS(Healthcare!$E731&lt;5.7,"normal",Healthcare!$E731&lt;=6.4,"prediabetes",Healthcare!$E731&gt;=6.5,"diabetes")</f>
        <v>prediabetes</v>
      </c>
      <c r="G731" s="7" t="s">
        <v>20</v>
      </c>
      <c r="H731" s="7" t="s">
        <v>19</v>
      </c>
      <c r="I731" s="7" t="s">
        <v>19</v>
      </c>
      <c r="J731" s="7">
        <v>2</v>
      </c>
      <c r="K731" s="7" t="s">
        <v>19</v>
      </c>
      <c r="L731" s="7" t="str">
        <f>VLOOKUP(Healthcare!$A731,hospital_details,2,0)</f>
        <v>7-Jul-1959</v>
      </c>
      <c r="M731" s="7">
        <f t="shared" ref="M731:M794" ca="1" si="4373">VLOOKUP(A731,hospital_details,3,0)</f>
        <v>67</v>
      </c>
      <c r="N731" s="7">
        <f t="shared" ref="N731:N794" si="4374">VLOOKUP($A731,hospital_details,4,0)</f>
        <v>0</v>
      </c>
      <c r="O731" s="8">
        <f t="shared" ref="O731:O794" si="4375">VLOOKUP($A731,hospital_details,5,0)</f>
        <v>13887.97</v>
      </c>
      <c r="P731" s="7" t="str">
        <f t="shared" ref="P731:P794" si="4376">VLOOKUP($A731,hospital_details,6,0)</f>
        <v>tier - 2</v>
      </c>
      <c r="Q731" s="7" t="str">
        <f t="shared" ref="Q731:Q794" si="4377">VLOOKUP($A731,hospital_details,7,0)</f>
        <v>tier - 2</v>
      </c>
      <c r="R731" s="7" t="str">
        <f t="shared" ref="R731:R794" si="4378">VLOOKUP($A731,hospital_details,8,0)</f>
        <v>R1013</v>
      </c>
    </row>
    <row r="732" spans="1:18" ht="14.4" customHeight="1" x14ac:dyDescent="0.3">
      <c r="A732" s="5" t="s">
        <v>752</v>
      </c>
      <c r="B732" s="5" t="str">
        <f>VLOOKUP($A732,[1]!Customer_Names[#Data],3,0)</f>
        <v xml:space="preserve">  Jennifer L</v>
      </c>
      <c r="C732" s="5">
        <v>36.299999999999997</v>
      </c>
      <c r="D732" s="5" t="str" cm="1">
        <f t="array" ref="D732">_xlfn.IFS(Healthcare!$C732&lt;18.5,"under weight",Healthcare!$C732&lt;=24.9,"Normal Weight",Healthcare!$C732&gt;=25,"overweight",Healthcare!$C732&gt;=30,"obese")</f>
        <v>overweight</v>
      </c>
      <c r="E732" s="5">
        <v>5.79</v>
      </c>
      <c r="F732" s="5" t="str" cm="1">
        <f t="array" ref="F732">_xlfn.IFS(Healthcare!$E732&lt;5.7,"normal",Healthcare!$E732&lt;=6.4,"prediabetes",Healthcare!$E732&gt;=6.5,"diabetes")</f>
        <v>prediabetes</v>
      </c>
      <c r="G732" s="5" t="s">
        <v>20</v>
      </c>
      <c r="H732" s="5" t="s">
        <v>19</v>
      </c>
      <c r="I732" s="5" t="s">
        <v>19</v>
      </c>
      <c r="J732" s="5">
        <v>2</v>
      </c>
      <c r="K732" s="5" t="s">
        <v>19</v>
      </c>
      <c r="L732" s="5" t="str">
        <f>VLOOKUP(Healthcare!$A732,hospital_details,2,0)</f>
        <v>29-Dec-1959</v>
      </c>
      <c r="M732" s="5">
        <f t="shared" ref="M732:M795" ca="1" si="4379">VLOOKUP(A732,hospital_details,3,0)</f>
        <v>66</v>
      </c>
      <c r="N732" s="5">
        <f t="shared" ref="N732:N795" si="4380">VLOOKUP($A732,hospital_details,4,0)</f>
        <v>0</v>
      </c>
      <c r="O732" s="6">
        <f t="shared" ref="O732:O795" si="4381">VLOOKUP($A732,hospital_details,5,0)</f>
        <v>13887.2</v>
      </c>
      <c r="P732" s="5" t="str">
        <f t="shared" ref="P732:P795" si="4382">VLOOKUP($A732,hospital_details,6,0)</f>
        <v>tier - 2</v>
      </c>
      <c r="Q732" s="5" t="str">
        <f t="shared" ref="Q732:Q795" si="4383">VLOOKUP($A732,hospital_details,7,0)</f>
        <v>tier - 3</v>
      </c>
      <c r="R732" s="5" t="str">
        <f t="shared" ref="R732:R795" si="4384">VLOOKUP($A732,hospital_details,8,0)</f>
        <v>R1013</v>
      </c>
    </row>
    <row r="733" spans="1:18" ht="14.4" customHeight="1" x14ac:dyDescent="0.3">
      <c r="A733" s="7" t="s">
        <v>753</v>
      </c>
      <c r="B733" s="7" t="str">
        <f>VLOOKUP($A733,[1]!Customer_Names[#Data],3,0)</f>
        <v xml:space="preserve">  Benjamin</v>
      </c>
      <c r="C733" s="7">
        <v>45.34</v>
      </c>
      <c r="D733" s="7" t="str" cm="1">
        <f t="array" ref="D733">_xlfn.IFS(Healthcare!$C733&lt;18.5,"under weight",Healthcare!$C733&lt;=24.9,"Normal Weight",Healthcare!$C733&gt;=25,"overweight",Healthcare!$C733&gt;=30,"obese")</f>
        <v>overweight</v>
      </c>
      <c r="E733" s="7">
        <v>5.69</v>
      </c>
      <c r="F733" s="7" t="str" cm="1">
        <f t="array" ref="F733">_xlfn.IFS(Healthcare!$E733&lt;5.7,"normal",Healthcare!$E733&lt;=6.4,"prediabetes",Healthcare!$E733&gt;=6.5,"diabetes")</f>
        <v>normal</v>
      </c>
      <c r="G733" s="7" t="s">
        <v>20</v>
      </c>
      <c r="H733" s="7" t="s">
        <v>19</v>
      </c>
      <c r="I733" s="7" t="s">
        <v>19</v>
      </c>
      <c r="J733" s="7">
        <v>0</v>
      </c>
      <c r="K733" s="7" t="s">
        <v>19</v>
      </c>
      <c r="L733" s="7" t="str">
        <f>VLOOKUP(Healthcare!$A733,hospital_details,2,0)</f>
        <v>25-Sep-1985</v>
      </c>
      <c r="M733" s="7">
        <f t="shared" ref="M733:M796" ca="1" si="4385">VLOOKUP(A733,hospital_details,3,0)</f>
        <v>41</v>
      </c>
      <c r="N733" s="7">
        <f t="shared" ref="N733:N796" si="4386">VLOOKUP($A733,hospital_details,4,0)</f>
        <v>3</v>
      </c>
      <c r="O733" s="8">
        <f t="shared" ref="O733:O796" si="4387">VLOOKUP($A733,hospital_details,5,0)</f>
        <v>13886.4</v>
      </c>
      <c r="P733" s="7" t="str">
        <f t="shared" ref="P733:P796" si="4388">VLOOKUP($A733,hospital_details,6,0)</f>
        <v>tier - 2</v>
      </c>
      <c r="Q733" s="7" t="str">
        <f t="shared" ref="Q733:Q796" si="4389">VLOOKUP($A733,hospital_details,7,0)</f>
        <v>tier - 2</v>
      </c>
      <c r="R733" s="7" t="str">
        <f t="shared" ref="R733:R796" si="4390">VLOOKUP($A733,hospital_details,8,0)</f>
        <v>R1012</v>
      </c>
    </row>
    <row r="734" spans="1:18" ht="14.4" customHeight="1" x14ac:dyDescent="0.3">
      <c r="A734" s="5" t="s">
        <v>754</v>
      </c>
      <c r="B734" s="5" t="str">
        <f>VLOOKUP($A734,[1]!Customer_Names[#Data],3,0)</f>
        <v xml:space="preserve">  Tanya</v>
      </c>
      <c r="C734" s="5">
        <v>31.8</v>
      </c>
      <c r="D734" s="5" t="str" cm="1">
        <f t="array" ref="D734">_xlfn.IFS(Healthcare!$C734&lt;18.5,"under weight",Healthcare!$C734&lt;=24.9,"Normal Weight",Healthcare!$C734&gt;=25,"overweight",Healthcare!$C734&gt;=30,"obese")</f>
        <v>overweight</v>
      </c>
      <c r="E734" s="5">
        <v>5.36</v>
      </c>
      <c r="F734" s="5" t="str" cm="1">
        <f t="array" ref="F734">_xlfn.IFS(Healthcare!$E734&lt;5.7,"normal",Healthcare!$E734&lt;=6.4,"prediabetes",Healthcare!$E734&gt;=6.5,"diabetes")</f>
        <v>normal</v>
      </c>
      <c r="G734" s="5" t="s">
        <v>20</v>
      </c>
      <c r="H734" s="5" t="s">
        <v>19</v>
      </c>
      <c r="I734" s="5" t="s">
        <v>19</v>
      </c>
      <c r="J734" s="5">
        <v>2</v>
      </c>
      <c r="K734" s="5" t="s">
        <v>19</v>
      </c>
      <c r="L734" s="5" t="str">
        <f>VLOOKUP(Healthcare!$A734,hospital_details,2,0)</f>
        <v>5-Oct-1959</v>
      </c>
      <c r="M734" s="5">
        <f t="shared" ref="M734:M797" ca="1" si="4391">VLOOKUP(A734,hospital_details,3,0)</f>
        <v>67</v>
      </c>
      <c r="N734" s="5">
        <f t="shared" ref="N734:N797" si="4392">VLOOKUP($A734,hospital_details,4,0)</f>
        <v>0</v>
      </c>
      <c r="O734" s="6">
        <f t="shared" ref="O734:O797" si="4393">VLOOKUP($A734,hospital_details,5,0)</f>
        <v>13880.95</v>
      </c>
      <c r="P734" s="5" t="str">
        <f t="shared" ref="P734:P797" si="4394">VLOOKUP($A734,hospital_details,6,0)</f>
        <v>tier - 2</v>
      </c>
      <c r="Q734" s="5" t="str">
        <f t="shared" ref="Q734:Q797" si="4395">VLOOKUP($A734,hospital_details,7,0)</f>
        <v>tier - 2</v>
      </c>
      <c r="R734" s="5" t="str">
        <f t="shared" ref="R734:R797" si="4396">VLOOKUP($A734,hospital_details,8,0)</f>
        <v>R1011</v>
      </c>
    </row>
    <row r="735" spans="1:18" ht="14.4" customHeight="1" x14ac:dyDescent="0.3">
      <c r="A735" s="7" t="s">
        <v>755</v>
      </c>
      <c r="B735" s="7" t="str">
        <f>VLOOKUP($A735,[1]!Customer_Names[#Data],3,0)</f>
        <v xml:space="preserve">  Tracy</v>
      </c>
      <c r="C735" s="7">
        <v>41.02</v>
      </c>
      <c r="D735" s="7" t="str" cm="1">
        <f t="array" ref="D735">_xlfn.IFS(Healthcare!$C735&lt;18.5,"under weight",Healthcare!$C735&lt;=24.9,"Normal Weight",Healthcare!$C735&gt;=25,"overweight",Healthcare!$C735&gt;=30,"obese")</f>
        <v>overweight</v>
      </c>
      <c r="E735" s="7">
        <v>11.37</v>
      </c>
      <c r="F735" s="7" t="str" cm="1">
        <f t="array" ref="F735">_xlfn.IFS(Healthcare!$E735&lt;5.7,"normal",Healthcare!$E735&lt;=6.4,"prediabetes",Healthcare!$E735&gt;=6.5,"diabetes")</f>
        <v>diabetes</v>
      </c>
      <c r="G735" s="7" t="s">
        <v>19</v>
      </c>
      <c r="H735" s="7" t="s">
        <v>19</v>
      </c>
      <c r="I735" s="7" t="s">
        <v>19</v>
      </c>
      <c r="J735" s="7">
        <v>0</v>
      </c>
      <c r="K735" s="7" t="s">
        <v>19</v>
      </c>
      <c r="L735" s="7" t="str">
        <f>VLOOKUP(Healthcare!$A735,hospital_details,2,0)</f>
        <v>19-Dec-1978</v>
      </c>
      <c r="M735" s="7">
        <f t="shared" ref="M735:M798" ca="1" si="4397">VLOOKUP(A735,hospital_details,3,0)</f>
        <v>47</v>
      </c>
      <c r="N735" s="7">
        <f t="shared" ref="N735:N798" si="4398">VLOOKUP($A735,hospital_details,4,0)</f>
        <v>2</v>
      </c>
      <c r="O735" s="8">
        <f t="shared" ref="O735:O798" si="4399">VLOOKUP($A735,hospital_details,5,0)</f>
        <v>13874.89</v>
      </c>
      <c r="P735" s="7" t="str">
        <f t="shared" ref="P735:P798" si="4400">VLOOKUP($A735,hospital_details,6,0)</f>
        <v>tier - 2</v>
      </c>
      <c r="Q735" s="7" t="str">
        <f t="shared" ref="Q735:Q798" si="4401">VLOOKUP($A735,hospital_details,7,0)</f>
        <v>tier - 1</v>
      </c>
      <c r="R735" s="7" t="str">
        <f t="shared" ref="R735:R798" si="4402">VLOOKUP($A735,hospital_details,8,0)</f>
        <v>R1012</v>
      </c>
    </row>
    <row r="736" spans="1:18" ht="14.4" customHeight="1" x14ac:dyDescent="0.3">
      <c r="A736" s="5" t="s">
        <v>756</v>
      </c>
      <c r="B736" s="5" t="str">
        <f>VLOOKUP($A736,[1]!Customer_Names[#Data],3,0)</f>
        <v xml:space="preserve">  Emily S</v>
      </c>
      <c r="C736" s="5">
        <v>32.68</v>
      </c>
      <c r="D736" s="5" t="str" cm="1">
        <f t="array" ref="D736">_xlfn.IFS(Healthcare!$C736&lt;18.5,"under weight",Healthcare!$C736&lt;=24.9,"Normal Weight",Healthcare!$C736&gt;=25,"overweight",Healthcare!$C736&gt;=30,"obese")</f>
        <v>overweight</v>
      </c>
      <c r="E736" s="5">
        <v>11.87</v>
      </c>
      <c r="F736" s="5" t="str" cm="1">
        <f t="array" ref="F736">_xlfn.IFS(Healthcare!$E736&lt;5.7,"normal",Healthcare!$E736&lt;=6.4,"prediabetes",Healthcare!$E736&gt;=6.5,"diabetes")</f>
        <v>diabetes</v>
      </c>
      <c r="G736" s="5" t="s">
        <v>19</v>
      </c>
      <c r="H736" s="5" t="s">
        <v>19</v>
      </c>
      <c r="I736" s="5" t="s">
        <v>19</v>
      </c>
      <c r="J736" s="5">
        <v>0</v>
      </c>
      <c r="K736" s="5" t="s">
        <v>19</v>
      </c>
      <c r="L736" s="5" t="str">
        <f>VLOOKUP(Healthcare!$A736,hospital_details,2,0)</f>
        <v>21-Jul-1960</v>
      </c>
      <c r="M736" s="5">
        <f t="shared" ref="M736:M799" ca="1" si="4403">VLOOKUP(A736,hospital_details,3,0)</f>
        <v>66</v>
      </c>
      <c r="N736" s="5">
        <f t="shared" ref="N736:N799" si="4404">VLOOKUP($A736,hospital_details,4,0)</f>
        <v>0</v>
      </c>
      <c r="O736" s="6">
        <f t="shared" ref="O736:O799" si="4405">VLOOKUP($A736,hospital_details,5,0)</f>
        <v>13844.8</v>
      </c>
      <c r="P736" s="5" t="str">
        <f t="shared" ref="P736:P799" si="4406">VLOOKUP($A736,hospital_details,6,0)</f>
        <v>tier - 2</v>
      </c>
      <c r="Q736" s="5" t="str">
        <f t="shared" ref="Q736:Q799" si="4407">VLOOKUP($A736,hospital_details,7,0)</f>
        <v>tier - 2</v>
      </c>
      <c r="R736" s="5" t="str">
        <f t="shared" ref="R736:R799" si="4408">VLOOKUP($A736,hospital_details,8,0)</f>
        <v>R1012</v>
      </c>
    </row>
    <row r="737" spans="1:18" ht="14.4" customHeight="1" x14ac:dyDescent="0.3">
      <c r="A737" s="7" t="s">
        <v>757</v>
      </c>
      <c r="B737" s="7" t="str">
        <f>VLOOKUP($A737,[1]!Customer_Names[#Data],3,0)</f>
        <v xml:space="preserve">  Kelly R</v>
      </c>
      <c r="C737" s="7">
        <v>21.7</v>
      </c>
      <c r="D737" s="7" t="str" cm="1">
        <f t="array" ref="D737">_xlfn.IFS(Healthcare!$C737&lt;18.5,"under weight",Healthcare!$C737&lt;=24.9,"Normal Weight",Healthcare!$C737&gt;=25,"overweight",Healthcare!$C737&gt;=30,"obese")</f>
        <v>Normal Weight</v>
      </c>
      <c r="E737" s="7">
        <v>4.9000000000000004</v>
      </c>
      <c r="F737" s="7" t="str" cm="1">
        <f t="array" ref="F737">_xlfn.IFS(Healthcare!$E737&lt;5.7,"normal",Healthcare!$E737&lt;=6.4,"prediabetes",Healthcare!$E737&gt;=6.5,"diabetes")</f>
        <v>normal</v>
      </c>
      <c r="G737" s="7" t="s">
        <v>19</v>
      </c>
      <c r="H737" s="7" t="s">
        <v>19</v>
      </c>
      <c r="I737" s="7" t="s">
        <v>29</v>
      </c>
      <c r="J737" s="7">
        <v>1</v>
      </c>
      <c r="K737" s="7" t="s">
        <v>20</v>
      </c>
      <c r="L737" s="7" t="str">
        <f>VLOOKUP(Healthcare!$A737,hospital_details,2,0)</f>
        <v>7-Jun-2003</v>
      </c>
      <c r="M737" s="7">
        <f t="shared" ref="M737:M800" ca="1" si="4409">VLOOKUP(A737,hospital_details,3,0)</f>
        <v>23</v>
      </c>
      <c r="N737" s="7">
        <f t="shared" ref="N737:N800" si="4410">VLOOKUP($A737,hospital_details,4,0)</f>
        <v>0</v>
      </c>
      <c r="O737" s="8">
        <f t="shared" ref="O737:O800" si="4411">VLOOKUP($A737,hospital_details,5,0)</f>
        <v>13844.51</v>
      </c>
      <c r="P737" s="7" t="str">
        <f t="shared" ref="P737:P800" si="4412">VLOOKUP($A737,hospital_details,6,0)</f>
        <v>tier - 2</v>
      </c>
      <c r="Q737" s="7" t="str">
        <f t="shared" ref="Q737:Q800" si="4413">VLOOKUP($A737,hospital_details,7,0)</f>
        <v>tier - 1</v>
      </c>
      <c r="R737" s="7" t="str">
        <f t="shared" ref="R737:R800" si="4414">VLOOKUP($A737,hospital_details,8,0)</f>
        <v>R1011</v>
      </c>
    </row>
    <row r="738" spans="1:18" ht="14.4" customHeight="1" x14ac:dyDescent="0.3">
      <c r="A738" s="5" t="s">
        <v>758</v>
      </c>
      <c r="B738" s="5" t="str">
        <f>VLOOKUP($A738,[1]!Customer_Names[#Data],3,0)</f>
        <v xml:space="preserve">  Kyle</v>
      </c>
      <c r="C738" s="5">
        <v>40.479999999999997</v>
      </c>
      <c r="D738" s="5" t="str" cm="1">
        <f t="array" ref="D738">_xlfn.IFS(Healthcare!$C738&lt;18.5,"under weight",Healthcare!$C738&lt;=24.9,"Normal Weight",Healthcare!$C738&gt;=25,"overweight",Healthcare!$C738&gt;=30,"obese")</f>
        <v>overweight</v>
      </c>
      <c r="E738" s="5">
        <v>6.7</v>
      </c>
      <c r="F738" s="5" t="str" cm="1">
        <f t="array" ref="F738">_xlfn.IFS(Healthcare!$E738&lt;5.7,"normal",Healthcare!$E738&lt;=6.4,"prediabetes",Healthcare!$E738&gt;=6.5,"diabetes")</f>
        <v>diabetes</v>
      </c>
      <c r="G738" s="5" t="s">
        <v>19</v>
      </c>
      <c r="H738" s="5" t="s">
        <v>19</v>
      </c>
      <c r="I738" s="5" t="s">
        <v>19</v>
      </c>
      <c r="J738" s="5">
        <v>3</v>
      </c>
      <c r="K738" s="5" t="s">
        <v>19</v>
      </c>
      <c r="L738" s="5" t="str">
        <f>VLOOKUP(Healthcare!$A738,hospital_details,2,0)</f>
        <v>10-Dec-1958</v>
      </c>
      <c r="M738" s="5">
        <f t="shared" ref="M738:M801" ca="1" si="4415">VLOOKUP(A738,hospital_details,3,0)</f>
        <v>67</v>
      </c>
      <c r="N738" s="5">
        <f t="shared" ref="N738:N801" si="4416">VLOOKUP($A738,hospital_details,4,0)</f>
        <v>0</v>
      </c>
      <c r="O738" s="6">
        <f t="shared" ref="O738:O801" si="4417">VLOOKUP($A738,hospital_details,5,0)</f>
        <v>13831.12</v>
      </c>
      <c r="P738" s="5" t="str">
        <f t="shared" ref="P738:P801" si="4418">VLOOKUP($A738,hospital_details,6,0)</f>
        <v>tier - 3</v>
      </c>
      <c r="Q738" s="5" t="str">
        <f t="shared" ref="Q738:Q801" si="4419">VLOOKUP($A738,hospital_details,7,0)</f>
        <v>tier - 1</v>
      </c>
      <c r="R738" s="5" t="str">
        <f t="shared" ref="R738:R801" si="4420">VLOOKUP($A738,hospital_details,8,0)</f>
        <v>R1013</v>
      </c>
    </row>
    <row r="739" spans="1:18" ht="14.4" customHeight="1" x14ac:dyDescent="0.3">
      <c r="A739" s="7" t="s">
        <v>759</v>
      </c>
      <c r="B739" s="7" t="str">
        <f>VLOOKUP($A739,[1]!Customer_Names[#Data],3,0)</f>
        <v xml:space="preserve">  Bruce A Jr</v>
      </c>
      <c r="C739" s="7">
        <v>34.5</v>
      </c>
      <c r="D739" s="7" t="str" cm="1">
        <f t="array" ref="D739">_xlfn.IFS(Healthcare!$C739&lt;18.5,"under weight",Healthcare!$C739&lt;=24.9,"Normal Weight",Healthcare!$C739&gt;=25,"overweight",Healthcare!$C739&gt;=30,"obese")</f>
        <v>overweight</v>
      </c>
      <c r="E739" s="7">
        <v>10.3</v>
      </c>
      <c r="F739" s="7" t="str" cm="1">
        <f t="array" ref="F739">_xlfn.IFS(Healthcare!$E739&lt;5.7,"normal",Healthcare!$E739&lt;=6.4,"prediabetes",Healthcare!$E739&gt;=6.5,"diabetes")</f>
        <v>diabetes</v>
      </c>
      <c r="G739" s="7" t="s">
        <v>19</v>
      </c>
      <c r="H739" s="7" t="s">
        <v>19</v>
      </c>
      <c r="I739" s="7" t="s">
        <v>19</v>
      </c>
      <c r="J739" s="7">
        <v>3</v>
      </c>
      <c r="K739" s="7" t="s">
        <v>19</v>
      </c>
      <c r="L739" s="7" t="str">
        <f>VLOOKUP(Healthcare!$A739,hospital_details,2,0)</f>
        <v>25-Nov-1958</v>
      </c>
      <c r="M739" s="7">
        <f t="shared" ref="M739:M802" ca="1" si="4421">VLOOKUP(A739,hospital_details,3,0)</f>
        <v>67</v>
      </c>
      <c r="N739" s="7">
        <f t="shared" ref="N739:N802" si="4422">VLOOKUP($A739,hospital_details,4,0)</f>
        <v>0</v>
      </c>
      <c r="O739" s="8">
        <f t="shared" ref="O739:O802" si="4423">VLOOKUP($A739,hospital_details,5,0)</f>
        <v>13822.8</v>
      </c>
      <c r="P739" s="7" t="str">
        <f t="shared" ref="P739:P802" si="4424">VLOOKUP($A739,hospital_details,6,0)</f>
        <v>tier - 3</v>
      </c>
      <c r="Q739" s="7" t="str">
        <f t="shared" ref="Q739:Q802" si="4425">VLOOKUP($A739,hospital_details,7,0)</f>
        <v>tier - 3</v>
      </c>
      <c r="R739" s="7" t="str">
        <f t="shared" ref="R739:R802" si="4426">VLOOKUP($A739,hospital_details,8,0)</f>
        <v>R1011</v>
      </c>
    </row>
    <row r="740" spans="1:18" ht="14.4" customHeight="1" x14ac:dyDescent="0.3">
      <c r="A740" s="5" t="s">
        <v>760</v>
      </c>
      <c r="B740" s="5" t="str">
        <f>VLOOKUP($A740,[1]!Customer_Names[#Data],3,0)</f>
        <v xml:space="preserve">  Cary J</v>
      </c>
      <c r="C740" s="5">
        <v>45.9</v>
      </c>
      <c r="D740" s="5" t="str" cm="1">
        <f t="array" ref="D740">_xlfn.IFS(Healthcare!$C740&lt;18.5,"under weight",Healthcare!$C740&lt;=24.9,"Normal Weight",Healthcare!$C740&gt;=25,"overweight",Healthcare!$C740&gt;=30,"obese")</f>
        <v>overweight</v>
      </c>
      <c r="E740" s="5">
        <v>11.14</v>
      </c>
      <c r="F740" s="5" t="str" cm="1">
        <f t="array" ref="F740">_xlfn.IFS(Healthcare!$E740&lt;5.7,"normal",Healthcare!$E740&lt;=6.4,"prediabetes",Healthcare!$E740&gt;=6.5,"diabetes")</f>
        <v>diabetes</v>
      </c>
      <c r="G740" s="5" t="s">
        <v>20</v>
      </c>
      <c r="H740" s="5" t="s">
        <v>19</v>
      </c>
      <c r="I740" s="5" t="s">
        <v>19</v>
      </c>
      <c r="J740" s="5">
        <v>1</v>
      </c>
      <c r="K740" s="5" t="s">
        <v>19</v>
      </c>
      <c r="L740" s="5" t="str">
        <f>VLOOKUP(Healthcare!$A740,hospital_details,2,0)</f>
        <v>8-Dec-1986</v>
      </c>
      <c r="M740" s="5">
        <f t="shared" ref="M740:M803" ca="1" si="4427">VLOOKUP(A740,hospital_details,3,0)</f>
        <v>39</v>
      </c>
      <c r="N740" s="5">
        <f t="shared" ref="N740:N803" si="4428">VLOOKUP($A740,hospital_details,4,0)</f>
        <v>3</v>
      </c>
      <c r="O740" s="6">
        <f t="shared" ref="O740:O803" si="4429">VLOOKUP($A740,hospital_details,5,0)</f>
        <v>13819.49</v>
      </c>
      <c r="P740" s="5" t="str">
        <f t="shared" ref="P740:P803" si="4430">VLOOKUP($A740,hospital_details,6,0)</f>
        <v>tier - 3</v>
      </c>
      <c r="Q740" s="5" t="str">
        <f t="shared" ref="Q740:Q803" si="4431">VLOOKUP($A740,hospital_details,7,0)</f>
        <v>tier - 2</v>
      </c>
      <c r="R740" s="5" t="str">
        <f t="shared" ref="R740:R803" si="4432">VLOOKUP($A740,hospital_details,8,0)</f>
        <v>R1012</v>
      </c>
    </row>
    <row r="741" spans="1:18" ht="14.4" customHeight="1" x14ac:dyDescent="0.3">
      <c r="A741" s="7" t="s">
        <v>761</v>
      </c>
      <c r="B741" s="7" t="str">
        <f>VLOOKUP($A741,[1]!Customer_Names[#Data],3,0)</f>
        <v xml:space="preserve">  Jill M</v>
      </c>
      <c r="C741" s="7">
        <v>33.479999999999997</v>
      </c>
      <c r="D741" s="7" t="str" cm="1">
        <f t="array" ref="D741">_xlfn.IFS(Healthcare!$C741&lt;18.5,"under weight",Healthcare!$C741&lt;=24.9,"Normal Weight",Healthcare!$C741&gt;=25,"overweight",Healthcare!$C741&gt;=30,"obese")</f>
        <v>overweight</v>
      </c>
      <c r="E741" s="7">
        <v>4.74</v>
      </c>
      <c r="F741" s="7" t="str" cm="1">
        <f t="array" ref="F741">_xlfn.IFS(Healthcare!$E741&lt;5.7,"normal",Healthcare!$E741&lt;=6.4,"prediabetes",Healthcare!$E741&gt;=6.5,"diabetes")</f>
        <v>normal</v>
      </c>
      <c r="G741" s="7" t="s">
        <v>20</v>
      </c>
      <c r="H741" s="7" t="s">
        <v>19</v>
      </c>
      <c r="I741" s="7" t="s">
        <v>19</v>
      </c>
      <c r="J741" s="7">
        <v>2</v>
      </c>
      <c r="K741" s="7" t="s">
        <v>19</v>
      </c>
      <c r="L741" s="7" t="str">
        <f>VLOOKUP(Healthcare!$A741,hospital_details,2,0)</f>
        <v>10-Nov-1966</v>
      </c>
      <c r="M741" s="7">
        <f t="shared" ref="M741:M804" ca="1" si="4433">VLOOKUP(A741,hospital_details,3,0)</f>
        <v>59</v>
      </c>
      <c r="N741" s="7">
        <f t="shared" ref="N741:N804" si="4434">VLOOKUP($A741,hospital_details,4,0)</f>
        <v>0</v>
      </c>
      <c r="O741" s="8">
        <f t="shared" ref="O741:O804" si="4435">VLOOKUP($A741,hospital_details,5,0)</f>
        <v>13801.61</v>
      </c>
      <c r="P741" s="7" t="str">
        <f t="shared" ref="P741:P804" si="4436">VLOOKUP($A741,hospital_details,6,0)</f>
        <v>tier - 3</v>
      </c>
      <c r="Q741" s="7" t="str">
        <f t="shared" ref="Q741:Q804" si="4437">VLOOKUP($A741,hospital_details,7,0)</f>
        <v>tier - 3</v>
      </c>
      <c r="R741" s="7" t="str">
        <f t="shared" ref="R741:R804" si="4438">VLOOKUP($A741,hospital_details,8,0)</f>
        <v>R1026</v>
      </c>
    </row>
    <row r="742" spans="1:18" ht="14.4" customHeight="1" x14ac:dyDescent="0.3">
      <c r="A742" s="5" t="s">
        <v>762</v>
      </c>
      <c r="B742" s="5" t="str">
        <f>VLOOKUP($A742,[1]!Customer_Names[#Data],3,0)</f>
        <v xml:space="preserve">  Chris</v>
      </c>
      <c r="C742" s="5">
        <v>28.31</v>
      </c>
      <c r="D742" s="5" t="str" cm="1">
        <f t="array" ref="D742">_xlfn.IFS(Healthcare!$C742&lt;18.5,"under weight",Healthcare!$C742&lt;=24.9,"Normal Weight",Healthcare!$C742&gt;=25,"overweight",Healthcare!$C742&gt;=30,"obese")</f>
        <v>overweight</v>
      </c>
      <c r="E742" s="5">
        <v>5.96</v>
      </c>
      <c r="F742" s="5" t="str" cm="1">
        <f t="array" ref="F742">_xlfn.IFS(Healthcare!$E742&lt;5.7,"normal",Healthcare!$E742&lt;=6.4,"prediabetes",Healthcare!$E742&gt;=6.5,"diabetes")</f>
        <v>prediabetes</v>
      </c>
      <c r="G742" s="5" t="s">
        <v>20</v>
      </c>
      <c r="H742" s="5" t="s">
        <v>19</v>
      </c>
      <c r="I742" s="5" t="s">
        <v>19</v>
      </c>
      <c r="J742" s="5">
        <v>2</v>
      </c>
      <c r="K742" s="5" t="s">
        <v>19</v>
      </c>
      <c r="L742" s="5" t="str">
        <f>VLOOKUP(Healthcare!$A742,hospital_details,2,0)</f>
        <v>6-Aug-1959</v>
      </c>
      <c r="M742" s="5">
        <f t="shared" ref="M742:M805" ca="1" si="4439">VLOOKUP(A742,hospital_details,3,0)</f>
        <v>67</v>
      </c>
      <c r="N742" s="5">
        <f t="shared" ref="N742:N805" si="4440">VLOOKUP($A742,hospital_details,4,0)</f>
        <v>0</v>
      </c>
      <c r="O742" s="6">
        <f t="shared" ref="O742:O805" si="4441">VLOOKUP($A742,hospital_details,5,0)</f>
        <v>13770.1</v>
      </c>
      <c r="P742" s="5" t="str">
        <f t="shared" ref="P742:P805" si="4442">VLOOKUP($A742,hospital_details,6,0)</f>
        <v>tier - 3</v>
      </c>
      <c r="Q742" s="5" t="str">
        <f t="shared" ref="Q742:Q805" si="4443">VLOOKUP($A742,hospital_details,7,0)</f>
        <v>tier - 1</v>
      </c>
      <c r="R742" s="5" t="str">
        <f t="shared" ref="R742:R805" si="4444">VLOOKUP($A742,hospital_details,8,0)</f>
        <v>R1012</v>
      </c>
    </row>
    <row r="743" spans="1:18" ht="14.4" customHeight="1" x14ac:dyDescent="0.3">
      <c r="A743" s="7" t="s">
        <v>763</v>
      </c>
      <c r="B743" s="7" t="str">
        <f>VLOOKUP($A743,[1]!Customer_Names[#Data],3,0)</f>
        <v xml:space="preserve">  Michael E</v>
      </c>
      <c r="C743" s="7">
        <v>21.565000000000001</v>
      </c>
      <c r="D743" s="7" t="str" cm="1">
        <f t="array" ref="D743">_xlfn.IFS(Healthcare!$C743&lt;18.5,"under weight",Healthcare!$C743&lt;=24.9,"Normal Weight",Healthcare!$C743&gt;=25,"overweight",Healthcare!$C743&gt;=30,"obese")</f>
        <v>Normal Weight</v>
      </c>
      <c r="E743" s="7">
        <v>4.95</v>
      </c>
      <c r="F743" s="7" t="str" cm="1">
        <f t="array" ref="F743">_xlfn.IFS(Healthcare!$E743&lt;5.7,"normal",Healthcare!$E743&lt;=6.4,"prediabetes",Healthcare!$E743&gt;=6.5,"diabetes")</f>
        <v>normal</v>
      </c>
      <c r="G743" s="7" t="s">
        <v>19</v>
      </c>
      <c r="H743" s="7" t="s">
        <v>20</v>
      </c>
      <c r="I743" s="7" t="s">
        <v>19</v>
      </c>
      <c r="J743" s="7">
        <v>1</v>
      </c>
      <c r="K743" s="7" t="s">
        <v>20</v>
      </c>
      <c r="L743" s="7" t="str">
        <f>VLOOKUP(Healthcare!$A743,hospital_details,2,0)</f>
        <v>16-Jul-2004</v>
      </c>
      <c r="M743" s="7">
        <f t="shared" ref="M743:M806" ca="1" si="4445">VLOOKUP(A743,hospital_details,3,0)</f>
        <v>22</v>
      </c>
      <c r="N743" s="7">
        <f t="shared" ref="N743:N806" si="4446">VLOOKUP($A743,hospital_details,4,0)</f>
        <v>0</v>
      </c>
      <c r="O743" s="8">
        <f t="shared" ref="O743:O806" si="4447">VLOOKUP($A743,hospital_details,5,0)</f>
        <v>13747.87</v>
      </c>
      <c r="P743" s="7" t="str">
        <f t="shared" ref="P743:P806" si="4448">VLOOKUP($A743,hospital_details,6,0)</f>
        <v>tier - 3</v>
      </c>
      <c r="Q743" s="7" t="str">
        <f t="shared" ref="Q743:Q806" si="4449">VLOOKUP($A743,hospital_details,7,0)</f>
        <v>tier - 2</v>
      </c>
      <c r="R743" s="7" t="str">
        <f t="shared" ref="R743:R806" si="4450">VLOOKUP($A743,hospital_details,8,0)</f>
        <v>R1018</v>
      </c>
    </row>
    <row r="744" spans="1:18" ht="14.4" customHeight="1" x14ac:dyDescent="0.3">
      <c r="A744" s="5" t="s">
        <v>764</v>
      </c>
      <c r="B744" s="5" t="str">
        <f>VLOOKUP($A744,[1]!Customer_Names[#Data],3,0)</f>
        <v xml:space="preserve">  Lauren</v>
      </c>
      <c r="C744" s="5">
        <v>35.590000000000003</v>
      </c>
      <c r="D744" s="5" t="str" cm="1">
        <f t="array" ref="D744">_xlfn.IFS(Healthcare!$C744&lt;18.5,"under weight",Healthcare!$C744&lt;=24.9,"Normal Weight",Healthcare!$C744&gt;=25,"overweight",Healthcare!$C744&gt;=30,"obese")</f>
        <v>overweight</v>
      </c>
      <c r="E744" s="5">
        <v>5.21</v>
      </c>
      <c r="F744" s="5" t="str" cm="1">
        <f t="array" ref="F744">_xlfn.IFS(Healthcare!$E744&lt;5.7,"normal",Healthcare!$E744&lt;=6.4,"prediabetes",Healthcare!$E744&gt;=6.5,"diabetes")</f>
        <v>normal</v>
      </c>
      <c r="G744" s="5" t="s">
        <v>20</v>
      </c>
      <c r="H744" s="5" t="s">
        <v>19</v>
      </c>
      <c r="I744" s="5" t="s">
        <v>29</v>
      </c>
      <c r="J744" s="5">
        <v>1</v>
      </c>
      <c r="K744" s="5" t="s">
        <v>19</v>
      </c>
      <c r="L744" s="5" t="str">
        <f>VLOOKUP(Healthcare!$A744,hospital_details,2,0)</f>
        <v>23-Oct-1969</v>
      </c>
      <c r="M744" s="5">
        <f t="shared" ref="M744:M807" ca="1" si="4451">VLOOKUP(A744,hospital_details,3,0)</f>
        <v>56</v>
      </c>
      <c r="N744" s="5">
        <f t="shared" ref="N744:N807" si="4452">VLOOKUP($A744,hospital_details,4,0)</f>
        <v>0</v>
      </c>
      <c r="O744" s="6">
        <f t="shared" ref="O744:O807" si="4453">VLOOKUP($A744,hospital_details,5,0)</f>
        <v>13746.74</v>
      </c>
      <c r="P744" s="5" t="str">
        <f t="shared" ref="P744:P807" si="4454">VLOOKUP($A744,hospital_details,6,0)</f>
        <v>tier - 3</v>
      </c>
      <c r="Q744" s="5" t="str">
        <f t="shared" ref="Q744:Q807" si="4455">VLOOKUP($A744,hospital_details,7,0)</f>
        <v>tier - 2</v>
      </c>
      <c r="R744" s="5" t="str">
        <f t="shared" ref="R744:R807" si="4456">VLOOKUP($A744,hospital_details,8,0)</f>
        <v>R1026</v>
      </c>
    </row>
    <row r="745" spans="1:18" ht="14.4" customHeight="1" x14ac:dyDescent="0.3">
      <c r="A745" s="7" t="s">
        <v>765</v>
      </c>
      <c r="B745" s="7" t="str">
        <f>VLOOKUP($A745,[1]!Customer_Names[#Data],3,0)</f>
        <v xml:space="preserve">  Kathryn E</v>
      </c>
      <c r="C745" s="7">
        <v>43.44</v>
      </c>
      <c r="D745" s="7" t="str" cm="1">
        <f t="array" ref="D745">_xlfn.IFS(Healthcare!$C745&lt;18.5,"under weight",Healthcare!$C745&lt;=24.9,"Normal Weight",Healthcare!$C745&gt;=25,"overweight",Healthcare!$C745&gt;=30,"obese")</f>
        <v>overweight</v>
      </c>
      <c r="E745" s="7">
        <v>4.8600000000000003</v>
      </c>
      <c r="F745" s="7" t="str" cm="1">
        <f t="array" ref="F745">_xlfn.IFS(Healthcare!$E745&lt;5.7,"normal",Healthcare!$E745&lt;=6.4,"prediabetes",Healthcare!$E745&gt;=6.5,"diabetes")</f>
        <v>normal</v>
      </c>
      <c r="G745" s="7" t="s">
        <v>20</v>
      </c>
      <c r="H745" s="7" t="s">
        <v>19</v>
      </c>
      <c r="I745" s="7" t="s">
        <v>19</v>
      </c>
      <c r="J745" s="7">
        <v>0</v>
      </c>
      <c r="K745" s="7" t="s">
        <v>19</v>
      </c>
      <c r="L745" s="7" t="str">
        <f>VLOOKUP(Healthcare!$A745,hospital_details,2,0)</f>
        <v>29-Aug-1985</v>
      </c>
      <c r="M745" s="7">
        <f t="shared" ref="M745:M808" ca="1" si="4457">VLOOKUP(A745,hospital_details,3,0)</f>
        <v>41</v>
      </c>
      <c r="N745" s="7">
        <f t="shared" ref="N745:N808" si="4458">VLOOKUP($A745,hospital_details,4,0)</f>
        <v>3</v>
      </c>
      <c r="O745" s="8">
        <f t="shared" ref="O745:O808" si="4459">VLOOKUP($A745,hospital_details,5,0)</f>
        <v>13726.21</v>
      </c>
      <c r="P745" s="7" t="str">
        <f t="shared" ref="P745:P808" si="4460">VLOOKUP($A745,hospital_details,6,0)</f>
        <v>tier - 3</v>
      </c>
      <c r="Q745" s="7" t="str">
        <f t="shared" ref="Q745:Q808" si="4461">VLOOKUP($A745,hospital_details,7,0)</f>
        <v>tier - 3</v>
      </c>
      <c r="R745" s="7" t="str">
        <f t="shared" ref="R745:R808" si="4462">VLOOKUP($A745,hospital_details,8,0)</f>
        <v>R1026</v>
      </c>
    </row>
    <row r="746" spans="1:18" ht="14.4" customHeight="1" x14ac:dyDescent="0.3">
      <c r="A746" s="5" t="s">
        <v>766</v>
      </c>
      <c r="B746" s="5" t="str">
        <f>VLOOKUP($A746,[1]!Customer_Names[#Data],3,0)</f>
        <v xml:space="preserve">  Polly</v>
      </c>
      <c r="C746" s="5">
        <v>21.754999999999999</v>
      </c>
      <c r="D746" s="5" t="str" cm="1">
        <f t="array" ref="D746">_xlfn.IFS(Healthcare!$C746&lt;18.5,"under weight",Healthcare!$C746&lt;=24.9,"Normal Weight",Healthcare!$C746&gt;=25,"overweight",Healthcare!$C746&gt;=30,"obese")</f>
        <v>Normal Weight</v>
      </c>
      <c r="E746" s="5">
        <v>7.79</v>
      </c>
      <c r="F746" s="5" t="str" cm="1">
        <f t="array" ref="F746">_xlfn.IFS(Healthcare!$E746&lt;5.7,"normal",Healthcare!$E746&lt;=6.4,"prediabetes",Healthcare!$E746&gt;=6.5,"diabetes")</f>
        <v>diabetes</v>
      </c>
      <c r="G746" s="5" t="s">
        <v>20</v>
      </c>
      <c r="H746" s="5" t="s">
        <v>19</v>
      </c>
      <c r="I746" s="5" t="s">
        <v>19</v>
      </c>
      <c r="J746" s="5">
        <v>0</v>
      </c>
      <c r="K746" s="5" t="s">
        <v>19</v>
      </c>
      <c r="L746" s="5" t="str">
        <f>VLOOKUP(Healthcare!$A746,hospital_details,2,0)</f>
        <v>2-Aug-1981</v>
      </c>
      <c r="M746" s="5">
        <f t="shared" ref="M746:M809" ca="1" si="4463">VLOOKUP(A746,hospital_details,3,0)</f>
        <v>45</v>
      </c>
      <c r="N746" s="5">
        <f t="shared" ref="N746:N809" si="4464">VLOOKUP($A746,hospital_details,4,0)</f>
        <v>1</v>
      </c>
      <c r="O746" s="6">
        <f t="shared" ref="O746:O809" si="4465">VLOOKUP($A746,hospital_details,5,0)</f>
        <v>13725.47</v>
      </c>
      <c r="P746" s="5" t="str">
        <f t="shared" ref="P746:P809" si="4466">VLOOKUP($A746,hospital_details,6,0)</f>
        <v>tier - 3</v>
      </c>
      <c r="Q746" s="5" t="str">
        <f t="shared" ref="Q746:Q809" si="4467">VLOOKUP($A746,hospital_details,7,0)</f>
        <v>tier - 2</v>
      </c>
      <c r="R746" s="5" t="str">
        <f t="shared" ref="R746:R809" si="4468">VLOOKUP($A746,hospital_details,8,0)</f>
        <v>R1024</v>
      </c>
    </row>
    <row r="747" spans="1:18" ht="14.4" customHeight="1" x14ac:dyDescent="0.3">
      <c r="A747" s="7" t="s">
        <v>767</v>
      </c>
      <c r="B747" s="7" t="str">
        <f>VLOOKUP($A747,[1]!Customer_Names[#Data],3,0)</f>
        <v xml:space="preserve">  Mark H</v>
      </c>
      <c r="C747" s="7">
        <v>44.55</v>
      </c>
      <c r="D747" s="7" t="str" cm="1">
        <f t="array" ref="D747">_xlfn.IFS(Healthcare!$C747&lt;18.5,"under weight",Healthcare!$C747&lt;=24.9,"Normal Weight",Healthcare!$C747&gt;=25,"overweight",Healthcare!$C747&gt;=30,"obese")</f>
        <v>overweight</v>
      </c>
      <c r="E747" s="7">
        <v>7.12</v>
      </c>
      <c r="F747" s="7" t="str" cm="1">
        <f t="array" ref="F747">_xlfn.IFS(Healthcare!$E747&lt;5.7,"normal",Healthcare!$E747&lt;=6.4,"prediabetes",Healthcare!$E747&gt;=6.5,"diabetes")</f>
        <v>diabetes</v>
      </c>
      <c r="G747" s="7" t="s">
        <v>20</v>
      </c>
      <c r="H747" s="7" t="s">
        <v>19</v>
      </c>
      <c r="I747" s="7" t="s">
        <v>19</v>
      </c>
      <c r="J747" s="7">
        <v>1</v>
      </c>
      <c r="K747" s="7" t="s">
        <v>19</v>
      </c>
      <c r="L747" s="7" t="str">
        <f>VLOOKUP(Healthcare!$A747,hospital_details,2,0)</f>
        <v>24-Nov-1986</v>
      </c>
      <c r="M747" s="7">
        <f t="shared" ref="M747:M810" ca="1" si="4469">VLOOKUP(A747,hospital_details,3,0)</f>
        <v>39</v>
      </c>
      <c r="N747" s="7">
        <f t="shared" ref="N747:N810" si="4470">VLOOKUP($A747,hospital_details,4,0)</f>
        <v>3</v>
      </c>
      <c r="O747" s="8">
        <f t="shared" ref="O747:O810" si="4471">VLOOKUP($A747,hospital_details,5,0)</f>
        <v>13714.55</v>
      </c>
      <c r="P747" s="7" t="str">
        <f t="shared" ref="P747:P810" si="4472">VLOOKUP($A747,hospital_details,6,0)</f>
        <v>tier - 3</v>
      </c>
      <c r="Q747" s="7" t="str">
        <f t="shared" ref="Q747:Q810" si="4473">VLOOKUP($A747,hospital_details,7,0)</f>
        <v>tier - 2</v>
      </c>
      <c r="R747" s="7" t="str">
        <f t="shared" ref="R747:R810" si="4474">VLOOKUP($A747,hospital_details,8,0)</f>
        <v>R1023</v>
      </c>
    </row>
    <row r="748" spans="1:18" ht="14.4" customHeight="1" x14ac:dyDescent="0.3">
      <c r="A748" s="5" t="s">
        <v>768</v>
      </c>
      <c r="B748" s="5" t="str">
        <f>VLOOKUP($A748,[1]!Customer_Names[#Data],3,0)</f>
        <v xml:space="preserve">  Jessie M</v>
      </c>
      <c r="C748" s="5">
        <v>43.32</v>
      </c>
      <c r="D748" s="5" t="str" cm="1">
        <f t="array" ref="D748">_xlfn.IFS(Healthcare!$C748&lt;18.5,"under weight",Healthcare!$C748&lt;=24.9,"Normal Weight",Healthcare!$C748&gt;=25,"overweight",Healthcare!$C748&gt;=30,"obese")</f>
        <v>overweight</v>
      </c>
      <c r="E748" s="5">
        <v>4.67</v>
      </c>
      <c r="F748" s="5" t="str" cm="1">
        <f t="array" ref="F748">_xlfn.IFS(Healthcare!$E748&lt;5.7,"normal",Healthcare!$E748&lt;=6.4,"prediabetes",Healthcare!$E748&gt;=6.5,"diabetes")</f>
        <v>normal</v>
      </c>
      <c r="G748" s="5" t="s">
        <v>20</v>
      </c>
      <c r="H748" s="5" t="s">
        <v>19</v>
      </c>
      <c r="I748" s="5" t="s">
        <v>19</v>
      </c>
      <c r="J748" s="5">
        <v>0</v>
      </c>
      <c r="K748" s="5" t="s">
        <v>19</v>
      </c>
      <c r="L748" s="5" t="str">
        <f>VLOOKUP(Healthcare!$A748,hospital_details,2,0)</f>
        <v>14-Sep-1985</v>
      </c>
      <c r="M748" s="5">
        <f t="shared" ref="M748:M811" ca="1" si="4475">VLOOKUP(A748,hospital_details,3,0)</f>
        <v>41</v>
      </c>
      <c r="N748" s="5">
        <f t="shared" ref="N748:N811" si="4476">VLOOKUP($A748,hospital_details,4,0)</f>
        <v>3</v>
      </c>
      <c r="O748" s="6">
        <f t="shared" ref="O748:O811" si="4477">VLOOKUP($A748,hospital_details,5,0)</f>
        <v>13685.51</v>
      </c>
      <c r="P748" s="5" t="str">
        <f t="shared" ref="P748:P811" si="4478">VLOOKUP($A748,hospital_details,6,0)</f>
        <v>tier - 3</v>
      </c>
      <c r="Q748" s="5" t="str">
        <f t="shared" ref="Q748:Q811" si="4479">VLOOKUP($A748,hospital_details,7,0)</f>
        <v>tier - 1</v>
      </c>
      <c r="R748" s="5" t="str">
        <f t="shared" ref="R748:R811" si="4480">VLOOKUP($A748,hospital_details,8,0)</f>
        <v>R1026</v>
      </c>
    </row>
    <row r="749" spans="1:18" ht="14.4" customHeight="1" x14ac:dyDescent="0.3">
      <c r="A749" s="7" t="s">
        <v>769</v>
      </c>
      <c r="B749" s="7" t="str">
        <f>VLOOKUP($A749,[1]!Customer_Names[#Data],3,0)</f>
        <v xml:space="preserve">  Chris</v>
      </c>
      <c r="C749" s="7">
        <v>31.23</v>
      </c>
      <c r="D749" s="7" t="str" cm="1">
        <f t="array" ref="D749">_xlfn.IFS(Healthcare!$C749&lt;18.5,"under weight",Healthcare!$C749&lt;=24.9,"Normal Weight",Healthcare!$C749&gt;=25,"overweight",Healthcare!$C749&gt;=30,"obese")</f>
        <v>overweight</v>
      </c>
      <c r="E749" s="7">
        <v>9.1199999999999992</v>
      </c>
      <c r="F749" s="7" t="str" cm="1">
        <f t="array" ref="F749">_xlfn.IFS(Healthcare!$E749&lt;5.7,"normal",Healthcare!$E749&lt;=6.4,"prediabetes",Healthcare!$E749&gt;=6.5,"diabetes")</f>
        <v>diabetes</v>
      </c>
      <c r="G749" s="7" t="s">
        <v>20</v>
      </c>
      <c r="H749" s="7" t="s">
        <v>19</v>
      </c>
      <c r="I749" s="7" t="s">
        <v>29</v>
      </c>
      <c r="J749" s="7">
        <v>1</v>
      </c>
      <c r="K749" s="7" t="s">
        <v>19</v>
      </c>
      <c r="L749" s="7" t="str">
        <f>VLOOKUP(Healthcare!$A749,hospital_details,2,0)</f>
        <v>4-Aug-1963</v>
      </c>
      <c r="M749" s="7">
        <f t="shared" ref="M749:M812" ca="1" si="4481">VLOOKUP(A749,hospital_details,3,0)</f>
        <v>63</v>
      </c>
      <c r="N749" s="7">
        <f t="shared" ref="N749:N812" si="4482">VLOOKUP($A749,hospital_details,4,0)</f>
        <v>0</v>
      </c>
      <c r="O749" s="8">
        <f t="shared" ref="O749:O812" si="4483">VLOOKUP($A749,hospital_details,5,0)</f>
        <v>13677.68</v>
      </c>
      <c r="P749" s="7" t="str">
        <f t="shared" ref="P749:P812" si="4484">VLOOKUP($A749,hospital_details,6,0)</f>
        <v>tier - 3</v>
      </c>
      <c r="Q749" s="7" t="str">
        <f t="shared" ref="Q749:Q812" si="4485">VLOOKUP($A749,hospital_details,7,0)</f>
        <v>tier - 2</v>
      </c>
      <c r="R749" s="7" t="str">
        <f t="shared" ref="R749:R812" si="4486">VLOOKUP($A749,hospital_details,8,0)</f>
        <v>R1021</v>
      </c>
    </row>
    <row r="750" spans="1:18" ht="14.4" customHeight="1" x14ac:dyDescent="0.3">
      <c r="A750" s="5" t="s">
        <v>770</v>
      </c>
      <c r="B750" s="5" t="str">
        <f>VLOOKUP($A750,[1]!Customer_Names[#Data],3,0)</f>
        <v xml:space="preserve">  Daniel</v>
      </c>
      <c r="C750" s="5">
        <v>42.81</v>
      </c>
      <c r="D750" s="5" t="str" cm="1">
        <f t="array" ref="D750">_xlfn.IFS(Healthcare!$C750&lt;18.5,"under weight",Healthcare!$C750&lt;=24.9,"Normal Weight",Healthcare!$C750&gt;=25,"overweight",Healthcare!$C750&gt;=30,"obese")</f>
        <v>overweight</v>
      </c>
      <c r="E750" s="5">
        <v>4.1500000000000004</v>
      </c>
      <c r="F750" s="5" t="str" cm="1">
        <f t="array" ref="F750">_xlfn.IFS(Healthcare!$E750&lt;5.7,"normal",Healthcare!$E750&lt;=6.4,"prediabetes",Healthcare!$E750&gt;=6.5,"diabetes")</f>
        <v>normal</v>
      </c>
      <c r="G750" s="5" t="s">
        <v>19</v>
      </c>
      <c r="H750" s="5" t="s">
        <v>19</v>
      </c>
      <c r="I750" s="5" t="s">
        <v>19</v>
      </c>
      <c r="J750" s="5">
        <v>1</v>
      </c>
      <c r="K750" s="5" t="s">
        <v>19</v>
      </c>
      <c r="L750" s="5" t="str">
        <f>VLOOKUP(Healthcare!$A750,hospital_details,2,0)</f>
        <v>20-Jul-1984</v>
      </c>
      <c r="M750" s="5">
        <f t="shared" ref="M750:M813" ca="1" si="4487">VLOOKUP(A750,hospital_details,3,0)</f>
        <v>42</v>
      </c>
      <c r="N750" s="5">
        <f t="shared" ref="N750:N813" si="4488">VLOOKUP($A750,hospital_details,4,0)</f>
        <v>3</v>
      </c>
      <c r="O750" s="6">
        <f t="shared" ref="O750:O813" si="4489">VLOOKUP($A750,hospital_details,5,0)</f>
        <v>13638.06</v>
      </c>
      <c r="P750" s="5" t="str">
        <f t="shared" ref="P750:P813" si="4490">VLOOKUP($A750,hospital_details,6,0)</f>
        <v>tier - 3</v>
      </c>
      <c r="Q750" s="5" t="str">
        <f t="shared" ref="Q750:Q813" si="4491">VLOOKUP($A750,hospital_details,7,0)</f>
        <v>tier - 3</v>
      </c>
      <c r="R750" s="5" t="str">
        <f t="shared" ref="R750:R813" si="4492">VLOOKUP($A750,hospital_details,8,0)</f>
        <v>R1023</v>
      </c>
    </row>
    <row r="751" spans="1:18" ht="14.4" customHeight="1" x14ac:dyDescent="0.3">
      <c r="A751" s="7" t="s">
        <v>771</v>
      </c>
      <c r="B751" s="7" t="str">
        <f>VLOOKUP($A751,[1]!Customer_Names[#Data],3,0)</f>
        <v xml:space="preserve">  Megan</v>
      </c>
      <c r="C751" s="7">
        <v>35.909999999999997</v>
      </c>
      <c r="D751" s="7" t="str" cm="1">
        <f t="array" ref="D751">_xlfn.IFS(Healthcare!$C751&lt;18.5,"under weight",Healthcare!$C751&lt;=24.9,"Normal Weight",Healthcare!$C751&gt;=25,"overweight",Healthcare!$C751&gt;=30,"obese")</f>
        <v>overweight</v>
      </c>
      <c r="E751" s="7">
        <v>6.72</v>
      </c>
      <c r="F751" s="7" t="str" cm="1">
        <f t="array" ref="F751">_xlfn.IFS(Healthcare!$E751&lt;5.7,"normal",Healthcare!$E751&lt;=6.4,"prediabetes",Healthcare!$E751&gt;=6.5,"diabetes")</f>
        <v>diabetes</v>
      </c>
      <c r="G751" s="7" t="s">
        <v>20</v>
      </c>
      <c r="H751" s="7" t="s">
        <v>19</v>
      </c>
      <c r="I751" s="7" t="s">
        <v>19</v>
      </c>
      <c r="J751" s="7">
        <v>2</v>
      </c>
      <c r="K751" s="7" t="s">
        <v>19</v>
      </c>
      <c r="L751" s="7" t="str">
        <f>VLOOKUP(Healthcare!$A751,hospital_details,2,0)</f>
        <v>24-Dec-1961</v>
      </c>
      <c r="M751" s="7">
        <f t="shared" ref="M751:M814" ca="1" si="4493">VLOOKUP(A751,hospital_details,3,0)</f>
        <v>64</v>
      </c>
      <c r="N751" s="7">
        <f t="shared" ref="N751:N814" si="4494">VLOOKUP($A751,hospital_details,4,0)</f>
        <v>0</v>
      </c>
      <c r="O751" s="8">
        <f t="shared" ref="O751:O814" si="4495">VLOOKUP($A751,hospital_details,5,0)</f>
        <v>13635.64</v>
      </c>
      <c r="P751" s="7" t="str">
        <f t="shared" ref="P751:P814" si="4496">VLOOKUP($A751,hospital_details,6,0)</f>
        <v>tier - 3</v>
      </c>
      <c r="Q751" s="7" t="str">
        <f t="shared" ref="Q751:Q814" si="4497">VLOOKUP($A751,hospital_details,7,0)</f>
        <v>tier - 3</v>
      </c>
      <c r="R751" s="7" t="str">
        <f t="shared" ref="R751:R814" si="4498">VLOOKUP($A751,hospital_details,8,0)</f>
        <v>R1024</v>
      </c>
    </row>
    <row r="752" spans="1:18" ht="14.4" customHeight="1" x14ac:dyDescent="0.3">
      <c r="A752" s="5" t="s">
        <v>772</v>
      </c>
      <c r="B752" s="5" t="str">
        <f>VLOOKUP($A752,[1]!Customer_Names[#Data],3,0)</f>
        <v xml:space="preserve">  Kevin</v>
      </c>
      <c r="C752" s="5">
        <v>36.65</v>
      </c>
      <c r="D752" s="5" t="str" cm="1">
        <f t="array" ref="D752">_xlfn.IFS(Healthcare!$C752&lt;18.5,"under weight",Healthcare!$C752&lt;=24.9,"Normal Weight",Healthcare!$C752&gt;=25,"overweight",Healthcare!$C752&gt;=30,"obese")</f>
        <v>overweight</v>
      </c>
      <c r="E752" s="5">
        <v>5.01</v>
      </c>
      <c r="F752" s="5" t="str" cm="1">
        <f t="array" ref="F752">_xlfn.IFS(Healthcare!$E752&lt;5.7,"normal",Healthcare!$E752&lt;=6.4,"prediabetes",Healthcare!$E752&gt;=6.5,"diabetes")</f>
        <v>normal</v>
      </c>
      <c r="G752" s="5" t="s">
        <v>20</v>
      </c>
      <c r="H752" s="5" t="s">
        <v>19</v>
      </c>
      <c r="I752" s="5" t="s">
        <v>29</v>
      </c>
      <c r="J752" s="5">
        <v>1</v>
      </c>
      <c r="K752" s="5" t="s">
        <v>19</v>
      </c>
      <c r="L752" s="5" t="str">
        <f>VLOOKUP(Healthcare!$A752,hospital_details,2,0)</f>
        <v>26-Jul-1969</v>
      </c>
      <c r="M752" s="5">
        <f t="shared" ref="M752:M815" ca="1" si="4499">VLOOKUP(A752,hospital_details,3,0)</f>
        <v>57</v>
      </c>
      <c r="N752" s="5">
        <f t="shared" ref="N752:N815" si="4500">VLOOKUP($A752,hospital_details,4,0)</f>
        <v>0</v>
      </c>
      <c r="O752" s="6">
        <f t="shared" ref="O752:O815" si="4501">VLOOKUP($A752,hospital_details,5,0)</f>
        <v>13622.01</v>
      </c>
      <c r="P752" s="5" t="str">
        <f t="shared" ref="P752:P815" si="4502">VLOOKUP($A752,hospital_details,6,0)</f>
        <v>tier - 3</v>
      </c>
      <c r="Q752" s="5" t="str">
        <f t="shared" ref="Q752:Q815" si="4503">VLOOKUP($A752,hospital_details,7,0)</f>
        <v>tier - 3</v>
      </c>
      <c r="R752" s="5" t="str">
        <f t="shared" ref="R752:R815" si="4504">VLOOKUP($A752,hospital_details,8,0)</f>
        <v>R1012</v>
      </c>
    </row>
    <row r="753" spans="1:18" ht="14.4" customHeight="1" x14ac:dyDescent="0.3">
      <c r="A753" s="7" t="s">
        <v>773</v>
      </c>
      <c r="B753" s="7" t="str">
        <f>VLOOKUP($A753,[1]!Customer_Names[#Data],3,0)</f>
        <v xml:space="preserve">  Caroline S</v>
      </c>
      <c r="C753" s="7">
        <v>22.04</v>
      </c>
      <c r="D753" s="7" t="str" cm="1">
        <f t="array" ref="D753">_xlfn.IFS(Healthcare!$C753&lt;18.5,"under weight",Healthcare!$C753&lt;=24.9,"Normal Weight",Healthcare!$C753&gt;=25,"overweight",Healthcare!$C753&gt;=30,"obese")</f>
        <v>Normal Weight</v>
      </c>
      <c r="E753" s="7">
        <v>10.9</v>
      </c>
      <c r="F753" s="7" t="str" cm="1">
        <f t="array" ref="F753">_xlfn.IFS(Healthcare!$E753&lt;5.7,"normal",Healthcare!$E753&lt;=6.4,"prediabetes",Healthcare!$E753&gt;=6.5,"diabetes")</f>
        <v>diabetes</v>
      </c>
      <c r="G753" s="7" t="s">
        <v>20</v>
      </c>
      <c r="H753" s="7" t="s">
        <v>19</v>
      </c>
      <c r="I753" s="7" t="s">
        <v>19</v>
      </c>
      <c r="J753" s="7">
        <v>2</v>
      </c>
      <c r="K753" s="7" t="s">
        <v>19</v>
      </c>
      <c r="L753" s="7" t="str">
        <f>VLOOKUP(Healthcare!$A753,hospital_details,2,0)</f>
        <v>18-Nov-1961</v>
      </c>
      <c r="M753" s="7">
        <f t="shared" ref="M753:M816" ca="1" si="4505">VLOOKUP(A753,hospital_details,3,0)</f>
        <v>64</v>
      </c>
      <c r="N753" s="7">
        <f t="shared" ref="N753:N816" si="4506">VLOOKUP($A753,hospital_details,4,0)</f>
        <v>0</v>
      </c>
      <c r="O753" s="8">
        <f t="shared" ref="O753:O816" si="4507">VLOOKUP($A753,hospital_details,5,0)</f>
        <v>13616.36</v>
      </c>
      <c r="P753" s="7" t="str">
        <f t="shared" ref="P753:P816" si="4508">VLOOKUP($A753,hospital_details,6,0)</f>
        <v>tier - 3</v>
      </c>
      <c r="Q753" s="7" t="str">
        <f t="shared" ref="Q753:Q816" si="4509">VLOOKUP($A753,hospital_details,7,0)</f>
        <v>tier - 3</v>
      </c>
      <c r="R753" s="7" t="str">
        <f t="shared" ref="R753:R816" si="4510">VLOOKUP($A753,hospital_details,8,0)</f>
        <v>R1024</v>
      </c>
    </row>
    <row r="754" spans="1:18" ht="14.4" customHeight="1" x14ac:dyDescent="0.3">
      <c r="A754" s="5" t="s">
        <v>774</v>
      </c>
      <c r="B754" s="5" t="str">
        <f>VLOOKUP($A754,[1]!Customer_Names[#Data],3,0)</f>
        <v xml:space="preserve">  Nuta</v>
      </c>
      <c r="C754" s="5">
        <v>31.824999999999999</v>
      </c>
      <c r="D754" s="5" t="str" cm="1">
        <f t="array" ref="D754">_xlfn.IFS(Healthcare!$C754&lt;18.5,"under weight",Healthcare!$C754&lt;=24.9,"Normal Weight",Healthcare!$C754&gt;=25,"overweight",Healthcare!$C754&gt;=30,"obese")</f>
        <v>overweight</v>
      </c>
      <c r="E754" s="5">
        <v>5.52</v>
      </c>
      <c r="F754" s="5" t="str" cm="1">
        <f t="array" ref="F754">_xlfn.IFS(Healthcare!$E754&lt;5.7,"normal",Healthcare!$E754&lt;=6.4,"prediabetes",Healthcare!$E754&gt;=6.5,"diabetes")</f>
        <v>normal</v>
      </c>
      <c r="G754" s="5" t="s">
        <v>20</v>
      </c>
      <c r="H754" s="5" t="s">
        <v>19</v>
      </c>
      <c r="I754" s="5" t="s">
        <v>19</v>
      </c>
      <c r="J754" s="5">
        <v>1</v>
      </c>
      <c r="K754" s="5" t="s">
        <v>19</v>
      </c>
      <c r="L754" s="5" t="str">
        <f>VLOOKUP(Healthcare!$A754,hospital_details,2,0)</f>
        <v>10-Sep-1964</v>
      </c>
      <c r="M754" s="5">
        <f t="shared" ref="M754:M817" ca="1" si="4511">VLOOKUP(A754,hospital_details,3,0)</f>
        <v>62</v>
      </c>
      <c r="N754" s="5">
        <f t="shared" ref="N754:N817" si="4512">VLOOKUP($A754,hospital_details,4,0)</f>
        <v>2</v>
      </c>
      <c r="O754" s="6">
        <f t="shared" ref="O754:O817" si="4513">VLOOKUP($A754,hospital_details,5,0)</f>
        <v>13607.37</v>
      </c>
      <c r="P754" s="5" t="str">
        <f t="shared" ref="P754:P817" si="4514">VLOOKUP($A754,hospital_details,6,0)</f>
        <v>tier - 3</v>
      </c>
      <c r="Q754" s="5" t="str">
        <f t="shared" ref="Q754:Q817" si="4515">VLOOKUP($A754,hospital_details,7,0)</f>
        <v>tier - 1</v>
      </c>
      <c r="R754" s="5" t="str">
        <f t="shared" ref="R754:R817" si="4516">VLOOKUP($A754,hospital_details,8,0)</f>
        <v>R1024</v>
      </c>
    </row>
    <row r="755" spans="1:18" ht="14.4" customHeight="1" x14ac:dyDescent="0.3">
      <c r="A755" s="7" t="s">
        <v>775</v>
      </c>
      <c r="B755" s="7" t="str">
        <f>VLOOKUP($A755,[1]!Customer_Names[#Data],3,0)</f>
        <v xml:space="preserve">  Margie</v>
      </c>
      <c r="C755" s="7">
        <v>53.58</v>
      </c>
      <c r="D755" s="7" t="str" cm="1">
        <f t="array" ref="D755">_xlfn.IFS(Healthcare!$C755&lt;18.5,"under weight",Healthcare!$C755&lt;=24.9,"Normal Weight",Healthcare!$C755&gt;=25,"overweight",Healthcare!$C755&gt;=30,"obese")</f>
        <v>overweight</v>
      </c>
      <c r="E755" s="7">
        <v>4.55</v>
      </c>
      <c r="F755" s="7" t="str" cm="1">
        <f t="array" ref="F755">_xlfn.IFS(Healthcare!$E755&lt;5.7,"normal",Healthcare!$E755&lt;=6.4,"prediabetes",Healthcare!$E755&gt;=6.5,"diabetes")</f>
        <v>normal</v>
      </c>
      <c r="G755" s="7" t="s">
        <v>19</v>
      </c>
      <c r="H755" s="7" t="s">
        <v>19</v>
      </c>
      <c r="I755" s="7" t="s">
        <v>19</v>
      </c>
      <c r="J755" s="7">
        <v>1</v>
      </c>
      <c r="K755" s="7" t="s">
        <v>19</v>
      </c>
      <c r="L755" s="7" t="str">
        <f>VLOOKUP(Healthcare!$A755,hospital_details,2,0)</f>
        <v>14-Aug-1992</v>
      </c>
      <c r="M755" s="7">
        <f t="shared" ref="M755:M818" ca="1" si="4517">VLOOKUP(A755,hospital_details,3,0)</f>
        <v>34</v>
      </c>
      <c r="N755" s="7">
        <f t="shared" ref="N755:N818" si="4518">VLOOKUP($A755,hospital_details,4,0)</f>
        <v>0</v>
      </c>
      <c r="O755" s="8">
        <f t="shared" ref="O755:O818" si="4519">VLOOKUP($A755,hospital_details,5,0)</f>
        <v>13588.17</v>
      </c>
      <c r="P755" s="7" t="str">
        <f t="shared" ref="P755:P818" si="4520">VLOOKUP($A755,hospital_details,6,0)</f>
        <v>tier - 3</v>
      </c>
      <c r="Q755" s="7" t="str">
        <f t="shared" ref="Q755:Q818" si="4521">VLOOKUP($A755,hospital_details,7,0)</f>
        <v>tier - 1</v>
      </c>
      <c r="R755" s="7" t="str">
        <f t="shared" ref="R755:R818" si="4522">VLOOKUP($A755,hospital_details,8,0)</f>
        <v>R1012</v>
      </c>
    </row>
    <row r="756" spans="1:18" ht="14.4" customHeight="1" x14ac:dyDescent="0.3">
      <c r="A756" s="5" t="s">
        <v>776</v>
      </c>
      <c r="B756" s="5" t="str">
        <f>VLOOKUP($A756,[1]!Customer_Names[#Data],3,0)</f>
        <v xml:space="preserve">  Heidi</v>
      </c>
      <c r="C756" s="5">
        <v>34.299999999999997</v>
      </c>
      <c r="D756" s="5" t="str" cm="1">
        <f t="array" ref="D756">_xlfn.IFS(Healthcare!$C756&lt;18.5,"under weight",Healthcare!$C756&lt;=24.9,"Normal Weight",Healthcare!$C756&gt;=25,"overweight",Healthcare!$C756&gt;=30,"obese")</f>
        <v>overweight</v>
      </c>
      <c r="E756" s="5">
        <v>11.76</v>
      </c>
      <c r="F756" s="5" t="str" cm="1">
        <f t="array" ref="F756">_xlfn.IFS(Healthcare!$E756&lt;5.7,"normal",Healthcare!$E756&lt;=6.4,"prediabetes",Healthcare!$E756&gt;=6.5,"diabetes")</f>
        <v>diabetes</v>
      </c>
      <c r="G756" s="5" t="s">
        <v>19</v>
      </c>
      <c r="H756" s="5" t="s">
        <v>19</v>
      </c>
      <c r="I756" s="5" t="s">
        <v>19</v>
      </c>
      <c r="J756" s="5">
        <v>0</v>
      </c>
      <c r="K756" s="5" t="s">
        <v>19</v>
      </c>
      <c r="L756" s="5" t="str">
        <f>VLOOKUP(Healthcare!$A756,hospital_details,2,0)</f>
        <v>15-Jul-1968</v>
      </c>
      <c r="M756" s="5">
        <f t="shared" ref="M756:M819" ca="1" si="4523">VLOOKUP(A756,hospital_details,3,0)</f>
        <v>58</v>
      </c>
      <c r="N756" s="5">
        <f t="shared" ref="N756:N819" si="4524">VLOOKUP($A756,hospital_details,4,0)</f>
        <v>0</v>
      </c>
      <c r="O756" s="6">
        <f t="shared" ref="O756:O819" si="4525">VLOOKUP($A756,hospital_details,5,0)</f>
        <v>13566.04</v>
      </c>
      <c r="P756" s="5" t="str">
        <f t="shared" ref="P756:P819" si="4526">VLOOKUP($A756,hospital_details,6,0)</f>
        <v>tier - 3</v>
      </c>
      <c r="Q756" s="5" t="str">
        <f t="shared" ref="Q756:Q819" si="4527">VLOOKUP($A756,hospital_details,7,0)</f>
        <v>tier - 3</v>
      </c>
      <c r="R756" s="5" t="str">
        <f t="shared" ref="R756:R819" si="4528">VLOOKUP($A756,hospital_details,8,0)</f>
        <v>R1026</v>
      </c>
    </row>
    <row r="757" spans="1:18" ht="14.4" customHeight="1" x14ac:dyDescent="0.3">
      <c r="A757" s="7" t="s">
        <v>777</v>
      </c>
      <c r="B757" s="7" t="str">
        <f>VLOOKUP($A757,[1]!Customer_Names[#Data],3,0)</f>
        <v xml:space="preserve">  Diego J</v>
      </c>
      <c r="C757" s="7">
        <v>32.11</v>
      </c>
      <c r="D757" s="7" t="str" cm="1">
        <f t="array" ref="D757">_xlfn.IFS(Healthcare!$C757&lt;18.5,"under weight",Healthcare!$C757&lt;=24.9,"Normal Weight",Healthcare!$C757&gt;=25,"overweight",Healthcare!$C757&gt;=30,"obese")</f>
        <v>overweight</v>
      </c>
      <c r="E757" s="7">
        <v>7.06</v>
      </c>
      <c r="F757" s="7" t="str" cm="1">
        <f t="array" ref="F757">_xlfn.IFS(Healthcare!$E757&lt;5.7,"normal",Healthcare!$E757&lt;=6.4,"prediabetes",Healthcare!$E757&gt;=6.5,"diabetes")</f>
        <v>diabetes</v>
      </c>
      <c r="G757" s="7" t="s">
        <v>19</v>
      </c>
      <c r="H757" s="7" t="s">
        <v>19</v>
      </c>
      <c r="I757" s="7" t="s">
        <v>19</v>
      </c>
      <c r="J757" s="7">
        <v>0</v>
      </c>
      <c r="K757" s="7" t="s">
        <v>19</v>
      </c>
      <c r="L757" s="7" t="str">
        <f>VLOOKUP(Healthcare!$A757,hospital_details,2,0)</f>
        <v>11-Jul-1960</v>
      </c>
      <c r="M757" s="7">
        <f t="shared" ref="M757:M820" ca="1" si="4529">VLOOKUP(A757,hospital_details,3,0)</f>
        <v>66</v>
      </c>
      <c r="N757" s="7">
        <f t="shared" ref="N757:N820" si="4530">VLOOKUP($A757,hospital_details,4,0)</f>
        <v>0</v>
      </c>
      <c r="O757" s="8">
        <f t="shared" ref="O757:O820" si="4531">VLOOKUP($A757,hospital_details,5,0)</f>
        <v>13555</v>
      </c>
      <c r="P757" s="7" t="str">
        <f t="shared" ref="P757:P820" si="4532">VLOOKUP($A757,hospital_details,6,0)</f>
        <v>tier - 3</v>
      </c>
      <c r="Q757" s="7" t="str">
        <f t="shared" ref="Q757:Q820" si="4533">VLOOKUP($A757,hospital_details,7,0)</f>
        <v>tier - 3</v>
      </c>
      <c r="R757" s="7" t="str">
        <f t="shared" ref="R757:R820" si="4534">VLOOKUP($A757,hospital_details,8,0)</f>
        <v>R1017</v>
      </c>
    </row>
    <row r="758" spans="1:18" ht="14.4" customHeight="1" x14ac:dyDescent="0.3">
      <c r="A758" s="5" t="s">
        <v>778</v>
      </c>
      <c r="B758" s="5" t="str">
        <f>VLOOKUP($A758,[1]!Customer_Names[#Data],3,0)</f>
        <v xml:space="preserve">  Enrique M Sr</v>
      </c>
      <c r="C758" s="5">
        <v>31.78</v>
      </c>
      <c r="D758" s="5" t="str" cm="1">
        <f t="array" ref="D758">_xlfn.IFS(Healthcare!$C758&lt;18.5,"under weight",Healthcare!$C758&lt;=24.9,"Normal Weight",Healthcare!$C758&gt;=25,"overweight",Healthcare!$C758&gt;=30,"obese")</f>
        <v>overweight</v>
      </c>
      <c r="E758" s="5">
        <v>11.35</v>
      </c>
      <c r="F758" s="5" t="str" cm="1">
        <f t="array" ref="F758">_xlfn.IFS(Healthcare!$E758&lt;5.7,"normal",Healthcare!$E758&lt;=6.4,"prediabetes",Healthcare!$E758&gt;=6.5,"diabetes")</f>
        <v>diabetes</v>
      </c>
      <c r="G758" s="5" t="s">
        <v>20</v>
      </c>
      <c r="H758" s="5" t="s">
        <v>19</v>
      </c>
      <c r="I758" s="5" t="s">
        <v>29</v>
      </c>
      <c r="J758" s="5">
        <v>1</v>
      </c>
      <c r="K758" s="5" t="s">
        <v>19</v>
      </c>
      <c r="L758" s="5" t="str">
        <f>VLOOKUP(Healthcare!$A758,hospital_details,2,0)</f>
        <v>14-Oct-1963</v>
      </c>
      <c r="M758" s="5">
        <f t="shared" ref="M758:M821" ca="1" si="4535">VLOOKUP(A758,hospital_details,3,0)</f>
        <v>63</v>
      </c>
      <c r="N758" s="5">
        <f t="shared" ref="N758:N821" si="4536">VLOOKUP($A758,hospital_details,4,0)</f>
        <v>0</v>
      </c>
      <c r="O758" s="6">
        <f t="shared" ref="O758:O821" si="4537">VLOOKUP($A758,hospital_details,5,0)</f>
        <v>13511.28</v>
      </c>
      <c r="P758" s="5" t="str">
        <f t="shared" ref="P758:P821" si="4538">VLOOKUP($A758,hospital_details,6,0)</f>
        <v>tier - 3</v>
      </c>
      <c r="Q758" s="5" t="str">
        <f t="shared" ref="Q758:Q821" si="4539">VLOOKUP($A758,hospital_details,7,0)</f>
        <v>tier - 1</v>
      </c>
      <c r="R758" s="5" t="str">
        <f t="shared" ref="R758:R821" si="4540">VLOOKUP($A758,hospital_details,8,0)</f>
        <v>R1012</v>
      </c>
    </row>
    <row r="759" spans="1:18" ht="14.4" customHeight="1" x14ac:dyDescent="0.3">
      <c r="A759" s="7" t="s">
        <v>779</v>
      </c>
      <c r="B759" s="7" t="str">
        <f>VLOOKUP($A759,[1]!Customer_Names[#Data],3,0)</f>
        <v xml:space="preserve">  Greg</v>
      </c>
      <c r="C759" s="7">
        <v>46.89</v>
      </c>
      <c r="D759" s="7" t="str" cm="1">
        <f t="array" ref="D759">_xlfn.IFS(Healthcare!$C759&lt;18.5,"under weight",Healthcare!$C759&lt;=24.9,"Normal Weight",Healthcare!$C759&gt;=25,"overweight",Healthcare!$C759&gt;=30,"obese")</f>
        <v>overweight</v>
      </c>
      <c r="E759" s="7">
        <v>5.52</v>
      </c>
      <c r="F759" s="7" t="str" cm="1">
        <f t="array" ref="F759">_xlfn.IFS(Healthcare!$E759&lt;5.7,"normal",Healthcare!$E759&lt;=6.4,"prediabetes",Healthcare!$E759&gt;=6.5,"diabetes")</f>
        <v>normal</v>
      </c>
      <c r="G759" s="7" t="s">
        <v>19</v>
      </c>
      <c r="H759" s="7" t="s">
        <v>19</v>
      </c>
      <c r="I759" s="7" t="s">
        <v>19</v>
      </c>
      <c r="J759" s="7">
        <v>0</v>
      </c>
      <c r="K759" s="7" t="s">
        <v>19</v>
      </c>
      <c r="L759" s="7" t="str">
        <f>VLOOKUP(Healthcare!$A759,hospital_details,2,0)</f>
        <v>30-Aug-1990</v>
      </c>
      <c r="M759" s="7">
        <f t="shared" ref="M759:M822" ca="1" si="4541">VLOOKUP(A759,hospital_details,3,0)</f>
        <v>36</v>
      </c>
      <c r="N759" s="7">
        <f t="shared" ref="N759:N822" si="4542">VLOOKUP($A759,hospital_details,4,0)</f>
        <v>3</v>
      </c>
      <c r="O759" s="8">
        <f t="shared" ref="O759:O822" si="4543">VLOOKUP($A759,hospital_details,5,0)</f>
        <v>13480.83</v>
      </c>
      <c r="P759" s="7" t="str">
        <f t="shared" ref="P759:P822" si="4544">VLOOKUP($A759,hospital_details,6,0)</f>
        <v>tier - 3</v>
      </c>
      <c r="Q759" s="7" t="str">
        <f t="shared" ref="Q759:Q822" si="4545">VLOOKUP($A759,hospital_details,7,0)</f>
        <v>tier - 2</v>
      </c>
      <c r="R759" s="7" t="str">
        <f t="shared" ref="R759:R822" si="4546">VLOOKUP($A759,hospital_details,8,0)</f>
        <v>R1023</v>
      </c>
    </row>
    <row r="760" spans="1:18" ht="14.4" customHeight="1" x14ac:dyDescent="0.3">
      <c r="A760" s="5" t="s">
        <v>780</v>
      </c>
      <c r="B760" s="5" t="str">
        <f>VLOOKUP($A760,[1]!Customer_Names[#Data],3,0)</f>
        <v xml:space="preserve">  Filip</v>
      </c>
      <c r="C760" s="5">
        <v>39.35</v>
      </c>
      <c r="D760" s="5" t="str" cm="1">
        <f t="array" ref="D760">_xlfn.IFS(Healthcare!$C760&lt;18.5,"under weight",Healthcare!$C760&lt;=24.9,"Normal Weight",Healthcare!$C760&gt;=25,"overweight",Healthcare!$C760&gt;=30,"obese")</f>
        <v>overweight</v>
      </c>
      <c r="E760" s="5">
        <v>7.86</v>
      </c>
      <c r="F760" s="5" t="str" cm="1">
        <f t="array" ref="F760">_xlfn.IFS(Healthcare!$E760&lt;5.7,"normal",Healthcare!$E760&lt;=6.4,"prediabetes",Healthcare!$E760&gt;=6.5,"diabetes")</f>
        <v>diabetes</v>
      </c>
      <c r="G760" s="5" t="s">
        <v>20</v>
      </c>
      <c r="H760" s="5" t="s">
        <v>19</v>
      </c>
      <c r="I760" s="5" t="s">
        <v>19</v>
      </c>
      <c r="J760" s="5">
        <v>1</v>
      </c>
      <c r="K760" s="5" t="s">
        <v>19</v>
      </c>
      <c r="L760" s="5" t="str">
        <f>VLOOKUP(Healthcare!$A760,hospital_details,2,0)</f>
        <v>7-Aug-1975</v>
      </c>
      <c r="M760" s="5">
        <f t="shared" ref="M760:M823" ca="1" si="4547">VLOOKUP(A760,hospital_details,3,0)</f>
        <v>51</v>
      </c>
      <c r="N760" s="5">
        <f t="shared" ref="N760:N823" si="4548">VLOOKUP($A760,hospital_details,4,0)</f>
        <v>1</v>
      </c>
      <c r="O760" s="6">
        <f t="shared" ref="O760:O823" si="4549">VLOOKUP($A760,hospital_details,5,0)</f>
        <v>13472.19</v>
      </c>
      <c r="P760" s="5" t="str">
        <f t="shared" ref="P760:P823" si="4550">VLOOKUP($A760,hospital_details,6,0)</f>
        <v>tier - 3</v>
      </c>
      <c r="Q760" s="5" t="str">
        <f t="shared" ref="Q760:Q823" si="4551">VLOOKUP($A760,hospital_details,7,0)</f>
        <v>tier - 2</v>
      </c>
      <c r="R760" s="5" t="str">
        <f t="shared" ref="R760:R823" si="4552">VLOOKUP($A760,hospital_details,8,0)</f>
        <v>R1012</v>
      </c>
    </row>
    <row r="761" spans="1:18" ht="14.4" customHeight="1" x14ac:dyDescent="0.3">
      <c r="A761" s="7" t="s">
        <v>781</v>
      </c>
      <c r="B761" s="7" t="str">
        <f>VLOOKUP($A761,[1]!Customer_Names[#Data],3,0)</f>
        <v xml:space="preserve">  Rosemary E</v>
      </c>
      <c r="C761" s="7">
        <v>39.200000000000003</v>
      </c>
      <c r="D761" s="7" t="str" cm="1">
        <f t="array" ref="D761">_xlfn.IFS(Healthcare!$C761&lt;18.5,"under weight",Healthcare!$C761&lt;=24.9,"Normal Weight",Healthcare!$C761&gt;=25,"overweight",Healthcare!$C761&gt;=30,"obese")</f>
        <v>overweight</v>
      </c>
      <c r="E761" s="7">
        <v>11.38</v>
      </c>
      <c r="F761" s="7" t="str" cm="1">
        <f t="array" ref="F761">_xlfn.IFS(Healthcare!$E761&lt;5.7,"normal",Healthcare!$E761&lt;=6.4,"prediabetes",Healthcare!$E761&gt;=6.5,"diabetes")</f>
        <v>diabetes</v>
      </c>
      <c r="G761" s="7" t="s">
        <v>19</v>
      </c>
      <c r="H761" s="7" t="s">
        <v>19</v>
      </c>
      <c r="I761" s="7" t="s">
        <v>19</v>
      </c>
      <c r="J761" s="7">
        <v>0</v>
      </c>
      <c r="K761" s="7" t="s">
        <v>19</v>
      </c>
      <c r="L761" s="7" t="str">
        <f>VLOOKUP(Healthcare!$A761,hospital_details,2,0)</f>
        <v>24-Jul-1960</v>
      </c>
      <c r="M761" s="7">
        <f t="shared" ref="M761:M824" ca="1" si="4553">VLOOKUP(A761,hospital_details,3,0)</f>
        <v>66</v>
      </c>
      <c r="N761" s="7">
        <f t="shared" ref="N761:N824" si="4554">VLOOKUP($A761,hospital_details,4,0)</f>
        <v>0</v>
      </c>
      <c r="O761" s="8">
        <f t="shared" ref="O761:O824" si="4555">VLOOKUP($A761,hospital_details,5,0)</f>
        <v>13470.86</v>
      </c>
      <c r="P761" s="7" t="str">
        <f t="shared" ref="P761:P824" si="4556">VLOOKUP($A761,hospital_details,6,0)</f>
        <v>tier - 3</v>
      </c>
      <c r="Q761" s="7" t="str">
        <f t="shared" ref="Q761:Q824" si="4557">VLOOKUP($A761,hospital_details,7,0)</f>
        <v>tier - 3</v>
      </c>
      <c r="R761" s="7" t="str">
        <f t="shared" ref="R761:R824" si="4558">VLOOKUP($A761,hospital_details,8,0)</f>
        <v>R1011</v>
      </c>
    </row>
    <row r="762" spans="1:18" ht="14.4" customHeight="1" x14ac:dyDescent="0.3">
      <c r="A762" s="5" t="s">
        <v>782</v>
      </c>
      <c r="B762" s="5" t="str">
        <f>VLOOKUP($A762,[1]!Customer_Names[#Data],3,0)</f>
        <v xml:space="preserve">  Lisa</v>
      </c>
      <c r="C762" s="5">
        <v>39.159999999999997</v>
      </c>
      <c r="D762" s="5" t="str" cm="1">
        <f t="array" ref="D762">_xlfn.IFS(Healthcare!$C762&lt;18.5,"under weight",Healthcare!$C762&lt;=24.9,"Normal Weight",Healthcare!$C762&gt;=25,"overweight",Healthcare!$C762&gt;=30,"obese")</f>
        <v>overweight</v>
      </c>
      <c r="E762" s="5">
        <v>10.48</v>
      </c>
      <c r="F762" s="5" t="str" cm="1">
        <f t="array" ref="F762">_xlfn.IFS(Healthcare!$E762&lt;5.7,"normal",Healthcare!$E762&lt;=6.4,"prediabetes",Healthcare!$E762&gt;=6.5,"diabetes")</f>
        <v>diabetes</v>
      </c>
      <c r="G762" s="5" t="s">
        <v>19</v>
      </c>
      <c r="H762" s="5" t="s">
        <v>19</v>
      </c>
      <c r="I762" s="5" t="s">
        <v>19</v>
      </c>
      <c r="J762" s="5">
        <v>0</v>
      </c>
      <c r="K762" s="5" t="s">
        <v>19</v>
      </c>
      <c r="L762" s="5" t="str">
        <f>VLOOKUP(Healthcare!$A762,hospital_details,2,0)</f>
        <v>28-Jul-1960</v>
      </c>
      <c r="M762" s="5">
        <f t="shared" ref="M762:M825" ca="1" si="4559">VLOOKUP(A762,hospital_details,3,0)</f>
        <v>66</v>
      </c>
      <c r="N762" s="5">
        <f t="shared" ref="N762:N825" si="4560">VLOOKUP($A762,hospital_details,4,0)</f>
        <v>0</v>
      </c>
      <c r="O762" s="6">
        <f t="shared" ref="O762:O825" si="4561">VLOOKUP($A762,hospital_details,5,0)</f>
        <v>13470.8</v>
      </c>
      <c r="P762" s="5" t="str">
        <f t="shared" ref="P762:P825" si="4562">VLOOKUP($A762,hospital_details,6,0)</f>
        <v>tier - 3</v>
      </c>
      <c r="Q762" s="5" t="str">
        <f t="shared" ref="Q762:Q825" si="4563">VLOOKUP($A762,hospital_details,7,0)</f>
        <v>tier - 2</v>
      </c>
      <c r="R762" s="5" t="str">
        <f t="shared" ref="R762:R825" si="4564">VLOOKUP($A762,hospital_details,8,0)</f>
        <v>R1013</v>
      </c>
    </row>
    <row r="763" spans="1:18" ht="14.4" customHeight="1" x14ac:dyDescent="0.3">
      <c r="A763" s="7" t="s">
        <v>783</v>
      </c>
      <c r="B763" s="7" t="str">
        <f>VLOOKUP($A763,[1]!Customer_Names[#Data],3,0)</f>
        <v xml:space="preserve">  Jason</v>
      </c>
      <c r="C763" s="7">
        <v>44.1</v>
      </c>
      <c r="D763" s="7" t="str" cm="1">
        <f t="array" ref="D763">_xlfn.IFS(Healthcare!$C763&lt;18.5,"under weight",Healthcare!$C763&lt;=24.9,"Normal Weight",Healthcare!$C763&gt;=25,"overweight",Healthcare!$C763&gt;=30,"obese")</f>
        <v>overweight</v>
      </c>
      <c r="E763" s="7">
        <v>5.04</v>
      </c>
      <c r="F763" s="7" t="str" cm="1">
        <f t="array" ref="F763">_xlfn.IFS(Healthcare!$E763&lt;5.7,"normal",Healthcare!$E763&lt;=6.4,"prediabetes",Healthcare!$E763&gt;=6.5,"diabetes")</f>
        <v>normal</v>
      </c>
      <c r="G763" s="7" t="s">
        <v>20</v>
      </c>
      <c r="H763" s="7" t="s">
        <v>19</v>
      </c>
      <c r="I763" s="7" t="s">
        <v>19</v>
      </c>
      <c r="J763" s="7">
        <v>0</v>
      </c>
      <c r="K763" s="7" t="s">
        <v>19</v>
      </c>
      <c r="L763" s="7" t="str">
        <f>VLOOKUP(Healthcare!$A763,hospital_details,2,0)</f>
        <v>19-Aug-1985</v>
      </c>
      <c r="M763" s="7">
        <f t="shared" ref="M763:M826" ca="1" si="4565">VLOOKUP(A763,hospital_details,3,0)</f>
        <v>41</v>
      </c>
      <c r="N763" s="7">
        <f t="shared" ref="N763:N826" si="4566">VLOOKUP($A763,hospital_details,4,0)</f>
        <v>3</v>
      </c>
      <c r="O763" s="8">
        <f t="shared" ref="O763:O826" si="4567">VLOOKUP($A763,hospital_details,5,0)</f>
        <v>13465.8</v>
      </c>
      <c r="P763" s="7" t="str">
        <f t="shared" ref="P763:P826" si="4568">VLOOKUP($A763,hospital_details,6,0)</f>
        <v>tier - 3</v>
      </c>
      <c r="Q763" s="7" t="str">
        <f t="shared" ref="Q763:Q826" si="4569">VLOOKUP($A763,hospital_details,7,0)</f>
        <v>tier - 1</v>
      </c>
      <c r="R763" s="7" t="str">
        <f t="shared" ref="R763:R826" si="4570">VLOOKUP($A763,hospital_details,8,0)</f>
        <v>R1012</v>
      </c>
    </row>
    <row r="764" spans="1:18" ht="14.4" customHeight="1" x14ac:dyDescent="0.3">
      <c r="A764" s="5" t="s">
        <v>784</v>
      </c>
      <c r="B764" s="5" t="str">
        <f>VLOOKUP($A764,[1]!Customer_Names[#Data],3,0)</f>
        <v xml:space="preserve">  Courtney</v>
      </c>
      <c r="C764" s="5">
        <v>33.200000000000003</v>
      </c>
      <c r="D764" s="5" t="str" cm="1">
        <f t="array" ref="D764">_xlfn.IFS(Healthcare!$C764&lt;18.5,"under weight",Healthcare!$C764&lt;=24.9,"Normal Weight",Healthcare!$C764&gt;=25,"overweight",Healthcare!$C764&gt;=30,"obese")</f>
        <v>overweight</v>
      </c>
      <c r="E764" s="5">
        <v>9.06</v>
      </c>
      <c r="F764" s="5" t="str" cm="1">
        <f t="array" ref="F764">_xlfn.IFS(Healthcare!$E764&lt;5.7,"normal",Healthcare!$E764&lt;=6.4,"prediabetes",Healthcare!$E764&gt;=6.5,"diabetes")</f>
        <v>diabetes</v>
      </c>
      <c r="G764" s="5" t="s">
        <v>19</v>
      </c>
      <c r="H764" s="5" t="s">
        <v>19</v>
      </c>
      <c r="I764" s="5" t="s">
        <v>19</v>
      </c>
      <c r="J764" s="5">
        <v>0</v>
      </c>
      <c r="K764" s="5" t="s">
        <v>19</v>
      </c>
      <c r="L764" s="5" t="str">
        <f>VLOOKUP(Healthcare!$A764,hospital_details,2,0)</f>
        <v>16-Dec-1960</v>
      </c>
      <c r="M764" s="5">
        <f t="shared" ref="M764:M827" ca="1" si="4571">VLOOKUP(A764,hospital_details,3,0)</f>
        <v>65</v>
      </c>
      <c r="N764" s="5">
        <f t="shared" ref="N764:N827" si="4572">VLOOKUP($A764,hospital_details,4,0)</f>
        <v>0</v>
      </c>
      <c r="O764" s="6">
        <f t="shared" ref="O764:O827" si="4573">VLOOKUP($A764,hospital_details,5,0)</f>
        <v>13462.52</v>
      </c>
      <c r="P764" s="5" t="str">
        <f t="shared" ref="P764:P827" si="4574">VLOOKUP($A764,hospital_details,6,0)</f>
        <v>tier - 3</v>
      </c>
      <c r="Q764" s="5" t="str">
        <f t="shared" ref="Q764:Q827" si="4575">VLOOKUP($A764,hospital_details,7,0)</f>
        <v>tier - 2</v>
      </c>
      <c r="R764" s="5" t="str">
        <f t="shared" ref="R764:R827" si="4576">VLOOKUP($A764,hospital_details,8,0)</f>
        <v>R1011</v>
      </c>
    </row>
    <row r="765" spans="1:18" ht="14.4" customHeight="1" x14ac:dyDescent="0.3">
      <c r="A765" s="7" t="s">
        <v>785</v>
      </c>
      <c r="B765" s="7" t="str">
        <f>VLOOKUP($A765,[1]!Customer_Names[#Data],3,0)</f>
        <v xml:space="preserve">  Jennifer R</v>
      </c>
      <c r="C765" s="7">
        <v>29.92</v>
      </c>
      <c r="D765" s="7" t="str" cm="1">
        <f t="array" ref="D765">_xlfn.IFS(Healthcare!$C765&lt;18.5,"under weight",Healthcare!$C765&lt;=24.9,"Normal Weight",Healthcare!$C765&gt;=25,"overweight",Healthcare!$C765&gt;=30,"obese")</f>
        <v>overweight</v>
      </c>
      <c r="E765" s="7">
        <v>11.07</v>
      </c>
      <c r="F765" s="7" t="str" cm="1">
        <f t="array" ref="F765">_xlfn.IFS(Healthcare!$E765&lt;5.7,"normal",Healthcare!$E765&lt;=6.4,"prediabetes",Healthcare!$E765&gt;=6.5,"diabetes")</f>
        <v>diabetes</v>
      </c>
      <c r="G765" s="7" t="s">
        <v>19</v>
      </c>
      <c r="H765" s="7" t="s">
        <v>19</v>
      </c>
      <c r="I765" s="7" t="s">
        <v>19</v>
      </c>
      <c r="J765" s="7">
        <v>0</v>
      </c>
      <c r="K765" s="7" t="s">
        <v>19</v>
      </c>
      <c r="L765" s="7" t="str">
        <f>VLOOKUP(Healthcare!$A765,hospital_details,2,0)</f>
        <v>11-Jul-1960</v>
      </c>
      <c r="M765" s="7">
        <f t="shared" ref="M765:M828" ca="1" si="4577">VLOOKUP(A765,hospital_details,3,0)</f>
        <v>66</v>
      </c>
      <c r="N765" s="7">
        <f t="shared" ref="N765:N828" si="4578">VLOOKUP($A765,hospital_details,4,0)</f>
        <v>0</v>
      </c>
      <c r="O765" s="8">
        <f t="shared" ref="O765:O828" si="4579">VLOOKUP($A765,hospital_details,5,0)</f>
        <v>13457.96</v>
      </c>
      <c r="P765" s="7" t="str">
        <f t="shared" ref="P765:P828" si="4580">VLOOKUP($A765,hospital_details,6,0)</f>
        <v>tier - 3</v>
      </c>
      <c r="Q765" s="7" t="str">
        <f t="shared" ref="Q765:Q828" si="4581">VLOOKUP($A765,hospital_details,7,0)</f>
        <v>tier - 1</v>
      </c>
      <c r="R765" s="7" t="str">
        <f t="shared" ref="R765:R828" si="4582">VLOOKUP($A765,hospital_details,8,0)</f>
        <v>R1013</v>
      </c>
    </row>
    <row r="766" spans="1:18" ht="14.4" customHeight="1" x14ac:dyDescent="0.3">
      <c r="A766" s="5" t="s">
        <v>786</v>
      </c>
      <c r="B766" s="5" t="str">
        <f>VLOOKUP($A766,[1]!Customer_Names[#Data],3,0)</f>
        <v xml:space="preserve">  Lauren E</v>
      </c>
      <c r="C766" s="5">
        <v>25</v>
      </c>
      <c r="D766" s="5" t="str" cm="1">
        <f t="array" ref="D766">_xlfn.IFS(Healthcare!$C766&lt;18.5,"under weight",Healthcare!$C766&lt;=24.9,"Normal Weight",Healthcare!$C766&gt;=25,"overweight",Healthcare!$C766&gt;=30,"obese")</f>
        <v>overweight</v>
      </c>
      <c r="E766" s="5">
        <v>10.45</v>
      </c>
      <c r="F766" s="5" t="str" cm="1">
        <f t="array" ref="F766">_xlfn.IFS(Healthcare!$E766&lt;5.7,"normal",Healthcare!$E766&lt;=6.4,"prediabetes",Healthcare!$E766&gt;=6.5,"diabetes")</f>
        <v>diabetes</v>
      </c>
      <c r="G766" s="5" t="s">
        <v>19</v>
      </c>
      <c r="H766" s="5" t="s">
        <v>19</v>
      </c>
      <c r="I766" s="5" t="s">
        <v>19</v>
      </c>
      <c r="J766" s="5">
        <v>0</v>
      </c>
      <c r="K766" s="5" t="s">
        <v>19</v>
      </c>
      <c r="L766" s="5" t="str">
        <f>VLOOKUP(Healthcare!$A766,hospital_details,2,0)</f>
        <v>13-Aug-1960</v>
      </c>
      <c r="M766" s="5">
        <f t="shared" ref="M766:M829" ca="1" si="4583">VLOOKUP(A766,hospital_details,3,0)</f>
        <v>66</v>
      </c>
      <c r="N766" s="5">
        <f t="shared" ref="N766:N829" si="4584">VLOOKUP($A766,hospital_details,4,0)</f>
        <v>0</v>
      </c>
      <c r="O766" s="6">
        <f t="shared" ref="O766:O829" si="4585">VLOOKUP($A766,hospital_details,5,0)</f>
        <v>13451.12</v>
      </c>
      <c r="P766" s="5" t="str">
        <f t="shared" ref="P766:P829" si="4586">VLOOKUP($A766,hospital_details,6,0)</f>
        <v>tier - 3</v>
      </c>
      <c r="Q766" s="5" t="str">
        <f t="shared" ref="Q766:Q829" si="4587">VLOOKUP($A766,hospital_details,7,0)</f>
        <v>tier - 1</v>
      </c>
      <c r="R766" s="5" t="str">
        <f t="shared" ref="R766:R829" si="4588">VLOOKUP($A766,hospital_details,8,0)</f>
        <v>R1011</v>
      </c>
    </row>
    <row r="767" spans="1:18" ht="14.4" customHeight="1" x14ac:dyDescent="0.3">
      <c r="A767" s="7" t="s">
        <v>787</v>
      </c>
      <c r="B767" s="7" t="str">
        <f>VLOOKUP($A767,[1]!Customer_Names[#Data],3,0)</f>
        <v xml:space="preserve">  Ashley M</v>
      </c>
      <c r="C767" s="7">
        <v>38.869999999999997</v>
      </c>
      <c r="D767" s="7" t="str" cm="1">
        <f t="array" ref="D767">_xlfn.IFS(Healthcare!$C767&lt;18.5,"under weight",Healthcare!$C767&lt;=24.9,"Normal Weight",Healthcare!$C767&gt;=25,"overweight",Healthcare!$C767&gt;=30,"obese")</f>
        <v>overweight</v>
      </c>
      <c r="E767" s="7">
        <v>8.6300000000000008</v>
      </c>
      <c r="F767" s="7" t="str" cm="1">
        <f t="array" ref="F767">_xlfn.IFS(Healthcare!$E767&lt;5.7,"normal",Healthcare!$E767&lt;=6.4,"prediabetes",Healthcare!$E767&gt;=6.5,"diabetes")</f>
        <v>diabetes</v>
      </c>
      <c r="G767" s="7" t="s">
        <v>20</v>
      </c>
      <c r="H767" s="7" t="s">
        <v>19</v>
      </c>
      <c r="I767" s="7" t="s">
        <v>19</v>
      </c>
      <c r="J767" s="7">
        <v>1</v>
      </c>
      <c r="K767" s="7" t="s">
        <v>19</v>
      </c>
      <c r="L767" s="7" t="str">
        <f>VLOOKUP(Healthcare!$A767,hospital_details,2,0)</f>
        <v>29-Jun-1975</v>
      </c>
      <c r="M767" s="7">
        <f t="shared" ref="M767:M830" ca="1" si="4589">VLOOKUP(A767,hospital_details,3,0)</f>
        <v>51</v>
      </c>
      <c r="N767" s="7">
        <f t="shared" ref="N767:N830" si="4590">VLOOKUP($A767,hospital_details,4,0)</f>
        <v>1</v>
      </c>
      <c r="O767" s="8">
        <f t="shared" ref="O767:O830" si="4591">VLOOKUP($A767,hospital_details,5,0)</f>
        <v>13440.7</v>
      </c>
      <c r="P767" s="7" t="str">
        <f t="shared" ref="P767:P830" si="4592">VLOOKUP($A767,hospital_details,6,0)</f>
        <v>tier - 3</v>
      </c>
      <c r="Q767" s="7" t="str">
        <f t="shared" ref="Q767:Q830" si="4593">VLOOKUP($A767,hospital_details,7,0)</f>
        <v>tier - 2</v>
      </c>
      <c r="R767" s="7" t="str">
        <f t="shared" ref="R767:R830" si="4594">VLOOKUP($A767,hospital_details,8,0)</f>
        <v>R1012</v>
      </c>
    </row>
    <row r="768" spans="1:18" ht="14.4" customHeight="1" x14ac:dyDescent="0.3">
      <c r="A768" s="5" t="s">
        <v>788</v>
      </c>
      <c r="B768" s="5" t="str">
        <f>VLOOKUP($A768,[1]!Customer_Names[#Data],3,0)</f>
        <v xml:space="preserve">  Alison R</v>
      </c>
      <c r="C768" s="5">
        <v>32.299999999999997</v>
      </c>
      <c r="D768" s="5" t="str" cm="1">
        <f t="array" ref="D768">_xlfn.IFS(Healthcare!$C768&lt;18.5,"under weight",Healthcare!$C768&lt;=24.9,"Normal Weight",Healthcare!$C768&gt;=25,"overweight",Healthcare!$C768&gt;=30,"obese")</f>
        <v>overweight</v>
      </c>
      <c r="E768" s="5">
        <v>5.28</v>
      </c>
      <c r="F768" s="5" t="str" cm="1">
        <f t="array" ref="F768">_xlfn.IFS(Healthcare!$E768&lt;5.7,"normal",Healthcare!$E768&lt;=6.4,"prediabetes",Healthcare!$E768&gt;=6.5,"diabetes")</f>
        <v>normal</v>
      </c>
      <c r="G768" s="5" t="s">
        <v>20</v>
      </c>
      <c r="H768" s="5" t="s">
        <v>19</v>
      </c>
      <c r="I768" s="5" t="s">
        <v>19</v>
      </c>
      <c r="J768" s="5">
        <v>2</v>
      </c>
      <c r="K768" s="5" t="s">
        <v>19</v>
      </c>
      <c r="L768" s="5" t="str">
        <f>VLOOKUP(Healthcare!$A768,hospital_details,2,0)</f>
        <v>14-Nov-1966</v>
      </c>
      <c r="M768" s="5">
        <f t="shared" ref="M768:M831" ca="1" si="4595">VLOOKUP(A768,hospital_details,3,0)</f>
        <v>59</v>
      </c>
      <c r="N768" s="5">
        <f t="shared" ref="N768:N831" si="4596">VLOOKUP($A768,hospital_details,4,0)</f>
        <v>3</v>
      </c>
      <c r="O768" s="6">
        <f t="shared" ref="O768:O831" si="4597">VLOOKUP($A768,hospital_details,5,0)</f>
        <v>13430.27</v>
      </c>
      <c r="P768" s="5" t="str">
        <f t="shared" ref="P768:P831" si="4598">VLOOKUP($A768,hospital_details,6,0)</f>
        <v>tier - 3</v>
      </c>
      <c r="Q768" s="5" t="str">
        <f t="shared" ref="Q768:Q831" si="4599">VLOOKUP($A768,hospital_details,7,0)</f>
        <v>tier - 3</v>
      </c>
      <c r="R768" s="5" t="str">
        <f t="shared" ref="R768:R831" si="4600">VLOOKUP($A768,hospital_details,8,0)</f>
        <v>R1024</v>
      </c>
    </row>
    <row r="769" spans="1:18" ht="14.4" customHeight="1" x14ac:dyDescent="0.3">
      <c r="A769" s="7" t="s">
        <v>789</v>
      </c>
      <c r="B769" s="7" t="str">
        <f>VLOOKUP($A769,[1]!Customer_Names[#Data],3,0)</f>
        <v xml:space="preserve">  Madeleine</v>
      </c>
      <c r="C769" s="7">
        <v>31.16</v>
      </c>
      <c r="D769" s="7" t="str" cm="1">
        <f t="array" ref="D769">_xlfn.IFS(Healthcare!$C769&lt;18.5,"under weight",Healthcare!$C769&lt;=24.9,"Normal Weight",Healthcare!$C769&gt;=25,"overweight",Healthcare!$C769&gt;=30,"obese")</f>
        <v>overweight</v>
      </c>
      <c r="E769" s="7">
        <v>7.49</v>
      </c>
      <c r="F769" s="7" t="str" cm="1">
        <f t="array" ref="F769">_xlfn.IFS(Healthcare!$E769&lt;5.7,"normal",Healthcare!$E769&lt;=6.4,"prediabetes",Healthcare!$E769&gt;=6.5,"diabetes")</f>
        <v>diabetes</v>
      </c>
      <c r="G769" s="7" t="s">
        <v>20</v>
      </c>
      <c r="H769" s="7" t="s">
        <v>19</v>
      </c>
      <c r="I769" s="7" t="s">
        <v>19</v>
      </c>
      <c r="J769" s="7">
        <v>2</v>
      </c>
      <c r="K769" s="7" t="s">
        <v>19</v>
      </c>
      <c r="L769" s="7" t="str">
        <f>VLOOKUP(Healthcare!$A769,hospital_details,2,0)</f>
        <v>3-Nov-1961</v>
      </c>
      <c r="M769" s="7">
        <f t="shared" ref="M769:M832" ca="1" si="4601">VLOOKUP(A769,hospital_details,3,0)</f>
        <v>64</v>
      </c>
      <c r="N769" s="7">
        <f t="shared" ref="N769:N832" si="4602">VLOOKUP($A769,hospital_details,4,0)</f>
        <v>0</v>
      </c>
      <c r="O769" s="8">
        <f t="shared" ref="O769:O832" si="4603">VLOOKUP($A769,hospital_details,5,0)</f>
        <v>13429.04</v>
      </c>
      <c r="P769" s="7" t="str">
        <f t="shared" ref="P769:P832" si="4604">VLOOKUP($A769,hospital_details,6,0)</f>
        <v>tier - 3</v>
      </c>
      <c r="Q769" s="7" t="str">
        <f t="shared" ref="Q769:Q832" si="4605">VLOOKUP($A769,hospital_details,7,0)</f>
        <v>tier - 3</v>
      </c>
      <c r="R769" s="7" t="str">
        <f t="shared" ref="R769:R832" si="4606">VLOOKUP($A769,hospital_details,8,0)</f>
        <v>R1012</v>
      </c>
    </row>
    <row r="770" spans="1:18" ht="14.4" customHeight="1" x14ac:dyDescent="0.3">
      <c r="A770" s="5" t="s">
        <v>790</v>
      </c>
      <c r="B770" s="5" t="str">
        <f>VLOOKUP($A770,[1]!Customer_Names[#Data],3,0)</f>
        <v xml:space="preserve">  Stacey</v>
      </c>
      <c r="C770" s="5">
        <v>54.59</v>
      </c>
      <c r="D770" s="5" t="str" cm="1">
        <f t="array" ref="D770">_xlfn.IFS(Healthcare!$C770&lt;18.5,"under weight",Healthcare!$C770&lt;=24.9,"Normal Weight",Healthcare!$C770&gt;=25,"overweight",Healthcare!$C770&gt;=30,"obese")</f>
        <v>overweight</v>
      </c>
      <c r="E770" s="5">
        <v>4.2699999999999996</v>
      </c>
      <c r="F770" s="5" t="str" cm="1">
        <f t="array" ref="F770">_xlfn.IFS(Healthcare!$E770&lt;5.7,"normal",Healthcare!$E770&lt;=6.4,"prediabetes",Healthcare!$E770&gt;=6.5,"diabetes")</f>
        <v>normal</v>
      </c>
      <c r="G770" s="5" t="s">
        <v>19</v>
      </c>
      <c r="H770" s="5" t="s">
        <v>19</v>
      </c>
      <c r="I770" s="5" t="s">
        <v>19</v>
      </c>
      <c r="J770" s="5">
        <v>0</v>
      </c>
      <c r="K770" s="5" t="s">
        <v>19</v>
      </c>
      <c r="L770" s="5" t="str">
        <f>VLOOKUP(Healthcare!$A770,hospital_details,2,0)</f>
        <v>17-Jun-1994</v>
      </c>
      <c r="M770" s="5">
        <f t="shared" ref="M770:M833" ca="1" si="4607">VLOOKUP(A770,hospital_details,3,0)</f>
        <v>32</v>
      </c>
      <c r="N770" s="5">
        <f t="shared" ref="N770:N833" si="4608">VLOOKUP($A770,hospital_details,4,0)</f>
        <v>0</v>
      </c>
      <c r="O770" s="6">
        <f t="shared" ref="O770:O833" si="4609">VLOOKUP($A770,hospital_details,5,0)</f>
        <v>13417.05</v>
      </c>
      <c r="P770" s="5" t="str">
        <f t="shared" ref="P770:P833" si="4610">VLOOKUP($A770,hospital_details,6,0)</f>
        <v>tier - 3</v>
      </c>
      <c r="Q770" s="5" t="str">
        <f t="shared" ref="Q770:Q833" si="4611">VLOOKUP($A770,hospital_details,7,0)</f>
        <v>tier - 3</v>
      </c>
      <c r="R770" s="5" t="str">
        <f t="shared" ref="R770:R833" si="4612">VLOOKUP($A770,hospital_details,8,0)</f>
        <v>R1012</v>
      </c>
    </row>
    <row r="771" spans="1:18" ht="14.4" customHeight="1" x14ac:dyDescent="0.3">
      <c r="A771" s="7" t="s">
        <v>791</v>
      </c>
      <c r="B771" s="7" t="str">
        <f>VLOOKUP($A771,[1]!Customer_Names[#Data],3,0)</f>
        <v xml:space="preserve">  Kimberly</v>
      </c>
      <c r="C771" s="7">
        <v>21.09</v>
      </c>
      <c r="D771" s="7" t="str" cm="1">
        <f t="array" ref="D771">_xlfn.IFS(Healthcare!$C771&lt;18.5,"under weight",Healthcare!$C771&lt;=24.9,"Normal Weight",Healthcare!$C771&gt;=25,"overweight",Healthcare!$C771&gt;=30,"obese")</f>
        <v>Normal Weight</v>
      </c>
      <c r="E771" s="7">
        <v>9.2200000000000006</v>
      </c>
      <c r="F771" s="7" t="str" cm="1">
        <f t="array" ref="F771">_xlfn.IFS(Healthcare!$E771&lt;5.7,"normal",Healthcare!$E771&lt;=6.4,"prediabetes",Healthcare!$E771&gt;=6.5,"diabetes")</f>
        <v>diabetes</v>
      </c>
      <c r="G771" s="7" t="s">
        <v>20</v>
      </c>
      <c r="H771" s="7" t="s">
        <v>19</v>
      </c>
      <c r="I771" s="7" t="s">
        <v>19</v>
      </c>
      <c r="J771" s="7">
        <v>2</v>
      </c>
      <c r="K771" s="7" t="s">
        <v>19</v>
      </c>
      <c r="L771" s="7" t="str">
        <f>VLOOKUP(Healthcare!$A771,hospital_details,2,0)</f>
        <v>22-Jul-1961</v>
      </c>
      <c r="M771" s="7">
        <f t="shared" ref="M771:M834" ca="1" si="4613">VLOOKUP(A771,hospital_details,3,0)</f>
        <v>65</v>
      </c>
      <c r="N771" s="7">
        <f t="shared" ref="N771:N834" si="4614">VLOOKUP($A771,hospital_details,4,0)</f>
        <v>0</v>
      </c>
      <c r="O771" s="8">
        <f t="shared" ref="O771:O834" si="4615">VLOOKUP($A771,hospital_details,5,0)</f>
        <v>13415.04</v>
      </c>
      <c r="P771" s="7" t="str">
        <f t="shared" ref="P771:P834" si="4616">VLOOKUP($A771,hospital_details,6,0)</f>
        <v>tier - 3</v>
      </c>
      <c r="Q771" s="7" t="str">
        <f t="shared" ref="Q771:Q834" si="4617">VLOOKUP($A771,hospital_details,7,0)</f>
        <v>tier - 2</v>
      </c>
      <c r="R771" s="7" t="str">
        <f t="shared" ref="R771:R834" si="4618">VLOOKUP($A771,hospital_details,8,0)</f>
        <v>R1012</v>
      </c>
    </row>
    <row r="772" spans="1:18" ht="14.4" customHeight="1" x14ac:dyDescent="0.3">
      <c r="A772" s="5" t="s">
        <v>792</v>
      </c>
      <c r="B772" s="5" t="str">
        <f>VLOOKUP($A772,[1]!Customer_Names[#Data],3,0)</f>
        <v xml:space="preserve">  Matthew D</v>
      </c>
      <c r="C772" s="5">
        <v>52.41</v>
      </c>
      <c r="D772" s="5" t="str" cm="1">
        <f t="array" ref="D772">_xlfn.IFS(Healthcare!$C772&lt;18.5,"under weight",Healthcare!$C772&lt;=24.9,"Normal Weight",Healthcare!$C772&gt;=25,"overweight",Healthcare!$C772&gt;=30,"obese")</f>
        <v>overweight</v>
      </c>
      <c r="E772" s="5">
        <v>5.99</v>
      </c>
      <c r="F772" s="5" t="str" cm="1">
        <f t="array" ref="F772">_xlfn.IFS(Healthcare!$E772&lt;5.7,"normal",Healthcare!$E772&lt;=6.4,"prediabetes",Healthcare!$E772&gt;=6.5,"diabetes")</f>
        <v>prediabetes</v>
      </c>
      <c r="G772" s="5" t="s">
        <v>19</v>
      </c>
      <c r="H772" s="5" t="s">
        <v>19</v>
      </c>
      <c r="I772" s="5" t="s">
        <v>19</v>
      </c>
      <c r="J772" s="5">
        <v>1</v>
      </c>
      <c r="K772" s="5" t="s">
        <v>19</v>
      </c>
      <c r="L772" s="5" t="str">
        <f>VLOOKUP(Healthcare!$A772,hospital_details,2,0)</f>
        <v>19-Dec-1992</v>
      </c>
      <c r="M772" s="5">
        <f t="shared" ref="M772:M835" ca="1" si="4619">VLOOKUP(A772,hospital_details,3,0)</f>
        <v>33</v>
      </c>
      <c r="N772" s="5">
        <f t="shared" ref="N772:N835" si="4620">VLOOKUP($A772,hospital_details,4,0)</f>
        <v>0</v>
      </c>
      <c r="O772" s="6">
        <f t="shared" ref="O772:O835" si="4621">VLOOKUP($A772,hospital_details,5,0)</f>
        <v>13412.97</v>
      </c>
      <c r="P772" s="5" t="str">
        <f t="shared" ref="P772:P835" si="4622">VLOOKUP($A772,hospital_details,6,0)</f>
        <v>tier - 3</v>
      </c>
      <c r="Q772" s="5" t="str">
        <f t="shared" ref="Q772:Q835" si="4623">VLOOKUP($A772,hospital_details,7,0)</f>
        <v>tier - 3</v>
      </c>
      <c r="R772" s="5" t="str">
        <f t="shared" ref="R772:R835" si="4624">VLOOKUP($A772,hospital_details,8,0)</f>
        <v>R1023</v>
      </c>
    </row>
    <row r="773" spans="1:18" ht="14.4" customHeight="1" x14ac:dyDescent="0.3">
      <c r="A773" s="7" t="s">
        <v>793</v>
      </c>
      <c r="B773" s="7" t="str">
        <f>VLOOKUP($A773,[1]!Customer_Names[#Data],3,0)</f>
        <v xml:space="preserve">  Michael</v>
      </c>
      <c r="C773" s="7">
        <v>41.47</v>
      </c>
      <c r="D773" s="7" t="str" cm="1">
        <f t="array" ref="D773">_xlfn.IFS(Healthcare!$C773&lt;18.5,"under weight",Healthcare!$C773&lt;=24.9,"Normal Weight",Healthcare!$C773&gt;=25,"overweight",Healthcare!$C773&gt;=30,"obese")</f>
        <v>overweight</v>
      </c>
      <c r="E773" s="7">
        <v>5.86</v>
      </c>
      <c r="F773" s="7" t="str" cm="1">
        <f t="array" ref="F773">_xlfn.IFS(Healthcare!$E773&lt;5.7,"normal",Healthcare!$E773&lt;=6.4,"prediabetes",Healthcare!$E773&gt;=6.5,"diabetes")</f>
        <v>prediabetes</v>
      </c>
      <c r="G773" s="7" t="s">
        <v>20</v>
      </c>
      <c r="H773" s="7" t="s">
        <v>19</v>
      </c>
      <c r="I773" s="7" t="s">
        <v>19</v>
      </c>
      <c r="J773" s="7">
        <v>2</v>
      </c>
      <c r="K773" s="7" t="s">
        <v>19</v>
      </c>
      <c r="L773" s="7" t="str">
        <f>VLOOKUP(Healthcare!$A773,hospital_details,2,0)</f>
        <v>20-Dec-1959</v>
      </c>
      <c r="M773" s="7">
        <f t="shared" ref="M773:M836" ca="1" si="4625">VLOOKUP(A773,hospital_details,3,0)</f>
        <v>66</v>
      </c>
      <c r="N773" s="7">
        <f t="shared" ref="N773:N836" si="4626">VLOOKUP($A773,hospital_details,4,0)</f>
        <v>0</v>
      </c>
      <c r="O773" s="8">
        <f t="shared" ref="O773:O836" si="4627">VLOOKUP($A773,hospital_details,5,0)</f>
        <v>13405.39</v>
      </c>
      <c r="P773" s="7" t="str">
        <f t="shared" ref="P773:P836" si="4628">VLOOKUP($A773,hospital_details,6,0)</f>
        <v>tier - 3</v>
      </c>
      <c r="Q773" s="7" t="str">
        <f t="shared" ref="Q773:Q836" si="4629">VLOOKUP($A773,hospital_details,7,0)</f>
        <v>tier - 3</v>
      </c>
      <c r="R773" s="7" t="str">
        <f t="shared" ref="R773:R836" si="4630">VLOOKUP($A773,hospital_details,8,0)</f>
        <v>R1013</v>
      </c>
    </row>
    <row r="774" spans="1:18" ht="14.4" customHeight="1" x14ac:dyDescent="0.3">
      <c r="A774" s="5" t="s">
        <v>794</v>
      </c>
      <c r="B774" s="5" t="str">
        <f>VLOOKUP($A774,[1]!Customer_Names[#Data],3,0)</f>
        <v xml:space="preserve">  Ben</v>
      </c>
      <c r="C774" s="5">
        <v>33.1</v>
      </c>
      <c r="D774" s="5" t="str" cm="1">
        <f t="array" ref="D774">_xlfn.IFS(Healthcare!$C774&lt;18.5,"under weight",Healthcare!$C774&lt;=24.9,"Normal Weight",Healthcare!$C774&gt;=25,"overweight",Healthcare!$C774&gt;=30,"obese")</f>
        <v>overweight</v>
      </c>
      <c r="E774" s="5">
        <v>5.19</v>
      </c>
      <c r="F774" s="5" t="str" cm="1">
        <f t="array" ref="F774">_xlfn.IFS(Healthcare!$E774&lt;5.7,"normal",Healthcare!$E774&lt;=6.4,"prediabetes",Healthcare!$E774&gt;=6.5,"diabetes")</f>
        <v>normal</v>
      </c>
      <c r="G774" s="5" t="s">
        <v>20</v>
      </c>
      <c r="H774" s="5" t="s">
        <v>19</v>
      </c>
      <c r="I774" s="5" t="s">
        <v>19</v>
      </c>
      <c r="J774" s="5">
        <v>2</v>
      </c>
      <c r="K774" s="5" t="s">
        <v>19</v>
      </c>
      <c r="L774" s="5" t="str">
        <f>VLOOKUP(Healthcare!$A774,hospital_details,2,0)</f>
        <v>25-Nov-1959</v>
      </c>
      <c r="M774" s="5">
        <f t="shared" ref="M774:M837" ca="1" si="4631">VLOOKUP(A774,hospital_details,3,0)</f>
        <v>66</v>
      </c>
      <c r="N774" s="5">
        <f t="shared" ref="N774:N837" si="4632">VLOOKUP($A774,hospital_details,4,0)</f>
        <v>0</v>
      </c>
      <c r="O774" s="6">
        <f t="shared" ref="O774:O837" si="4633">VLOOKUP($A774,hospital_details,5,0)</f>
        <v>13393.76</v>
      </c>
      <c r="P774" s="5" t="str">
        <f t="shared" ref="P774:P837" si="4634">VLOOKUP($A774,hospital_details,6,0)</f>
        <v>tier - 3</v>
      </c>
      <c r="Q774" s="5" t="str">
        <f t="shared" ref="Q774:Q837" si="4635">VLOOKUP($A774,hospital_details,7,0)</f>
        <v>tier - 1</v>
      </c>
      <c r="R774" s="5" t="str">
        <f t="shared" ref="R774:R837" si="4636">VLOOKUP($A774,hospital_details,8,0)</f>
        <v>R1011</v>
      </c>
    </row>
    <row r="775" spans="1:18" ht="14.4" customHeight="1" x14ac:dyDescent="0.3">
      <c r="A775" s="7" t="s">
        <v>795</v>
      </c>
      <c r="B775" s="7" t="str">
        <f>VLOOKUP($A775,[1]!Customer_Names[#Data],3,0)</f>
        <v xml:space="preserve">  Chris</v>
      </c>
      <c r="C775" s="7">
        <v>30.8</v>
      </c>
      <c r="D775" s="7" t="str" cm="1">
        <f t="array" ref="D775">_xlfn.IFS(Healthcare!$C775&lt;18.5,"under weight",Healthcare!$C775&lt;=24.9,"Normal Weight",Healthcare!$C775&gt;=25,"overweight",Healthcare!$C775&gt;=30,"obese")</f>
        <v>overweight</v>
      </c>
      <c r="E775" s="7">
        <v>4.37</v>
      </c>
      <c r="F775" s="7" t="str" cm="1">
        <f t="array" ref="F775">_xlfn.IFS(Healthcare!$E775&lt;5.7,"normal",Healthcare!$E775&lt;=6.4,"prediabetes",Healthcare!$E775&gt;=6.5,"diabetes")</f>
        <v>normal</v>
      </c>
      <c r="G775" s="7" t="s">
        <v>20</v>
      </c>
      <c r="H775" s="7" t="s">
        <v>19</v>
      </c>
      <c r="I775" s="7" t="s">
        <v>19</v>
      </c>
      <c r="J775" s="7">
        <v>2</v>
      </c>
      <c r="K775" s="7" t="s">
        <v>19</v>
      </c>
      <c r="L775" s="7" t="str">
        <f>VLOOKUP(Healthcare!$A775,hospital_details,2,0)</f>
        <v>9-Dec-1959</v>
      </c>
      <c r="M775" s="7">
        <f t="shared" ref="M775:M838" ca="1" si="4637">VLOOKUP(A775,hospital_details,3,0)</f>
        <v>66</v>
      </c>
      <c r="N775" s="7">
        <f t="shared" ref="N775:N838" si="4638">VLOOKUP($A775,hospital_details,4,0)</f>
        <v>0</v>
      </c>
      <c r="O775" s="8">
        <f t="shared" ref="O775:O838" si="4639">VLOOKUP($A775,hospital_details,5,0)</f>
        <v>13390.56</v>
      </c>
      <c r="P775" s="7" t="str">
        <f t="shared" ref="P775:P838" si="4640">VLOOKUP($A775,hospital_details,6,0)</f>
        <v>tier - 3</v>
      </c>
      <c r="Q775" s="7" t="str">
        <f t="shared" ref="Q775:Q838" si="4641">VLOOKUP($A775,hospital_details,7,0)</f>
        <v>tier - 3</v>
      </c>
      <c r="R775" s="7" t="str">
        <f t="shared" ref="R775:R838" si="4642">VLOOKUP($A775,hospital_details,8,0)</f>
        <v>R1011</v>
      </c>
    </row>
    <row r="776" spans="1:18" ht="14.4" customHeight="1" x14ac:dyDescent="0.3">
      <c r="A776" s="5" t="s">
        <v>796</v>
      </c>
      <c r="B776" s="5" t="str">
        <f>VLOOKUP($A776,[1]!Customer_Names[#Data],3,0)</f>
        <v xml:space="preserve">  Jeremy J</v>
      </c>
      <c r="C776" s="5">
        <v>42.06</v>
      </c>
      <c r="D776" s="5" t="str" cm="1">
        <f t="array" ref="D776">_xlfn.IFS(Healthcare!$C776&lt;18.5,"under weight",Healthcare!$C776&lt;=24.9,"Normal Weight",Healthcare!$C776&gt;=25,"overweight",Healthcare!$C776&gt;=30,"obese")</f>
        <v>overweight</v>
      </c>
      <c r="E776" s="5">
        <v>5.32</v>
      </c>
      <c r="F776" s="5" t="str" cm="1">
        <f t="array" ref="F776">_xlfn.IFS(Healthcare!$E776&lt;5.7,"normal",Healthcare!$E776&lt;=6.4,"prediabetes",Healthcare!$E776&gt;=6.5,"diabetes")</f>
        <v>normal</v>
      </c>
      <c r="G776" s="5" t="s">
        <v>19</v>
      </c>
      <c r="H776" s="5" t="s">
        <v>19</v>
      </c>
      <c r="I776" s="5" t="s">
        <v>19</v>
      </c>
      <c r="J776" s="5">
        <v>1</v>
      </c>
      <c r="K776" s="5" t="s">
        <v>19</v>
      </c>
      <c r="L776" s="5" t="str">
        <f>VLOOKUP(Healthcare!$A776,hospital_details,2,0)</f>
        <v>6-Jun-1984</v>
      </c>
      <c r="M776" s="5">
        <f t="shared" ref="M776:M839" ca="1" si="4643">VLOOKUP(A776,hospital_details,3,0)</f>
        <v>42</v>
      </c>
      <c r="N776" s="5">
        <f t="shared" ref="N776:N839" si="4644">VLOOKUP($A776,hospital_details,4,0)</f>
        <v>3</v>
      </c>
      <c r="O776" s="6">
        <f t="shared" ref="O776:O839" si="4645">VLOOKUP($A776,hospital_details,5,0)</f>
        <v>13383.67</v>
      </c>
      <c r="P776" s="5" t="str">
        <f t="shared" ref="P776:P839" si="4646">VLOOKUP($A776,hospital_details,6,0)</f>
        <v>tier - 3</v>
      </c>
      <c r="Q776" s="5" t="str">
        <f t="shared" ref="Q776:Q839" si="4647">VLOOKUP($A776,hospital_details,7,0)</f>
        <v>tier - 2</v>
      </c>
      <c r="R776" s="5" t="str">
        <f t="shared" ref="R776:R839" si="4648">VLOOKUP($A776,hospital_details,8,0)</f>
        <v>R1023</v>
      </c>
    </row>
    <row r="777" spans="1:18" ht="14.4" customHeight="1" x14ac:dyDescent="0.3">
      <c r="A777" s="7" t="s">
        <v>797</v>
      </c>
      <c r="B777" s="7" t="str">
        <f>VLOOKUP($A777,[1]!Customer_Names[#Data],3,0)</f>
        <v xml:space="preserve">  Amy L</v>
      </c>
      <c r="C777" s="7">
        <v>39.270000000000003</v>
      </c>
      <c r="D777" s="7" t="str" cm="1">
        <f t="array" ref="D777">_xlfn.IFS(Healthcare!$C777&lt;18.5,"under weight",Healthcare!$C777&lt;=24.9,"Normal Weight",Healthcare!$C777&gt;=25,"overweight",Healthcare!$C777&gt;=30,"obese")</f>
        <v>overweight</v>
      </c>
      <c r="E777" s="7">
        <v>5.64</v>
      </c>
      <c r="F777" s="7" t="str" cm="1">
        <f t="array" ref="F777">_xlfn.IFS(Healthcare!$E777&lt;5.7,"normal",Healthcare!$E777&lt;=6.4,"prediabetes",Healthcare!$E777&gt;=6.5,"diabetes")</f>
        <v>normal</v>
      </c>
      <c r="G777" s="7" t="s">
        <v>19</v>
      </c>
      <c r="H777" s="7" t="s">
        <v>19</v>
      </c>
      <c r="I777" s="7" t="s">
        <v>29</v>
      </c>
      <c r="J777" s="7">
        <v>1</v>
      </c>
      <c r="K777" s="7" t="s">
        <v>19</v>
      </c>
      <c r="L777" s="7" t="str">
        <f>VLOOKUP(Healthcare!$A777,hospital_details,2,0)</f>
        <v>30-Sep-1979</v>
      </c>
      <c r="M777" s="7">
        <f t="shared" ref="M777:M840" ca="1" si="4649">VLOOKUP(A777,hospital_details,3,0)</f>
        <v>47</v>
      </c>
      <c r="N777" s="7">
        <f t="shared" ref="N777:N840" si="4650">VLOOKUP($A777,hospital_details,4,0)</f>
        <v>2</v>
      </c>
      <c r="O777" s="8">
        <f t="shared" ref="O777:O840" si="4651">VLOOKUP($A777,hospital_details,5,0)</f>
        <v>13377.41</v>
      </c>
      <c r="P777" s="7" t="str">
        <f t="shared" ref="P777:P840" si="4652">VLOOKUP($A777,hospital_details,6,0)</f>
        <v>tier - 3</v>
      </c>
      <c r="Q777" s="7" t="str">
        <f t="shared" ref="Q777:Q840" si="4653">VLOOKUP($A777,hospital_details,7,0)</f>
        <v>tier - 3</v>
      </c>
      <c r="R777" s="7" t="str">
        <f t="shared" ref="R777:R840" si="4654">VLOOKUP($A777,hospital_details,8,0)</f>
        <v>R1026</v>
      </c>
    </row>
    <row r="778" spans="1:18" ht="14.4" customHeight="1" x14ac:dyDescent="0.3">
      <c r="A778" s="5" t="s">
        <v>798</v>
      </c>
      <c r="B778" s="5" t="str">
        <f>VLOOKUP($A778,[1]!Customer_Names[#Data],3,0)</f>
        <v xml:space="preserve">  Karen L</v>
      </c>
      <c r="C778" s="5">
        <v>30.71</v>
      </c>
      <c r="D778" s="5" t="str" cm="1">
        <f t="array" ref="D778">_xlfn.IFS(Healthcare!$C778&lt;18.5,"under weight",Healthcare!$C778&lt;=24.9,"Normal Weight",Healthcare!$C778&gt;=25,"overweight",Healthcare!$C778&gt;=30,"obese")</f>
        <v>overweight</v>
      </c>
      <c r="E778" s="5">
        <v>5.59</v>
      </c>
      <c r="F778" s="5" t="str" cm="1">
        <f t="array" ref="F778">_xlfn.IFS(Healthcare!$E778&lt;5.7,"normal",Healthcare!$E778&lt;=6.4,"prediabetes",Healthcare!$E778&gt;=6.5,"diabetes")</f>
        <v>normal</v>
      </c>
      <c r="G778" s="5" t="s">
        <v>20</v>
      </c>
      <c r="H778" s="5" t="s">
        <v>19</v>
      </c>
      <c r="I778" s="5" t="s">
        <v>19</v>
      </c>
      <c r="J778" s="5">
        <v>1</v>
      </c>
      <c r="K778" s="5" t="s">
        <v>19</v>
      </c>
      <c r="L778" s="5" t="str">
        <f>VLOOKUP(Healthcare!$A778,hospital_details,2,0)</f>
        <v>24-Sep-1964</v>
      </c>
      <c r="M778" s="5">
        <f t="shared" ref="M778:M841" ca="1" si="4655">VLOOKUP(A778,hospital_details,3,0)</f>
        <v>62</v>
      </c>
      <c r="N778" s="5">
        <f t="shared" ref="N778:N841" si="4656">VLOOKUP($A778,hospital_details,4,0)</f>
        <v>0</v>
      </c>
      <c r="O778" s="6">
        <f t="shared" ref="O778:O841" si="4657">VLOOKUP($A778,hospital_details,5,0)</f>
        <v>13375.76</v>
      </c>
      <c r="P778" s="5" t="str">
        <f t="shared" ref="P778:P841" si="4658">VLOOKUP($A778,hospital_details,6,0)</f>
        <v>tier - 3</v>
      </c>
      <c r="Q778" s="5" t="str">
        <f t="shared" ref="Q778:Q841" si="4659">VLOOKUP($A778,hospital_details,7,0)</f>
        <v>tier - 2</v>
      </c>
      <c r="R778" s="5" t="str">
        <f t="shared" ref="R778:R841" si="4660">VLOOKUP($A778,hospital_details,8,0)</f>
        <v>R1025</v>
      </c>
    </row>
    <row r="779" spans="1:18" ht="14.4" customHeight="1" x14ac:dyDescent="0.3">
      <c r="A779" s="7" t="s">
        <v>799</v>
      </c>
      <c r="B779" s="7" t="str">
        <f>VLOOKUP($A779,[1]!Customer_Names[#Data],3,0)</f>
        <v xml:space="preserve">  Tennille</v>
      </c>
      <c r="C779" s="7">
        <v>47.19</v>
      </c>
      <c r="D779" s="7" t="str" cm="1">
        <f t="array" ref="D779">_xlfn.IFS(Healthcare!$C779&lt;18.5,"under weight",Healthcare!$C779&lt;=24.9,"Normal Weight",Healthcare!$C779&gt;=25,"overweight",Healthcare!$C779&gt;=30,"obese")</f>
        <v>overweight</v>
      </c>
      <c r="E779" s="7">
        <v>5.29</v>
      </c>
      <c r="F779" s="7" t="str" cm="1">
        <f t="array" ref="F779">_xlfn.IFS(Healthcare!$E779&lt;5.7,"normal",Healthcare!$E779&lt;=6.4,"prediabetes",Healthcare!$E779&gt;=6.5,"diabetes")</f>
        <v>normal</v>
      </c>
      <c r="G779" s="7" t="s">
        <v>19</v>
      </c>
      <c r="H779" s="7" t="s">
        <v>19</v>
      </c>
      <c r="I779" s="7" t="s">
        <v>19</v>
      </c>
      <c r="J779" s="7">
        <v>0</v>
      </c>
      <c r="K779" s="7" t="s">
        <v>19</v>
      </c>
      <c r="L779" s="7" t="str">
        <f>VLOOKUP(Healthcare!$A779,hospital_details,2,0)</f>
        <v>2-Oct-1990</v>
      </c>
      <c r="M779" s="7">
        <f t="shared" ref="M779:M842" ca="1" si="4661">VLOOKUP(A779,hospital_details,3,0)</f>
        <v>36</v>
      </c>
      <c r="N779" s="7">
        <f t="shared" ref="N779:N842" si="4662">VLOOKUP($A779,hospital_details,4,0)</f>
        <v>3</v>
      </c>
      <c r="O779" s="8">
        <f t="shared" ref="O779:O842" si="4663">VLOOKUP($A779,hospital_details,5,0)</f>
        <v>13360.94</v>
      </c>
      <c r="P779" s="7" t="str">
        <f t="shared" ref="P779:P842" si="4664">VLOOKUP($A779,hospital_details,6,0)</f>
        <v>tier - 3</v>
      </c>
      <c r="Q779" s="7" t="str">
        <f t="shared" ref="Q779:Q842" si="4665">VLOOKUP($A779,hospital_details,7,0)</f>
        <v>tier - 1</v>
      </c>
      <c r="R779" s="7" t="str">
        <f t="shared" ref="R779:R842" si="4666">VLOOKUP($A779,hospital_details,8,0)</f>
        <v>R1012</v>
      </c>
    </row>
    <row r="780" spans="1:18" ht="14.4" customHeight="1" x14ac:dyDescent="0.3">
      <c r="A780" s="5" t="s">
        <v>800</v>
      </c>
      <c r="B780" s="5" t="str">
        <f>VLOOKUP($A780,[1]!Customer_Names[#Data],3,0)</f>
        <v xml:space="preserve">  Matt</v>
      </c>
      <c r="C780" s="5">
        <v>30.02</v>
      </c>
      <c r="D780" s="5" t="str" cm="1">
        <f t="array" ref="D780">_xlfn.IFS(Healthcare!$C780&lt;18.5,"under weight",Healthcare!$C780&lt;=24.9,"Normal Weight",Healthcare!$C780&gt;=25,"overweight",Healthcare!$C780&gt;=30,"obese")</f>
        <v>overweight</v>
      </c>
      <c r="E780" s="5">
        <v>6.65</v>
      </c>
      <c r="F780" s="5" t="str" cm="1">
        <f t="array" ref="F780">_xlfn.IFS(Healthcare!$E780&lt;5.7,"normal",Healthcare!$E780&lt;=6.4,"prediabetes",Healthcare!$E780&gt;=6.5,"diabetes")</f>
        <v>diabetes</v>
      </c>
      <c r="G780" s="5" t="s">
        <v>19</v>
      </c>
      <c r="H780" s="5" t="s">
        <v>19</v>
      </c>
      <c r="I780" s="5" t="s">
        <v>19</v>
      </c>
      <c r="J780" s="5">
        <v>0</v>
      </c>
      <c r="K780" s="5" t="s">
        <v>19</v>
      </c>
      <c r="L780" s="5" t="str">
        <f>VLOOKUP(Healthcare!$A780,hospital_details,2,0)</f>
        <v>11-Nov-1960</v>
      </c>
      <c r="M780" s="5">
        <f t="shared" ref="M780:M843" ca="1" si="4667">VLOOKUP(A780,hospital_details,3,0)</f>
        <v>65</v>
      </c>
      <c r="N780" s="5">
        <f t="shared" ref="N780:N843" si="4668">VLOOKUP($A780,hospital_details,4,0)</f>
        <v>0</v>
      </c>
      <c r="O780" s="6">
        <f t="shared" ref="O780:O843" si="4669">VLOOKUP($A780,hospital_details,5,0)</f>
        <v>13352.1</v>
      </c>
      <c r="P780" s="5" t="str">
        <f t="shared" ref="P780:P843" si="4670">VLOOKUP($A780,hospital_details,6,0)</f>
        <v>tier - 3</v>
      </c>
      <c r="Q780" s="5" t="str">
        <f t="shared" ref="Q780:Q843" si="4671">VLOOKUP($A780,hospital_details,7,0)</f>
        <v>tier - 1</v>
      </c>
      <c r="R780" s="5" t="str">
        <f t="shared" ref="R780:R843" si="4672">VLOOKUP($A780,hospital_details,8,0)</f>
        <v>R1012</v>
      </c>
    </row>
    <row r="781" spans="1:18" ht="14.4" customHeight="1" x14ac:dyDescent="0.3">
      <c r="A781" s="7" t="s">
        <v>801</v>
      </c>
      <c r="B781" s="7" t="str">
        <f>VLOOKUP($A781,[1]!Customer_Names[#Data],3,0)</f>
        <v xml:space="preserve">  Emily</v>
      </c>
      <c r="C781" s="7">
        <v>37.909999999999997</v>
      </c>
      <c r="D781" s="7" t="str" cm="1">
        <f t="array" ref="D781">_xlfn.IFS(Healthcare!$C781&lt;18.5,"under weight",Healthcare!$C781&lt;=24.9,"Normal Weight",Healthcare!$C781&gt;=25,"overweight",Healthcare!$C781&gt;=30,"obese")</f>
        <v>overweight</v>
      </c>
      <c r="E781" s="7">
        <v>5.68</v>
      </c>
      <c r="F781" s="7" t="str" cm="1">
        <f t="array" ref="F781">_xlfn.IFS(Healthcare!$E781&lt;5.7,"normal",Healthcare!$E781&lt;=6.4,"prediabetes",Healthcare!$E781&gt;=6.5,"diabetes")</f>
        <v>normal</v>
      </c>
      <c r="G781" s="7" t="s">
        <v>20</v>
      </c>
      <c r="H781" s="7" t="s">
        <v>19</v>
      </c>
      <c r="I781" s="7" t="s">
        <v>19</v>
      </c>
      <c r="J781" s="7">
        <v>0</v>
      </c>
      <c r="K781" s="7" t="s">
        <v>19</v>
      </c>
      <c r="L781" s="7" t="str">
        <f>VLOOKUP(Healthcare!$A781,hospital_details,2,0)</f>
        <v>23-Aug-1976</v>
      </c>
      <c r="M781" s="7">
        <f t="shared" ref="M781:M844" ca="1" si="4673">VLOOKUP(A781,hospital_details,3,0)</f>
        <v>50</v>
      </c>
      <c r="N781" s="7">
        <f t="shared" ref="N781:N844" si="4674">VLOOKUP($A781,hospital_details,4,0)</f>
        <v>2</v>
      </c>
      <c r="O781" s="8">
        <f t="shared" ref="O781:O844" si="4675">VLOOKUP($A781,hospital_details,5,0)</f>
        <v>13333.71</v>
      </c>
      <c r="P781" s="7" t="str">
        <f t="shared" ref="P781:P844" si="4676">VLOOKUP($A781,hospital_details,6,0)</f>
        <v>tier - 3</v>
      </c>
      <c r="Q781" s="7" t="str">
        <f t="shared" ref="Q781:Q844" si="4677">VLOOKUP($A781,hospital_details,7,0)</f>
        <v>tier - 2</v>
      </c>
      <c r="R781" s="7" t="str">
        <f t="shared" ref="R781:R844" si="4678">VLOOKUP($A781,hospital_details,8,0)</f>
        <v>R1012</v>
      </c>
    </row>
    <row r="782" spans="1:18" ht="14.4" customHeight="1" x14ac:dyDescent="0.3">
      <c r="A782" s="5" t="s">
        <v>802</v>
      </c>
      <c r="B782" s="5" t="str">
        <f>VLOOKUP($A782,[1]!Customer_Names[#Data],3,0)</f>
        <v xml:space="preserve">  Justin E</v>
      </c>
      <c r="C782" s="5">
        <v>54.61</v>
      </c>
      <c r="D782" s="5" t="str" cm="1">
        <f t="array" ref="D782">_xlfn.IFS(Healthcare!$C782&lt;18.5,"under weight",Healthcare!$C782&lt;=24.9,"Normal Weight",Healthcare!$C782&gt;=25,"overweight",Healthcare!$C782&gt;=30,"obese")</f>
        <v>overweight</v>
      </c>
      <c r="E782" s="5">
        <v>4.49</v>
      </c>
      <c r="F782" s="5" t="str" cm="1">
        <f t="array" ref="F782">_xlfn.IFS(Healthcare!$E782&lt;5.7,"normal",Healthcare!$E782&lt;=6.4,"prediabetes",Healthcare!$E782&gt;=6.5,"diabetes")</f>
        <v>normal</v>
      </c>
      <c r="G782" s="5" t="s">
        <v>19</v>
      </c>
      <c r="H782" s="5" t="s">
        <v>19</v>
      </c>
      <c r="I782" s="5" t="s">
        <v>19</v>
      </c>
      <c r="J782" s="5">
        <v>0</v>
      </c>
      <c r="K782" s="5" t="s">
        <v>19</v>
      </c>
      <c r="L782" s="5" t="str">
        <f>VLOOKUP(Healthcare!$A782,hospital_details,2,0)</f>
        <v>1-Jul-1994</v>
      </c>
      <c r="M782" s="5">
        <f t="shared" ref="M782:M845" ca="1" si="4679">VLOOKUP(A782,hospital_details,3,0)</f>
        <v>32</v>
      </c>
      <c r="N782" s="5">
        <f t="shared" ref="N782:N845" si="4680">VLOOKUP($A782,hospital_details,4,0)</f>
        <v>0</v>
      </c>
      <c r="O782" s="6">
        <f t="shared" ref="O782:O845" si="4681">VLOOKUP($A782,hospital_details,5,0)</f>
        <v>13292.52</v>
      </c>
      <c r="P782" s="5" t="str">
        <f t="shared" ref="P782:P845" si="4682">VLOOKUP($A782,hospital_details,6,0)</f>
        <v>tier - 3</v>
      </c>
      <c r="Q782" s="5" t="str">
        <f t="shared" ref="Q782:Q845" si="4683">VLOOKUP($A782,hospital_details,7,0)</f>
        <v>tier - 3</v>
      </c>
      <c r="R782" s="5" t="str">
        <f t="shared" ref="R782:R845" si="4684">VLOOKUP($A782,hospital_details,8,0)</f>
        <v>R1012</v>
      </c>
    </row>
    <row r="783" spans="1:18" ht="14.4" customHeight="1" x14ac:dyDescent="0.3">
      <c r="A783" s="7" t="s">
        <v>803</v>
      </c>
      <c r="B783" s="7" t="str">
        <f>VLOOKUP($A783,[1]!Customer_Names[#Data],3,0)</f>
        <v xml:space="preserve">  Shalane</v>
      </c>
      <c r="C783" s="7">
        <v>36.005000000000003</v>
      </c>
      <c r="D783" s="7" t="str" cm="1">
        <f t="array" ref="D783">_xlfn.IFS(Healthcare!$C783&lt;18.5,"under weight",Healthcare!$C783&lt;=24.9,"Normal Weight",Healthcare!$C783&gt;=25,"overweight",Healthcare!$C783&gt;=30,"obese")</f>
        <v>overweight</v>
      </c>
      <c r="E783" s="7">
        <v>6.9</v>
      </c>
      <c r="F783" s="7" t="str" cm="1">
        <f t="array" ref="F783">_xlfn.IFS(Healthcare!$E783&lt;5.7,"normal",Healthcare!$E783&lt;=6.4,"prediabetes",Healthcare!$E783&gt;=6.5,"diabetes")</f>
        <v>diabetes</v>
      </c>
      <c r="G783" s="7" t="s">
        <v>19</v>
      </c>
      <c r="H783" s="7" t="s">
        <v>19</v>
      </c>
      <c r="I783" s="7" t="s">
        <v>19</v>
      </c>
      <c r="J783" s="7">
        <v>0</v>
      </c>
      <c r="K783" s="7" t="s">
        <v>19</v>
      </c>
      <c r="L783" s="7" t="str">
        <f>VLOOKUP(Healthcare!$A783,hospital_details,2,0)</f>
        <v>11-Oct-1962</v>
      </c>
      <c r="M783" s="7">
        <f t="shared" ref="M783:M846" ca="1" si="4685">VLOOKUP(A783,hospital_details,3,0)</f>
        <v>64</v>
      </c>
      <c r="N783" s="7">
        <f t="shared" ref="N783:N846" si="4686">VLOOKUP($A783,hospital_details,4,0)</f>
        <v>0</v>
      </c>
      <c r="O783" s="8">
        <f t="shared" ref="O783:O846" si="4687">VLOOKUP($A783,hospital_details,5,0)</f>
        <v>13228.85</v>
      </c>
      <c r="P783" s="7" t="str">
        <f t="shared" ref="P783:P846" si="4688">VLOOKUP($A783,hospital_details,6,0)</f>
        <v>tier - 3</v>
      </c>
      <c r="Q783" s="7" t="str">
        <f t="shared" ref="Q783:Q846" si="4689">VLOOKUP($A783,hospital_details,7,0)</f>
        <v>tier - 3</v>
      </c>
      <c r="R783" s="7" t="str">
        <f t="shared" ref="R783:R846" si="4690">VLOOKUP($A783,hospital_details,8,0)</f>
        <v>R1023</v>
      </c>
    </row>
    <row r="784" spans="1:18" ht="14.4" customHeight="1" x14ac:dyDescent="0.3">
      <c r="A784" s="5" t="s">
        <v>804</v>
      </c>
      <c r="B784" s="5" t="str">
        <f>VLOOKUP($A784,[1]!Customer_Names[#Data],3,0)</f>
        <v xml:space="preserve">  Jessica N</v>
      </c>
      <c r="C784" s="5">
        <v>28.7</v>
      </c>
      <c r="D784" s="5" t="str" cm="1">
        <f t="array" ref="D784">_xlfn.IFS(Healthcare!$C784&lt;18.5,"under weight",Healthcare!$C784&lt;=24.9,"Normal Weight",Healthcare!$C784&gt;=25,"overweight",Healthcare!$C784&gt;=30,"obese")</f>
        <v>overweight</v>
      </c>
      <c r="E784" s="5">
        <v>11.52</v>
      </c>
      <c r="F784" s="5" t="str" cm="1">
        <f t="array" ref="F784">_xlfn.IFS(Healthcare!$E784&lt;5.7,"normal",Healthcare!$E784&lt;=6.4,"prediabetes",Healthcare!$E784&gt;=6.5,"diabetes")</f>
        <v>diabetes</v>
      </c>
      <c r="G784" s="5" t="s">
        <v>19</v>
      </c>
      <c r="H784" s="5" t="s">
        <v>19</v>
      </c>
      <c r="I784" s="5" t="s">
        <v>19</v>
      </c>
      <c r="J784" s="5">
        <v>0</v>
      </c>
      <c r="K784" s="5" t="s">
        <v>19</v>
      </c>
      <c r="L784" s="5" t="str">
        <f>VLOOKUP(Healthcare!$A784,hospital_details,2,0)</f>
        <v>24-Nov-1962</v>
      </c>
      <c r="M784" s="5">
        <f t="shared" ref="M784:M847" ca="1" si="4691">VLOOKUP(A784,hospital_details,3,0)</f>
        <v>63</v>
      </c>
      <c r="N784" s="5">
        <f t="shared" ref="N784:N847" si="4692">VLOOKUP($A784,hospital_details,4,0)</f>
        <v>1</v>
      </c>
      <c r="O784" s="6">
        <f t="shared" ref="O784:O847" si="4693">VLOOKUP($A784,hospital_details,5,0)</f>
        <v>13224.69</v>
      </c>
      <c r="P784" s="5" t="str">
        <f t="shared" ref="P784:P847" si="4694">VLOOKUP($A784,hospital_details,6,0)</f>
        <v>tier - 3</v>
      </c>
      <c r="Q784" s="5" t="str">
        <f t="shared" ref="Q784:Q847" si="4695">VLOOKUP($A784,hospital_details,7,0)</f>
        <v>tier - 2</v>
      </c>
      <c r="R784" s="5" t="str">
        <f t="shared" ref="R784:R847" si="4696">VLOOKUP($A784,hospital_details,8,0)</f>
        <v>R1011</v>
      </c>
    </row>
    <row r="785" spans="1:18" ht="14.4" customHeight="1" x14ac:dyDescent="0.3">
      <c r="A785" s="7" t="s">
        <v>805</v>
      </c>
      <c r="B785" s="7" t="str">
        <f>VLOOKUP($A785,[1]!Customer_Names[#Data],3,0)</f>
        <v xml:space="preserve">  Melanie</v>
      </c>
      <c r="C785" s="7">
        <v>34.295000000000002</v>
      </c>
      <c r="D785" s="7" t="str" cm="1">
        <f t="array" ref="D785">_xlfn.IFS(Healthcare!$C785&lt;18.5,"under weight",Healthcare!$C785&lt;=24.9,"Normal Weight",Healthcare!$C785&gt;=25,"overweight",Healthcare!$C785&gt;=30,"obese")</f>
        <v>overweight</v>
      </c>
      <c r="E785" s="7">
        <v>11.24</v>
      </c>
      <c r="F785" s="7" t="str" cm="1">
        <f t="array" ref="F785">_xlfn.IFS(Healthcare!$E785&lt;5.7,"normal",Healthcare!$E785&lt;=6.4,"prediabetes",Healthcare!$E785&gt;=6.5,"diabetes")</f>
        <v>diabetes</v>
      </c>
      <c r="G785" s="7" t="s">
        <v>19</v>
      </c>
      <c r="H785" s="7" t="s">
        <v>19</v>
      </c>
      <c r="I785" s="7" t="s">
        <v>19</v>
      </c>
      <c r="J785" s="7">
        <v>0</v>
      </c>
      <c r="K785" s="7" t="s">
        <v>19</v>
      </c>
      <c r="L785" s="7" t="str">
        <f>VLOOKUP(Healthcare!$A785,hospital_details,2,0)</f>
        <v>13-Nov-1965</v>
      </c>
      <c r="M785" s="7">
        <f t="shared" ref="M785:M848" ca="1" si="4697">VLOOKUP(A785,hospital_details,3,0)</f>
        <v>60</v>
      </c>
      <c r="N785" s="7">
        <f t="shared" ref="N785:N848" si="4698">VLOOKUP($A785,hospital_details,4,0)</f>
        <v>2</v>
      </c>
      <c r="O785" s="8">
        <f t="shared" ref="O785:O848" si="4699">VLOOKUP($A785,hospital_details,5,0)</f>
        <v>13224.06</v>
      </c>
      <c r="P785" s="7" t="str">
        <f t="shared" ref="P785:P848" si="4700">VLOOKUP($A785,hospital_details,6,0)</f>
        <v>tier - 3</v>
      </c>
      <c r="Q785" s="7" t="str">
        <f t="shared" ref="Q785:Q848" si="4701">VLOOKUP($A785,hospital_details,7,0)</f>
        <v>tier - 3</v>
      </c>
      <c r="R785" s="7" t="str">
        <f t="shared" ref="R785:R848" si="4702">VLOOKUP($A785,hospital_details,8,0)</f>
        <v>R1024</v>
      </c>
    </row>
    <row r="786" spans="1:18" ht="14.4" customHeight="1" x14ac:dyDescent="0.3">
      <c r="A786" s="5" t="s">
        <v>806</v>
      </c>
      <c r="B786" s="5" t="str">
        <f>VLOOKUP($A786,[1]!Customer_Names[#Data],3,0)</f>
        <v xml:space="preserve">  Ruth Angelica</v>
      </c>
      <c r="C786" s="5">
        <v>27.55</v>
      </c>
      <c r="D786" s="5" t="str" cm="1">
        <f t="array" ref="D786">_xlfn.IFS(Healthcare!$C786&lt;18.5,"under weight",Healthcare!$C786&lt;=24.9,"Normal Weight",Healthcare!$C786&gt;=25,"overweight",Healthcare!$C786&gt;=30,"obese")</f>
        <v>overweight</v>
      </c>
      <c r="E786" s="5">
        <v>10.98</v>
      </c>
      <c r="F786" s="5" t="str" cm="1">
        <f t="array" ref="F786">_xlfn.IFS(Healthcare!$E786&lt;5.7,"normal",Healthcare!$E786&lt;=6.4,"prediabetes",Healthcare!$E786&gt;=6.5,"diabetes")</f>
        <v>diabetes</v>
      </c>
      <c r="G786" s="5" t="s">
        <v>19</v>
      </c>
      <c r="H786" s="5" t="s">
        <v>19</v>
      </c>
      <c r="I786" s="5" t="s">
        <v>19</v>
      </c>
      <c r="J786" s="5">
        <v>0</v>
      </c>
      <c r="K786" s="5" t="s">
        <v>19</v>
      </c>
      <c r="L786" s="5" t="str">
        <f>VLOOKUP(Healthcare!$A786,hospital_details,2,0)</f>
        <v>7-Dec-1962</v>
      </c>
      <c r="M786" s="5">
        <f t="shared" ref="M786:M849" ca="1" si="4703">VLOOKUP(A786,hospital_details,3,0)</f>
        <v>63</v>
      </c>
      <c r="N786" s="5">
        <f t="shared" ref="N786:N849" si="4704">VLOOKUP($A786,hospital_details,4,0)</f>
        <v>0</v>
      </c>
      <c r="O786" s="6">
        <f t="shared" ref="O786:O849" si="4705">VLOOKUP($A786,hospital_details,5,0)</f>
        <v>13217.09</v>
      </c>
      <c r="P786" s="5" t="str">
        <f t="shared" ref="P786:P849" si="4706">VLOOKUP($A786,hospital_details,6,0)</f>
        <v>tier - 3</v>
      </c>
      <c r="Q786" s="5" t="str">
        <f t="shared" ref="Q786:Q849" si="4707">VLOOKUP($A786,hospital_details,7,0)</f>
        <v>tier - 1</v>
      </c>
      <c r="R786" s="5" t="str">
        <f t="shared" ref="R786:R849" si="4708">VLOOKUP($A786,hospital_details,8,0)</f>
        <v>R1024</v>
      </c>
    </row>
    <row r="787" spans="1:18" ht="14.4" customHeight="1" x14ac:dyDescent="0.3">
      <c r="A787" s="7" t="s">
        <v>807</v>
      </c>
      <c r="B787" s="7" t="str">
        <f>VLOOKUP($A787,[1]!Customer_Names[#Data],3,0)</f>
        <v xml:space="preserve">  Una M</v>
      </c>
      <c r="C787" s="7">
        <v>40.700000000000003</v>
      </c>
      <c r="D787" s="7" t="str" cm="1">
        <f t="array" ref="D787">_xlfn.IFS(Healthcare!$C787&lt;18.5,"under weight",Healthcare!$C787&lt;=24.9,"Normal Weight",Healthcare!$C787&gt;=25,"overweight",Healthcare!$C787&gt;=30,"obese")</f>
        <v>overweight</v>
      </c>
      <c r="E787" s="7">
        <v>5.42</v>
      </c>
      <c r="F787" s="7" t="str" cm="1">
        <f t="array" ref="F787">_xlfn.IFS(Healthcare!$E787&lt;5.7,"normal",Healthcare!$E787&lt;=6.4,"prediabetes",Healthcare!$E787&gt;=6.5,"diabetes")</f>
        <v>normal</v>
      </c>
      <c r="G787" s="7" t="s">
        <v>19</v>
      </c>
      <c r="H787" s="7" t="s">
        <v>19</v>
      </c>
      <c r="I787" s="7" t="s">
        <v>19</v>
      </c>
      <c r="J787" s="7">
        <v>0</v>
      </c>
      <c r="K787" s="7" t="s">
        <v>19</v>
      </c>
      <c r="L787" s="7" t="str">
        <f>VLOOKUP(Healthcare!$A787,hospital_details,2,0)</f>
        <v>15-Oct-1982</v>
      </c>
      <c r="M787" s="7">
        <f t="shared" ref="M787:M850" ca="1" si="4709">VLOOKUP(A787,hospital_details,3,0)</f>
        <v>44</v>
      </c>
      <c r="N787" s="7">
        <f t="shared" ref="N787:N850" si="4710">VLOOKUP($A787,hospital_details,4,0)</f>
        <v>3</v>
      </c>
      <c r="O787" s="8">
        <f t="shared" ref="O787:O850" si="4711">VLOOKUP($A787,hospital_details,5,0)</f>
        <v>13214.43</v>
      </c>
      <c r="P787" s="7" t="str">
        <f t="shared" ref="P787:P850" si="4712">VLOOKUP($A787,hospital_details,6,0)</f>
        <v>tier - 3</v>
      </c>
      <c r="Q787" s="7" t="str">
        <f t="shared" ref="Q787:Q850" si="4713">VLOOKUP($A787,hospital_details,7,0)</f>
        <v>tier - 2</v>
      </c>
      <c r="R787" s="7" t="str">
        <f t="shared" ref="R787:R850" si="4714">VLOOKUP($A787,hospital_details,8,0)</f>
        <v>R1012</v>
      </c>
    </row>
    <row r="788" spans="1:18" ht="14.4" customHeight="1" x14ac:dyDescent="0.3">
      <c r="A788" s="5" t="s">
        <v>808</v>
      </c>
      <c r="B788" s="5" t="str">
        <f>VLOOKUP($A788,[1]!Customer_Names[#Data],3,0)</f>
        <v xml:space="preserve">  Taralyn</v>
      </c>
      <c r="C788" s="5">
        <v>18.335000000000001</v>
      </c>
      <c r="D788" s="5" t="str" cm="1">
        <f t="array" ref="D788">_xlfn.IFS(Healthcare!$C788&lt;18.5,"under weight",Healthcare!$C788&lt;=24.9,"Normal Weight",Healthcare!$C788&gt;=25,"overweight",Healthcare!$C788&gt;=30,"obese")</f>
        <v>under weight</v>
      </c>
      <c r="E788" s="5">
        <v>10.97</v>
      </c>
      <c r="F788" s="5" t="str" cm="1">
        <f t="array" ref="F788">_xlfn.IFS(Healthcare!$E788&lt;5.7,"normal",Healthcare!$E788&lt;=6.4,"prediabetes",Healthcare!$E788&gt;=6.5,"diabetes")</f>
        <v>diabetes</v>
      </c>
      <c r="G788" s="5" t="s">
        <v>19</v>
      </c>
      <c r="H788" s="5" t="s">
        <v>19</v>
      </c>
      <c r="I788" s="5" t="s">
        <v>19</v>
      </c>
      <c r="J788" s="5">
        <v>0</v>
      </c>
      <c r="K788" s="5" t="s">
        <v>19</v>
      </c>
      <c r="L788" s="5" t="str">
        <f>VLOOKUP(Healthcare!$A788,hospital_details,2,0)</f>
        <v>5-Aug-1962</v>
      </c>
      <c r="M788" s="5">
        <f t="shared" ref="M788:M851" ca="1" si="4715">VLOOKUP(A788,hospital_details,3,0)</f>
        <v>64</v>
      </c>
      <c r="N788" s="5">
        <f t="shared" ref="N788:N851" si="4716">VLOOKUP($A788,hospital_details,4,0)</f>
        <v>0</v>
      </c>
      <c r="O788" s="6">
        <f t="shared" ref="O788:O851" si="4717">VLOOKUP($A788,hospital_details,5,0)</f>
        <v>13204.29</v>
      </c>
      <c r="P788" s="5" t="str">
        <f t="shared" ref="P788:P851" si="4718">VLOOKUP($A788,hospital_details,6,0)</f>
        <v>tier - 3</v>
      </c>
      <c r="Q788" s="5" t="str">
        <f t="shared" ref="Q788:Q851" si="4719">VLOOKUP($A788,hospital_details,7,0)</f>
        <v>tier - 1</v>
      </c>
      <c r="R788" s="5" t="str">
        <f t="shared" ref="R788:R851" si="4720">VLOOKUP($A788,hospital_details,8,0)</f>
        <v>R1024</v>
      </c>
    </row>
    <row r="789" spans="1:18" ht="14.4" customHeight="1" x14ac:dyDescent="0.3">
      <c r="A789" s="7" t="s">
        <v>809</v>
      </c>
      <c r="B789" s="7" t="str">
        <f>VLOOKUP($A789,[1]!Customer_Names[#Data],3,0)</f>
        <v xml:space="preserve">  James A</v>
      </c>
      <c r="C789" s="7">
        <v>33.914999999999999</v>
      </c>
      <c r="D789" s="7" t="str" cm="1">
        <f t="array" ref="D789">_xlfn.IFS(Healthcare!$C789&lt;18.5,"under weight",Healthcare!$C789&lt;=24.9,"Normal Weight",Healthcare!$C789&gt;=25,"overweight",Healthcare!$C789&gt;=30,"obese")</f>
        <v>overweight</v>
      </c>
      <c r="E789" s="7">
        <v>9.56</v>
      </c>
      <c r="F789" s="7" t="str" cm="1">
        <f t="array" ref="F789">_xlfn.IFS(Healthcare!$E789&lt;5.7,"normal",Healthcare!$E789&lt;=6.4,"prediabetes",Healthcare!$E789&gt;=6.5,"diabetes")</f>
        <v>diabetes</v>
      </c>
      <c r="G789" s="7" t="s">
        <v>20</v>
      </c>
      <c r="H789" s="7" t="s">
        <v>19</v>
      </c>
      <c r="I789" s="7" t="s">
        <v>19</v>
      </c>
      <c r="J789" s="7">
        <v>2</v>
      </c>
      <c r="K789" s="7" t="s">
        <v>19</v>
      </c>
      <c r="L789" s="7" t="str">
        <f>VLOOKUP(Healthcare!$A789,hospital_details,2,0)</f>
        <v>6-Dec-1961</v>
      </c>
      <c r="M789" s="7">
        <f t="shared" ref="M789:M852" ca="1" si="4721">VLOOKUP(A789,hospital_details,3,0)</f>
        <v>64</v>
      </c>
      <c r="N789" s="7">
        <f t="shared" ref="N789:N852" si="4722">VLOOKUP($A789,hospital_details,4,0)</f>
        <v>0</v>
      </c>
      <c r="O789" s="8">
        <f t="shared" ref="O789:O852" si="4723">VLOOKUP($A789,hospital_details,5,0)</f>
        <v>13143.86</v>
      </c>
      <c r="P789" s="7" t="str">
        <f t="shared" ref="P789:P852" si="4724">VLOOKUP($A789,hospital_details,6,0)</f>
        <v>tier - 3</v>
      </c>
      <c r="Q789" s="7" t="str">
        <f t="shared" ref="Q789:Q852" si="4725">VLOOKUP($A789,hospital_details,7,0)</f>
        <v>tier - 2</v>
      </c>
      <c r="R789" s="7" t="str">
        <f t="shared" ref="R789:R852" si="4726">VLOOKUP($A789,hospital_details,8,0)</f>
        <v>R1016</v>
      </c>
    </row>
    <row r="790" spans="1:18" ht="14.4" customHeight="1" x14ac:dyDescent="0.3">
      <c r="A790" s="5" t="s">
        <v>810</v>
      </c>
      <c r="B790" s="5" t="str">
        <f>VLOOKUP($A790,[1]!Customer_Names[#Data],3,0)</f>
        <v xml:space="preserve">  Ning</v>
      </c>
      <c r="C790" s="5">
        <v>33.534999999999997</v>
      </c>
      <c r="D790" s="5" t="str" cm="1">
        <f t="array" ref="D790">_xlfn.IFS(Healthcare!$C790&lt;18.5,"under weight",Healthcare!$C790&lt;=24.9,"Normal Weight",Healthcare!$C790&gt;=25,"overweight",Healthcare!$C790&gt;=30,"obese")</f>
        <v>overweight</v>
      </c>
      <c r="E790" s="5">
        <v>9.4</v>
      </c>
      <c r="F790" s="5" t="str" cm="1">
        <f t="array" ref="F790">_xlfn.IFS(Healthcare!$E790&lt;5.7,"normal",Healthcare!$E790&lt;=6.4,"prediabetes",Healthcare!$E790&gt;=6.5,"diabetes")</f>
        <v>diabetes</v>
      </c>
      <c r="G790" s="5" t="s">
        <v>20</v>
      </c>
      <c r="H790" s="5" t="s">
        <v>19</v>
      </c>
      <c r="I790" s="5" t="s">
        <v>19</v>
      </c>
      <c r="J790" s="5">
        <v>2</v>
      </c>
      <c r="K790" s="5" t="s">
        <v>19</v>
      </c>
      <c r="L790" s="5" t="str">
        <f>VLOOKUP(Healthcare!$A790,hospital_details,2,0)</f>
        <v>6-Dec-1961</v>
      </c>
      <c r="M790" s="5">
        <f t="shared" ref="M790:M853" ca="1" si="4727">VLOOKUP(A790,hospital_details,3,0)</f>
        <v>64</v>
      </c>
      <c r="N790" s="5">
        <f t="shared" ref="N790:N853" si="4728">VLOOKUP($A790,hospital_details,4,0)</f>
        <v>0</v>
      </c>
      <c r="O790" s="6">
        <f t="shared" ref="O790:O853" si="4729">VLOOKUP($A790,hospital_details,5,0)</f>
        <v>13143.34</v>
      </c>
      <c r="P790" s="5" t="str">
        <f t="shared" ref="P790:P853" si="4730">VLOOKUP($A790,hospital_details,6,0)</f>
        <v>tier - 3</v>
      </c>
      <c r="Q790" s="5" t="str">
        <f t="shared" ref="Q790:Q853" si="4731">VLOOKUP($A790,hospital_details,7,0)</f>
        <v>tier - 2</v>
      </c>
      <c r="R790" s="5" t="str">
        <f t="shared" ref="R790:R853" si="4732">VLOOKUP($A790,hospital_details,8,0)</f>
        <v>R1020</v>
      </c>
    </row>
    <row r="791" spans="1:18" ht="14.4" customHeight="1" x14ac:dyDescent="0.3">
      <c r="A791" s="7" t="s">
        <v>811</v>
      </c>
      <c r="B791" s="7" t="str">
        <f>VLOOKUP($A791,[1]!Customer_Names[#Data],3,0)</f>
        <v xml:space="preserve">  Joel</v>
      </c>
      <c r="C791" s="7">
        <v>23.655000000000001</v>
      </c>
      <c r="D791" s="7" t="str" cm="1">
        <f t="array" ref="D791">_xlfn.IFS(Healthcare!$C791&lt;18.5,"under weight",Healthcare!$C791&lt;=24.9,"Normal Weight",Healthcare!$C791&gt;=25,"overweight",Healthcare!$C791&gt;=30,"obese")</f>
        <v>Normal Weight</v>
      </c>
      <c r="E791" s="7">
        <v>8.48</v>
      </c>
      <c r="F791" s="7" t="str" cm="1">
        <f t="array" ref="F791">_xlfn.IFS(Healthcare!$E791&lt;5.7,"normal",Healthcare!$E791&lt;=6.4,"prediabetes",Healthcare!$E791&gt;=6.5,"diabetes")</f>
        <v>diabetes</v>
      </c>
      <c r="G791" s="7" t="s">
        <v>20</v>
      </c>
      <c r="H791" s="7" t="s">
        <v>19</v>
      </c>
      <c r="I791" s="7" t="s">
        <v>19</v>
      </c>
      <c r="J791" s="7">
        <v>2</v>
      </c>
      <c r="K791" s="7" t="s">
        <v>19</v>
      </c>
      <c r="L791" s="7" t="str">
        <f>VLOOKUP(Healthcare!$A791,hospital_details,2,0)</f>
        <v>7-Sep-1961</v>
      </c>
      <c r="M791" s="7">
        <f t="shared" ref="M791:M854" ca="1" si="4733">VLOOKUP(A791,hospital_details,3,0)</f>
        <v>65</v>
      </c>
      <c r="N791" s="7">
        <f t="shared" ref="N791:N854" si="4734">VLOOKUP($A791,hospital_details,4,0)</f>
        <v>0</v>
      </c>
      <c r="O791" s="8">
        <f t="shared" ref="O791:O854" si="4735">VLOOKUP($A791,hospital_details,5,0)</f>
        <v>13129.6</v>
      </c>
      <c r="P791" s="7" t="str">
        <f t="shared" ref="P791:P854" si="4736">VLOOKUP($A791,hospital_details,6,0)</f>
        <v>tier - 3</v>
      </c>
      <c r="Q791" s="7" t="str">
        <f t="shared" ref="Q791:Q854" si="4737">VLOOKUP($A791,hospital_details,7,0)</f>
        <v>tier - 2</v>
      </c>
      <c r="R791" s="7" t="str">
        <f t="shared" ref="R791:R854" si="4738">VLOOKUP($A791,hospital_details,8,0)</f>
        <v>R1017</v>
      </c>
    </row>
    <row r="792" spans="1:18" ht="14.4" customHeight="1" x14ac:dyDescent="0.3">
      <c r="A792" s="5" t="s">
        <v>812</v>
      </c>
      <c r="B792" s="5" t="str">
        <f>VLOOKUP($A792,[1]!Customer_Names[#Data],3,0)</f>
        <v xml:space="preserve">  Pamela J</v>
      </c>
      <c r="C792" s="5">
        <v>28</v>
      </c>
      <c r="D792" s="5" t="str" cm="1">
        <f t="array" ref="D792">_xlfn.IFS(Healthcare!$C792&lt;18.5,"under weight",Healthcare!$C792&lt;=24.9,"Normal Weight",Healthcare!$C792&gt;=25,"overweight",Healthcare!$C792&gt;=30,"obese")</f>
        <v>overweight</v>
      </c>
      <c r="E792" s="5">
        <v>5.57</v>
      </c>
      <c r="F792" s="5" t="str" cm="1">
        <f t="array" ref="F792">_xlfn.IFS(Healthcare!$E792&lt;5.7,"normal",Healthcare!$E792&lt;=6.4,"prediabetes",Healthcare!$E792&gt;=6.5,"diabetes")</f>
        <v>normal</v>
      </c>
      <c r="G792" s="5" t="s">
        <v>19</v>
      </c>
      <c r="H792" s="5" t="s">
        <v>19</v>
      </c>
      <c r="I792" s="5" t="s">
        <v>19</v>
      </c>
      <c r="J792" s="5">
        <v>0</v>
      </c>
      <c r="K792" s="5" t="s">
        <v>19</v>
      </c>
      <c r="L792" s="5" t="str">
        <f>VLOOKUP(Healthcare!$A792,hospital_details,2,0)</f>
        <v>16-Aug-1999</v>
      </c>
      <c r="M792" s="5">
        <f t="shared" ref="M792:M855" ca="1" si="4739">VLOOKUP(A792,hospital_details,3,0)</f>
        <v>27</v>
      </c>
      <c r="N792" s="5">
        <f t="shared" ref="N792:N855" si="4740">VLOOKUP($A792,hospital_details,4,0)</f>
        <v>0</v>
      </c>
      <c r="O792" s="6">
        <f t="shared" ref="O792:O855" si="4741">VLOOKUP($A792,hospital_details,5,0)</f>
        <v>13126.68</v>
      </c>
      <c r="P792" s="5" t="str">
        <f t="shared" ref="P792:P855" si="4742">VLOOKUP($A792,hospital_details,6,0)</f>
        <v>tier - 3</v>
      </c>
      <c r="Q792" s="5" t="str">
        <f t="shared" ref="Q792:Q855" si="4743">VLOOKUP($A792,hospital_details,7,0)</f>
        <v>tier - 3</v>
      </c>
      <c r="R792" s="5" t="str">
        <f t="shared" ref="R792:R855" si="4744">VLOOKUP($A792,hospital_details,8,0)</f>
        <v>R1011</v>
      </c>
    </row>
    <row r="793" spans="1:18" ht="14.4" customHeight="1" x14ac:dyDescent="0.3">
      <c r="A793" s="7" t="s">
        <v>813</v>
      </c>
      <c r="B793" s="7" t="str">
        <f>VLOOKUP($A793,[1]!Customer_Names[#Data],3,0)</f>
        <v xml:space="preserve">  Brittney</v>
      </c>
      <c r="C793" s="7">
        <v>30.23</v>
      </c>
      <c r="D793" s="7" t="str" cm="1">
        <f t="array" ref="D793">_xlfn.IFS(Healthcare!$C793&lt;18.5,"under weight",Healthcare!$C793&lt;=24.9,"Normal Weight",Healthcare!$C793&gt;=25,"overweight",Healthcare!$C793&gt;=30,"obese")</f>
        <v>overweight</v>
      </c>
      <c r="E793" s="7">
        <v>6.94</v>
      </c>
      <c r="F793" s="7" t="str" cm="1">
        <f t="array" ref="F793">_xlfn.IFS(Healthcare!$E793&lt;5.7,"normal",Healthcare!$E793&lt;=6.4,"prediabetes",Healthcare!$E793&gt;=6.5,"diabetes")</f>
        <v>diabetes</v>
      </c>
      <c r="G793" s="7" t="s">
        <v>20</v>
      </c>
      <c r="H793" s="7" t="s">
        <v>19</v>
      </c>
      <c r="I793" s="7" t="s">
        <v>29</v>
      </c>
      <c r="J793" s="7">
        <v>1</v>
      </c>
      <c r="K793" s="7" t="s">
        <v>19</v>
      </c>
      <c r="L793" s="7" t="str">
        <f>VLOOKUP(Healthcare!$A793,hospital_details,2,0)</f>
        <v>14-Sep-1963</v>
      </c>
      <c r="M793" s="7">
        <f t="shared" ref="M793:M856" ca="1" si="4745">VLOOKUP(A793,hospital_details,3,0)</f>
        <v>63</v>
      </c>
      <c r="N793" s="7">
        <f t="shared" ref="N793:N856" si="4746">VLOOKUP($A793,hospital_details,4,0)</f>
        <v>0</v>
      </c>
      <c r="O793" s="8">
        <f t="shared" ref="O793:O856" si="4747">VLOOKUP($A793,hospital_details,5,0)</f>
        <v>13116.84</v>
      </c>
      <c r="P793" s="7" t="str">
        <f t="shared" ref="P793:P856" si="4748">VLOOKUP($A793,hospital_details,6,0)</f>
        <v>tier - 3</v>
      </c>
      <c r="Q793" s="7" t="str">
        <f t="shared" ref="Q793:Q856" si="4749">VLOOKUP($A793,hospital_details,7,0)</f>
        <v>tier - 1</v>
      </c>
      <c r="R793" s="7" t="str">
        <f t="shared" ref="R793:R856" si="4750">VLOOKUP($A793,hospital_details,8,0)</f>
        <v>R1012</v>
      </c>
    </row>
    <row r="794" spans="1:18" ht="14.4" customHeight="1" x14ac:dyDescent="0.3">
      <c r="A794" s="5" t="s">
        <v>814</v>
      </c>
      <c r="B794" s="5" t="str">
        <f>VLOOKUP($A794,[1]!Customer_Names[#Data],3,0)</f>
        <v xml:space="preserve">  Sheila</v>
      </c>
      <c r="C794" s="5">
        <v>51.14</v>
      </c>
      <c r="D794" s="5" t="str" cm="1">
        <f t="array" ref="D794">_xlfn.IFS(Healthcare!$C794&lt;18.5,"under weight",Healthcare!$C794&lt;=24.9,"Normal Weight",Healthcare!$C794&gt;=25,"overweight",Healthcare!$C794&gt;=30,"obese")</f>
        <v>overweight</v>
      </c>
      <c r="E794" s="5">
        <v>4.05</v>
      </c>
      <c r="F794" s="5" t="str" cm="1">
        <f t="array" ref="F794">_xlfn.IFS(Healthcare!$E794&lt;5.7,"normal",Healthcare!$E794&lt;=6.4,"prediabetes",Healthcare!$E794&gt;=6.5,"diabetes")</f>
        <v>normal</v>
      </c>
      <c r="G794" s="5" t="s">
        <v>19</v>
      </c>
      <c r="H794" s="5" t="s">
        <v>19</v>
      </c>
      <c r="I794" s="5" t="s">
        <v>19</v>
      </c>
      <c r="J794" s="5">
        <v>1</v>
      </c>
      <c r="K794" s="5" t="s">
        <v>19</v>
      </c>
      <c r="L794" s="5" t="str">
        <f>VLOOKUP(Healthcare!$A794,hospital_details,2,0)</f>
        <v>12-Aug-1992</v>
      </c>
      <c r="M794" s="5">
        <f t="shared" ref="M794:M857" ca="1" si="4751">VLOOKUP(A794,hospital_details,3,0)</f>
        <v>34</v>
      </c>
      <c r="N794" s="5">
        <f t="shared" ref="N794:N857" si="4752">VLOOKUP($A794,hospital_details,4,0)</f>
        <v>0</v>
      </c>
      <c r="O794" s="6">
        <f t="shared" ref="O794:O857" si="4753">VLOOKUP($A794,hospital_details,5,0)</f>
        <v>13113.51</v>
      </c>
      <c r="P794" s="5" t="str">
        <f t="shared" ref="P794:P857" si="4754">VLOOKUP($A794,hospital_details,6,0)</f>
        <v>tier - 3</v>
      </c>
      <c r="Q794" s="5" t="str">
        <f t="shared" ref="Q794:Q857" si="4755">VLOOKUP($A794,hospital_details,7,0)</f>
        <v>tier - 2</v>
      </c>
      <c r="R794" s="5" t="str">
        <f t="shared" ref="R794:R857" si="4756">VLOOKUP($A794,hospital_details,8,0)</f>
        <v>R1026</v>
      </c>
    </row>
    <row r="795" spans="1:18" ht="14.4" customHeight="1" x14ac:dyDescent="0.3">
      <c r="A795" s="7" t="s">
        <v>815</v>
      </c>
      <c r="B795" s="7" t="str">
        <f>VLOOKUP($A795,[1]!Customer_Names[#Data],3,0)</f>
        <v xml:space="preserve">  Koji</v>
      </c>
      <c r="C795" s="7">
        <v>24.32</v>
      </c>
      <c r="D795" s="7" t="str" cm="1">
        <f t="array" ref="D795">_xlfn.IFS(Healthcare!$C795&lt;18.5,"under weight",Healthcare!$C795&lt;=24.9,"Normal Weight",Healthcare!$C795&gt;=25,"overweight",Healthcare!$C795&gt;=30,"obese")</f>
        <v>Normal Weight</v>
      </c>
      <c r="E795" s="7">
        <v>10.220000000000001</v>
      </c>
      <c r="F795" s="7" t="str" cm="1">
        <f t="array" ref="F795">_xlfn.IFS(Healthcare!$E795&lt;5.7,"normal",Healthcare!$E795&lt;=6.4,"prediabetes",Healthcare!$E795&gt;=6.5,"diabetes")</f>
        <v>diabetes</v>
      </c>
      <c r="G795" s="7" t="s">
        <v>19</v>
      </c>
      <c r="H795" s="7" t="s">
        <v>19</v>
      </c>
      <c r="I795" s="7" t="s">
        <v>19</v>
      </c>
      <c r="J795" s="7">
        <v>0</v>
      </c>
      <c r="K795" s="7" t="s">
        <v>19</v>
      </c>
      <c r="L795" s="7" t="str">
        <f>VLOOKUP(Healthcare!$A795,hospital_details,2,0)</f>
        <v>2-Aug-1962</v>
      </c>
      <c r="M795" s="7">
        <f t="shared" ref="M795:M858" ca="1" si="4757">VLOOKUP(A795,hospital_details,3,0)</f>
        <v>64</v>
      </c>
      <c r="N795" s="7">
        <f t="shared" ref="N795:N858" si="4758">VLOOKUP($A795,hospital_details,4,0)</f>
        <v>1</v>
      </c>
      <c r="O795" s="8">
        <f t="shared" ref="O795:O858" si="4759">VLOOKUP($A795,hospital_details,5,0)</f>
        <v>13112.6</v>
      </c>
      <c r="P795" s="7" t="str">
        <f t="shared" ref="P795:P858" si="4760">VLOOKUP($A795,hospital_details,6,0)</f>
        <v>tier - 3</v>
      </c>
      <c r="Q795" s="7" t="str">
        <f t="shared" ref="Q795:Q858" si="4761">VLOOKUP($A795,hospital_details,7,0)</f>
        <v>tier - 3</v>
      </c>
      <c r="R795" s="7" t="str">
        <f t="shared" ref="R795:R858" si="4762">VLOOKUP($A795,hospital_details,8,0)</f>
        <v>R1012</v>
      </c>
    </row>
    <row r="796" spans="1:18" ht="14.4" customHeight="1" x14ac:dyDescent="0.3">
      <c r="A796" s="5" t="s">
        <v>816</v>
      </c>
      <c r="B796" s="5" t="str">
        <f>VLOOKUP($A796,[1]!Customer_Names[#Data],3,0)</f>
        <v xml:space="preserve">  Sarah</v>
      </c>
      <c r="C796" s="5">
        <v>38.06</v>
      </c>
      <c r="D796" s="5" t="str" cm="1">
        <f t="array" ref="D796">_xlfn.IFS(Healthcare!$C796&lt;18.5,"under weight",Healthcare!$C796&lt;=24.9,"Normal Weight",Healthcare!$C796&gt;=25,"overweight",Healthcare!$C796&gt;=30,"obese")</f>
        <v>overweight</v>
      </c>
      <c r="E796" s="5">
        <v>9.24</v>
      </c>
      <c r="F796" s="5" t="str" cm="1">
        <f t="array" ref="F796">_xlfn.IFS(Healthcare!$E796&lt;5.7,"normal",Healthcare!$E796&lt;=6.4,"prediabetes",Healthcare!$E796&gt;=6.5,"diabetes")</f>
        <v>diabetes</v>
      </c>
      <c r="G796" s="5" t="s">
        <v>19</v>
      </c>
      <c r="H796" s="5" t="s">
        <v>19</v>
      </c>
      <c r="I796" s="5" t="s">
        <v>19</v>
      </c>
      <c r="J796" s="5">
        <v>0</v>
      </c>
      <c r="K796" s="5" t="s">
        <v>19</v>
      </c>
      <c r="L796" s="5" t="str">
        <f>VLOOKUP(Healthcare!$A796,hospital_details,2,0)</f>
        <v>30-Oct-1971</v>
      </c>
      <c r="M796" s="5">
        <f t="shared" ref="M796:M859" ca="1" si="4763">VLOOKUP(A796,hospital_details,3,0)</f>
        <v>54</v>
      </c>
      <c r="N796" s="5">
        <f t="shared" ref="N796:N859" si="4764">VLOOKUP($A796,hospital_details,4,0)</f>
        <v>0</v>
      </c>
      <c r="O796" s="6">
        <f t="shared" ref="O796:O859" si="4765">VLOOKUP($A796,hospital_details,5,0)</f>
        <v>13110.79</v>
      </c>
      <c r="P796" s="5" t="str">
        <f t="shared" ref="P796:P859" si="4766">VLOOKUP($A796,hospital_details,6,0)</f>
        <v>tier - 3</v>
      </c>
      <c r="Q796" s="5" t="str">
        <f t="shared" ref="Q796:Q859" si="4767">VLOOKUP($A796,hospital_details,7,0)</f>
        <v>tier - 2</v>
      </c>
      <c r="R796" s="5" t="str">
        <f t="shared" ref="R796:R859" si="4768">VLOOKUP($A796,hospital_details,8,0)</f>
        <v>R1011</v>
      </c>
    </row>
    <row r="797" spans="1:18" ht="14.4" customHeight="1" x14ac:dyDescent="0.3">
      <c r="A797" s="7" t="s">
        <v>817</v>
      </c>
      <c r="B797" s="7" t="str">
        <f>VLOOKUP($A797,[1]!Customer_Names[#Data],3,0)</f>
        <v xml:space="preserve">  Colleen M</v>
      </c>
      <c r="C797" s="7">
        <v>37.700000000000003</v>
      </c>
      <c r="D797" s="7" t="str" cm="1">
        <f t="array" ref="D797">_xlfn.IFS(Healthcare!$C797&lt;18.5,"under weight",Healthcare!$C797&lt;=24.9,"Normal Weight",Healthcare!$C797&gt;=25,"overweight",Healthcare!$C797&gt;=30,"obese")</f>
        <v>overweight</v>
      </c>
      <c r="E797" s="7">
        <v>8.6</v>
      </c>
      <c r="F797" s="7" t="str" cm="1">
        <f t="array" ref="F797">_xlfn.IFS(Healthcare!$E797&lt;5.7,"normal",Healthcare!$E797&lt;=6.4,"prediabetes",Healthcare!$E797&gt;=6.5,"diabetes")</f>
        <v>diabetes</v>
      </c>
      <c r="G797" s="7" t="s">
        <v>19</v>
      </c>
      <c r="H797" s="7" t="s">
        <v>19</v>
      </c>
      <c r="I797" s="7" t="s">
        <v>19</v>
      </c>
      <c r="J797" s="7">
        <v>0</v>
      </c>
      <c r="K797" s="7" t="s">
        <v>19</v>
      </c>
      <c r="L797" s="7" t="str">
        <f>VLOOKUP(Healthcare!$A797,hospital_details,2,0)</f>
        <v>17-Jul-1978</v>
      </c>
      <c r="M797" s="7">
        <f t="shared" ref="M797:M860" ca="1" si="4769">VLOOKUP(A797,hospital_details,3,0)</f>
        <v>48</v>
      </c>
      <c r="N797" s="7">
        <f t="shared" ref="N797:N860" si="4770">VLOOKUP($A797,hospital_details,4,0)</f>
        <v>2</v>
      </c>
      <c r="O797" s="8">
        <f t="shared" ref="O797:O860" si="4771">VLOOKUP($A797,hospital_details,5,0)</f>
        <v>13101.74</v>
      </c>
      <c r="P797" s="7" t="str">
        <f t="shared" ref="P797:P860" si="4772">VLOOKUP($A797,hospital_details,6,0)</f>
        <v>tier - 3</v>
      </c>
      <c r="Q797" s="7" t="str">
        <f t="shared" ref="Q797:Q860" si="4773">VLOOKUP($A797,hospital_details,7,0)</f>
        <v>tier - 2</v>
      </c>
      <c r="R797" s="7" t="str">
        <f t="shared" ref="R797:R860" si="4774">VLOOKUP($A797,hospital_details,8,0)</f>
        <v>R1026</v>
      </c>
    </row>
    <row r="798" spans="1:18" ht="14.4" customHeight="1" x14ac:dyDescent="0.3">
      <c r="A798" s="5" t="s">
        <v>818</v>
      </c>
      <c r="B798" s="5" t="str">
        <f>VLOOKUP($A798,[1]!Customer_Names[#Data],3,0)</f>
        <v xml:space="preserve">  Deedra G</v>
      </c>
      <c r="C798" s="5">
        <v>44</v>
      </c>
      <c r="D798" s="5" t="str" cm="1">
        <f t="array" ref="D798">_xlfn.IFS(Healthcare!$C798&lt;18.5,"under weight",Healthcare!$C798&lt;=24.9,"Normal Weight",Healthcare!$C798&gt;=25,"overweight",Healthcare!$C798&gt;=30,"obese")</f>
        <v>overweight</v>
      </c>
      <c r="E798" s="5">
        <v>9.32</v>
      </c>
      <c r="F798" s="5" t="str" cm="1">
        <f t="array" ref="F798">_xlfn.IFS(Healthcare!$E798&lt;5.7,"normal",Healthcare!$E798&lt;=6.4,"prediabetes",Healthcare!$E798&gt;=6.5,"diabetes")</f>
        <v>diabetes</v>
      </c>
      <c r="G798" s="5" t="s">
        <v>20</v>
      </c>
      <c r="H798" s="5" t="s">
        <v>19</v>
      </c>
      <c r="I798" s="5" t="s">
        <v>19</v>
      </c>
      <c r="J798" s="5">
        <v>2</v>
      </c>
      <c r="K798" s="5" t="s">
        <v>19</v>
      </c>
      <c r="L798" s="5" t="str">
        <f>VLOOKUP(Healthcare!$A798,hospital_details,2,0)</f>
        <v>6-Nov-1961</v>
      </c>
      <c r="M798" s="5">
        <f t="shared" ref="M798:M861" ca="1" si="4775">VLOOKUP(A798,hospital_details,3,0)</f>
        <v>64</v>
      </c>
      <c r="N798" s="5">
        <f t="shared" ref="N798:N861" si="4776">VLOOKUP($A798,hospital_details,4,0)</f>
        <v>0</v>
      </c>
      <c r="O798" s="6">
        <f t="shared" ref="O798:O861" si="4777">VLOOKUP($A798,hospital_details,5,0)</f>
        <v>13063.88</v>
      </c>
      <c r="P798" s="5" t="str">
        <f t="shared" ref="P798:P861" si="4778">VLOOKUP($A798,hospital_details,6,0)</f>
        <v>tier - 3</v>
      </c>
      <c r="Q798" s="5" t="str">
        <f t="shared" ref="Q798:Q861" si="4779">VLOOKUP($A798,hospital_details,7,0)</f>
        <v>tier - 2</v>
      </c>
      <c r="R798" s="5" t="str">
        <f t="shared" ref="R798:R861" si="4780">VLOOKUP($A798,hospital_details,8,0)</f>
        <v>R1011</v>
      </c>
    </row>
    <row r="799" spans="1:18" ht="14.4" customHeight="1" x14ac:dyDescent="0.3">
      <c r="A799" s="7" t="s">
        <v>819</v>
      </c>
      <c r="B799" s="7" t="str">
        <f>VLOOKUP($A799,[1]!Customer_Names[#Data],3,0)</f>
        <v xml:space="preserve">  Kulwinder</v>
      </c>
      <c r="C799" s="7">
        <v>41.45</v>
      </c>
      <c r="D799" s="7" t="str" cm="1">
        <f t="array" ref="D799">_xlfn.IFS(Healthcare!$C799&lt;18.5,"under weight",Healthcare!$C799&lt;=24.9,"Normal Weight",Healthcare!$C799&gt;=25,"overweight",Healthcare!$C799&gt;=30,"obese")</f>
        <v>overweight</v>
      </c>
      <c r="E799" s="7">
        <v>6.12</v>
      </c>
      <c r="F799" s="7" t="str" cm="1">
        <f t="array" ref="F799">_xlfn.IFS(Healthcare!$E799&lt;5.7,"normal",Healthcare!$E799&lt;=6.4,"prediabetes",Healthcare!$E799&gt;=6.5,"diabetes")</f>
        <v>prediabetes</v>
      </c>
      <c r="G799" s="7" t="s">
        <v>20</v>
      </c>
      <c r="H799" s="7" t="s">
        <v>19</v>
      </c>
      <c r="I799" s="7" t="s">
        <v>19</v>
      </c>
      <c r="J799" s="7">
        <v>0</v>
      </c>
      <c r="K799" s="7" t="s">
        <v>19</v>
      </c>
      <c r="L799" s="7" t="str">
        <f>VLOOKUP(Healthcare!$A799,hospital_details,2,0)</f>
        <v>26-Oct-1985</v>
      </c>
      <c r="M799" s="7">
        <f t="shared" ref="M799:M862" ca="1" si="4781">VLOOKUP(A799,hospital_details,3,0)</f>
        <v>40</v>
      </c>
      <c r="N799" s="7">
        <f t="shared" ref="N799:N862" si="4782">VLOOKUP($A799,hospital_details,4,0)</f>
        <v>3</v>
      </c>
      <c r="O799" s="8">
        <f t="shared" ref="O799:O862" si="4783">VLOOKUP($A799,hospital_details,5,0)</f>
        <v>13051.22</v>
      </c>
      <c r="P799" s="7" t="str">
        <f t="shared" ref="P799:P862" si="4784">VLOOKUP($A799,hospital_details,6,0)</f>
        <v>tier - 3</v>
      </c>
      <c r="Q799" s="7" t="str">
        <f t="shared" ref="Q799:Q862" si="4785">VLOOKUP($A799,hospital_details,7,0)</f>
        <v>tier - 1</v>
      </c>
      <c r="R799" s="7" t="str">
        <f t="shared" ref="R799:R862" si="4786">VLOOKUP($A799,hospital_details,8,0)</f>
        <v>R1026</v>
      </c>
    </row>
    <row r="800" spans="1:18" ht="14.4" customHeight="1" x14ac:dyDescent="0.3">
      <c r="A800" s="5" t="s">
        <v>820</v>
      </c>
      <c r="B800" s="5" t="str">
        <f>VLOOKUP($A800,[1]!Customer_Names[#Data],3,0)</f>
        <v xml:space="preserve">  Ann M</v>
      </c>
      <c r="C800" s="5">
        <v>25.364999999999998</v>
      </c>
      <c r="D800" s="5" t="str" cm="1">
        <f t="array" ref="D800">_xlfn.IFS(Healthcare!$C800&lt;18.5,"under weight",Healthcare!$C800&lt;=24.9,"Normal Weight",Healthcare!$C800&gt;=25,"overweight",Healthcare!$C800&gt;=30,"obese")</f>
        <v>overweight</v>
      </c>
      <c r="E800" s="5">
        <v>9.19</v>
      </c>
      <c r="F800" s="5" t="str" cm="1">
        <f t="array" ref="F800">_xlfn.IFS(Healthcare!$E800&lt;5.7,"normal",Healthcare!$E800&lt;=6.4,"prediabetes",Healthcare!$E800&gt;=6.5,"diabetes")</f>
        <v>diabetes</v>
      </c>
      <c r="G800" s="5" t="s">
        <v>20</v>
      </c>
      <c r="H800" s="5" t="s">
        <v>19</v>
      </c>
      <c r="I800" s="5" t="s">
        <v>19</v>
      </c>
      <c r="J800" s="5">
        <v>0</v>
      </c>
      <c r="K800" s="5" t="s">
        <v>19</v>
      </c>
      <c r="L800" s="5" t="str">
        <f>VLOOKUP(Healthcare!$A800,hospital_details,2,0)</f>
        <v>6-Aug-1967</v>
      </c>
      <c r="M800" s="5">
        <f t="shared" ref="M800:M863" ca="1" si="4787">VLOOKUP(A800,hospital_details,3,0)</f>
        <v>59</v>
      </c>
      <c r="N800" s="5">
        <f t="shared" ref="N800:N863" si="4788">VLOOKUP($A800,hospital_details,4,0)</f>
        <v>3</v>
      </c>
      <c r="O800" s="6">
        <f t="shared" ref="O800:O863" si="4789">VLOOKUP($A800,hospital_details,5,0)</f>
        <v>13047.33</v>
      </c>
      <c r="P800" s="5" t="str">
        <f t="shared" ref="P800:P863" si="4790">VLOOKUP($A800,hospital_details,6,0)</f>
        <v>tier - 3</v>
      </c>
      <c r="Q800" s="5" t="str">
        <f t="shared" ref="Q800:Q863" si="4791">VLOOKUP($A800,hospital_details,7,0)</f>
        <v>tier - 3</v>
      </c>
      <c r="R800" s="5" t="str">
        <f t="shared" ref="R800:R863" si="4792">VLOOKUP($A800,hospital_details,8,0)</f>
        <v>R1024</v>
      </c>
    </row>
    <row r="801" spans="1:18" ht="14.4" customHeight="1" x14ac:dyDescent="0.3">
      <c r="A801" s="7" t="s">
        <v>821</v>
      </c>
      <c r="B801" s="7" t="str">
        <f>VLOOKUP($A801,[1]!Customer_Names[#Data],3,0)</f>
        <v xml:space="preserve">  Sarah E</v>
      </c>
      <c r="C801" s="7">
        <v>34.56</v>
      </c>
      <c r="D801" s="7" t="str" cm="1">
        <f t="array" ref="D801">_xlfn.IFS(Healthcare!$C801&lt;18.5,"under weight",Healthcare!$C801&lt;=24.9,"Normal Weight",Healthcare!$C801&gt;=25,"overweight",Healthcare!$C801&gt;=30,"obese")</f>
        <v>overweight</v>
      </c>
      <c r="E801" s="7">
        <v>5.84</v>
      </c>
      <c r="F801" s="7" t="str" cm="1">
        <f t="array" ref="F801">_xlfn.IFS(Healthcare!$E801&lt;5.7,"normal",Healthcare!$E801&lt;=6.4,"prediabetes",Healthcare!$E801&gt;=6.5,"diabetes")</f>
        <v>prediabetes</v>
      </c>
      <c r="G801" s="7" t="s">
        <v>20</v>
      </c>
      <c r="H801" s="7" t="s">
        <v>19</v>
      </c>
      <c r="I801" s="7" t="s">
        <v>29</v>
      </c>
      <c r="J801" s="7">
        <v>1</v>
      </c>
      <c r="K801" s="7" t="s">
        <v>19</v>
      </c>
      <c r="L801" s="7" t="str">
        <f>VLOOKUP(Healthcare!$A801,hospital_details,2,0)</f>
        <v>23-Sep-1969</v>
      </c>
      <c r="M801" s="7">
        <f t="shared" ref="M801:M864" ca="1" si="4793">VLOOKUP(A801,hospital_details,3,0)</f>
        <v>57</v>
      </c>
      <c r="N801" s="7">
        <f t="shared" ref="N801:N864" si="4794">VLOOKUP($A801,hospital_details,4,0)</f>
        <v>0</v>
      </c>
      <c r="O801" s="8">
        <f t="shared" ref="O801:O864" si="4795">VLOOKUP($A801,hospital_details,5,0)</f>
        <v>13044.41</v>
      </c>
      <c r="P801" s="7" t="str">
        <f t="shared" ref="P801:P864" si="4796">VLOOKUP($A801,hospital_details,6,0)</f>
        <v>tier - 3</v>
      </c>
      <c r="Q801" s="7" t="str">
        <f t="shared" ref="Q801:Q864" si="4797">VLOOKUP($A801,hospital_details,7,0)</f>
        <v>tier - 1</v>
      </c>
      <c r="R801" s="7" t="str">
        <f t="shared" ref="R801:R864" si="4798">VLOOKUP($A801,hospital_details,8,0)</f>
        <v>R1012</v>
      </c>
    </row>
    <row r="802" spans="1:18" ht="14.4" customHeight="1" x14ac:dyDescent="0.3">
      <c r="A802" s="5" t="s">
        <v>822</v>
      </c>
      <c r="B802" s="5" t="str">
        <f>VLOOKUP($A802,[1]!Customer_Names[#Data],3,0)</f>
        <v xml:space="preserve">  Apryl J</v>
      </c>
      <c r="C802" s="5">
        <v>28.2</v>
      </c>
      <c r="D802" s="5" t="str" cm="1">
        <f t="array" ref="D802">_xlfn.IFS(Healthcare!$C802&lt;18.5,"under weight",Healthcare!$C802&lt;=24.9,"Normal Weight",Healthcare!$C802&gt;=25,"overweight",Healthcare!$C802&gt;=30,"obese")</f>
        <v>overweight</v>
      </c>
      <c r="E802" s="5">
        <v>7.19</v>
      </c>
      <c r="F802" s="5" t="str" cm="1">
        <f t="array" ref="F802">_xlfn.IFS(Healthcare!$E802&lt;5.7,"normal",Healthcare!$E802&lt;=6.4,"prediabetes",Healthcare!$E802&gt;=6.5,"diabetes")</f>
        <v>diabetes</v>
      </c>
      <c r="G802" s="5" t="s">
        <v>20</v>
      </c>
      <c r="H802" s="5" t="s">
        <v>19</v>
      </c>
      <c r="I802" s="5" t="s">
        <v>19</v>
      </c>
      <c r="J802" s="5">
        <v>2</v>
      </c>
      <c r="K802" s="5" t="s">
        <v>19</v>
      </c>
      <c r="L802" s="5" t="str">
        <f>VLOOKUP(Healthcare!$A802,hospital_details,2,0)</f>
        <v>9-Nov-1961</v>
      </c>
      <c r="M802" s="5">
        <f t="shared" ref="M802:M865" ca="1" si="4799">VLOOKUP(A802,hospital_details,3,0)</f>
        <v>64</v>
      </c>
      <c r="N802" s="5">
        <f t="shared" ref="N802:N865" si="4800">VLOOKUP($A802,hospital_details,4,0)</f>
        <v>0</v>
      </c>
      <c r="O802" s="6">
        <f t="shared" ref="O802:O865" si="4801">VLOOKUP($A802,hospital_details,5,0)</f>
        <v>13041.92</v>
      </c>
      <c r="P802" s="5" t="str">
        <f t="shared" ref="P802:P865" si="4802">VLOOKUP($A802,hospital_details,6,0)</f>
        <v>tier - 3</v>
      </c>
      <c r="Q802" s="5" t="str">
        <f t="shared" ref="Q802:Q865" si="4803">VLOOKUP($A802,hospital_details,7,0)</f>
        <v>tier - 1</v>
      </c>
      <c r="R802" s="5" t="str">
        <f t="shared" ref="R802:R865" si="4804">VLOOKUP($A802,hospital_details,8,0)</f>
        <v>R1011</v>
      </c>
    </row>
    <row r="803" spans="1:18" ht="14.4" customHeight="1" x14ac:dyDescent="0.3">
      <c r="A803" s="7" t="s">
        <v>823</v>
      </c>
      <c r="B803" s="7" t="str">
        <f>VLOOKUP($A803,[1]!Customer_Names[#Data],3,0)</f>
        <v xml:space="preserve">  Ilana</v>
      </c>
      <c r="C803" s="7">
        <v>30.43</v>
      </c>
      <c r="D803" s="7" t="str" cm="1">
        <f t="array" ref="D803">_xlfn.IFS(Healthcare!$C803&lt;18.5,"under weight",Healthcare!$C803&lt;=24.9,"Normal Weight",Healthcare!$C803&gt;=25,"overweight",Healthcare!$C803&gt;=30,"obese")</f>
        <v>overweight</v>
      </c>
      <c r="E803" s="7">
        <v>9.39</v>
      </c>
      <c r="F803" s="7" t="str" cm="1">
        <f t="array" ref="F803">_xlfn.IFS(Healthcare!$E803&lt;5.7,"normal",Healthcare!$E803&lt;=6.4,"prediabetes",Healthcare!$E803&gt;=6.5,"diabetes")</f>
        <v>diabetes</v>
      </c>
      <c r="G803" s="7" t="s">
        <v>19</v>
      </c>
      <c r="H803" s="7" t="s">
        <v>19</v>
      </c>
      <c r="I803" s="7" t="s">
        <v>19</v>
      </c>
      <c r="J803" s="7">
        <v>0</v>
      </c>
      <c r="K803" s="7" t="s">
        <v>19</v>
      </c>
      <c r="L803" s="7" t="str">
        <f>VLOOKUP(Healthcare!$A803,hospital_details,2,0)</f>
        <v>4-Nov-1965</v>
      </c>
      <c r="M803" s="7">
        <f t="shared" ref="M803:M866" ca="1" si="4805">VLOOKUP(A803,hospital_details,3,0)</f>
        <v>60</v>
      </c>
      <c r="N803" s="7">
        <f t="shared" ref="N803:N866" si="4806">VLOOKUP($A803,hospital_details,4,0)</f>
        <v>0</v>
      </c>
      <c r="O803" s="8">
        <f t="shared" ref="O803:O866" si="4807">VLOOKUP($A803,hospital_details,5,0)</f>
        <v>13023.93</v>
      </c>
      <c r="P803" s="7" t="str">
        <f t="shared" ref="P803:P866" si="4808">VLOOKUP($A803,hospital_details,6,0)</f>
        <v>tier - 3</v>
      </c>
      <c r="Q803" s="7" t="str">
        <f t="shared" ref="Q803:Q866" si="4809">VLOOKUP($A803,hospital_details,7,0)</f>
        <v>tier - 2</v>
      </c>
      <c r="R803" s="7" t="str">
        <f t="shared" ref="R803:R866" si="4810">VLOOKUP($A803,hospital_details,8,0)</f>
        <v>R1025</v>
      </c>
    </row>
    <row r="804" spans="1:18" ht="14.4" customHeight="1" x14ac:dyDescent="0.3">
      <c r="A804" s="5" t="s">
        <v>824</v>
      </c>
      <c r="B804" s="5" t="str">
        <f>VLOOKUP($A804,[1]!Customer_Names[#Data],3,0)</f>
        <v xml:space="preserve">  Katherine</v>
      </c>
      <c r="C804" s="5">
        <v>32.395000000000003</v>
      </c>
      <c r="D804" s="5" t="str" cm="1">
        <f t="array" ref="D804">_xlfn.IFS(Healthcare!$C804&lt;18.5,"under weight",Healthcare!$C804&lt;=24.9,"Normal Weight",Healthcare!$C804&gt;=25,"overweight",Healthcare!$C804&gt;=30,"obese")</f>
        <v>overweight</v>
      </c>
      <c r="E804" s="5">
        <v>4.2699999999999996</v>
      </c>
      <c r="F804" s="5" t="str" cm="1">
        <f t="array" ref="F804">_xlfn.IFS(Healthcare!$E804&lt;5.7,"normal",Healthcare!$E804&lt;=6.4,"prediabetes",Healthcare!$E804&gt;=6.5,"diabetes")</f>
        <v>normal</v>
      </c>
      <c r="G804" s="5" t="s">
        <v>20</v>
      </c>
      <c r="H804" s="5" t="s">
        <v>19</v>
      </c>
      <c r="I804" s="5" t="s">
        <v>19</v>
      </c>
      <c r="J804" s="5">
        <v>1</v>
      </c>
      <c r="K804" s="5" t="s">
        <v>19</v>
      </c>
      <c r="L804" s="5" t="str">
        <f>VLOOKUP(Healthcare!$A804,hospital_details,2,0)</f>
        <v>23-Sep-1964</v>
      </c>
      <c r="M804" s="5">
        <f t="shared" ref="M804:M867" ca="1" si="4811">VLOOKUP(A804,hospital_details,3,0)</f>
        <v>62</v>
      </c>
      <c r="N804" s="5">
        <f t="shared" ref="N804:N867" si="4812">VLOOKUP($A804,hospital_details,4,0)</f>
        <v>1</v>
      </c>
      <c r="O804" s="6">
        <f t="shared" ref="O804:O867" si="4813">VLOOKUP($A804,hospital_details,5,0)</f>
        <v>13019.16</v>
      </c>
      <c r="P804" s="5" t="str">
        <f t="shared" ref="P804:P867" si="4814">VLOOKUP($A804,hospital_details,6,0)</f>
        <v>tier - 3</v>
      </c>
      <c r="Q804" s="5" t="str">
        <f t="shared" ref="Q804:Q867" si="4815">VLOOKUP($A804,hospital_details,7,0)</f>
        <v>tier - 1</v>
      </c>
      <c r="R804" s="5" t="str">
        <f t="shared" ref="R804:R867" si="4816">VLOOKUP($A804,hospital_details,8,0)</f>
        <v>R1024</v>
      </c>
    </row>
    <row r="805" spans="1:18" ht="14.4" customHeight="1" x14ac:dyDescent="0.3">
      <c r="A805" s="7" t="s">
        <v>825</v>
      </c>
      <c r="B805" s="7" t="str">
        <f>VLOOKUP($A805,[1]!Customer_Names[#Data],3,0)</f>
        <v xml:space="preserve">  Katherine</v>
      </c>
      <c r="C805" s="7">
        <v>24.035</v>
      </c>
      <c r="D805" s="7" t="str" cm="1">
        <f t="array" ref="D805">_xlfn.IFS(Healthcare!$C805&lt;18.5,"under weight",Healthcare!$C805&lt;=24.9,"Normal Weight",Healthcare!$C805&gt;=25,"overweight",Healthcare!$C805&gt;=30,"obese")</f>
        <v>Normal Weight</v>
      </c>
      <c r="E805" s="7">
        <v>11.71</v>
      </c>
      <c r="F805" s="7" t="str" cm="1">
        <f t="array" ref="F805">_xlfn.IFS(Healthcare!$E805&lt;5.7,"normal",Healthcare!$E805&lt;=6.4,"prediabetes",Healthcare!$E805&gt;=6.5,"diabetes")</f>
        <v>diabetes</v>
      </c>
      <c r="G805" s="7" t="s">
        <v>19</v>
      </c>
      <c r="H805" s="7" t="s">
        <v>19</v>
      </c>
      <c r="I805" s="7" t="s">
        <v>19</v>
      </c>
      <c r="J805" s="7">
        <v>0</v>
      </c>
      <c r="K805" s="7" t="s">
        <v>19</v>
      </c>
      <c r="L805" s="7" t="str">
        <f>VLOOKUP(Healthcare!$A805,hospital_details,2,0)</f>
        <v>20-Jul-1962</v>
      </c>
      <c r="M805" s="7">
        <f t="shared" ref="M805:M868" ca="1" si="4817">VLOOKUP(A805,hospital_details,3,0)</f>
        <v>64</v>
      </c>
      <c r="N805" s="7">
        <f t="shared" ref="N805:N868" si="4818">VLOOKUP($A805,hospital_details,4,0)</f>
        <v>0</v>
      </c>
      <c r="O805" s="8">
        <f t="shared" ref="O805:O868" si="4819">VLOOKUP($A805,hospital_details,5,0)</f>
        <v>13012.21</v>
      </c>
      <c r="P805" s="7" t="str">
        <f t="shared" ref="P805:P868" si="4820">VLOOKUP($A805,hospital_details,6,0)</f>
        <v>tier - 3</v>
      </c>
      <c r="Q805" s="7" t="str">
        <f t="shared" ref="Q805:Q868" si="4821">VLOOKUP($A805,hospital_details,7,0)</f>
        <v>tier - 1</v>
      </c>
      <c r="R805" s="7" t="str">
        <f t="shared" ref="R805:R868" si="4822">VLOOKUP($A805,hospital_details,8,0)</f>
        <v>R1012</v>
      </c>
    </row>
    <row r="806" spans="1:18" ht="14.4" customHeight="1" x14ac:dyDescent="0.3">
      <c r="A806" s="5" t="s">
        <v>826</v>
      </c>
      <c r="B806" s="5" t="str">
        <f>VLOOKUP($A806,[1]!Customer_Names[#Data],3,0)</f>
        <v xml:space="preserve">  Karl</v>
      </c>
      <c r="C806" s="5">
        <v>37.119999999999997</v>
      </c>
      <c r="D806" s="5" t="str" cm="1">
        <f t="array" ref="D806">_xlfn.IFS(Healthcare!$C806&lt;18.5,"under weight",Healthcare!$C806&lt;=24.9,"Normal Weight",Healthcare!$C806&gt;=25,"overweight",Healthcare!$C806&gt;=30,"obese")</f>
        <v>overweight</v>
      </c>
      <c r="E806" s="5">
        <v>5.29</v>
      </c>
      <c r="F806" s="5" t="str" cm="1">
        <f t="array" ref="F806">_xlfn.IFS(Healthcare!$E806&lt;5.7,"normal",Healthcare!$E806&lt;=6.4,"prediabetes",Healthcare!$E806&gt;=6.5,"diabetes")</f>
        <v>normal</v>
      </c>
      <c r="G806" s="5" t="s">
        <v>19</v>
      </c>
      <c r="H806" s="5" t="s">
        <v>19</v>
      </c>
      <c r="I806" s="5" t="s">
        <v>19</v>
      </c>
      <c r="J806" s="5">
        <v>2</v>
      </c>
      <c r="K806" s="5" t="s">
        <v>19</v>
      </c>
      <c r="L806" s="5" t="str">
        <f>VLOOKUP(Healthcare!$A806,hospital_details,2,0)</f>
        <v>27-Sep-1972</v>
      </c>
      <c r="M806" s="5">
        <f t="shared" ref="M806:M869" ca="1" si="4823">VLOOKUP(A806,hospital_details,3,0)</f>
        <v>54</v>
      </c>
      <c r="N806" s="5">
        <f t="shared" ref="N806:N869" si="4824">VLOOKUP($A806,hospital_details,4,0)</f>
        <v>0</v>
      </c>
      <c r="O806" s="6">
        <f t="shared" ref="O806:O869" si="4825">VLOOKUP($A806,hospital_details,5,0)</f>
        <v>13010.86</v>
      </c>
      <c r="P806" s="5" t="str">
        <f t="shared" ref="P806:P869" si="4826">VLOOKUP($A806,hospital_details,6,0)</f>
        <v>tier - 3</v>
      </c>
      <c r="Q806" s="5" t="str">
        <f t="shared" ref="Q806:Q869" si="4827">VLOOKUP($A806,hospital_details,7,0)</f>
        <v>tier - 2</v>
      </c>
      <c r="R806" s="5" t="str">
        <f t="shared" ref="R806:R869" si="4828">VLOOKUP($A806,hospital_details,8,0)</f>
        <v>R1012</v>
      </c>
    </row>
    <row r="807" spans="1:18" ht="14.4" customHeight="1" x14ac:dyDescent="0.3">
      <c r="A807" s="7" t="s">
        <v>827</v>
      </c>
      <c r="B807" s="7" t="str">
        <f>VLOOKUP($A807,[1]!Customer_Names[#Data],3,0)</f>
        <v xml:space="preserve">  Stephen</v>
      </c>
      <c r="C807" s="7">
        <v>34.840000000000003</v>
      </c>
      <c r="D807" s="7" t="str" cm="1">
        <f t="array" ref="D807">_xlfn.IFS(Healthcare!$C807&lt;18.5,"under weight",Healthcare!$C807&lt;=24.9,"Normal Weight",Healthcare!$C807&gt;=25,"overweight",Healthcare!$C807&gt;=30,"obese")</f>
        <v>overweight</v>
      </c>
      <c r="E807" s="7">
        <v>6</v>
      </c>
      <c r="F807" s="7" t="str" cm="1">
        <f t="array" ref="F807">_xlfn.IFS(Healthcare!$E807&lt;5.7,"normal",Healthcare!$E807&lt;=6.4,"prediabetes",Healthcare!$E807&gt;=6.5,"diabetes")</f>
        <v>prediabetes</v>
      </c>
      <c r="G807" s="7" t="s">
        <v>20</v>
      </c>
      <c r="H807" s="7" t="s">
        <v>19</v>
      </c>
      <c r="I807" s="7" t="s">
        <v>29</v>
      </c>
      <c r="J807" s="7">
        <v>1</v>
      </c>
      <c r="K807" s="7" t="s">
        <v>19</v>
      </c>
      <c r="L807" s="7" t="str">
        <f>VLOOKUP(Healthcare!$A807,hospital_details,2,0)</f>
        <v>13-Dec-1969</v>
      </c>
      <c r="M807" s="7">
        <f t="shared" ref="M807:M870" ca="1" si="4829">VLOOKUP(A807,hospital_details,3,0)</f>
        <v>56</v>
      </c>
      <c r="N807" s="7">
        <f t="shared" ref="N807:N870" si="4830">VLOOKUP($A807,hospital_details,4,0)</f>
        <v>0</v>
      </c>
      <c r="O807" s="8">
        <f t="shared" ref="O807:O870" si="4831">VLOOKUP($A807,hospital_details,5,0)</f>
        <v>13008.07</v>
      </c>
      <c r="P807" s="7" t="str">
        <f t="shared" ref="P807:P870" si="4832">VLOOKUP($A807,hospital_details,6,0)</f>
        <v>tier - 3</v>
      </c>
      <c r="Q807" s="7" t="str">
        <f t="shared" ref="Q807:Q870" si="4833">VLOOKUP($A807,hospital_details,7,0)</f>
        <v>tier - 3</v>
      </c>
      <c r="R807" s="7" t="str">
        <f t="shared" ref="R807:R870" si="4834">VLOOKUP($A807,hospital_details,8,0)</f>
        <v>R1012</v>
      </c>
    </row>
    <row r="808" spans="1:18" ht="14.4" customHeight="1" x14ac:dyDescent="0.3">
      <c r="A808" s="5" t="s">
        <v>828</v>
      </c>
      <c r="B808" s="5" t="str">
        <f>VLOOKUP($A808,[1]!Customer_Names[#Data],3,0)</f>
        <v xml:space="preserve">  Will</v>
      </c>
      <c r="C808" s="5">
        <v>29.53</v>
      </c>
      <c r="D808" s="5" t="str" cm="1">
        <f t="array" ref="D808">_xlfn.IFS(Healthcare!$C808&lt;18.5,"under weight",Healthcare!$C808&lt;=24.9,"Normal Weight",Healthcare!$C808&gt;=25,"overweight",Healthcare!$C808&gt;=30,"obese")</f>
        <v>overweight</v>
      </c>
      <c r="E808" s="5">
        <v>10.64</v>
      </c>
      <c r="F808" s="5" t="str" cm="1">
        <f t="array" ref="F808">_xlfn.IFS(Healthcare!$E808&lt;5.7,"normal",Healthcare!$E808&lt;=6.4,"prediabetes",Healthcare!$E808&gt;=6.5,"diabetes")</f>
        <v>diabetes</v>
      </c>
      <c r="G808" s="5" t="s">
        <v>19</v>
      </c>
      <c r="H808" s="5" t="s">
        <v>19</v>
      </c>
      <c r="I808" s="5" t="s">
        <v>19</v>
      </c>
      <c r="J808" s="5">
        <v>0</v>
      </c>
      <c r="K808" s="5" t="s">
        <v>19</v>
      </c>
      <c r="L808" s="5" t="str">
        <f>VLOOKUP(Healthcare!$A808,hospital_details,2,0)</f>
        <v>24-Jun-1962</v>
      </c>
      <c r="M808" s="5">
        <f t="shared" ref="M808:M871" ca="1" si="4835">VLOOKUP(A808,hospital_details,3,0)</f>
        <v>64</v>
      </c>
      <c r="N808" s="5">
        <f t="shared" ref="N808:N871" si="4836">VLOOKUP($A808,hospital_details,4,0)</f>
        <v>0</v>
      </c>
      <c r="O808" s="6">
        <f t="shared" ref="O808:O871" si="4837">VLOOKUP($A808,hospital_details,5,0)</f>
        <v>13004.95</v>
      </c>
      <c r="P808" s="5" t="str">
        <f t="shared" ref="P808:P871" si="4838">VLOOKUP($A808,hospital_details,6,0)</f>
        <v>tier - 3</v>
      </c>
      <c r="Q808" s="5" t="str">
        <f t="shared" ref="Q808:Q871" si="4839">VLOOKUP($A808,hospital_details,7,0)</f>
        <v>tier - 1</v>
      </c>
      <c r="R808" s="5" t="str">
        <f t="shared" ref="R808:R871" si="4840">VLOOKUP($A808,hospital_details,8,0)</f>
        <v>R1012</v>
      </c>
    </row>
    <row r="809" spans="1:18" ht="14.4" customHeight="1" x14ac:dyDescent="0.3">
      <c r="A809" s="7" t="s">
        <v>829</v>
      </c>
      <c r="B809" s="7" t="str">
        <f>VLOOKUP($A809,[1]!Customer_Names[#Data],3,0)</f>
        <v xml:space="preserve">  Bradley D</v>
      </c>
      <c r="C809" s="7">
        <v>42.51</v>
      </c>
      <c r="D809" s="7" t="str" cm="1">
        <f t="array" ref="D809">_xlfn.IFS(Healthcare!$C809&lt;18.5,"under weight",Healthcare!$C809&lt;=24.9,"Normal Weight",Healthcare!$C809&gt;=25,"overweight",Healthcare!$C809&gt;=30,"obese")</f>
        <v>overweight</v>
      </c>
      <c r="E809" s="7">
        <v>8.2100000000000009</v>
      </c>
      <c r="F809" s="7" t="str" cm="1">
        <f t="array" ref="F809">_xlfn.IFS(Healthcare!$E809&lt;5.7,"normal",Healthcare!$E809&lt;=6.4,"prediabetes",Healthcare!$E809&gt;=6.5,"diabetes")</f>
        <v>diabetes</v>
      </c>
      <c r="G809" s="7" t="s">
        <v>20</v>
      </c>
      <c r="H809" s="7" t="s">
        <v>19</v>
      </c>
      <c r="I809" s="7" t="s">
        <v>19</v>
      </c>
      <c r="J809" s="7">
        <v>0</v>
      </c>
      <c r="K809" s="7" t="s">
        <v>19</v>
      </c>
      <c r="L809" s="7" t="str">
        <f>VLOOKUP(Healthcare!$A809,hospital_details,2,0)</f>
        <v>30-Oct-1981</v>
      </c>
      <c r="M809" s="7">
        <f t="shared" ref="M809:M872" ca="1" si="4841">VLOOKUP(A809,hospital_details,3,0)</f>
        <v>44</v>
      </c>
      <c r="N809" s="7">
        <f t="shared" ref="N809:N872" si="4842">VLOOKUP($A809,hospital_details,4,0)</f>
        <v>1</v>
      </c>
      <c r="O809" s="8">
        <f t="shared" ref="O809:O872" si="4843">VLOOKUP($A809,hospital_details,5,0)</f>
        <v>13002.91</v>
      </c>
      <c r="P809" s="7" t="str">
        <f t="shared" ref="P809:P872" si="4844">VLOOKUP($A809,hospital_details,6,0)</f>
        <v>tier - 3</v>
      </c>
      <c r="Q809" s="7" t="str">
        <f t="shared" ref="Q809:Q872" si="4845">VLOOKUP($A809,hospital_details,7,0)</f>
        <v>tier - 1</v>
      </c>
      <c r="R809" s="7" t="str">
        <f t="shared" ref="R809:R872" si="4846">VLOOKUP($A809,hospital_details,8,0)</f>
        <v>R1012</v>
      </c>
    </row>
    <row r="810" spans="1:18" ht="14.4" customHeight="1" x14ac:dyDescent="0.3">
      <c r="A810" s="5" t="s">
        <v>830</v>
      </c>
      <c r="B810" s="5" t="str">
        <f>VLOOKUP($A810,[1]!Customer_Names[#Data],3,0)</f>
        <v xml:space="preserve">  Amy M</v>
      </c>
      <c r="C810" s="5">
        <v>38.14</v>
      </c>
      <c r="D810" s="5" t="str" cm="1">
        <f t="array" ref="D810">_xlfn.IFS(Healthcare!$C810&lt;18.5,"under weight",Healthcare!$C810&lt;=24.9,"Normal Weight",Healthcare!$C810&gt;=25,"overweight",Healthcare!$C810&gt;=30,"obese")</f>
        <v>overweight</v>
      </c>
      <c r="E810" s="5">
        <v>5.58</v>
      </c>
      <c r="F810" s="5" t="str" cm="1">
        <f t="array" ref="F810">_xlfn.IFS(Healthcare!$E810&lt;5.7,"normal",Healthcare!$E810&lt;=6.4,"prediabetes",Healthcare!$E810&gt;=6.5,"diabetes")</f>
        <v>normal</v>
      </c>
      <c r="G810" s="5" t="s">
        <v>19</v>
      </c>
      <c r="H810" s="5" t="s">
        <v>19</v>
      </c>
      <c r="I810" s="5" t="s">
        <v>29</v>
      </c>
      <c r="J810" s="5">
        <v>1</v>
      </c>
      <c r="K810" s="5" t="s">
        <v>19</v>
      </c>
      <c r="L810" s="5" t="str">
        <f>VLOOKUP(Healthcare!$A810,hospital_details,2,0)</f>
        <v>27-Nov-1979</v>
      </c>
      <c r="M810" s="5">
        <f t="shared" ref="M810:M873" ca="1" si="4847">VLOOKUP(A810,hospital_details,3,0)</f>
        <v>46</v>
      </c>
      <c r="N810" s="5">
        <f t="shared" ref="N810:N873" si="4848">VLOOKUP($A810,hospital_details,4,0)</f>
        <v>2</v>
      </c>
      <c r="O810" s="6">
        <f t="shared" ref="O810:O873" si="4849">VLOOKUP($A810,hospital_details,5,0)</f>
        <v>12994.12</v>
      </c>
      <c r="P810" s="5" t="str">
        <f t="shared" ref="P810:P873" si="4850">VLOOKUP($A810,hospital_details,6,0)</f>
        <v>tier - 3</v>
      </c>
      <c r="Q810" s="5" t="str">
        <f t="shared" ref="Q810:Q873" si="4851">VLOOKUP($A810,hospital_details,7,0)</f>
        <v>tier - 2</v>
      </c>
      <c r="R810" s="5" t="str">
        <f t="shared" ref="R810:R873" si="4852">VLOOKUP($A810,hospital_details,8,0)</f>
        <v>R1026</v>
      </c>
    </row>
    <row r="811" spans="1:18" ht="14.4" customHeight="1" x14ac:dyDescent="0.3">
      <c r="A811" s="7" t="s">
        <v>831</v>
      </c>
      <c r="B811" s="7" t="str">
        <f>VLOOKUP($A811,[1]!Customer_Names[#Data],3,0)</f>
        <v xml:space="preserve">  Matthew W</v>
      </c>
      <c r="C811" s="7">
        <v>39.93</v>
      </c>
      <c r="D811" s="7" t="str" cm="1">
        <f t="array" ref="D811">_xlfn.IFS(Healthcare!$C811&lt;18.5,"under weight",Healthcare!$C811&lt;=24.9,"Normal Weight",Healthcare!$C811&gt;=25,"overweight",Healthcare!$C811&gt;=30,"obese")</f>
        <v>overweight</v>
      </c>
      <c r="E811" s="7">
        <v>8.75</v>
      </c>
      <c r="F811" s="7" t="str" cm="1">
        <f t="array" ref="F811">_xlfn.IFS(Healthcare!$E811&lt;5.7,"normal",Healthcare!$E811&lt;=6.4,"prediabetes",Healthcare!$E811&gt;=6.5,"diabetes")</f>
        <v>diabetes</v>
      </c>
      <c r="G811" s="7" t="s">
        <v>19</v>
      </c>
      <c r="H811" s="7" t="s">
        <v>19</v>
      </c>
      <c r="I811" s="7" t="s">
        <v>19</v>
      </c>
      <c r="J811" s="7">
        <v>0</v>
      </c>
      <c r="K811" s="7" t="s">
        <v>19</v>
      </c>
      <c r="L811" s="7" t="str">
        <f>VLOOKUP(Healthcare!$A811,hospital_details,2,0)</f>
        <v>28-Nov-1960</v>
      </c>
      <c r="M811" s="7">
        <f t="shared" ref="M811:M874" ca="1" si="4853">VLOOKUP(A811,hospital_details,3,0)</f>
        <v>65</v>
      </c>
      <c r="N811" s="7">
        <f t="shared" ref="N811:N874" si="4854">VLOOKUP($A811,hospital_details,4,0)</f>
        <v>0</v>
      </c>
      <c r="O811" s="8">
        <f t="shared" ref="O811:O874" si="4855">VLOOKUP($A811,hospital_details,5,0)</f>
        <v>12982.87</v>
      </c>
      <c r="P811" s="7" t="str">
        <f t="shared" ref="P811:P874" si="4856">VLOOKUP($A811,hospital_details,6,0)</f>
        <v>tier - 3</v>
      </c>
      <c r="Q811" s="7" t="str">
        <f t="shared" ref="Q811:Q874" si="4857">VLOOKUP($A811,hospital_details,7,0)</f>
        <v>tier - 1</v>
      </c>
      <c r="R811" s="7" t="str">
        <f t="shared" ref="R811:R874" si="4858">VLOOKUP($A811,hospital_details,8,0)</f>
        <v>R1013</v>
      </c>
    </row>
    <row r="812" spans="1:18" ht="14.4" customHeight="1" x14ac:dyDescent="0.3">
      <c r="A812" s="5" t="s">
        <v>832</v>
      </c>
      <c r="B812" s="5" t="str">
        <f>VLOOKUP($A812,[1]!Customer_Names[#Data],3,0)</f>
        <v xml:space="preserve">  Doug</v>
      </c>
      <c r="C812" s="5">
        <v>38.83</v>
      </c>
      <c r="D812" s="5" t="str" cm="1">
        <f t="array" ref="D812">_xlfn.IFS(Healthcare!$C812&lt;18.5,"under weight",Healthcare!$C812&lt;=24.9,"Normal Weight",Healthcare!$C812&gt;=25,"overweight",Healthcare!$C812&gt;=30,"obese")</f>
        <v>overweight</v>
      </c>
      <c r="E812" s="5">
        <v>11.86</v>
      </c>
      <c r="F812" s="5" t="str" cm="1">
        <f t="array" ref="F812">_xlfn.IFS(Healthcare!$E812&lt;5.7,"normal",Healthcare!$E812&lt;=6.4,"prediabetes",Healthcare!$E812&gt;=6.5,"diabetes")</f>
        <v>diabetes</v>
      </c>
      <c r="G812" s="5" t="s">
        <v>19</v>
      </c>
      <c r="H812" s="5" t="s">
        <v>19</v>
      </c>
      <c r="I812" s="5" t="s">
        <v>19</v>
      </c>
      <c r="J812" s="5">
        <v>0</v>
      </c>
      <c r="K812" s="5" t="s">
        <v>19</v>
      </c>
      <c r="L812" s="5" t="str">
        <f>VLOOKUP(Healthcare!$A812,hospital_details,2,0)</f>
        <v>23-Sep-1960</v>
      </c>
      <c r="M812" s="5">
        <f t="shared" ref="M812:M875" ca="1" si="4859">VLOOKUP(A812,hospital_details,3,0)</f>
        <v>66</v>
      </c>
      <c r="N812" s="5">
        <f t="shared" ref="N812:N875" si="4860">VLOOKUP($A812,hospital_details,4,0)</f>
        <v>0</v>
      </c>
      <c r="O812" s="6">
        <f t="shared" ref="O812:O875" si="4861">VLOOKUP($A812,hospital_details,5,0)</f>
        <v>12981.35</v>
      </c>
      <c r="P812" s="5" t="str">
        <f t="shared" ref="P812:P875" si="4862">VLOOKUP($A812,hospital_details,6,0)</f>
        <v>tier - 3</v>
      </c>
      <c r="Q812" s="5" t="str">
        <f t="shared" ref="Q812:Q875" si="4863">VLOOKUP($A812,hospital_details,7,0)</f>
        <v>tier - 3</v>
      </c>
      <c r="R812" s="5" t="str">
        <f t="shared" ref="R812:R875" si="4864">VLOOKUP($A812,hospital_details,8,0)</f>
        <v>R1013</v>
      </c>
    </row>
    <row r="813" spans="1:18" ht="14.4" customHeight="1" x14ac:dyDescent="0.3">
      <c r="A813" s="7" t="s">
        <v>833</v>
      </c>
      <c r="B813" s="7" t="str">
        <f>VLOOKUP($A813,[1]!Customer_Names[#Data],3,0)</f>
        <v xml:space="preserve">  Tom</v>
      </c>
      <c r="C813" s="7">
        <v>37.4</v>
      </c>
      <c r="D813" s="7" t="str" cm="1">
        <f t="array" ref="D813">_xlfn.IFS(Healthcare!$C813&lt;18.5,"under weight",Healthcare!$C813&lt;=24.9,"Normal Weight",Healthcare!$C813&gt;=25,"overweight",Healthcare!$C813&gt;=30,"obese")</f>
        <v>overweight</v>
      </c>
      <c r="E813" s="7">
        <v>11.46</v>
      </c>
      <c r="F813" s="7" t="str" cm="1">
        <f t="array" ref="F813">_xlfn.IFS(Healthcare!$E813&lt;5.7,"normal",Healthcare!$E813&lt;=6.4,"prediabetes",Healthcare!$E813&gt;=6.5,"diabetes")</f>
        <v>diabetes</v>
      </c>
      <c r="G813" s="7" t="s">
        <v>19</v>
      </c>
      <c r="H813" s="7" t="s">
        <v>19</v>
      </c>
      <c r="I813" s="7" t="s">
        <v>19</v>
      </c>
      <c r="J813" s="7">
        <v>0</v>
      </c>
      <c r="K813" s="7" t="s">
        <v>19</v>
      </c>
      <c r="L813" s="7" t="str">
        <f>VLOOKUP(Healthcare!$A813,hospital_details,2,0)</f>
        <v>22-Jun-1960</v>
      </c>
      <c r="M813" s="7">
        <f t="shared" ref="M813:M876" ca="1" si="4865">VLOOKUP(A813,hospital_details,3,0)</f>
        <v>66</v>
      </c>
      <c r="N813" s="7">
        <f t="shared" ref="N813:N876" si="4866">VLOOKUP($A813,hospital_details,4,0)</f>
        <v>0</v>
      </c>
      <c r="O813" s="8">
        <f t="shared" ref="O813:O876" si="4867">VLOOKUP($A813,hospital_details,5,0)</f>
        <v>12979.36</v>
      </c>
      <c r="P813" s="7" t="str">
        <f t="shared" ref="P813:P876" si="4868">VLOOKUP($A813,hospital_details,6,0)</f>
        <v>tier - 3</v>
      </c>
      <c r="Q813" s="7" t="str">
        <f t="shared" ref="Q813:Q876" si="4869">VLOOKUP($A813,hospital_details,7,0)</f>
        <v>tier - 1</v>
      </c>
      <c r="R813" s="7" t="str">
        <f t="shared" ref="R813:R876" si="4870">VLOOKUP($A813,hospital_details,8,0)</f>
        <v>R1011</v>
      </c>
    </row>
    <row r="814" spans="1:18" ht="14.4" customHeight="1" x14ac:dyDescent="0.3">
      <c r="A814" s="5" t="s">
        <v>834</v>
      </c>
      <c r="B814" s="5" t="str">
        <f>VLOOKUP($A814,[1]!Customer_Names[#Data],3,0)</f>
        <v xml:space="preserve">  Jonathan</v>
      </c>
      <c r="C814" s="5">
        <v>21.4</v>
      </c>
      <c r="D814" s="5" t="str" cm="1">
        <f t="array" ref="D814">_xlfn.IFS(Healthcare!$C814&lt;18.5,"under weight",Healthcare!$C814&lt;=24.9,"Normal Weight",Healthcare!$C814&gt;=25,"overweight",Healthcare!$C814&gt;=30,"obese")</f>
        <v>Normal Weight</v>
      </c>
      <c r="E814" s="5">
        <v>9.0299999999999994</v>
      </c>
      <c r="F814" s="5" t="str" cm="1">
        <f t="array" ref="F814">_xlfn.IFS(Healthcare!$E814&lt;5.7,"normal",Healthcare!$E814&lt;=6.4,"prediabetes",Healthcare!$E814&gt;=6.5,"diabetes")</f>
        <v>diabetes</v>
      </c>
      <c r="G814" s="5" t="s">
        <v>19</v>
      </c>
      <c r="H814" s="5" t="s">
        <v>19</v>
      </c>
      <c r="I814" s="5" t="s">
        <v>19</v>
      </c>
      <c r="J814" s="5">
        <v>0</v>
      </c>
      <c r="K814" s="5" t="s">
        <v>19</v>
      </c>
      <c r="L814" s="5" t="str">
        <f>VLOOKUP(Healthcare!$A814,hospital_details,2,0)</f>
        <v>4-Nov-1960</v>
      </c>
      <c r="M814" s="5">
        <f t="shared" ref="M814:M877" ca="1" si="4871">VLOOKUP(A814,hospital_details,3,0)</f>
        <v>65</v>
      </c>
      <c r="N814" s="5">
        <f t="shared" ref="N814:N877" si="4872">VLOOKUP($A814,hospital_details,4,0)</f>
        <v>0</v>
      </c>
      <c r="O814" s="6">
        <f t="shared" ref="O814:O877" si="4873">VLOOKUP($A814,hospital_details,5,0)</f>
        <v>12957.12</v>
      </c>
      <c r="P814" s="5" t="str">
        <f t="shared" ref="P814:P877" si="4874">VLOOKUP($A814,hospital_details,6,0)</f>
        <v>tier - 3</v>
      </c>
      <c r="Q814" s="5" t="str">
        <f t="shared" ref="Q814:Q877" si="4875">VLOOKUP($A814,hospital_details,7,0)</f>
        <v>tier - 1</v>
      </c>
      <c r="R814" s="5" t="str">
        <f t="shared" ref="R814:R877" si="4876">VLOOKUP($A814,hospital_details,8,0)</f>
        <v>R1011</v>
      </c>
    </row>
    <row r="815" spans="1:18" ht="14.4" customHeight="1" x14ac:dyDescent="0.3">
      <c r="A815" s="7" t="s">
        <v>835</v>
      </c>
      <c r="B815" s="7" t="str">
        <f>VLOOKUP($A815,[1]!Customer_Names[#Data],3,0)</f>
        <v xml:space="preserve">  Wayne A</v>
      </c>
      <c r="C815" s="7">
        <v>38.380000000000003</v>
      </c>
      <c r="D815" s="7" t="str" cm="1">
        <f t="array" ref="D815">_xlfn.IFS(Healthcare!$C815&lt;18.5,"under weight",Healthcare!$C815&lt;=24.9,"Normal Weight",Healthcare!$C815&gt;=25,"overweight",Healthcare!$C815&gt;=30,"obese")</f>
        <v>overweight</v>
      </c>
      <c r="E815" s="7">
        <v>8.26</v>
      </c>
      <c r="F815" s="7" t="str" cm="1">
        <f t="array" ref="F815">_xlfn.IFS(Healthcare!$E815&lt;5.7,"normal",Healthcare!$E815&lt;=6.4,"prediabetes",Healthcare!$E815&gt;=6.5,"diabetes")</f>
        <v>diabetes</v>
      </c>
      <c r="G815" s="7" t="s">
        <v>20</v>
      </c>
      <c r="H815" s="7" t="s">
        <v>19</v>
      </c>
      <c r="I815" s="7" t="s">
        <v>19</v>
      </c>
      <c r="J815" s="7">
        <v>2</v>
      </c>
      <c r="K815" s="7" t="s">
        <v>19</v>
      </c>
      <c r="L815" s="7" t="str">
        <f>VLOOKUP(Healthcare!$A815,hospital_details,2,0)</f>
        <v>20-Aug-1961</v>
      </c>
      <c r="M815" s="7">
        <f t="shared" ref="M815:M878" ca="1" si="4877">VLOOKUP(A815,hospital_details,3,0)</f>
        <v>65</v>
      </c>
      <c r="N815" s="7">
        <f t="shared" ref="N815:N878" si="4878">VLOOKUP($A815,hospital_details,4,0)</f>
        <v>0</v>
      </c>
      <c r="O815" s="8">
        <f t="shared" ref="O815:O878" si="4879">VLOOKUP($A815,hospital_details,5,0)</f>
        <v>12950.07</v>
      </c>
      <c r="P815" s="7" t="str">
        <f t="shared" ref="P815:P878" si="4880">VLOOKUP($A815,hospital_details,6,0)</f>
        <v>tier - 3</v>
      </c>
      <c r="Q815" s="7" t="str">
        <f t="shared" ref="Q815:Q878" si="4881">VLOOKUP($A815,hospital_details,7,0)</f>
        <v>tier - 1</v>
      </c>
      <c r="R815" s="7" t="str">
        <f t="shared" ref="R815:R878" si="4882">VLOOKUP($A815,hospital_details,8,0)</f>
        <v>R1012</v>
      </c>
    </row>
    <row r="816" spans="1:18" ht="14.4" customHeight="1" x14ac:dyDescent="0.3">
      <c r="A816" s="5" t="s">
        <v>836</v>
      </c>
      <c r="B816" s="5" t="str">
        <f>VLOOKUP($A816,[1]!Customer_Names[#Data],3,0)</f>
        <v xml:space="preserve">  Nobuyori</v>
      </c>
      <c r="C816" s="5">
        <v>33.659999999999997</v>
      </c>
      <c r="D816" s="5" t="str" cm="1">
        <f t="array" ref="D816">_xlfn.IFS(Healthcare!$C816&lt;18.5,"under weight",Healthcare!$C816&lt;=24.9,"Normal Weight",Healthcare!$C816&gt;=25,"overweight",Healthcare!$C816&gt;=30,"obese")</f>
        <v>overweight</v>
      </c>
      <c r="E816" s="5">
        <v>5.42</v>
      </c>
      <c r="F816" s="5" t="str" cm="1">
        <f t="array" ref="F816">_xlfn.IFS(Healthcare!$E816&lt;5.7,"normal",Healthcare!$E816&lt;=6.4,"prediabetes",Healthcare!$E816&gt;=6.5,"diabetes")</f>
        <v>normal</v>
      </c>
      <c r="G816" s="5" t="s">
        <v>20</v>
      </c>
      <c r="H816" s="5" t="s">
        <v>19</v>
      </c>
      <c r="I816" s="5" t="s">
        <v>19</v>
      </c>
      <c r="J816" s="5">
        <v>2</v>
      </c>
      <c r="K816" s="5" t="s">
        <v>19</v>
      </c>
      <c r="L816" s="5" t="str">
        <f>VLOOKUP(Healthcare!$A816,hospital_details,2,0)</f>
        <v>22-Dec-1966</v>
      </c>
      <c r="M816" s="5">
        <f t="shared" ref="M816:M879" ca="1" si="4883">VLOOKUP(A816,hospital_details,3,0)</f>
        <v>59</v>
      </c>
      <c r="N816" s="5">
        <f t="shared" ref="N816:N879" si="4884">VLOOKUP($A816,hospital_details,4,0)</f>
        <v>4</v>
      </c>
      <c r="O816" s="6">
        <f t="shared" ref="O816:O879" si="4885">VLOOKUP($A816,hospital_details,5,0)</f>
        <v>12949.16</v>
      </c>
      <c r="P816" s="5" t="str">
        <f t="shared" ref="P816:P879" si="4886">VLOOKUP($A816,hospital_details,6,0)</f>
        <v>tier - 3</v>
      </c>
      <c r="Q816" s="5" t="str">
        <f t="shared" ref="Q816:Q879" si="4887">VLOOKUP($A816,hospital_details,7,0)</f>
        <v>tier - 3</v>
      </c>
      <c r="R816" s="5" t="str">
        <f t="shared" ref="R816:R879" si="4888">VLOOKUP($A816,hospital_details,8,0)</f>
        <v>R1013</v>
      </c>
    </row>
    <row r="817" spans="1:18" ht="14.4" customHeight="1" x14ac:dyDescent="0.3">
      <c r="A817" s="7" t="s">
        <v>837</v>
      </c>
      <c r="B817" s="7" t="str">
        <f>VLOOKUP($A817,[1]!Customer_Names[#Data],3,0)</f>
        <v xml:space="preserve">  Rich</v>
      </c>
      <c r="C817" s="7">
        <v>31.79</v>
      </c>
      <c r="D817" s="7" t="str" cm="1">
        <f t="array" ref="D817">_xlfn.IFS(Healthcare!$C817&lt;18.5,"under weight",Healthcare!$C817&lt;=24.9,"Normal Weight",Healthcare!$C817&gt;=25,"overweight",Healthcare!$C817&gt;=30,"obese")</f>
        <v>overweight</v>
      </c>
      <c r="E817" s="7">
        <v>11.33</v>
      </c>
      <c r="F817" s="7" t="str" cm="1">
        <f t="array" ref="F817">_xlfn.IFS(Healthcare!$E817&lt;5.7,"normal",Healthcare!$E817&lt;=6.4,"prediabetes",Healthcare!$E817&gt;=6.5,"diabetes")</f>
        <v>diabetes</v>
      </c>
      <c r="G817" s="7" t="s">
        <v>20</v>
      </c>
      <c r="H817" s="7" t="s">
        <v>19</v>
      </c>
      <c r="I817" s="7" t="s">
        <v>29</v>
      </c>
      <c r="J817" s="7">
        <v>1</v>
      </c>
      <c r="K817" s="7" t="s">
        <v>19</v>
      </c>
      <c r="L817" s="7" t="str">
        <f>VLOOKUP(Healthcare!$A817,hospital_details,2,0)</f>
        <v>14-Aug-1963</v>
      </c>
      <c r="M817" s="7">
        <f t="shared" ref="M817:M880" ca="1" si="4889">VLOOKUP(A817,hospital_details,3,0)</f>
        <v>63</v>
      </c>
      <c r="N817" s="7">
        <f t="shared" ref="N817:N880" si="4890">VLOOKUP($A817,hospital_details,4,0)</f>
        <v>2</v>
      </c>
      <c r="O817" s="8">
        <f t="shared" ref="O817:O880" si="4891">VLOOKUP($A817,hospital_details,5,0)</f>
        <v>12928.79</v>
      </c>
      <c r="P817" s="7" t="str">
        <f t="shared" ref="P817:P880" si="4892">VLOOKUP($A817,hospital_details,6,0)</f>
        <v>tier - 3</v>
      </c>
      <c r="Q817" s="7" t="str">
        <f t="shared" ref="Q817:Q880" si="4893">VLOOKUP($A817,hospital_details,7,0)</f>
        <v>tier - 2</v>
      </c>
      <c r="R817" s="7" t="str">
        <f t="shared" ref="R817:R880" si="4894">VLOOKUP($A817,hospital_details,8,0)</f>
        <v>R1013</v>
      </c>
    </row>
    <row r="818" spans="1:18" ht="14.4" customHeight="1" x14ac:dyDescent="0.3">
      <c r="A818" s="5" t="s">
        <v>838</v>
      </c>
      <c r="B818" s="5" t="str">
        <f>VLOOKUP($A818,[1]!Customer_Names[#Data],3,0)</f>
        <v xml:space="preserve">  Marcos S</v>
      </c>
      <c r="C818" s="5">
        <v>29.7</v>
      </c>
      <c r="D818" s="5" t="str" cm="1">
        <f t="array" ref="D818">_xlfn.IFS(Healthcare!$C818&lt;18.5,"under weight",Healthcare!$C818&lt;=24.9,"Normal Weight",Healthcare!$C818&gt;=25,"overweight",Healthcare!$C818&gt;=30,"obese")</f>
        <v>overweight</v>
      </c>
      <c r="E818" s="5">
        <v>7.69</v>
      </c>
      <c r="F818" s="5" t="str" cm="1">
        <f t="array" ref="F818">_xlfn.IFS(Healthcare!$E818&lt;5.7,"normal",Healthcare!$E818&lt;=6.4,"prediabetes",Healthcare!$E818&gt;=6.5,"diabetes")</f>
        <v>diabetes</v>
      </c>
      <c r="G818" s="5" t="s">
        <v>20</v>
      </c>
      <c r="H818" s="5" t="s">
        <v>19</v>
      </c>
      <c r="I818" s="5" t="s">
        <v>29</v>
      </c>
      <c r="J818" s="5">
        <v>1</v>
      </c>
      <c r="K818" s="5" t="s">
        <v>19</v>
      </c>
      <c r="L818" s="5" t="str">
        <f>VLOOKUP(Healthcare!$A818,hospital_details,2,0)</f>
        <v>1-Sep-1963</v>
      </c>
      <c r="M818" s="5">
        <f t="shared" ref="M818:M881" ca="1" si="4895">VLOOKUP(A818,hospital_details,3,0)</f>
        <v>63</v>
      </c>
      <c r="N818" s="5">
        <f t="shared" ref="N818:N881" si="4896">VLOOKUP($A818,hospital_details,4,0)</f>
        <v>2</v>
      </c>
      <c r="O818" s="6">
        <f t="shared" ref="O818:O881" si="4897">VLOOKUP($A818,hospital_details,5,0)</f>
        <v>12925.89</v>
      </c>
      <c r="P818" s="5" t="str">
        <f t="shared" ref="P818:P881" si="4898">VLOOKUP($A818,hospital_details,6,0)</f>
        <v>tier - 3</v>
      </c>
      <c r="Q818" s="5" t="str">
        <f t="shared" ref="Q818:Q881" si="4899">VLOOKUP($A818,hospital_details,7,0)</f>
        <v>tier - 2</v>
      </c>
      <c r="R818" s="5" t="str">
        <f t="shared" ref="R818:R881" si="4900">VLOOKUP($A818,hospital_details,8,0)</f>
        <v>R1013</v>
      </c>
    </row>
    <row r="819" spans="1:18" ht="14.4" customHeight="1" x14ac:dyDescent="0.3">
      <c r="A819" s="7" t="s">
        <v>839</v>
      </c>
      <c r="B819" s="7" t="str">
        <f>VLOOKUP($A819,[1]!Customer_Names[#Data],3,0)</f>
        <v xml:space="preserve">  Dave</v>
      </c>
      <c r="C819" s="7">
        <v>25.46</v>
      </c>
      <c r="D819" s="7" t="str" cm="1">
        <f t="array" ref="D819">_xlfn.IFS(Healthcare!$C819&lt;18.5,"under weight",Healthcare!$C819&lt;=24.9,"Normal Weight",Healthcare!$C819&gt;=25,"overweight",Healthcare!$C819&gt;=30,"obese")</f>
        <v>overweight</v>
      </c>
      <c r="E819" s="7">
        <v>8.77</v>
      </c>
      <c r="F819" s="7" t="str" cm="1">
        <f t="array" ref="F819">_xlfn.IFS(Healthcare!$E819&lt;5.7,"normal",Healthcare!$E819&lt;=6.4,"prediabetes",Healthcare!$E819&gt;=6.5,"diabetes")</f>
        <v>diabetes</v>
      </c>
      <c r="G819" s="7" t="s">
        <v>20</v>
      </c>
      <c r="H819" s="7" t="s">
        <v>19</v>
      </c>
      <c r="I819" s="7" t="s">
        <v>29</v>
      </c>
      <c r="J819" s="7">
        <v>1</v>
      </c>
      <c r="K819" s="7" t="s">
        <v>19</v>
      </c>
      <c r="L819" s="7" t="str">
        <f>VLOOKUP(Healthcare!$A819,hospital_details,2,0)</f>
        <v>16-Aug-1963</v>
      </c>
      <c r="M819" s="7">
        <f t="shared" ref="M819:M882" ca="1" si="4901">VLOOKUP(A819,hospital_details,3,0)</f>
        <v>63</v>
      </c>
      <c r="N819" s="7">
        <f t="shared" ref="N819:N882" si="4902">VLOOKUP($A819,hospital_details,4,0)</f>
        <v>1</v>
      </c>
      <c r="O819" s="8">
        <f t="shared" ref="O819:O882" si="4903">VLOOKUP($A819,hospital_details,5,0)</f>
        <v>12913.99</v>
      </c>
      <c r="P819" s="7" t="str">
        <f t="shared" ref="P819:P882" si="4904">VLOOKUP($A819,hospital_details,6,0)</f>
        <v>tier - 3</v>
      </c>
      <c r="Q819" s="7" t="str">
        <f t="shared" ref="Q819:Q882" si="4905">VLOOKUP($A819,hospital_details,7,0)</f>
        <v>tier - 2</v>
      </c>
      <c r="R819" s="7" t="str">
        <f t="shared" ref="R819:R882" si="4906">VLOOKUP($A819,hospital_details,8,0)</f>
        <v>R1016</v>
      </c>
    </row>
    <row r="820" spans="1:18" ht="14.4" customHeight="1" x14ac:dyDescent="0.3">
      <c r="A820" s="5" t="s">
        <v>840</v>
      </c>
      <c r="B820" s="5" t="str">
        <f>VLOOKUP($A820,[1]!Customer_Names[#Data],3,0)</f>
        <v xml:space="preserve">  Andy</v>
      </c>
      <c r="C820" s="5">
        <v>39.14</v>
      </c>
      <c r="D820" s="5" t="str" cm="1">
        <f t="array" ref="D820">_xlfn.IFS(Healthcare!$C820&lt;18.5,"under weight",Healthcare!$C820&lt;=24.9,"Normal Weight",Healthcare!$C820&gt;=25,"overweight",Healthcare!$C820&gt;=30,"obese")</f>
        <v>overweight</v>
      </c>
      <c r="E820" s="5">
        <v>4.91</v>
      </c>
      <c r="F820" s="5" t="str" cm="1">
        <f t="array" ref="F820">_xlfn.IFS(Healthcare!$E820&lt;5.7,"normal",Healthcare!$E820&lt;=6.4,"prediabetes",Healthcare!$E820&gt;=6.5,"diabetes")</f>
        <v>normal</v>
      </c>
      <c r="G820" s="5" t="s">
        <v>19</v>
      </c>
      <c r="H820" s="5" t="s">
        <v>20</v>
      </c>
      <c r="I820" s="5" t="s">
        <v>19</v>
      </c>
      <c r="J820" s="5">
        <v>1</v>
      </c>
      <c r="K820" s="5" t="s">
        <v>19</v>
      </c>
      <c r="L820" s="5" t="str">
        <f>VLOOKUP(Healthcare!$A820,hospital_details,2,0)</f>
        <v>9-Jul-2004</v>
      </c>
      <c r="M820" s="5">
        <f t="shared" ref="M820:M883" ca="1" si="4907">VLOOKUP(A820,hospital_details,3,0)</f>
        <v>22</v>
      </c>
      <c r="N820" s="5">
        <f t="shared" ref="N820:N883" si="4908">VLOOKUP($A820,hospital_details,4,0)</f>
        <v>0</v>
      </c>
      <c r="O820" s="6">
        <f t="shared" ref="O820:O883" si="4909">VLOOKUP($A820,hospital_details,5,0)</f>
        <v>12890.06</v>
      </c>
      <c r="P820" s="5" t="str">
        <f t="shared" ref="P820:P883" si="4910">VLOOKUP($A820,hospital_details,6,0)</f>
        <v>tier - 3</v>
      </c>
      <c r="Q820" s="5" t="str">
        <f t="shared" ref="Q820:Q883" si="4911">VLOOKUP($A820,hospital_details,7,0)</f>
        <v>tier - 1</v>
      </c>
      <c r="R820" s="5" t="str">
        <f t="shared" ref="R820:R883" si="4912">VLOOKUP($A820,hospital_details,8,0)</f>
        <v>R1019</v>
      </c>
    </row>
    <row r="821" spans="1:18" ht="14.4" customHeight="1" x14ac:dyDescent="0.3">
      <c r="A821" s="7" t="s">
        <v>841</v>
      </c>
      <c r="B821" s="7" t="str">
        <f>VLOOKUP($A821,[1]!Customer_Names[#Data],3,0)</f>
        <v xml:space="preserve">  Mary</v>
      </c>
      <c r="C821" s="7">
        <v>41.2</v>
      </c>
      <c r="D821" s="7" t="str" cm="1">
        <f t="array" ref="D821">_xlfn.IFS(Healthcare!$C821&lt;18.5,"under weight",Healthcare!$C821&lt;=24.9,"Normal Weight",Healthcare!$C821&gt;=25,"overweight",Healthcare!$C821&gt;=30,"obese")</f>
        <v>overweight</v>
      </c>
      <c r="E821" s="7">
        <v>4.95</v>
      </c>
      <c r="F821" s="7" t="str" cm="1">
        <f t="array" ref="F821">_xlfn.IFS(Healthcare!$E821&lt;5.7,"normal",Healthcare!$E821&lt;=6.4,"prediabetes",Healthcare!$E821&gt;=6.5,"diabetes")</f>
        <v>normal</v>
      </c>
      <c r="G821" s="7" t="s">
        <v>19</v>
      </c>
      <c r="H821" s="7" t="s">
        <v>19</v>
      </c>
      <c r="I821" s="7" t="s">
        <v>19</v>
      </c>
      <c r="J821" s="7">
        <v>1</v>
      </c>
      <c r="K821" s="7" t="s">
        <v>19</v>
      </c>
      <c r="L821" s="7" t="str">
        <f>VLOOKUP(Healthcare!$A821,hospital_details,2,0)</f>
        <v>6-Aug-1984</v>
      </c>
      <c r="M821" s="7">
        <f t="shared" ref="M821:M884" ca="1" si="4913">VLOOKUP(A821,hospital_details,3,0)</f>
        <v>42</v>
      </c>
      <c r="N821" s="7">
        <f t="shared" ref="N821:N884" si="4914">VLOOKUP($A821,hospital_details,4,0)</f>
        <v>3</v>
      </c>
      <c r="O821" s="8">
        <f t="shared" ref="O821:O884" si="4915">VLOOKUP($A821,hospital_details,5,0)</f>
        <v>12870.31</v>
      </c>
      <c r="P821" s="7" t="str">
        <f t="shared" ref="P821:P884" si="4916">VLOOKUP($A821,hospital_details,6,0)</f>
        <v>tier - 3</v>
      </c>
      <c r="Q821" s="7" t="str">
        <f t="shared" ref="Q821:Q884" si="4917">VLOOKUP($A821,hospital_details,7,0)</f>
        <v>tier - 3</v>
      </c>
      <c r="R821" s="7" t="str">
        <f t="shared" ref="R821:R884" si="4918">VLOOKUP($A821,hospital_details,8,0)</f>
        <v>R1012</v>
      </c>
    </row>
    <row r="822" spans="1:18" ht="14.4" customHeight="1" x14ac:dyDescent="0.3">
      <c r="A822" s="5" t="s">
        <v>842</v>
      </c>
      <c r="B822" s="5" t="str">
        <f>VLOOKUP($A822,[1]!Customer_Names[#Data],3,0)</f>
        <v xml:space="preserve">  Marcus B</v>
      </c>
      <c r="C822" s="5">
        <v>28.81</v>
      </c>
      <c r="D822" s="5" t="str" cm="1">
        <f t="array" ref="D822">_xlfn.IFS(Healthcare!$C822&lt;18.5,"under weight",Healthcare!$C822&lt;=24.9,"Normal Weight",Healthcare!$C822&gt;=25,"overweight",Healthcare!$C822&gt;=30,"obese")</f>
        <v>overweight</v>
      </c>
      <c r="E822" s="5">
        <v>10.8</v>
      </c>
      <c r="F822" s="5" t="str" cm="1">
        <f t="array" ref="F822">_xlfn.IFS(Healthcare!$E822&lt;5.7,"normal",Healthcare!$E822&lt;=6.4,"prediabetes",Healthcare!$E822&gt;=6.5,"diabetes")</f>
        <v>diabetes</v>
      </c>
      <c r="G822" s="5" t="s">
        <v>20</v>
      </c>
      <c r="H822" s="5" t="s">
        <v>19</v>
      </c>
      <c r="I822" s="5" t="s">
        <v>29</v>
      </c>
      <c r="J822" s="5">
        <v>1</v>
      </c>
      <c r="K822" s="5" t="s">
        <v>19</v>
      </c>
      <c r="L822" s="5" t="str">
        <f>VLOOKUP(Healthcare!$A822,hospital_details,2,0)</f>
        <v>27-Sep-1963</v>
      </c>
      <c r="M822" s="5">
        <f t="shared" ref="M822:M885" ca="1" si="4919">VLOOKUP(A822,hospital_details,3,0)</f>
        <v>63</v>
      </c>
      <c r="N822" s="5">
        <f t="shared" ref="N822:N885" si="4920">VLOOKUP($A822,hospital_details,4,0)</f>
        <v>0</v>
      </c>
      <c r="O822" s="6">
        <f t="shared" ref="O822:O885" si="4921">VLOOKUP($A822,hospital_details,5,0)</f>
        <v>12856.84</v>
      </c>
      <c r="P822" s="5" t="str">
        <f t="shared" ref="P822:P885" si="4922">VLOOKUP($A822,hospital_details,6,0)</f>
        <v>tier - 3</v>
      </c>
      <c r="Q822" s="5" t="str">
        <f t="shared" ref="Q822:Q885" si="4923">VLOOKUP($A822,hospital_details,7,0)</f>
        <v>tier - 3</v>
      </c>
      <c r="R822" s="5" t="str">
        <f t="shared" ref="R822:R885" si="4924">VLOOKUP($A822,hospital_details,8,0)</f>
        <v>R1021</v>
      </c>
    </row>
    <row r="823" spans="1:18" ht="14.4" customHeight="1" x14ac:dyDescent="0.3">
      <c r="A823" s="7" t="s">
        <v>843</v>
      </c>
      <c r="B823" s="7" t="str">
        <f>VLOOKUP($A823,[1]!Customer_Names[#Data],3,0)</f>
        <v xml:space="preserve">  Thomas K</v>
      </c>
      <c r="C823" s="7">
        <v>37.409999999999997</v>
      </c>
      <c r="D823" s="7" t="str" cm="1">
        <f t="array" ref="D823">_xlfn.IFS(Healthcare!$C823&lt;18.5,"under weight",Healthcare!$C823&lt;=24.9,"Normal Weight",Healthcare!$C823&gt;=25,"overweight",Healthcare!$C823&gt;=30,"obese")</f>
        <v>overweight</v>
      </c>
      <c r="E823" s="7">
        <v>7.21</v>
      </c>
      <c r="F823" s="7" t="str" cm="1">
        <f t="array" ref="F823">_xlfn.IFS(Healthcare!$E823&lt;5.7,"normal",Healthcare!$E823&lt;=6.4,"prediabetes",Healthcare!$E823&gt;=6.5,"diabetes")</f>
        <v>diabetes</v>
      </c>
      <c r="G823" s="7" t="s">
        <v>19</v>
      </c>
      <c r="H823" s="7" t="s">
        <v>19</v>
      </c>
      <c r="I823" s="7" t="s">
        <v>19</v>
      </c>
      <c r="J823" s="7">
        <v>2</v>
      </c>
      <c r="K823" s="7" t="s">
        <v>19</v>
      </c>
      <c r="L823" s="7" t="str">
        <f>VLOOKUP(Healthcare!$A823,hospital_details,2,0)</f>
        <v>22-Sep-1973</v>
      </c>
      <c r="M823" s="7">
        <f t="shared" ref="M823:M886" ca="1" si="4925">VLOOKUP(A823,hospital_details,3,0)</f>
        <v>53</v>
      </c>
      <c r="N823" s="7">
        <f t="shared" ref="N823:N886" si="4926">VLOOKUP($A823,hospital_details,4,0)</f>
        <v>0</v>
      </c>
      <c r="O823" s="8">
        <f t="shared" ref="O823:O886" si="4927">VLOOKUP($A823,hospital_details,5,0)</f>
        <v>12852.37</v>
      </c>
      <c r="P823" s="7" t="str">
        <f t="shared" ref="P823:P886" si="4928">VLOOKUP($A823,hospital_details,6,0)</f>
        <v>tier - 3</v>
      </c>
      <c r="Q823" s="7" t="str">
        <f t="shared" ref="Q823:Q886" si="4929">VLOOKUP($A823,hospital_details,7,0)</f>
        <v>tier - 1</v>
      </c>
      <c r="R823" s="7" t="str">
        <f t="shared" ref="R823:R886" si="4930">VLOOKUP($A823,hospital_details,8,0)</f>
        <v>R1012</v>
      </c>
    </row>
    <row r="824" spans="1:18" ht="14.4" customHeight="1" x14ac:dyDescent="0.3">
      <c r="A824" s="5" t="s">
        <v>844</v>
      </c>
      <c r="B824" s="5" t="str">
        <f>VLOOKUP($A824,[1]!Customer_Names[#Data],3,0)</f>
        <v xml:space="preserve">  Robert</v>
      </c>
      <c r="C824" s="5">
        <v>52.54</v>
      </c>
      <c r="D824" s="5" t="str" cm="1">
        <f t="array" ref="D824">_xlfn.IFS(Healthcare!$C824&lt;18.5,"under weight",Healthcare!$C824&lt;=24.9,"Normal Weight",Healthcare!$C824&gt;=25,"overweight",Healthcare!$C824&gt;=30,"obese")</f>
        <v>overweight</v>
      </c>
      <c r="E824" s="5">
        <v>5.12</v>
      </c>
      <c r="F824" s="5" t="str" cm="1">
        <f t="array" ref="F824">_xlfn.IFS(Healthcare!$E824&lt;5.7,"normal",Healthcare!$E824&lt;=6.4,"prediabetes",Healthcare!$E824&gt;=6.5,"diabetes")</f>
        <v>normal</v>
      </c>
      <c r="G824" s="5" t="s">
        <v>19</v>
      </c>
      <c r="H824" s="5" t="s">
        <v>19</v>
      </c>
      <c r="I824" s="5" t="s">
        <v>29</v>
      </c>
      <c r="J824" s="5">
        <v>1</v>
      </c>
      <c r="K824" s="5" t="s">
        <v>19</v>
      </c>
      <c r="L824" s="5" t="str">
        <f>VLOOKUP(Healthcare!$A824,hospital_details,2,0)</f>
        <v>27-Sep-1993</v>
      </c>
      <c r="M824" s="5">
        <f t="shared" ref="M824:M887" ca="1" si="4931">VLOOKUP(A824,hospital_details,3,0)</f>
        <v>33</v>
      </c>
      <c r="N824" s="5">
        <f t="shared" ref="N824:N887" si="4932">VLOOKUP($A824,hospital_details,4,0)</f>
        <v>0</v>
      </c>
      <c r="O824" s="6">
        <f t="shared" ref="O824:O887" si="4933">VLOOKUP($A824,hospital_details,5,0)</f>
        <v>12847.24</v>
      </c>
      <c r="P824" s="5" t="str">
        <f t="shared" ref="P824:P887" si="4934">VLOOKUP($A824,hospital_details,6,0)</f>
        <v>tier - 3</v>
      </c>
      <c r="Q824" s="5" t="str">
        <f t="shared" ref="Q824:Q887" si="4935">VLOOKUP($A824,hospital_details,7,0)</f>
        <v>tier - 2</v>
      </c>
      <c r="R824" s="5" t="str">
        <f t="shared" ref="R824:R887" si="4936">VLOOKUP($A824,hospital_details,8,0)</f>
        <v>R1012</v>
      </c>
    </row>
    <row r="825" spans="1:18" ht="14.4" customHeight="1" x14ac:dyDescent="0.3">
      <c r="A825" s="7" t="s">
        <v>845</v>
      </c>
      <c r="B825" s="7" t="str">
        <f>VLOOKUP($A825,[1]!Customer_Names[#Data],3,0)</f>
        <v xml:space="preserve">  Geoff</v>
      </c>
      <c r="C825" s="7">
        <v>17.29</v>
      </c>
      <c r="D825" s="7" t="str" cm="1">
        <f t="array" ref="D825">_xlfn.IFS(Healthcare!$C825&lt;18.5,"under weight",Healthcare!$C825&lt;=24.9,"Normal Weight",Healthcare!$C825&gt;=25,"overweight",Healthcare!$C825&gt;=30,"obese")</f>
        <v>under weight</v>
      </c>
      <c r="E825" s="7">
        <v>4.62</v>
      </c>
      <c r="F825" s="7" t="str" cm="1">
        <f t="array" ref="F825">_xlfn.IFS(Healthcare!$E825&lt;5.7,"normal",Healthcare!$E825&lt;=6.4,"prediabetes",Healthcare!$E825&gt;=6.5,"diabetes")</f>
        <v>normal</v>
      </c>
      <c r="G825" s="7" t="s">
        <v>19</v>
      </c>
      <c r="H825" s="7" t="s">
        <v>20</v>
      </c>
      <c r="I825" s="7" t="s">
        <v>19</v>
      </c>
      <c r="J825" s="7">
        <v>1</v>
      </c>
      <c r="K825" s="7" t="s">
        <v>20</v>
      </c>
      <c r="L825" s="7" t="str">
        <f>VLOOKUP(Healthcare!$A825,hospital_details,2,0)</f>
        <v>9-Nov-2004</v>
      </c>
      <c r="M825" s="7">
        <f t="shared" ref="M825:M888" ca="1" si="4937">VLOOKUP(A825,hospital_details,3,0)</f>
        <v>21</v>
      </c>
      <c r="N825" s="7">
        <f t="shared" ref="N825:N888" si="4938">VLOOKUP($A825,hospital_details,4,0)</f>
        <v>2</v>
      </c>
      <c r="O825" s="8">
        <f t="shared" ref="O825:O888" si="4939">VLOOKUP($A825,hospital_details,5,0)</f>
        <v>12829.46</v>
      </c>
      <c r="P825" s="7" t="str">
        <f t="shared" ref="P825:P888" si="4940">VLOOKUP($A825,hospital_details,6,0)</f>
        <v>tier - 3</v>
      </c>
      <c r="Q825" s="7" t="str">
        <f t="shared" ref="Q825:Q888" si="4941">VLOOKUP($A825,hospital_details,7,0)</f>
        <v>tier - 3</v>
      </c>
      <c r="R825" s="7" t="str">
        <f t="shared" ref="R825:R888" si="4942">VLOOKUP($A825,hospital_details,8,0)</f>
        <v>R1016</v>
      </c>
    </row>
    <row r="826" spans="1:18" ht="14.4" customHeight="1" x14ac:dyDescent="0.3">
      <c r="A826" s="5" t="s">
        <v>846</v>
      </c>
      <c r="B826" s="5" t="str">
        <f>VLOOKUP($A826,[1]!Customer_Names[#Data],3,0)</f>
        <v xml:space="preserve">  Chris J</v>
      </c>
      <c r="C826" s="5">
        <v>31.74</v>
      </c>
      <c r="D826" s="5" t="str" cm="1">
        <f t="array" ref="D826">_xlfn.IFS(Healthcare!$C826&lt;18.5,"under weight",Healthcare!$C826&lt;=24.9,"Normal Weight",Healthcare!$C826&gt;=25,"overweight",Healthcare!$C826&gt;=30,"obese")</f>
        <v>overweight</v>
      </c>
      <c r="E826" s="5">
        <v>7.68</v>
      </c>
      <c r="F826" s="5" t="str" cm="1">
        <f t="array" ref="F826">_xlfn.IFS(Healthcare!$E826&lt;5.7,"normal",Healthcare!$E826&lt;=6.4,"prediabetes",Healthcare!$E826&gt;=6.5,"diabetes")</f>
        <v>diabetes</v>
      </c>
      <c r="G826" s="5" t="s">
        <v>20</v>
      </c>
      <c r="H826" s="5" t="s">
        <v>19</v>
      </c>
      <c r="I826" s="5" t="s">
        <v>19</v>
      </c>
      <c r="J826" s="5">
        <v>0</v>
      </c>
      <c r="K826" s="5" t="s">
        <v>19</v>
      </c>
      <c r="L826" s="5" t="str">
        <f>VLOOKUP(Healthcare!$A826,hospital_details,2,0)</f>
        <v>25-Sep-1967</v>
      </c>
      <c r="M826" s="5">
        <f t="shared" ref="M826:M889" ca="1" si="4943">VLOOKUP(A826,hospital_details,3,0)</f>
        <v>59</v>
      </c>
      <c r="N826" s="5">
        <f t="shared" ref="N826:N889" si="4944">VLOOKUP($A826,hospital_details,4,0)</f>
        <v>0</v>
      </c>
      <c r="O826" s="6">
        <f t="shared" ref="O826:O889" si="4945">VLOOKUP($A826,hospital_details,5,0)</f>
        <v>12823.25</v>
      </c>
      <c r="P826" s="5" t="str">
        <f t="shared" ref="P826:P889" si="4946">VLOOKUP($A826,hospital_details,6,0)</f>
        <v>tier - 3</v>
      </c>
      <c r="Q826" s="5" t="str">
        <f t="shared" ref="Q826:Q889" si="4947">VLOOKUP($A826,hospital_details,7,0)</f>
        <v>tier - 3</v>
      </c>
      <c r="R826" s="5" t="str">
        <f t="shared" ref="R826:R889" si="4948">VLOOKUP($A826,hospital_details,8,0)</f>
        <v>R1021</v>
      </c>
    </row>
    <row r="827" spans="1:18" ht="14.4" customHeight="1" x14ac:dyDescent="0.3">
      <c r="A827" s="7" t="s">
        <v>847</v>
      </c>
      <c r="B827" s="7" t="str">
        <f>VLOOKUP($A827,[1]!Customer_Names[#Data],3,0)</f>
        <v xml:space="preserve">  Kate A</v>
      </c>
      <c r="C827" s="7">
        <v>26.504999999999999</v>
      </c>
      <c r="D827" s="7" t="str" cm="1">
        <f t="array" ref="D827">_xlfn.IFS(Healthcare!$C827&lt;18.5,"under weight",Healthcare!$C827&lt;=24.9,"Normal Weight",Healthcare!$C827&gt;=25,"overweight",Healthcare!$C827&gt;=30,"obese")</f>
        <v>overweight</v>
      </c>
      <c r="E827" s="7">
        <v>6.79</v>
      </c>
      <c r="F827" s="7" t="str" cm="1">
        <f t="array" ref="F827">_xlfn.IFS(Healthcare!$E827&lt;5.7,"normal",Healthcare!$E827&lt;=6.4,"prediabetes",Healthcare!$E827&gt;=6.5,"diabetes")</f>
        <v>diabetes</v>
      </c>
      <c r="G827" s="7" t="s">
        <v>20</v>
      </c>
      <c r="H827" s="7" t="s">
        <v>19</v>
      </c>
      <c r="I827" s="7" t="s">
        <v>29</v>
      </c>
      <c r="J827" s="7">
        <v>1</v>
      </c>
      <c r="K827" s="7" t="s">
        <v>19</v>
      </c>
      <c r="L827" s="7" t="str">
        <f>VLOOKUP(Healthcare!$A827,hospital_details,2,0)</f>
        <v>20-Jul-1963</v>
      </c>
      <c r="M827" s="7">
        <f t="shared" ref="M827:M890" ca="1" si="4949">VLOOKUP(A827,hospital_details,3,0)</f>
        <v>63</v>
      </c>
      <c r="N827" s="7">
        <f t="shared" ref="N827:N890" si="4950">VLOOKUP($A827,hospital_details,4,0)</f>
        <v>0</v>
      </c>
      <c r="O827" s="8">
        <f t="shared" ref="O827:O890" si="4951">VLOOKUP($A827,hospital_details,5,0)</f>
        <v>12815.44</v>
      </c>
      <c r="P827" s="7" t="str">
        <f t="shared" ref="P827:P890" si="4952">VLOOKUP($A827,hospital_details,6,0)</f>
        <v>tier - 3</v>
      </c>
      <c r="Q827" s="7" t="str">
        <f t="shared" ref="Q827:Q890" si="4953">VLOOKUP($A827,hospital_details,7,0)</f>
        <v>tier - 3</v>
      </c>
      <c r="R827" s="7" t="str">
        <f t="shared" ref="R827:R890" si="4954">VLOOKUP($A827,hospital_details,8,0)</f>
        <v>R1024</v>
      </c>
    </row>
    <row r="828" spans="1:18" ht="14.4" customHeight="1" x14ac:dyDescent="0.3">
      <c r="A828" s="5" t="s">
        <v>848</v>
      </c>
      <c r="B828" s="5" t="str">
        <f>VLOOKUP($A828,[1]!Customer_Names[#Data],3,0)</f>
        <v xml:space="preserve">  Kelli</v>
      </c>
      <c r="C828" s="5">
        <v>36.479999999999997</v>
      </c>
      <c r="D828" s="5" t="str" cm="1">
        <f t="array" ref="D828">_xlfn.IFS(Healthcare!$C828&lt;18.5,"under weight",Healthcare!$C828&lt;=24.9,"Normal Weight",Healthcare!$C828&gt;=25,"overweight",Healthcare!$C828&gt;=30,"obese")</f>
        <v>overweight</v>
      </c>
      <c r="E828" s="5">
        <v>11.09</v>
      </c>
      <c r="F828" s="5" t="str" cm="1">
        <f t="array" ref="F828">_xlfn.IFS(Healthcare!$E828&lt;5.7,"normal",Healthcare!$E828&lt;=6.4,"prediabetes",Healthcare!$E828&gt;=6.5,"diabetes")</f>
        <v>diabetes</v>
      </c>
      <c r="G828" s="5" t="s">
        <v>19</v>
      </c>
      <c r="H828" s="5" t="s">
        <v>19</v>
      </c>
      <c r="I828" s="5" t="s">
        <v>19</v>
      </c>
      <c r="J828" s="5">
        <v>0</v>
      </c>
      <c r="K828" s="5" t="s">
        <v>19</v>
      </c>
      <c r="L828" s="5" t="str">
        <f>VLOOKUP(Healthcare!$A828,hospital_details,2,0)</f>
        <v>24-Jul-1978</v>
      </c>
      <c r="M828" s="5">
        <f t="shared" ref="M828:M891" ca="1" si="4955">VLOOKUP(A828,hospital_details,3,0)</f>
        <v>48</v>
      </c>
      <c r="N828" s="5">
        <f t="shared" ref="N828:N891" si="4956">VLOOKUP($A828,hospital_details,4,0)</f>
        <v>0</v>
      </c>
      <c r="O828" s="6">
        <f t="shared" ref="O828:O891" si="4957">VLOOKUP($A828,hospital_details,5,0)</f>
        <v>12797.21</v>
      </c>
      <c r="P828" s="5" t="str">
        <f t="shared" ref="P828:P891" si="4958">VLOOKUP($A828,hospital_details,6,0)</f>
        <v>tier - 3</v>
      </c>
      <c r="Q828" s="5" t="str">
        <f t="shared" ref="Q828:Q891" si="4959">VLOOKUP($A828,hospital_details,7,0)</f>
        <v>tier - 1</v>
      </c>
      <c r="R828" s="5" t="str">
        <f t="shared" ref="R828:R891" si="4960">VLOOKUP($A828,hospital_details,8,0)</f>
        <v>R1024</v>
      </c>
    </row>
    <row r="829" spans="1:18" ht="14.4" customHeight="1" x14ac:dyDescent="0.3">
      <c r="A829" s="7" t="s">
        <v>849</v>
      </c>
      <c r="B829" s="7" t="str">
        <f>VLOOKUP($A829,[1]!Customer_Names[#Data],3,0)</f>
        <v xml:space="preserve">  Maggie M</v>
      </c>
      <c r="C829" s="7">
        <v>39.159999999999997</v>
      </c>
      <c r="D829" s="7" t="str" cm="1">
        <f t="array" ref="D829">_xlfn.IFS(Healthcare!$C829&lt;18.5,"under weight",Healthcare!$C829&lt;=24.9,"Normal Weight",Healthcare!$C829&gt;=25,"overweight",Healthcare!$C829&gt;=30,"obese")</f>
        <v>overweight</v>
      </c>
      <c r="E829" s="7">
        <v>5.24</v>
      </c>
      <c r="F829" s="7" t="str" cm="1">
        <f t="array" ref="F829">_xlfn.IFS(Healthcare!$E829&lt;5.7,"normal",Healthcare!$E829&lt;=6.4,"prediabetes",Healthcare!$E829&gt;=6.5,"diabetes")</f>
        <v>normal</v>
      </c>
      <c r="G829" s="7" t="s">
        <v>20</v>
      </c>
      <c r="H829" s="7" t="s">
        <v>19</v>
      </c>
      <c r="I829" s="7" t="s">
        <v>29</v>
      </c>
      <c r="J829" s="7">
        <v>1</v>
      </c>
      <c r="K829" s="7" t="s">
        <v>19</v>
      </c>
      <c r="L829" s="7" t="str">
        <f>VLOOKUP(Healthcare!$A829,hospital_details,2,0)</f>
        <v>29-Oct-1983</v>
      </c>
      <c r="M829" s="7">
        <f t="shared" ref="M829:M892" ca="1" si="4961">VLOOKUP(A829,hospital_details,3,0)</f>
        <v>42</v>
      </c>
      <c r="N829" s="7">
        <f t="shared" ref="N829:N892" si="4962">VLOOKUP($A829,hospital_details,4,0)</f>
        <v>3</v>
      </c>
      <c r="O829" s="8">
        <f t="shared" ref="O829:O892" si="4963">VLOOKUP($A829,hospital_details,5,0)</f>
        <v>12788.18</v>
      </c>
      <c r="P829" s="7" t="str">
        <f t="shared" ref="P829:P892" si="4964">VLOOKUP($A829,hospital_details,6,0)</f>
        <v>tier - 3</v>
      </c>
      <c r="Q829" s="7" t="str">
        <f t="shared" ref="Q829:Q892" si="4965">VLOOKUP($A829,hospital_details,7,0)</f>
        <v>tier - 1</v>
      </c>
      <c r="R829" s="7" t="str">
        <f t="shared" ref="R829:R892" si="4966">VLOOKUP($A829,hospital_details,8,0)</f>
        <v>R1026</v>
      </c>
    </row>
    <row r="830" spans="1:18" ht="14.4" customHeight="1" x14ac:dyDescent="0.3">
      <c r="A830" s="5" t="s">
        <v>850</v>
      </c>
      <c r="B830" s="5" t="str">
        <f>VLOOKUP($A830,[1]!Customer_Names[#Data],3,0)</f>
        <v xml:space="preserve">  Michelle L</v>
      </c>
      <c r="C830" s="5">
        <v>28.22</v>
      </c>
      <c r="D830" s="5" t="str" cm="1">
        <f t="array" ref="D830">_xlfn.IFS(Healthcare!$C830&lt;18.5,"under weight",Healthcare!$C830&lt;=24.9,"Normal Weight",Healthcare!$C830&gt;=25,"overweight",Healthcare!$C830&gt;=30,"obese")</f>
        <v>overweight</v>
      </c>
      <c r="E830" s="5">
        <v>7.51</v>
      </c>
      <c r="F830" s="5" t="str" cm="1">
        <f t="array" ref="F830">_xlfn.IFS(Healthcare!$E830&lt;5.7,"normal",Healthcare!$E830&lt;=6.4,"prediabetes",Healthcare!$E830&gt;=6.5,"diabetes")</f>
        <v>diabetes</v>
      </c>
      <c r="G830" s="5" t="s">
        <v>20</v>
      </c>
      <c r="H830" s="5" t="s">
        <v>19</v>
      </c>
      <c r="I830" s="5" t="s">
        <v>29</v>
      </c>
      <c r="J830" s="5">
        <v>1</v>
      </c>
      <c r="K830" s="5" t="s">
        <v>19</v>
      </c>
      <c r="L830" s="5" t="str">
        <f>VLOOKUP(Healthcare!$A830,hospital_details,2,0)</f>
        <v>5-Dec-1963</v>
      </c>
      <c r="M830" s="5">
        <f t="shared" ref="M830:M893" ca="1" si="4967">VLOOKUP(A830,hospital_details,3,0)</f>
        <v>62</v>
      </c>
      <c r="N830" s="5">
        <f t="shared" ref="N830:N893" si="4968">VLOOKUP($A830,hospital_details,4,0)</f>
        <v>0</v>
      </c>
      <c r="O830" s="6">
        <f t="shared" ref="O830:O893" si="4969">VLOOKUP($A830,hospital_details,5,0)</f>
        <v>12788.03</v>
      </c>
      <c r="P830" s="5" t="str">
        <f t="shared" ref="P830:P893" si="4970">VLOOKUP($A830,hospital_details,6,0)</f>
        <v>tier - 3</v>
      </c>
      <c r="Q830" s="5" t="str">
        <f t="shared" ref="Q830:Q893" si="4971">VLOOKUP($A830,hospital_details,7,0)</f>
        <v>tier - 3</v>
      </c>
      <c r="R830" s="5" t="str">
        <f t="shared" ref="R830:R893" si="4972">VLOOKUP($A830,hospital_details,8,0)</f>
        <v>R1025</v>
      </c>
    </row>
    <row r="831" spans="1:18" ht="14.4" customHeight="1" x14ac:dyDescent="0.3">
      <c r="A831" s="7" t="s">
        <v>851</v>
      </c>
      <c r="B831" s="7" t="str">
        <f>VLOOKUP($A831,[1]!Customer_Names[#Data],3,0)</f>
        <v xml:space="preserve">  Ashley K</v>
      </c>
      <c r="C831" s="7">
        <v>35</v>
      </c>
      <c r="D831" s="7" t="str" cm="1">
        <f t="array" ref="D831">_xlfn.IFS(Healthcare!$C831&lt;18.5,"under weight",Healthcare!$C831&lt;=24.9,"Normal Weight",Healthcare!$C831&gt;=25,"overweight",Healthcare!$C831&gt;=30,"obese")</f>
        <v>overweight</v>
      </c>
      <c r="E831" s="7">
        <v>4.13</v>
      </c>
      <c r="F831" s="7" t="str" cm="1">
        <f t="array" ref="F831">_xlfn.IFS(Healthcare!$E831&lt;5.7,"normal",Healthcare!$E831&lt;=6.4,"prediabetes",Healthcare!$E831&gt;=6.5,"diabetes")</f>
        <v>normal</v>
      </c>
      <c r="G831" s="7" t="s">
        <v>19</v>
      </c>
      <c r="H831" s="7" t="s">
        <v>19</v>
      </c>
      <c r="I831" s="7" t="s">
        <v>19</v>
      </c>
      <c r="J831" s="7">
        <v>2</v>
      </c>
      <c r="K831" s="7" t="s">
        <v>19</v>
      </c>
      <c r="L831" s="7" t="str">
        <f>VLOOKUP(Healthcare!$A831,hospital_details,2,0)</f>
        <v>7-Oct-1972</v>
      </c>
      <c r="M831" s="7">
        <f t="shared" ref="M831:M894" ca="1" si="4973">VLOOKUP(A831,hospital_details,3,0)</f>
        <v>54</v>
      </c>
      <c r="N831" s="7">
        <f t="shared" ref="N831:N894" si="4974">VLOOKUP($A831,hospital_details,4,0)</f>
        <v>0</v>
      </c>
      <c r="O831" s="8">
        <f t="shared" ref="O831:O894" si="4975">VLOOKUP($A831,hospital_details,5,0)</f>
        <v>12776.05</v>
      </c>
      <c r="P831" s="7" t="str">
        <f t="shared" ref="P831:P894" si="4976">VLOOKUP($A831,hospital_details,6,0)</f>
        <v>tier - 3</v>
      </c>
      <c r="Q831" s="7" t="str">
        <f t="shared" ref="Q831:Q894" si="4977">VLOOKUP($A831,hospital_details,7,0)</f>
        <v>tier - 3</v>
      </c>
      <c r="R831" s="7" t="str">
        <f t="shared" ref="R831:R894" si="4978">VLOOKUP($A831,hospital_details,8,0)</f>
        <v>R1026</v>
      </c>
    </row>
    <row r="832" spans="1:18" ht="14.4" customHeight="1" x14ac:dyDescent="0.3">
      <c r="A832" s="5" t="s">
        <v>852</v>
      </c>
      <c r="B832" s="5" t="str">
        <f>VLOOKUP($A832,[1]!Customer_Names[#Data],3,0)</f>
        <v xml:space="preserve">  Michael</v>
      </c>
      <c r="C832" s="5">
        <v>36.24</v>
      </c>
      <c r="D832" s="5" t="str" cm="1">
        <f t="array" ref="D832">_xlfn.IFS(Healthcare!$C832&lt;18.5,"under weight",Healthcare!$C832&lt;=24.9,"Normal Weight",Healthcare!$C832&gt;=25,"overweight",Healthcare!$C832&gt;=30,"obese")</f>
        <v>overweight</v>
      </c>
      <c r="E832" s="5">
        <v>8.3800000000000008</v>
      </c>
      <c r="F832" s="5" t="str" cm="1">
        <f t="array" ref="F832">_xlfn.IFS(Healthcare!$E832&lt;5.7,"normal",Healthcare!$E832&lt;=6.4,"prediabetes",Healthcare!$E832&gt;=6.5,"diabetes")</f>
        <v>diabetes</v>
      </c>
      <c r="G832" s="5" t="s">
        <v>20</v>
      </c>
      <c r="H832" s="5" t="s">
        <v>19</v>
      </c>
      <c r="I832" s="5" t="s">
        <v>19</v>
      </c>
      <c r="J832" s="5">
        <v>1</v>
      </c>
      <c r="K832" s="5" t="s">
        <v>19</v>
      </c>
      <c r="L832" s="5" t="str">
        <f>VLOOKUP(Healthcare!$A832,hospital_details,2,0)</f>
        <v>25-Sep-1975</v>
      </c>
      <c r="M832" s="5">
        <f t="shared" ref="M832:M895" ca="1" si="4979">VLOOKUP(A832,hospital_details,3,0)</f>
        <v>51</v>
      </c>
      <c r="N832" s="5">
        <f t="shared" ref="N832:N895" si="4980">VLOOKUP($A832,hospital_details,4,0)</f>
        <v>1</v>
      </c>
      <c r="O832" s="6">
        <f t="shared" ref="O832:O895" si="4981">VLOOKUP($A832,hospital_details,5,0)</f>
        <v>12770.27</v>
      </c>
      <c r="P832" s="5" t="str">
        <f t="shared" ref="P832:P895" si="4982">VLOOKUP($A832,hospital_details,6,0)</f>
        <v>tier - 3</v>
      </c>
      <c r="Q832" s="5" t="str">
        <f t="shared" ref="Q832:Q895" si="4983">VLOOKUP($A832,hospital_details,7,0)</f>
        <v>tier - 3</v>
      </c>
      <c r="R832" s="5" t="str">
        <f t="shared" ref="R832:R895" si="4984">VLOOKUP($A832,hospital_details,8,0)</f>
        <v>R1021</v>
      </c>
    </row>
    <row r="833" spans="1:18" ht="14.4" customHeight="1" x14ac:dyDescent="0.3">
      <c r="A833" s="7" t="s">
        <v>853</v>
      </c>
      <c r="B833" s="7" t="str">
        <f>VLOOKUP($A833,[1]!Customer_Names[#Data],3,0)</f>
        <v xml:space="preserve">  Ryan K</v>
      </c>
      <c r="C833" s="7">
        <v>36.954999999999998</v>
      </c>
      <c r="D833" s="7" t="str" cm="1">
        <f t="array" ref="D833">_xlfn.IFS(Healthcare!$C833&lt;18.5,"under weight",Healthcare!$C833&lt;=24.9,"Normal Weight",Healthcare!$C833&gt;=25,"overweight",Healthcare!$C833&gt;=30,"obese")</f>
        <v>overweight</v>
      </c>
      <c r="E833" s="7">
        <v>8.07</v>
      </c>
      <c r="F833" s="7" t="str" cm="1">
        <f t="array" ref="F833">_xlfn.IFS(Healthcare!$E833&lt;5.7,"normal",Healthcare!$E833&lt;=6.4,"prediabetes",Healthcare!$E833&gt;=6.5,"diabetes")</f>
        <v>diabetes</v>
      </c>
      <c r="G833" s="7" t="s">
        <v>19</v>
      </c>
      <c r="H833" s="7" t="s">
        <v>19</v>
      </c>
      <c r="I833" s="7" t="s">
        <v>19</v>
      </c>
      <c r="J833" s="7">
        <v>0</v>
      </c>
      <c r="K833" s="7" t="s">
        <v>19</v>
      </c>
      <c r="L833" s="7" t="str">
        <f>VLOOKUP(Healthcare!$A833,hospital_details,2,0)</f>
        <v>1-Oct-1962</v>
      </c>
      <c r="M833" s="7">
        <f t="shared" ref="M833:M896" ca="1" si="4985">VLOOKUP(A833,hospital_details,3,0)</f>
        <v>64</v>
      </c>
      <c r="N833" s="7">
        <f t="shared" ref="N833:N896" si="4986">VLOOKUP($A833,hospital_details,4,0)</f>
        <v>0</v>
      </c>
      <c r="O833" s="8">
        <f t="shared" ref="O833:O896" si="4987">VLOOKUP($A833,hospital_details,5,0)</f>
        <v>12741.17</v>
      </c>
      <c r="P833" s="7" t="str">
        <f t="shared" ref="P833:P896" si="4988">VLOOKUP($A833,hospital_details,6,0)</f>
        <v>tier - 3</v>
      </c>
      <c r="Q833" s="7" t="str">
        <f t="shared" ref="Q833:Q896" si="4989">VLOOKUP($A833,hospital_details,7,0)</f>
        <v>tier - 1</v>
      </c>
      <c r="R833" s="7" t="str">
        <f t="shared" ref="R833:R896" si="4990">VLOOKUP($A833,hospital_details,8,0)</f>
        <v>R1017</v>
      </c>
    </row>
    <row r="834" spans="1:18" ht="14.4" customHeight="1" x14ac:dyDescent="0.3">
      <c r="A834" s="5" t="s">
        <v>854</v>
      </c>
      <c r="B834" s="5" t="str">
        <f>VLOOKUP($A834,[1]!Customer_Names[#Data],3,0)</f>
        <v xml:space="preserve">  Matthew J</v>
      </c>
      <c r="C834" s="5">
        <v>29.64</v>
      </c>
      <c r="D834" s="5" t="str" cm="1">
        <f t="array" ref="D834">_xlfn.IFS(Healthcare!$C834&lt;18.5,"under weight",Healthcare!$C834&lt;=24.9,"Normal Weight",Healthcare!$C834&gt;=25,"overweight",Healthcare!$C834&gt;=30,"obese")</f>
        <v>overweight</v>
      </c>
      <c r="E834" s="5">
        <v>8.9499999999999993</v>
      </c>
      <c r="F834" s="5" t="str" cm="1">
        <f t="array" ref="F834">_xlfn.IFS(Healthcare!$E834&lt;5.7,"normal",Healthcare!$E834&lt;=6.4,"prediabetes",Healthcare!$E834&gt;=6.5,"diabetes")</f>
        <v>diabetes</v>
      </c>
      <c r="G834" s="5" t="s">
        <v>19</v>
      </c>
      <c r="H834" s="5" t="s">
        <v>19</v>
      </c>
      <c r="I834" s="5" t="s">
        <v>19</v>
      </c>
      <c r="J834" s="5">
        <v>0</v>
      </c>
      <c r="K834" s="5" t="s">
        <v>19</v>
      </c>
      <c r="L834" s="5" t="str">
        <f>VLOOKUP(Healthcare!$A834,hospital_details,2,0)</f>
        <v>2-Sep-1962</v>
      </c>
      <c r="M834" s="5">
        <f t="shared" ref="M834:M897" ca="1" si="4991">VLOOKUP(A834,hospital_details,3,0)</f>
        <v>64</v>
      </c>
      <c r="N834" s="5">
        <f t="shared" ref="N834:N897" si="4992">VLOOKUP($A834,hospital_details,4,0)</f>
        <v>0</v>
      </c>
      <c r="O834" s="6">
        <f t="shared" ref="O834:O897" si="4993">VLOOKUP($A834,hospital_details,5,0)</f>
        <v>12731</v>
      </c>
      <c r="P834" s="5" t="str">
        <f t="shared" ref="P834:P897" si="4994">VLOOKUP($A834,hospital_details,6,0)</f>
        <v>tier - 3</v>
      </c>
      <c r="Q834" s="5" t="str">
        <f t="shared" ref="Q834:Q897" si="4995">VLOOKUP($A834,hospital_details,7,0)</f>
        <v>tier - 3</v>
      </c>
      <c r="R834" s="5" t="str">
        <f t="shared" ref="R834:R897" si="4996">VLOOKUP($A834,hospital_details,8,0)</f>
        <v>R1016</v>
      </c>
    </row>
    <row r="835" spans="1:18" ht="14.4" customHeight="1" x14ac:dyDescent="0.3">
      <c r="A835" s="7" t="s">
        <v>855</v>
      </c>
      <c r="B835" s="7" t="str">
        <f>VLOOKUP($A835,[1]!Customer_Names[#Data],3,0)</f>
        <v xml:space="preserve">  Karine</v>
      </c>
      <c r="C835" s="7">
        <v>42.74</v>
      </c>
      <c r="D835" s="7" t="str" cm="1">
        <f t="array" ref="D835">_xlfn.IFS(Healthcare!$C835&lt;18.5,"under weight",Healthcare!$C835&lt;=24.9,"Normal Weight",Healthcare!$C835&gt;=25,"overweight",Healthcare!$C835&gt;=30,"obese")</f>
        <v>overweight</v>
      </c>
      <c r="E835" s="7">
        <v>6.31</v>
      </c>
      <c r="F835" s="7" t="str" cm="1">
        <f t="array" ref="F835">_xlfn.IFS(Healthcare!$E835&lt;5.7,"normal",Healthcare!$E835&lt;=6.4,"prediabetes",Healthcare!$E835&gt;=6.5,"diabetes")</f>
        <v>prediabetes</v>
      </c>
      <c r="G835" s="7" t="s">
        <v>20</v>
      </c>
      <c r="H835" s="7" t="s">
        <v>19</v>
      </c>
      <c r="I835" s="7" t="s">
        <v>19</v>
      </c>
      <c r="J835" s="7">
        <v>1</v>
      </c>
      <c r="K835" s="7" t="s">
        <v>19</v>
      </c>
      <c r="L835" s="7" t="str">
        <f>VLOOKUP(Healthcare!$A835,hospital_details,2,0)</f>
        <v>17-Jul-1988</v>
      </c>
      <c r="M835" s="7">
        <f t="shared" ref="M835:M898" ca="1" si="4997">VLOOKUP(A835,hospital_details,3,0)</f>
        <v>38</v>
      </c>
      <c r="N835" s="7">
        <f t="shared" ref="N835:N898" si="4998">VLOOKUP($A835,hospital_details,4,0)</f>
        <v>3</v>
      </c>
      <c r="O835" s="8">
        <f t="shared" ref="O835:O898" si="4999">VLOOKUP($A835,hospital_details,5,0)</f>
        <v>12718.21</v>
      </c>
      <c r="P835" s="7" t="str">
        <f t="shared" ref="P835:P898" si="5000">VLOOKUP($A835,hospital_details,6,0)</f>
        <v>tier - 3</v>
      </c>
      <c r="Q835" s="7" t="str">
        <f t="shared" ref="Q835:Q898" si="5001">VLOOKUP($A835,hospital_details,7,0)</f>
        <v>tier - 1</v>
      </c>
      <c r="R835" s="7" t="str">
        <f t="shared" ref="R835:R898" si="5002">VLOOKUP($A835,hospital_details,8,0)</f>
        <v>R1026</v>
      </c>
    </row>
    <row r="836" spans="1:18" ht="14.4" customHeight="1" x14ac:dyDescent="0.3">
      <c r="A836" s="5" t="s">
        <v>856</v>
      </c>
      <c r="B836" s="5" t="str">
        <f>VLOOKUP($A836,[1]!Customer_Names[#Data],3,0)</f>
        <v xml:space="preserve">  Antonia G</v>
      </c>
      <c r="C836" s="5">
        <v>36.130000000000003</v>
      </c>
      <c r="D836" s="5" t="str" cm="1">
        <f t="array" ref="D836">_xlfn.IFS(Healthcare!$C836&lt;18.5,"under weight",Healthcare!$C836&lt;=24.9,"Normal Weight",Healthcare!$C836&gt;=25,"overweight",Healthcare!$C836&gt;=30,"obese")</f>
        <v>overweight</v>
      </c>
      <c r="E836" s="5">
        <v>7.19</v>
      </c>
      <c r="F836" s="5" t="str" cm="1">
        <f t="array" ref="F836">_xlfn.IFS(Healthcare!$E836&lt;5.7,"normal",Healthcare!$E836&lt;=6.4,"prediabetes",Healthcare!$E836&gt;=6.5,"diabetes")</f>
        <v>diabetes</v>
      </c>
      <c r="G836" s="5" t="s">
        <v>20</v>
      </c>
      <c r="H836" s="5" t="s">
        <v>19</v>
      </c>
      <c r="I836" s="5" t="s">
        <v>19</v>
      </c>
      <c r="J836" s="5">
        <v>2</v>
      </c>
      <c r="K836" s="5" t="s">
        <v>19</v>
      </c>
      <c r="L836" s="5" t="str">
        <f>VLOOKUP(Healthcare!$A836,hospital_details,2,0)</f>
        <v>8-Jul-1970</v>
      </c>
      <c r="M836" s="5">
        <f t="shared" ref="M836:M899" ca="1" si="5003">VLOOKUP(A836,hospital_details,3,0)</f>
        <v>56</v>
      </c>
      <c r="N836" s="5">
        <f t="shared" ref="N836:N899" si="5004">VLOOKUP($A836,hospital_details,4,0)</f>
        <v>0</v>
      </c>
      <c r="O836" s="6">
        <f t="shared" ref="O836:O899" si="5005">VLOOKUP($A836,hospital_details,5,0)</f>
        <v>12713</v>
      </c>
      <c r="P836" s="5" t="str">
        <f t="shared" ref="P836:P899" si="5006">VLOOKUP($A836,hospital_details,6,0)</f>
        <v>tier - 3</v>
      </c>
      <c r="Q836" s="5" t="str">
        <f t="shared" ref="Q836:Q899" si="5007">VLOOKUP($A836,hospital_details,7,0)</f>
        <v>tier - 1</v>
      </c>
      <c r="R836" s="5" t="str">
        <f t="shared" ref="R836:R899" si="5008">VLOOKUP($A836,hospital_details,8,0)</f>
        <v>R1011</v>
      </c>
    </row>
    <row r="837" spans="1:18" ht="14.4" customHeight="1" x14ac:dyDescent="0.3">
      <c r="A837" s="7" t="s">
        <v>857</v>
      </c>
      <c r="B837" s="7" t="str">
        <f>VLOOKUP($A837,[1]!Customer_Names[#Data],3,0)</f>
        <v xml:space="preserve">  Casondra L</v>
      </c>
      <c r="C837" s="7">
        <v>31.55</v>
      </c>
      <c r="D837" s="7" t="str" cm="1">
        <f t="array" ref="D837">_xlfn.IFS(Healthcare!$C837&lt;18.5,"under weight",Healthcare!$C837&lt;=24.9,"Normal Weight",Healthcare!$C837&gt;=25,"overweight",Healthcare!$C837&gt;=30,"obese")</f>
        <v>overweight</v>
      </c>
      <c r="E837" s="7">
        <v>6.11</v>
      </c>
      <c r="F837" s="7" t="str" cm="1">
        <f t="array" ref="F837">_xlfn.IFS(Healthcare!$E837&lt;5.7,"normal",Healthcare!$E837&lt;=6.4,"prediabetes",Healthcare!$E837&gt;=6.5,"diabetes")</f>
        <v>prediabetes</v>
      </c>
      <c r="G837" s="7" t="s">
        <v>20</v>
      </c>
      <c r="H837" s="7" t="s">
        <v>19</v>
      </c>
      <c r="I837" s="7" t="s">
        <v>19</v>
      </c>
      <c r="J837" s="7">
        <v>1</v>
      </c>
      <c r="K837" s="7" t="s">
        <v>19</v>
      </c>
      <c r="L837" s="7" t="str">
        <f>VLOOKUP(Healthcare!$A837,hospital_details,2,0)</f>
        <v>28-Nov-1964</v>
      </c>
      <c r="M837" s="7">
        <f t="shared" ref="M837:M900" ca="1" si="5009">VLOOKUP(A837,hospital_details,3,0)</f>
        <v>61</v>
      </c>
      <c r="N837" s="7">
        <f t="shared" ref="N837:N900" si="5010">VLOOKUP($A837,hospital_details,4,0)</f>
        <v>0</v>
      </c>
      <c r="O837" s="8">
        <f t="shared" ref="O837:O900" si="5011">VLOOKUP($A837,hospital_details,5,0)</f>
        <v>12700.63</v>
      </c>
      <c r="P837" s="7" t="str">
        <f t="shared" ref="P837:P900" si="5012">VLOOKUP($A837,hospital_details,6,0)</f>
        <v>tier - 3</v>
      </c>
      <c r="Q837" s="7" t="str">
        <f t="shared" ref="Q837:Q900" si="5013">VLOOKUP($A837,hospital_details,7,0)</f>
        <v>tier - 3</v>
      </c>
      <c r="R837" s="7" t="str">
        <f t="shared" ref="R837:R900" si="5014">VLOOKUP($A837,hospital_details,8,0)</f>
        <v>R1011</v>
      </c>
    </row>
    <row r="838" spans="1:18" ht="14.4" customHeight="1" x14ac:dyDescent="0.3">
      <c r="A838" s="5" t="s">
        <v>858</v>
      </c>
      <c r="B838" s="5" t="str">
        <f>VLOOKUP($A838,[1]!Customer_Names[#Data],3,0)</f>
        <v xml:space="preserve">  Wendy</v>
      </c>
      <c r="C838" s="5">
        <v>52.75</v>
      </c>
      <c r="D838" s="5" t="str" cm="1">
        <f t="array" ref="D838">_xlfn.IFS(Healthcare!$C838&lt;18.5,"under weight",Healthcare!$C838&lt;=24.9,"Normal Weight",Healthcare!$C838&gt;=25,"overweight",Healthcare!$C838&gt;=30,"obese")</f>
        <v>overweight</v>
      </c>
      <c r="E838" s="5">
        <v>6.02</v>
      </c>
      <c r="F838" s="5" t="str" cm="1">
        <f t="array" ref="F838">_xlfn.IFS(Healthcare!$E838&lt;5.7,"normal",Healthcare!$E838&lt;=6.4,"prediabetes",Healthcare!$E838&gt;=6.5,"diabetes")</f>
        <v>prediabetes</v>
      </c>
      <c r="G838" s="5" t="s">
        <v>19</v>
      </c>
      <c r="H838" s="5" t="s">
        <v>19</v>
      </c>
      <c r="I838" s="5" t="s">
        <v>19</v>
      </c>
      <c r="J838" s="5">
        <v>1</v>
      </c>
      <c r="K838" s="5" t="s">
        <v>19</v>
      </c>
      <c r="L838" s="5" t="str">
        <f>VLOOKUP(Healthcare!$A838,hospital_details,2,0)</f>
        <v>7-Jul-1992</v>
      </c>
      <c r="M838" s="5">
        <f t="shared" ref="M838:M901" ca="1" si="5015">VLOOKUP(A838,hospital_details,3,0)</f>
        <v>34</v>
      </c>
      <c r="N838" s="5">
        <f t="shared" ref="N838:N901" si="5016">VLOOKUP($A838,hospital_details,4,0)</f>
        <v>0</v>
      </c>
      <c r="O838" s="6">
        <f t="shared" ref="O838:O901" si="5017">VLOOKUP($A838,hospital_details,5,0)</f>
        <v>12699.56</v>
      </c>
      <c r="P838" s="5" t="str">
        <f t="shared" ref="P838:P901" si="5018">VLOOKUP($A838,hospital_details,6,0)</f>
        <v>tier - 3</v>
      </c>
      <c r="Q838" s="5" t="str">
        <f t="shared" ref="Q838:Q901" si="5019">VLOOKUP($A838,hospital_details,7,0)</f>
        <v>tier - 2</v>
      </c>
      <c r="R838" s="5" t="str">
        <f t="shared" ref="R838:R901" si="5020">VLOOKUP($A838,hospital_details,8,0)</f>
        <v>R1011</v>
      </c>
    </row>
    <row r="839" spans="1:18" ht="14.4" customHeight="1" x14ac:dyDescent="0.3">
      <c r="A839" s="7" t="s">
        <v>859</v>
      </c>
      <c r="B839" s="7" t="str">
        <f>VLOOKUP($A839,[1]!Customer_Names[#Data],3,0)</f>
        <v xml:space="preserve">  Eric D</v>
      </c>
      <c r="C839" s="7">
        <v>36.67</v>
      </c>
      <c r="D839" s="7" t="str" cm="1">
        <f t="array" ref="D839">_xlfn.IFS(Healthcare!$C839&lt;18.5,"under weight",Healthcare!$C839&lt;=24.9,"Normal Weight",Healthcare!$C839&gt;=25,"overweight",Healthcare!$C839&gt;=30,"obese")</f>
        <v>overweight</v>
      </c>
      <c r="E839" s="7">
        <v>11.86</v>
      </c>
      <c r="F839" s="7" t="str" cm="1">
        <f t="array" ref="F839">_xlfn.IFS(Healthcare!$E839&lt;5.7,"normal",Healthcare!$E839&lt;=6.4,"prediabetes",Healthcare!$E839&gt;=6.5,"diabetes")</f>
        <v>diabetes</v>
      </c>
      <c r="G839" s="7" t="s">
        <v>19</v>
      </c>
      <c r="H839" s="7" t="s">
        <v>19</v>
      </c>
      <c r="I839" s="7" t="s">
        <v>19</v>
      </c>
      <c r="J839" s="7">
        <v>0</v>
      </c>
      <c r="K839" s="7" t="s">
        <v>19</v>
      </c>
      <c r="L839" s="7" t="str">
        <f>VLOOKUP(Healthcare!$A839,hospital_details,2,0)</f>
        <v>24-Sep-1974</v>
      </c>
      <c r="M839" s="7">
        <f t="shared" ref="M839:M902" ca="1" si="5021">VLOOKUP(A839,hospital_details,3,0)</f>
        <v>52</v>
      </c>
      <c r="N839" s="7">
        <f t="shared" ref="N839:N902" si="5022">VLOOKUP($A839,hospital_details,4,0)</f>
        <v>0</v>
      </c>
      <c r="O839" s="8">
        <f t="shared" ref="O839:O902" si="5023">VLOOKUP($A839,hospital_details,5,0)</f>
        <v>12697.48</v>
      </c>
      <c r="P839" s="7" t="str">
        <f t="shared" ref="P839:P902" si="5024">VLOOKUP($A839,hospital_details,6,0)</f>
        <v>tier - 3</v>
      </c>
      <c r="Q839" s="7" t="str">
        <f t="shared" ref="Q839:Q902" si="5025">VLOOKUP($A839,hospital_details,7,0)</f>
        <v>tier - 3</v>
      </c>
      <c r="R839" s="7" t="str">
        <f t="shared" ref="R839:R902" si="5026">VLOOKUP($A839,hospital_details,8,0)</f>
        <v>R1021</v>
      </c>
    </row>
    <row r="840" spans="1:18" ht="14.4" customHeight="1" x14ac:dyDescent="0.3">
      <c r="A840" s="5" t="s">
        <v>860</v>
      </c>
      <c r="B840" s="5" t="str">
        <f>VLOOKUP($A840,[1]!Customer_Names[#Data],3,0)</f>
        <v xml:space="preserve">  Elizabeth</v>
      </c>
      <c r="C840" s="5">
        <v>38.06</v>
      </c>
      <c r="D840" s="5" t="str" cm="1">
        <f t="array" ref="D840">_xlfn.IFS(Healthcare!$C840&lt;18.5,"under weight",Healthcare!$C840&lt;=24.9,"Normal Weight",Healthcare!$C840&gt;=25,"overweight",Healthcare!$C840&gt;=30,"obese")</f>
        <v>overweight</v>
      </c>
      <c r="E840" s="5">
        <v>8.25</v>
      </c>
      <c r="F840" s="5" t="str" cm="1">
        <f t="array" ref="F840">_xlfn.IFS(Healthcare!$E840&lt;5.7,"normal",Healthcare!$E840&lt;=6.4,"prediabetes",Healthcare!$E840&gt;=6.5,"diabetes")</f>
        <v>diabetes</v>
      </c>
      <c r="G840" s="5" t="s">
        <v>19</v>
      </c>
      <c r="H840" s="5" t="s">
        <v>19</v>
      </c>
      <c r="I840" s="5" t="s">
        <v>19</v>
      </c>
      <c r="J840" s="5">
        <v>0</v>
      </c>
      <c r="K840" s="5" t="s">
        <v>19</v>
      </c>
      <c r="L840" s="5" t="str">
        <f>VLOOKUP(Healthcare!$A840,hospital_details,2,0)</f>
        <v>27-Aug-1962</v>
      </c>
      <c r="M840" s="5">
        <f t="shared" ref="M840:M903" ca="1" si="5027">VLOOKUP(A840,hospital_details,3,0)</f>
        <v>64</v>
      </c>
      <c r="N840" s="5">
        <f t="shared" ref="N840:N903" si="5028">VLOOKUP($A840,hospital_details,4,0)</f>
        <v>0</v>
      </c>
      <c r="O840" s="6">
        <f t="shared" ref="O840:O903" si="5029">VLOOKUP($A840,hospital_details,5,0)</f>
        <v>12648.7</v>
      </c>
      <c r="P840" s="5" t="str">
        <f t="shared" ref="P840:P903" si="5030">VLOOKUP($A840,hospital_details,6,0)</f>
        <v>tier - 3</v>
      </c>
      <c r="Q840" s="5" t="str">
        <f t="shared" ref="Q840:Q903" si="5031">VLOOKUP($A840,hospital_details,7,0)</f>
        <v>tier - 2</v>
      </c>
      <c r="R840" s="5" t="str">
        <f t="shared" ref="R840:R903" si="5032">VLOOKUP($A840,hospital_details,8,0)</f>
        <v>R1013</v>
      </c>
    </row>
    <row r="841" spans="1:18" ht="14.4" customHeight="1" x14ac:dyDescent="0.3">
      <c r="A841" s="7" t="s">
        <v>861</v>
      </c>
      <c r="B841" s="7" t="str">
        <f>VLOOKUP($A841,[1]!Customer_Names[#Data],3,0)</f>
        <v xml:space="preserve">  Laura F</v>
      </c>
      <c r="C841" s="7">
        <v>38</v>
      </c>
      <c r="D841" s="7" t="str" cm="1">
        <f t="array" ref="D841">_xlfn.IFS(Healthcare!$C841&lt;18.5,"under weight",Healthcare!$C841&lt;=24.9,"Normal Weight",Healthcare!$C841&gt;=25,"overweight",Healthcare!$C841&gt;=30,"obese")</f>
        <v>overweight</v>
      </c>
      <c r="E841" s="7">
        <v>8.1300000000000008</v>
      </c>
      <c r="F841" s="7" t="str" cm="1">
        <f t="array" ref="F841">_xlfn.IFS(Healthcare!$E841&lt;5.7,"normal",Healthcare!$E841&lt;=6.4,"prediabetes",Healthcare!$E841&gt;=6.5,"diabetes")</f>
        <v>diabetes</v>
      </c>
      <c r="G841" s="7" t="s">
        <v>19</v>
      </c>
      <c r="H841" s="7" t="s">
        <v>19</v>
      </c>
      <c r="I841" s="7" t="s">
        <v>19</v>
      </c>
      <c r="J841" s="7">
        <v>0</v>
      </c>
      <c r="K841" s="7" t="s">
        <v>19</v>
      </c>
      <c r="L841" s="7" t="str">
        <f>VLOOKUP(Healthcare!$A841,hospital_details,2,0)</f>
        <v>14-Sep-1965</v>
      </c>
      <c r="M841" s="7">
        <f t="shared" ref="M841:M904" ca="1" si="5033">VLOOKUP(A841,hospital_details,3,0)</f>
        <v>61</v>
      </c>
      <c r="N841" s="7">
        <f t="shared" ref="N841:N904" si="5034">VLOOKUP($A841,hospital_details,4,0)</f>
        <v>2</v>
      </c>
      <c r="O841" s="8">
        <f t="shared" ref="O841:O904" si="5035">VLOOKUP($A841,hospital_details,5,0)</f>
        <v>12646.21</v>
      </c>
      <c r="P841" s="7" t="str">
        <f t="shared" ref="P841:P904" si="5036">VLOOKUP($A841,hospital_details,6,0)</f>
        <v>tier - 3</v>
      </c>
      <c r="Q841" s="7" t="str">
        <f t="shared" ref="Q841:Q904" si="5037">VLOOKUP($A841,hospital_details,7,0)</f>
        <v>tier - 2</v>
      </c>
      <c r="R841" s="7" t="str">
        <f t="shared" ref="R841:R904" si="5038">VLOOKUP($A841,hospital_details,8,0)</f>
        <v>R1011</v>
      </c>
    </row>
    <row r="842" spans="1:18" ht="14.4" customHeight="1" x14ac:dyDescent="0.3">
      <c r="A842" s="5" t="s">
        <v>862</v>
      </c>
      <c r="B842" s="5" t="str">
        <f>VLOOKUP($A842,[1]!Customer_Names[#Data],3,0)</f>
        <v xml:space="preserve">  Amelia F</v>
      </c>
      <c r="C842" s="5">
        <v>35.1</v>
      </c>
      <c r="D842" s="5" t="str" cm="1">
        <f t="array" ref="D842">_xlfn.IFS(Healthcare!$C842&lt;18.5,"under weight",Healthcare!$C842&lt;=24.9,"Normal Weight",Healthcare!$C842&gt;=25,"overweight",Healthcare!$C842&gt;=30,"obese")</f>
        <v>overweight</v>
      </c>
      <c r="E842" s="5">
        <v>10.1</v>
      </c>
      <c r="F842" s="5" t="str" cm="1">
        <f t="array" ref="F842">_xlfn.IFS(Healthcare!$E842&lt;5.7,"normal",Healthcare!$E842&lt;=6.4,"prediabetes",Healthcare!$E842&gt;=6.5,"diabetes")</f>
        <v>diabetes</v>
      </c>
      <c r="G842" s="5" t="s">
        <v>19</v>
      </c>
      <c r="H842" s="5" t="s">
        <v>19</v>
      </c>
      <c r="I842" s="5" t="s">
        <v>19</v>
      </c>
      <c r="J842" s="5">
        <v>0</v>
      </c>
      <c r="K842" s="5" t="s">
        <v>19</v>
      </c>
      <c r="L842" s="5" t="str">
        <f>VLOOKUP(Healthcare!$A842,hospital_details,2,0)</f>
        <v>11-Jul-1962</v>
      </c>
      <c r="M842" s="5">
        <f t="shared" ref="M842:M905" ca="1" si="5039">VLOOKUP(A842,hospital_details,3,0)</f>
        <v>64</v>
      </c>
      <c r="N842" s="5">
        <f t="shared" ref="N842:N905" si="5040">VLOOKUP($A842,hospital_details,4,0)</f>
        <v>0</v>
      </c>
      <c r="O842" s="6">
        <f t="shared" ref="O842:O905" si="5041">VLOOKUP($A842,hospital_details,5,0)</f>
        <v>12644.59</v>
      </c>
      <c r="P842" s="5" t="str">
        <f t="shared" ref="P842:P905" si="5042">VLOOKUP($A842,hospital_details,6,0)</f>
        <v>tier - 3</v>
      </c>
      <c r="Q842" s="5" t="str">
        <f t="shared" ref="Q842:Q905" si="5043">VLOOKUP($A842,hospital_details,7,0)</f>
        <v>tier - 2</v>
      </c>
      <c r="R842" s="5" t="str">
        <f t="shared" ref="R842:R905" si="5044">VLOOKUP($A842,hospital_details,8,0)</f>
        <v>R1011</v>
      </c>
    </row>
    <row r="843" spans="1:18" ht="14.4" customHeight="1" x14ac:dyDescent="0.3">
      <c r="A843" s="7" t="s">
        <v>863</v>
      </c>
      <c r="B843" s="7" t="str">
        <f>VLOOKUP($A843,[1]!Customer_Names[#Data],3,0)</f>
        <v xml:space="preserve">  Amy L</v>
      </c>
      <c r="C843" s="7">
        <v>33.82</v>
      </c>
      <c r="D843" s="7" t="str" cm="1">
        <f t="array" ref="D843">_xlfn.IFS(Healthcare!$C843&lt;18.5,"under weight",Healthcare!$C843&lt;=24.9,"Normal Weight",Healthcare!$C843&gt;=25,"overweight",Healthcare!$C843&gt;=30,"obese")</f>
        <v>overweight</v>
      </c>
      <c r="E843" s="7">
        <v>5.89</v>
      </c>
      <c r="F843" s="7" t="str" cm="1">
        <f t="array" ref="F843">_xlfn.IFS(Healthcare!$E843&lt;5.7,"normal",Healthcare!$E843&lt;=6.4,"prediabetes",Healthcare!$E843&gt;=6.5,"diabetes")</f>
        <v>prediabetes</v>
      </c>
      <c r="G843" s="7" t="s">
        <v>20</v>
      </c>
      <c r="H843" s="7" t="s">
        <v>19</v>
      </c>
      <c r="I843" s="7" t="s">
        <v>19</v>
      </c>
      <c r="J843" s="7">
        <v>2</v>
      </c>
      <c r="K843" s="7" t="s">
        <v>19</v>
      </c>
      <c r="L843" s="7" t="str">
        <f>VLOOKUP(Healthcare!$A843,hospital_details,2,0)</f>
        <v>17-Dec-1966</v>
      </c>
      <c r="M843" s="7">
        <f t="shared" ref="M843:M906" ca="1" si="5045">VLOOKUP(A843,hospital_details,3,0)</f>
        <v>59</v>
      </c>
      <c r="N843" s="7">
        <f t="shared" ref="N843:N906" si="5046">VLOOKUP($A843,hospital_details,4,0)</f>
        <v>2</v>
      </c>
      <c r="O843" s="8">
        <f t="shared" ref="O843:O906" si="5047">VLOOKUP($A843,hospital_details,5,0)</f>
        <v>12643.38</v>
      </c>
      <c r="P843" s="7" t="str">
        <f t="shared" ref="P843:P906" si="5048">VLOOKUP($A843,hospital_details,6,0)</f>
        <v>tier - 3</v>
      </c>
      <c r="Q843" s="7" t="str">
        <f t="shared" ref="Q843:Q906" si="5049">VLOOKUP($A843,hospital_details,7,0)</f>
        <v>tier - 1</v>
      </c>
      <c r="R843" s="7" t="str">
        <f t="shared" ref="R843:R906" si="5050">VLOOKUP($A843,hospital_details,8,0)</f>
        <v>R1012</v>
      </c>
    </row>
    <row r="844" spans="1:18" ht="14.4" customHeight="1" x14ac:dyDescent="0.3">
      <c r="A844" s="5" t="s">
        <v>864</v>
      </c>
      <c r="B844" s="5" t="str">
        <f>VLOOKUP($A844,[1]!Customer_Names[#Data],3,0)</f>
        <v xml:space="preserve">  Katie J</v>
      </c>
      <c r="C844" s="5">
        <v>37.43</v>
      </c>
      <c r="D844" s="5" t="str" cm="1">
        <f t="array" ref="D844">_xlfn.IFS(Healthcare!$C844&lt;18.5,"under weight",Healthcare!$C844&lt;=24.9,"Normal Weight",Healthcare!$C844&gt;=25,"overweight",Healthcare!$C844&gt;=30,"obese")</f>
        <v>overweight</v>
      </c>
      <c r="E844" s="5">
        <v>4.97</v>
      </c>
      <c r="F844" s="5" t="str" cm="1">
        <f t="array" ref="F844">_xlfn.IFS(Healthcare!$E844&lt;5.7,"normal",Healthcare!$E844&lt;=6.4,"prediabetes",Healthcare!$E844&gt;=6.5,"diabetes")</f>
        <v>normal</v>
      </c>
      <c r="G844" s="5" t="s">
        <v>19</v>
      </c>
      <c r="H844" s="5" t="s">
        <v>19</v>
      </c>
      <c r="I844" s="5" t="s">
        <v>19</v>
      </c>
      <c r="J844" s="5">
        <v>2</v>
      </c>
      <c r="K844" s="5" t="s">
        <v>19</v>
      </c>
      <c r="L844" s="5" t="str">
        <f>VLOOKUP(Healthcare!$A844,hospital_details,2,0)</f>
        <v>5-Sep-1972</v>
      </c>
      <c r="M844" s="5">
        <f t="shared" ref="M844:M907" ca="1" si="5051">VLOOKUP(A844,hospital_details,3,0)</f>
        <v>54</v>
      </c>
      <c r="N844" s="5">
        <f t="shared" ref="N844:N907" si="5052">VLOOKUP($A844,hospital_details,4,0)</f>
        <v>0</v>
      </c>
      <c r="O844" s="6">
        <f t="shared" ref="O844:O907" si="5053">VLOOKUP($A844,hospital_details,5,0)</f>
        <v>12640.24</v>
      </c>
      <c r="P844" s="5" t="str">
        <f t="shared" ref="P844:P907" si="5054">VLOOKUP($A844,hospital_details,6,0)</f>
        <v>tier - 3</v>
      </c>
      <c r="Q844" s="5" t="str">
        <f t="shared" ref="Q844:Q907" si="5055">VLOOKUP($A844,hospital_details,7,0)</f>
        <v>tier - 1</v>
      </c>
      <c r="R844" s="5" t="str">
        <f t="shared" ref="R844:R907" si="5056">VLOOKUP($A844,hospital_details,8,0)</f>
        <v>R1011</v>
      </c>
    </row>
    <row r="845" spans="1:18" ht="14.4" customHeight="1" x14ac:dyDescent="0.3">
      <c r="A845" s="7" t="s">
        <v>865</v>
      </c>
      <c r="B845" s="7" t="str">
        <f>VLOOKUP($A845,[1]!Customer_Names[#Data],3,0)</f>
        <v xml:space="preserve">  Laura E</v>
      </c>
      <c r="C845" s="7">
        <v>30.5</v>
      </c>
      <c r="D845" s="7" t="str" cm="1">
        <f t="array" ref="D845">_xlfn.IFS(Healthcare!$C845&lt;18.5,"under weight",Healthcare!$C845&lt;=24.9,"Normal Weight",Healthcare!$C845&gt;=25,"overweight",Healthcare!$C845&gt;=30,"obese")</f>
        <v>overweight</v>
      </c>
      <c r="E845" s="7">
        <v>9.9</v>
      </c>
      <c r="F845" s="7" t="str" cm="1">
        <f t="array" ref="F845">_xlfn.IFS(Healthcare!$E845&lt;5.7,"normal",Healthcare!$E845&lt;=6.4,"prediabetes",Healthcare!$E845&gt;=6.5,"diabetes")</f>
        <v>diabetes</v>
      </c>
      <c r="G845" s="7" t="s">
        <v>19</v>
      </c>
      <c r="H845" s="7" t="s">
        <v>19</v>
      </c>
      <c r="I845" s="7" t="s">
        <v>19</v>
      </c>
      <c r="J845" s="7">
        <v>0</v>
      </c>
      <c r="K845" s="7" t="s">
        <v>19</v>
      </c>
      <c r="L845" s="7" t="str">
        <f>VLOOKUP(Healthcare!$A845,hospital_details,2,0)</f>
        <v>22-Jul-1962</v>
      </c>
      <c r="M845" s="7">
        <f t="shared" ref="M845:M908" ca="1" si="5057">VLOOKUP(A845,hospital_details,3,0)</f>
        <v>64</v>
      </c>
      <c r="N845" s="7">
        <f t="shared" ref="N845:N908" si="5058">VLOOKUP($A845,hospital_details,4,0)</f>
        <v>0</v>
      </c>
      <c r="O845" s="8">
        <f t="shared" ref="O845:O908" si="5059">VLOOKUP($A845,hospital_details,5,0)</f>
        <v>12638.2</v>
      </c>
      <c r="P845" s="7" t="str">
        <f t="shared" ref="P845:P908" si="5060">VLOOKUP($A845,hospital_details,6,0)</f>
        <v>tier - 3</v>
      </c>
      <c r="Q845" s="7" t="str">
        <f t="shared" ref="Q845:Q908" si="5061">VLOOKUP($A845,hospital_details,7,0)</f>
        <v>tier - 1</v>
      </c>
      <c r="R845" s="7" t="str">
        <f t="shared" ref="R845:R908" si="5062">VLOOKUP($A845,hospital_details,8,0)</f>
        <v>R1011</v>
      </c>
    </row>
    <row r="846" spans="1:18" ht="14.4" customHeight="1" x14ac:dyDescent="0.3">
      <c r="A846" s="5" t="s">
        <v>866</v>
      </c>
      <c r="B846" s="5" t="str">
        <f>VLOOKUP($A846,[1]!Customer_Names[#Data],3,0)</f>
        <v xml:space="preserve">  Mayumi</v>
      </c>
      <c r="C846" s="5">
        <v>24.53</v>
      </c>
      <c r="D846" s="5" t="str" cm="1">
        <f t="array" ref="D846">_xlfn.IFS(Healthcare!$C846&lt;18.5,"under weight",Healthcare!$C846&lt;=24.9,"Normal Weight",Healthcare!$C846&gt;=25,"overweight",Healthcare!$C846&gt;=30,"obese")</f>
        <v>Normal Weight</v>
      </c>
      <c r="E846" s="5">
        <v>9.0500000000000007</v>
      </c>
      <c r="F846" s="5" t="str" cm="1">
        <f t="array" ref="F846">_xlfn.IFS(Healthcare!$E846&lt;5.7,"normal",Healthcare!$E846&lt;=6.4,"prediabetes",Healthcare!$E846&gt;=6.5,"diabetes")</f>
        <v>diabetes</v>
      </c>
      <c r="G846" s="5" t="s">
        <v>19</v>
      </c>
      <c r="H846" s="5" t="s">
        <v>19</v>
      </c>
      <c r="I846" s="5" t="s">
        <v>19</v>
      </c>
      <c r="J846" s="5">
        <v>0</v>
      </c>
      <c r="K846" s="5" t="s">
        <v>19</v>
      </c>
      <c r="L846" s="5" t="str">
        <f>VLOOKUP(Healthcare!$A846,hospital_details,2,0)</f>
        <v>22-Nov-1962</v>
      </c>
      <c r="M846" s="5">
        <f t="shared" ref="M846:M909" ca="1" si="5063">VLOOKUP(A846,hospital_details,3,0)</f>
        <v>63</v>
      </c>
      <c r="N846" s="5">
        <f t="shared" ref="N846:N909" si="5064">VLOOKUP($A846,hospital_details,4,0)</f>
        <v>0</v>
      </c>
      <c r="O846" s="6">
        <f t="shared" ref="O846:O909" si="5065">VLOOKUP($A846,hospital_details,5,0)</f>
        <v>12629.9</v>
      </c>
      <c r="P846" s="5" t="str">
        <f t="shared" ref="P846:P909" si="5066">VLOOKUP($A846,hospital_details,6,0)</f>
        <v>tier - 3</v>
      </c>
      <c r="Q846" s="5" t="str">
        <f t="shared" ref="Q846:Q909" si="5067">VLOOKUP($A846,hospital_details,7,0)</f>
        <v>tier - 3</v>
      </c>
      <c r="R846" s="5" t="str">
        <f t="shared" ref="R846:R909" si="5068">VLOOKUP($A846,hospital_details,8,0)</f>
        <v>R1013</v>
      </c>
    </row>
    <row r="847" spans="1:18" ht="14.4" customHeight="1" x14ac:dyDescent="0.3">
      <c r="A847" s="7" t="s">
        <v>867</v>
      </c>
      <c r="B847" s="7" t="str">
        <f>VLOOKUP($A847,[1]!Customer_Names[#Data],3,0)</f>
        <v xml:space="preserve">  Vanessa</v>
      </c>
      <c r="C847" s="7">
        <v>25.74</v>
      </c>
      <c r="D847" s="7" t="str" cm="1">
        <f t="array" ref="D847">_xlfn.IFS(Healthcare!$C847&lt;18.5,"under weight",Healthcare!$C847&lt;=24.9,"Normal Weight",Healthcare!$C847&gt;=25,"overweight",Healthcare!$C847&gt;=30,"obese")</f>
        <v>overweight</v>
      </c>
      <c r="E847" s="7">
        <v>10.93</v>
      </c>
      <c r="F847" s="7" t="str" cm="1">
        <f t="array" ref="F847">_xlfn.IFS(Healthcare!$E847&lt;5.7,"normal",Healthcare!$E847&lt;=6.4,"prediabetes",Healthcare!$E847&gt;=6.5,"diabetes")</f>
        <v>diabetes</v>
      </c>
      <c r="G847" s="7" t="s">
        <v>19</v>
      </c>
      <c r="H847" s="7" t="s">
        <v>19</v>
      </c>
      <c r="I847" s="7" t="s">
        <v>19</v>
      </c>
      <c r="J847" s="7">
        <v>0</v>
      </c>
      <c r="K847" s="7" t="s">
        <v>19</v>
      </c>
      <c r="L847" s="7" t="str">
        <f>VLOOKUP(Healthcare!$A847,hospital_details,2,0)</f>
        <v>4-Oct-1965</v>
      </c>
      <c r="M847" s="7">
        <f t="shared" ref="M847:M910" ca="1" si="5069">VLOOKUP(A847,hospital_details,3,0)</f>
        <v>61</v>
      </c>
      <c r="N847" s="7">
        <f t="shared" ref="N847:N910" si="5070">VLOOKUP($A847,hospital_details,4,0)</f>
        <v>2</v>
      </c>
      <c r="O847" s="8">
        <f t="shared" ref="O847:O910" si="5071">VLOOKUP($A847,hospital_details,5,0)</f>
        <v>12629.17</v>
      </c>
      <c r="P847" s="7" t="str">
        <f t="shared" ref="P847:P910" si="5072">VLOOKUP($A847,hospital_details,6,0)</f>
        <v>tier - 3</v>
      </c>
      <c r="Q847" s="7" t="str">
        <f t="shared" ref="Q847:Q910" si="5073">VLOOKUP($A847,hospital_details,7,0)</f>
        <v>tier - 1</v>
      </c>
      <c r="R847" s="7" t="str">
        <f t="shared" ref="R847:R910" si="5074">VLOOKUP($A847,hospital_details,8,0)</f>
        <v>R1013</v>
      </c>
    </row>
    <row r="848" spans="1:18" ht="14.4" customHeight="1" x14ac:dyDescent="0.3">
      <c r="A848" s="5" t="s">
        <v>868</v>
      </c>
      <c r="B848" s="5" t="str">
        <f>VLOOKUP($A848,[1]!Customer_Names[#Data],3,0)</f>
        <v xml:space="preserve">  Natali N</v>
      </c>
      <c r="C848" s="5">
        <v>34.08</v>
      </c>
      <c r="D848" s="5" t="str" cm="1">
        <f t="array" ref="D848">_xlfn.IFS(Healthcare!$C848&lt;18.5,"under weight",Healthcare!$C848&lt;=24.9,"Normal Weight",Healthcare!$C848&gt;=25,"overweight",Healthcare!$C848&gt;=30,"obese")</f>
        <v>overweight</v>
      </c>
      <c r="E848" s="5">
        <v>7.58</v>
      </c>
      <c r="F848" s="5" t="str" cm="1">
        <f t="array" ref="F848">_xlfn.IFS(Healthcare!$E848&lt;5.7,"normal",Healthcare!$E848&lt;=6.4,"prediabetes",Healthcare!$E848&gt;=6.5,"diabetes")</f>
        <v>diabetes</v>
      </c>
      <c r="G848" s="5" t="s">
        <v>20</v>
      </c>
      <c r="H848" s="5" t="s">
        <v>19</v>
      </c>
      <c r="I848" s="5" t="s">
        <v>19</v>
      </c>
      <c r="J848" s="5">
        <v>2</v>
      </c>
      <c r="K848" s="5" t="s">
        <v>19</v>
      </c>
      <c r="L848" s="5" t="str">
        <f>VLOOKUP(Healthcare!$A848,hospital_details,2,0)</f>
        <v>28-Dec-1970</v>
      </c>
      <c r="M848" s="5">
        <f t="shared" ref="M848:M911" ca="1" si="5075">VLOOKUP(A848,hospital_details,3,0)</f>
        <v>55</v>
      </c>
      <c r="N848" s="5">
        <f t="shared" ref="N848:N911" si="5076">VLOOKUP($A848,hospital_details,4,0)</f>
        <v>0</v>
      </c>
      <c r="O848" s="6">
        <f t="shared" ref="O848:O911" si="5077">VLOOKUP($A848,hospital_details,5,0)</f>
        <v>12624.74</v>
      </c>
      <c r="P848" s="5" t="str">
        <f t="shared" ref="P848:P911" si="5078">VLOOKUP($A848,hospital_details,6,0)</f>
        <v>tier - 3</v>
      </c>
      <c r="Q848" s="5" t="str">
        <f t="shared" ref="Q848:Q911" si="5079">VLOOKUP($A848,hospital_details,7,0)</f>
        <v>tier - 1</v>
      </c>
      <c r="R848" s="5" t="str">
        <f t="shared" ref="R848:R911" si="5080">VLOOKUP($A848,hospital_details,8,0)</f>
        <v>R1012</v>
      </c>
    </row>
    <row r="849" spans="1:18" ht="14.4" customHeight="1" x14ac:dyDescent="0.3">
      <c r="A849" s="7" t="s">
        <v>869</v>
      </c>
      <c r="B849" s="7" t="str">
        <f>VLOOKUP($A849,[1]!Customer_Names[#Data],3,0)</f>
        <v xml:space="preserve">  Beth</v>
      </c>
      <c r="C849" s="7">
        <v>31.35</v>
      </c>
      <c r="D849" s="7" t="str" cm="1">
        <f t="array" ref="D849">_xlfn.IFS(Healthcare!$C849&lt;18.5,"under weight",Healthcare!$C849&lt;=24.9,"Normal Weight",Healthcare!$C849&gt;=25,"overweight",Healthcare!$C849&gt;=30,"obese")</f>
        <v>overweight</v>
      </c>
      <c r="E849" s="7">
        <v>11</v>
      </c>
      <c r="F849" s="7" t="str" cm="1">
        <f t="array" ref="F849">_xlfn.IFS(Healthcare!$E849&lt;5.7,"normal",Healthcare!$E849&lt;=6.4,"prediabetes",Healthcare!$E849&gt;=6.5,"diabetes")</f>
        <v>diabetes</v>
      </c>
      <c r="G849" s="7" t="s">
        <v>20</v>
      </c>
      <c r="H849" s="7" t="s">
        <v>19</v>
      </c>
      <c r="I849" s="7" t="s">
        <v>29</v>
      </c>
      <c r="J849" s="7">
        <v>1</v>
      </c>
      <c r="K849" s="7" t="s">
        <v>19</v>
      </c>
      <c r="L849" s="7" t="str">
        <f>VLOOKUP(Healthcare!$A849,hospital_details,2,0)</f>
        <v>19-Aug-1963</v>
      </c>
      <c r="M849" s="7">
        <f t="shared" ref="M849:M912" ca="1" si="5081">VLOOKUP(A849,hospital_details,3,0)</f>
        <v>63</v>
      </c>
      <c r="N849" s="7">
        <f t="shared" ref="N849:N912" si="5082">VLOOKUP($A849,hospital_details,4,0)</f>
        <v>0</v>
      </c>
      <c r="O849" s="8">
        <f t="shared" ref="O849:O912" si="5083">VLOOKUP($A849,hospital_details,5,0)</f>
        <v>12622.18</v>
      </c>
      <c r="P849" s="7" t="str">
        <f t="shared" ref="P849:P912" si="5084">VLOOKUP($A849,hospital_details,6,0)</f>
        <v>tier - 3</v>
      </c>
      <c r="Q849" s="7" t="str">
        <f t="shared" ref="Q849:Q912" si="5085">VLOOKUP($A849,hospital_details,7,0)</f>
        <v>tier - 1</v>
      </c>
      <c r="R849" s="7" t="str">
        <f t="shared" ref="R849:R912" si="5086">VLOOKUP($A849,hospital_details,8,0)</f>
        <v>R1012</v>
      </c>
    </row>
    <row r="850" spans="1:18" ht="14.4" customHeight="1" x14ac:dyDescent="0.3">
      <c r="A850" s="5" t="s">
        <v>870</v>
      </c>
      <c r="B850" s="5" t="str">
        <f>VLOOKUP($A850,[1]!Customer_Names[#Data],3,0)</f>
        <v xml:space="preserve">  Alex</v>
      </c>
      <c r="C850" s="5">
        <v>26.79</v>
      </c>
      <c r="D850" s="5" t="str" cm="1">
        <f t="array" ref="D850">_xlfn.IFS(Healthcare!$C850&lt;18.5,"under weight",Healthcare!$C850&lt;=24.9,"Normal Weight",Healthcare!$C850&gt;=25,"overweight",Healthcare!$C850&gt;=30,"obese")</f>
        <v>overweight</v>
      </c>
      <c r="E850" s="5">
        <v>5.0599999999999996</v>
      </c>
      <c r="F850" s="5" t="str" cm="1">
        <f t="array" ref="F850">_xlfn.IFS(Healthcare!$E850&lt;5.7,"normal",Healthcare!$E850&lt;=6.4,"prediabetes",Healthcare!$E850&gt;=6.5,"diabetes")</f>
        <v>normal</v>
      </c>
      <c r="G850" s="5" t="s">
        <v>19</v>
      </c>
      <c r="H850" s="5" t="s">
        <v>19</v>
      </c>
      <c r="I850" s="5" t="s">
        <v>19</v>
      </c>
      <c r="J850" s="5">
        <v>1</v>
      </c>
      <c r="K850" s="5" t="s">
        <v>19</v>
      </c>
      <c r="L850" s="5" t="str">
        <f>VLOOKUP(Healthcare!$A850,hospital_details,2,0)</f>
        <v>18-Nov-1998</v>
      </c>
      <c r="M850" s="5">
        <f t="shared" ref="M850:M913" ca="1" si="5087">VLOOKUP(A850,hospital_details,3,0)</f>
        <v>27</v>
      </c>
      <c r="N850" s="5">
        <f t="shared" ref="N850:N913" si="5088">VLOOKUP($A850,hospital_details,4,0)</f>
        <v>1</v>
      </c>
      <c r="O850" s="6">
        <f t="shared" ref="O850:O913" si="5089">VLOOKUP($A850,hospital_details,5,0)</f>
        <v>12609.89</v>
      </c>
      <c r="P850" s="5" t="str">
        <f t="shared" ref="P850:P913" si="5090">VLOOKUP($A850,hospital_details,6,0)</f>
        <v>tier - 3</v>
      </c>
      <c r="Q850" s="5" t="str">
        <f t="shared" ref="Q850:Q913" si="5091">VLOOKUP($A850,hospital_details,7,0)</f>
        <v>tier - 3</v>
      </c>
      <c r="R850" s="5" t="str">
        <f t="shared" ref="R850:R913" si="5092">VLOOKUP($A850,hospital_details,8,0)</f>
        <v>R1012</v>
      </c>
    </row>
    <row r="851" spans="1:18" ht="14.4" customHeight="1" x14ac:dyDescent="0.3">
      <c r="A851" s="7" t="s">
        <v>871</v>
      </c>
      <c r="B851" s="7" t="str">
        <f>VLOOKUP($A851,[1]!Customer_Names[#Data],3,0)</f>
        <v xml:space="preserve">  Spencer</v>
      </c>
      <c r="C851" s="7">
        <v>42.78</v>
      </c>
      <c r="D851" s="7" t="str" cm="1">
        <f t="array" ref="D851">_xlfn.IFS(Healthcare!$C851&lt;18.5,"under weight",Healthcare!$C851&lt;=24.9,"Normal Weight",Healthcare!$C851&gt;=25,"overweight",Healthcare!$C851&gt;=30,"obese")</f>
        <v>overweight</v>
      </c>
      <c r="E851" s="7">
        <v>6.11</v>
      </c>
      <c r="F851" s="7" t="str" cm="1">
        <f t="array" ref="F851">_xlfn.IFS(Healthcare!$E851&lt;5.7,"normal",Healthcare!$E851&lt;=6.4,"prediabetes",Healthcare!$E851&gt;=6.5,"diabetes")</f>
        <v>prediabetes</v>
      </c>
      <c r="G851" s="7" t="s">
        <v>20</v>
      </c>
      <c r="H851" s="7" t="s">
        <v>19</v>
      </c>
      <c r="I851" s="7" t="s">
        <v>19</v>
      </c>
      <c r="J851" s="7">
        <v>1</v>
      </c>
      <c r="K851" s="7" t="s">
        <v>19</v>
      </c>
      <c r="L851" s="7" t="str">
        <f>VLOOKUP(Healthcare!$A851,hospital_details,2,0)</f>
        <v>11-Aug-1988</v>
      </c>
      <c r="M851" s="7">
        <f t="shared" ref="M851:M914" ca="1" si="5093">VLOOKUP(A851,hospital_details,3,0)</f>
        <v>38</v>
      </c>
      <c r="N851" s="7">
        <f t="shared" ref="N851:N914" si="5094">VLOOKUP($A851,hospital_details,4,0)</f>
        <v>3</v>
      </c>
      <c r="O851" s="8">
        <f t="shared" ref="O851:O914" si="5095">VLOOKUP($A851,hospital_details,5,0)</f>
        <v>12600.46</v>
      </c>
      <c r="P851" s="7" t="str">
        <f t="shared" ref="P851:P914" si="5096">VLOOKUP($A851,hospital_details,6,0)</f>
        <v>tier - 3</v>
      </c>
      <c r="Q851" s="7" t="str">
        <f t="shared" ref="Q851:Q914" si="5097">VLOOKUP($A851,hospital_details,7,0)</f>
        <v>tier - 1</v>
      </c>
      <c r="R851" s="7" t="str">
        <f t="shared" ref="R851:R914" si="5098">VLOOKUP($A851,hospital_details,8,0)</f>
        <v>R1023</v>
      </c>
    </row>
    <row r="852" spans="1:18" ht="14.4" customHeight="1" x14ac:dyDescent="0.3">
      <c r="A852" s="5" t="s">
        <v>872</v>
      </c>
      <c r="B852" s="5" t="str">
        <f>VLOOKUP($A852,[1]!Customer_Names[#Data],3,0)</f>
        <v xml:space="preserve">  Andee W</v>
      </c>
      <c r="C852" s="5">
        <v>46.75</v>
      </c>
      <c r="D852" s="5" t="str" cm="1">
        <f t="array" ref="D852">_xlfn.IFS(Healthcare!$C852&lt;18.5,"under weight",Healthcare!$C852&lt;=24.9,"Normal Weight",Healthcare!$C852&gt;=25,"overweight",Healthcare!$C852&gt;=30,"obese")</f>
        <v>overweight</v>
      </c>
      <c r="E852" s="5">
        <v>6.66</v>
      </c>
      <c r="F852" s="5" t="str" cm="1">
        <f t="array" ref="F852">_xlfn.IFS(Healthcare!$E852&lt;5.7,"normal",Healthcare!$E852&lt;=6.4,"prediabetes",Healthcare!$E852&gt;=6.5,"diabetes")</f>
        <v>diabetes</v>
      </c>
      <c r="G852" s="5" t="s">
        <v>20</v>
      </c>
      <c r="H852" s="5" t="s">
        <v>19</v>
      </c>
      <c r="I852" s="5" t="s">
        <v>19</v>
      </c>
      <c r="J852" s="5">
        <v>2</v>
      </c>
      <c r="K852" s="5" t="s">
        <v>19</v>
      </c>
      <c r="L852" s="5" t="str">
        <f>VLOOKUP(Healthcare!$A852,hospital_details,2,0)</f>
        <v>18-Jun-1970</v>
      </c>
      <c r="M852" s="5">
        <f t="shared" ref="M852:M915" ca="1" si="5099">VLOOKUP(A852,hospital_details,3,0)</f>
        <v>56</v>
      </c>
      <c r="N852" s="5">
        <f t="shared" ref="N852:N915" si="5100">VLOOKUP($A852,hospital_details,4,0)</f>
        <v>5</v>
      </c>
      <c r="O852" s="6">
        <f t="shared" ref="O852:O915" si="5101">VLOOKUP($A852,hospital_details,5,0)</f>
        <v>12592.53</v>
      </c>
      <c r="P852" s="5" t="str">
        <f t="shared" ref="P852:P915" si="5102">VLOOKUP($A852,hospital_details,6,0)</f>
        <v>tier - 3</v>
      </c>
      <c r="Q852" s="5" t="str">
        <f t="shared" ref="Q852:Q915" si="5103">VLOOKUP($A852,hospital_details,7,0)</f>
        <v>tier - 2</v>
      </c>
      <c r="R852" s="5" t="str">
        <f t="shared" ref="R852:R915" si="5104">VLOOKUP($A852,hospital_details,8,0)</f>
        <v>R1013</v>
      </c>
    </row>
    <row r="853" spans="1:18" ht="14.4" customHeight="1" x14ac:dyDescent="0.3">
      <c r="A853" s="7" t="s">
        <v>873</v>
      </c>
      <c r="B853" s="7" t="str">
        <f>VLOOKUP($A853,[1]!Customer_Names[#Data],3,0)</f>
        <v xml:space="preserve">  Amy</v>
      </c>
      <c r="C853" s="7">
        <v>32.15</v>
      </c>
      <c r="D853" s="7" t="str" cm="1">
        <f t="array" ref="D853">_xlfn.IFS(Healthcare!$C853&lt;18.5,"under weight",Healthcare!$C853&lt;=24.9,"Normal Weight",Healthcare!$C853&gt;=25,"overweight",Healthcare!$C853&gt;=30,"obese")</f>
        <v>overweight</v>
      </c>
      <c r="E853" s="7">
        <v>4.0199999999999996</v>
      </c>
      <c r="F853" s="7" t="str" cm="1">
        <f t="array" ref="F853">_xlfn.IFS(Healthcare!$E853&lt;5.7,"normal",Healthcare!$E853&lt;=6.4,"prediabetes",Healthcare!$E853&gt;=6.5,"diabetes")</f>
        <v>normal</v>
      </c>
      <c r="G853" s="7" t="s">
        <v>20</v>
      </c>
      <c r="H853" s="7" t="s">
        <v>19</v>
      </c>
      <c r="I853" s="7" t="s">
        <v>29</v>
      </c>
      <c r="J853" s="7">
        <v>1</v>
      </c>
      <c r="K853" s="7" t="s">
        <v>19</v>
      </c>
      <c r="L853" s="7" t="str">
        <f>VLOOKUP(Healthcare!$A853,hospital_details,2,0)</f>
        <v>26-Nov-1969</v>
      </c>
      <c r="M853" s="7">
        <f t="shared" ref="M853:M916" ca="1" si="5105">VLOOKUP(A853,hospital_details,3,0)</f>
        <v>56</v>
      </c>
      <c r="N853" s="7">
        <f t="shared" ref="N853:N916" si="5106">VLOOKUP($A853,hospital_details,4,0)</f>
        <v>0</v>
      </c>
      <c r="O853" s="8">
        <f t="shared" ref="O853:O916" si="5107">VLOOKUP($A853,hospital_details,5,0)</f>
        <v>12579.92</v>
      </c>
      <c r="P853" s="7" t="str">
        <f t="shared" ref="P853:P916" si="5108">VLOOKUP($A853,hospital_details,6,0)</f>
        <v>tier - 3</v>
      </c>
      <c r="Q853" s="7" t="str">
        <f t="shared" ref="Q853:Q916" si="5109">VLOOKUP($A853,hospital_details,7,0)</f>
        <v>tier - 1</v>
      </c>
      <c r="R853" s="7" t="str">
        <f t="shared" ref="R853:R916" si="5110">VLOOKUP($A853,hospital_details,8,0)</f>
        <v>R1025</v>
      </c>
    </row>
    <row r="854" spans="1:18" ht="14.4" customHeight="1" x14ac:dyDescent="0.3">
      <c r="A854" s="5" t="s">
        <v>874</v>
      </c>
      <c r="B854" s="5" t="str">
        <f>VLOOKUP($A854,[1]!Customer_Names[#Data],3,0)</f>
        <v xml:space="preserve">  Joshua</v>
      </c>
      <c r="C854" s="5">
        <v>43.4</v>
      </c>
      <c r="D854" s="5" t="str" cm="1">
        <f t="array" ref="D854">_xlfn.IFS(Healthcare!$C854&lt;18.5,"under weight",Healthcare!$C854&lt;=24.9,"Normal Weight",Healthcare!$C854&gt;=25,"overweight",Healthcare!$C854&gt;=30,"obese")</f>
        <v>overweight</v>
      </c>
      <c r="E854" s="5">
        <v>8.81</v>
      </c>
      <c r="F854" s="5" t="str" cm="1">
        <f t="array" ref="F854">_xlfn.IFS(Healthcare!$E854&lt;5.7,"normal",Healthcare!$E854&lt;=6.4,"prediabetes",Healthcare!$E854&gt;=6.5,"diabetes")</f>
        <v>diabetes</v>
      </c>
      <c r="G854" s="5" t="s">
        <v>20</v>
      </c>
      <c r="H854" s="5" t="s">
        <v>19</v>
      </c>
      <c r="I854" s="5" t="s">
        <v>19</v>
      </c>
      <c r="J854" s="5">
        <v>2</v>
      </c>
      <c r="K854" s="5" t="s">
        <v>19</v>
      </c>
      <c r="L854" s="5" t="str">
        <f>VLOOKUP(Healthcare!$A854,hospital_details,2,0)</f>
        <v>28-Nov-1961</v>
      </c>
      <c r="M854" s="5">
        <f t="shared" ref="M854:M917" ca="1" si="5111">VLOOKUP(A854,hospital_details,3,0)</f>
        <v>64</v>
      </c>
      <c r="N854" s="5">
        <f t="shared" ref="N854:N917" si="5112">VLOOKUP($A854,hospital_details,4,0)</f>
        <v>0</v>
      </c>
      <c r="O854" s="6">
        <f t="shared" ref="O854:O917" si="5113">VLOOKUP($A854,hospital_details,5,0)</f>
        <v>12574.05</v>
      </c>
      <c r="P854" s="5" t="str">
        <f t="shared" ref="P854:P917" si="5114">VLOOKUP($A854,hospital_details,6,0)</f>
        <v>tier - 3</v>
      </c>
      <c r="Q854" s="5" t="str">
        <f t="shared" ref="Q854:Q917" si="5115">VLOOKUP($A854,hospital_details,7,0)</f>
        <v>tier - 1</v>
      </c>
      <c r="R854" s="5" t="str">
        <f t="shared" ref="R854:R917" si="5116">VLOOKUP($A854,hospital_details,8,0)</f>
        <v>R1011</v>
      </c>
    </row>
    <row r="855" spans="1:18" ht="14.4" customHeight="1" x14ac:dyDescent="0.3">
      <c r="A855" s="7" t="s">
        <v>875</v>
      </c>
      <c r="B855" s="7" t="str">
        <f>VLOOKUP($A855,[1]!Customer_Names[#Data],3,0)</f>
        <v xml:space="preserve">  C Fred</v>
      </c>
      <c r="C855" s="7">
        <v>31.57</v>
      </c>
      <c r="D855" s="7" t="str" cm="1">
        <f t="array" ref="D855">_xlfn.IFS(Healthcare!$C855&lt;18.5,"under weight",Healthcare!$C855&lt;=24.9,"Normal Weight",Healthcare!$C855&gt;=25,"overweight",Healthcare!$C855&gt;=30,"obese")</f>
        <v>overweight</v>
      </c>
      <c r="E855" s="7">
        <v>7.92</v>
      </c>
      <c r="F855" s="7" t="str" cm="1">
        <f t="array" ref="F855">_xlfn.IFS(Healthcare!$E855&lt;5.7,"normal",Healthcare!$E855&lt;=6.4,"prediabetes",Healthcare!$E855&gt;=6.5,"diabetes")</f>
        <v>diabetes</v>
      </c>
      <c r="G855" s="7" t="s">
        <v>20</v>
      </c>
      <c r="H855" s="7" t="s">
        <v>19</v>
      </c>
      <c r="I855" s="7" t="s">
        <v>19</v>
      </c>
      <c r="J855" s="7">
        <v>2</v>
      </c>
      <c r="K855" s="7" t="s">
        <v>19</v>
      </c>
      <c r="L855" s="7" t="str">
        <f>VLOOKUP(Healthcare!$A855,hospital_details,2,0)</f>
        <v>28-Nov-1961</v>
      </c>
      <c r="M855" s="7">
        <f t="shared" ref="M855:M918" ca="1" si="5117">VLOOKUP(A855,hospital_details,3,0)</f>
        <v>64</v>
      </c>
      <c r="N855" s="7">
        <f t="shared" ref="N855:N918" si="5118">VLOOKUP($A855,hospital_details,4,0)</f>
        <v>0</v>
      </c>
      <c r="O855" s="8">
        <f t="shared" ref="O855:O918" si="5119">VLOOKUP($A855,hospital_details,5,0)</f>
        <v>12557.61</v>
      </c>
      <c r="P855" s="7" t="str">
        <f t="shared" ref="P855:P918" si="5120">VLOOKUP($A855,hospital_details,6,0)</f>
        <v>tier - 3</v>
      </c>
      <c r="Q855" s="7" t="str">
        <f t="shared" ref="Q855:Q918" si="5121">VLOOKUP($A855,hospital_details,7,0)</f>
        <v>tier - 3</v>
      </c>
      <c r="R855" s="7" t="str">
        <f t="shared" ref="R855:R918" si="5122">VLOOKUP($A855,hospital_details,8,0)</f>
        <v>R1013</v>
      </c>
    </row>
    <row r="856" spans="1:18" ht="14.4" customHeight="1" x14ac:dyDescent="0.3">
      <c r="A856" s="5" t="s">
        <v>876</v>
      </c>
      <c r="B856" s="5" t="str">
        <f>VLOOKUP($A856,[1]!Customer_Names[#Data],3,0)</f>
        <v xml:space="preserve">  Jeremy</v>
      </c>
      <c r="C856" s="5">
        <v>24.32</v>
      </c>
      <c r="D856" s="5" t="str" cm="1">
        <f t="array" ref="D856">_xlfn.IFS(Healthcare!$C856&lt;18.5,"under weight",Healthcare!$C856&lt;=24.9,"Normal Weight",Healthcare!$C856&gt;=25,"overweight",Healthcare!$C856&gt;=30,"obese")</f>
        <v>Normal Weight</v>
      </c>
      <c r="E856" s="5">
        <v>7.48</v>
      </c>
      <c r="F856" s="5" t="str" cm="1">
        <f t="array" ref="F856">_xlfn.IFS(Healthcare!$E856&lt;5.7,"normal",Healthcare!$E856&lt;=6.4,"prediabetes",Healthcare!$E856&gt;=6.5,"diabetes")</f>
        <v>diabetes</v>
      </c>
      <c r="G856" s="5" t="s">
        <v>19</v>
      </c>
      <c r="H856" s="5" t="s">
        <v>19</v>
      </c>
      <c r="I856" s="5" t="s">
        <v>19</v>
      </c>
      <c r="J856" s="5">
        <v>0</v>
      </c>
      <c r="K856" s="5" t="s">
        <v>19</v>
      </c>
      <c r="L856" s="5" t="str">
        <f>VLOOKUP(Healthcare!$A856,hospital_details,2,0)</f>
        <v>16-Oct-1962</v>
      </c>
      <c r="M856" s="5">
        <f t="shared" ref="M856:M919" ca="1" si="5123">VLOOKUP(A856,hospital_details,3,0)</f>
        <v>64</v>
      </c>
      <c r="N856" s="5">
        <f t="shared" ref="N856:N919" si="5124">VLOOKUP($A856,hospital_details,4,0)</f>
        <v>0</v>
      </c>
      <c r="O856" s="6">
        <f t="shared" ref="O856:O919" si="5125">VLOOKUP($A856,hospital_details,5,0)</f>
        <v>12523.6</v>
      </c>
      <c r="P856" s="5" t="str">
        <f t="shared" ref="P856:P919" si="5126">VLOOKUP($A856,hospital_details,6,0)</f>
        <v>tier - 3</v>
      </c>
      <c r="Q856" s="5" t="str">
        <f t="shared" ref="Q856:Q919" si="5127">VLOOKUP($A856,hospital_details,7,0)</f>
        <v>tier - 3</v>
      </c>
      <c r="R856" s="5" t="str">
        <f t="shared" ref="R856:R919" si="5128">VLOOKUP($A856,hospital_details,8,0)</f>
        <v>R1012</v>
      </c>
    </row>
    <row r="857" spans="1:18" ht="14.4" customHeight="1" x14ac:dyDescent="0.3">
      <c r="A857" s="7" t="s">
        <v>877</v>
      </c>
      <c r="B857" s="7" t="str">
        <f>VLOOKUP($A857,[1]!Customer_Names[#Data],3,0)</f>
        <v xml:space="preserve">  Patrick Sr</v>
      </c>
      <c r="C857" s="7">
        <v>31.07</v>
      </c>
      <c r="D857" s="7" t="str" cm="1">
        <f t="array" ref="D857">_xlfn.IFS(Healthcare!$C857&lt;18.5,"under weight",Healthcare!$C857&lt;=24.9,"Normal Weight",Healthcare!$C857&gt;=25,"overweight",Healthcare!$C857&gt;=30,"obese")</f>
        <v>overweight</v>
      </c>
      <c r="E857" s="7">
        <v>4.62</v>
      </c>
      <c r="F857" s="7" t="str" cm="1">
        <f t="array" ref="F857">_xlfn.IFS(Healthcare!$E857&lt;5.7,"normal",Healthcare!$E857&lt;=6.4,"prediabetes",Healthcare!$E857&gt;=6.5,"diabetes")</f>
        <v>normal</v>
      </c>
      <c r="G857" s="7" t="s">
        <v>20</v>
      </c>
      <c r="H857" s="7" t="s">
        <v>19</v>
      </c>
      <c r="I857" s="7" t="s">
        <v>19</v>
      </c>
      <c r="J857" s="7">
        <v>2</v>
      </c>
      <c r="K857" s="7" t="s">
        <v>19</v>
      </c>
      <c r="L857" s="7" t="str">
        <f>VLOOKUP(Healthcare!$A857,hospital_details,2,0)</f>
        <v>12-Jul-1966</v>
      </c>
      <c r="M857" s="7">
        <f t="shared" ref="M857:M920" ca="1" si="5129">VLOOKUP(A857,hospital_details,3,0)</f>
        <v>60</v>
      </c>
      <c r="N857" s="7">
        <f t="shared" ref="N857:N920" si="5130">VLOOKUP($A857,hospital_details,4,0)</f>
        <v>0</v>
      </c>
      <c r="O857" s="8">
        <f t="shared" ref="O857:O920" si="5131">VLOOKUP($A857,hospital_details,5,0)</f>
        <v>12499.88</v>
      </c>
      <c r="P857" s="7" t="str">
        <f t="shared" ref="P857:P920" si="5132">VLOOKUP($A857,hospital_details,6,0)</f>
        <v>tier - 3</v>
      </c>
      <c r="Q857" s="7" t="str">
        <f t="shared" ref="Q857:Q920" si="5133">VLOOKUP($A857,hospital_details,7,0)</f>
        <v>tier - 2</v>
      </c>
      <c r="R857" s="7" t="str">
        <f t="shared" ref="R857:R920" si="5134">VLOOKUP($A857,hospital_details,8,0)</f>
        <v>R1012</v>
      </c>
    </row>
    <row r="858" spans="1:18" ht="14.4" customHeight="1" x14ac:dyDescent="0.3">
      <c r="A858" s="5" t="s">
        <v>878</v>
      </c>
      <c r="B858" s="5" t="str">
        <f>VLOOKUP($A858,[1]!Customer_Names[#Data],3,0)</f>
        <v xml:space="preserve">  Kelly M</v>
      </c>
      <c r="C858" s="5">
        <v>35.814999999999998</v>
      </c>
      <c r="D858" s="5" t="str" cm="1">
        <f t="array" ref="D858">_xlfn.IFS(Healthcare!$C858&lt;18.5,"under weight",Healthcare!$C858&lt;=24.9,"Normal Weight",Healthcare!$C858&gt;=25,"overweight",Healthcare!$C858&gt;=30,"obese")</f>
        <v>overweight</v>
      </c>
      <c r="E858" s="5">
        <v>8.4700000000000006</v>
      </c>
      <c r="F858" s="5" t="str" cm="1">
        <f t="array" ref="F858">_xlfn.IFS(Healthcare!$E858&lt;5.7,"normal",Healthcare!$E858&lt;=6.4,"prediabetes",Healthcare!$E858&gt;=6.5,"diabetes")</f>
        <v>diabetes</v>
      </c>
      <c r="G858" s="5" t="s">
        <v>19</v>
      </c>
      <c r="H858" s="5" t="s">
        <v>19</v>
      </c>
      <c r="I858" s="5" t="s">
        <v>19</v>
      </c>
      <c r="J858" s="5">
        <v>0</v>
      </c>
      <c r="K858" s="5" t="s">
        <v>19</v>
      </c>
      <c r="L858" s="5" t="str">
        <f>VLOOKUP(Healthcare!$A858,hospital_details,2,0)</f>
        <v>3-Dec-1968</v>
      </c>
      <c r="M858" s="5">
        <f t="shared" ref="M858:M921" ca="1" si="5135">VLOOKUP(A858,hospital_details,3,0)</f>
        <v>57</v>
      </c>
      <c r="N858" s="5">
        <f t="shared" ref="N858:N921" si="5136">VLOOKUP($A858,hospital_details,4,0)</f>
        <v>3</v>
      </c>
      <c r="O858" s="6">
        <f t="shared" ref="O858:O921" si="5137">VLOOKUP($A858,hospital_details,5,0)</f>
        <v>12495.29</v>
      </c>
      <c r="P858" s="5" t="str">
        <f t="shared" ref="P858:P921" si="5138">VLOOKUP($A858,hospital_details,6,0)</f>
        <v>tier - 3</v>
      </c>
      <c r="Q858" s="5" t="str">
        <f t="shared" ref="Q858:Q921" si="5139">VLOOKUP($A858,hospital_details,7,0)</f>
        <v>tier - 3</v>
      </c>
      <c r="R858" s="5" t="str">
        <f t="shared" ref="R858:R921" si="5140">VLOOKUP($A858,hospital_details,8,0)</f>
        <v>R1012</v>
      </c>
    </row>
    <row r="859" spans="1:18" ht="14.4" customHeight="1" x14ac:dyDescent="0.3">
      <c r="A859" s="7" t="s">
        <v>879</v>
      </c>
      <c r="B859" s="7" t="str">
        <f>VLOOKUP($A859,[1]!Customer_Names[#Data],3,0)</f>
        <v xml:space="preserve">  Katherine</v>
      </c>
      <c r="C859" s="7">
        <v>40.81</v>
      </c>
      <c r="D859" s="7" t="str" cm="1">
        <f t="array" ref="D859">_xlfn.IFS(Healthcare!$C859&lt;18.5,"under weight",Healthcare!$C859&lt;=24.9,"Normal Weight",Healthcare!$C859&gt;=25,"overweight",Healthcare!$C859&gt;=30,"obese")</f>
        <v>overweight</v>
      </c>
      <c r="E859" s="7">
        <v>10.58</v>
      </c>
      <c r="F859" s="7" t="str" cm="1">
        <f t="array" ref="F859">_xlfn.IFS(Healthcare!$E859&lt;5.7,"normal",Healthcare!$E859&lt;=6.4,"prediabetes",Healthcare!$E859&gt;=6.5,"diabetes")</f>
        <v>diabetes</v>
      </c>
      <c r="G859" s="7" t="s">
        <v>20</v>
      </c>
      <c r="H859" s="7" t="s">
        <v>19</v>
      </c>
      <c r="I859" s="7" t="s">
        <v>19</v>
      </c>
      <c r="J859" s="7">
        <v>0</v>
      </c>
      <c r="K859" s="7" t="s">
        <v>19</v>
      </c>
      <c r="L859" s="7" t="str">
        <f>VLOOKUP(Healthcare!$A859,hospital_details,2,0)</f>
        <v>1-Sep-1967</v>
      </c>
      <c r="M859" s="7">
        <f t="shared" ref="M859:M922" ca="1" si="5141">VLOOKUP(A859,hospital_details,3,0)</f>
        <v>59</v>
      </c>
      <c r="N859" s="7">
        <f t="shared" ref="N859:N922" si="5142">VLOOKUP($A859,hospital_details,4,0)</f>
        <v>3</v>
      </c>
      <c r="O859" s="8">
        <f t="shared" ref="O859:O922" si="5143">VLOOKUP($A859,hospital_details,5,0)</f>
        <v>12485.8</v>
      </c>
      <c r="P859" s="7" t="str">
        <f t="shared" ref="P859:P922" si="5144">VLOOKUP($A859,hospital_details,6,0)</f>
        <v>tier - 3</v>
      </c>
      <c r="Q859" s="7" t="str">
        <f t="shared" ref="Q859:Q922" si="5145">VLOOKUP($A859,hospital_details,7,0)</f>
        <v>tier - 3</v>
      </c>
      <c r="R859" s="7" t="str">
        <f t="shared" ref="R859:R922" si="5146">VLOOKUP($A859,hospital_details,8,0)</f>
        <v>R1013</v>
      </c>
    </row>
    <row r="860" spans="1:18" ht="14.4" customHeight="1" x14ac:dyDescent="0.3">
      <c r="A860" s="5" t="s">
        <v>880</v>
      </c>
      <c r="B860" s="5" t="str">
        <f>VLOOKUP($A860,[1]!Customer_Names[#Data],3,0)</f>
        <v xml:space="preserve">  Keila L</v>
      </c>
      <c r="C860" s="5">
        <v>24.605</v>
      </c>
      <c r="D860" s="5" t="str" cm="1">
        <f t="array" ref="D860">_xlfn.IFS(Healthcare!$C860&lt;18.5,"under weight",Healthcare!$C860&lt;=24.9,"Normal Weight",Healthcare!$C860&gt;=25,"overweight",Healthcare!$C860&gt;=30,"obese")</f>
        <v>Normal Weight</v>
      </c>
      <c r="E860" s="5">
        <v>7.48</v>
      </c>
      <c r="F860" s="5" t="str" cm="1">
        <f t="array" ref="F860">_xlfn.IFS(Healthcare!$E860&lt;5.7,"normal",Healthcare!$E860&lt;=6.4,"prediabetes",Healthcare!$E860&gt;=6.5,"diabetes")</f>
        <v>diabetes</v>
      </c>
      <c r="G860" s="5" t="s">
        <v>19</v>
      </c>
      <c r="H860" s="5" t="s">
        <v>19</v>
      </c>
      <c r="I860" s="5" t="s">
        <v>19</v>
      </c>
      <c r="J860" s="5">
        <v>0</v>
      </c>
      <c r="K860" s="5" t="s">
        <v>19</v>
      </c>
      <c r="L860" s="5" t="str">
        <f>VLOOKUP(Healthcare!$A860,hospital_details,2,0)</f>
        <v>12-Nov-1968</v>
      </c>
      <c r="M860" s="5">
        <f t="shared" ref="M860:M923" ca="1" si="5147">VLOOKUP(A860,hospital_details,3,0)</f>
        <v>57</v>
      </c>
      <c r="N860" s="5">
        <f t="shared" ref="N860:N923" si="5148">VLOOKUP($A860,hospital_details,4,0)</f>
        <v>3</v>
      </c>
      <c r="O860" s="6">
        <f t="shared" ref="O860:O923" si="5149">VLOOKUP($A860,hospital_details,5,0)</f>
        <v>12479.71</v>
      </c>
      <c r="P860" s="5" t="str">
        <f t="shared" ref="P860:P923" si="5150">VLOOKUP($A860,hospital_details,6,0)</f>
        <v>tier - 3</v>
      </c>
      <c r="Q860" s="5" t="str">
        <f t="shared" ref="Q860:Q923" si="5151">VLOOKUP($A860,hospital_details,7,0)</f>
        <v>tier - 3</v>
      </c>
      <c r="R860" s="5" t="str">
        <f t="shared" ref="R860:R923" si="5152">VLOOKUP($A860,hospital_details,8,0)</f>
        <v>R1012</v>
      </c>
    </row>
    <row r="861" spans="1:18" ht="14.4" customHeight="1" x14ac:dyDescent="0.3">
      <c r="A861" s="7" t="s">
        <v>881</v>
      </c>
      <c r="B861" s="7" t="str">
        <f>VLOOKUP($A861,[1]!Customer_Names[#Data],3,0)</f>
        <v xml:space="preserve">  Zanae E</v>
      </c>
      <c r="C861" s="7">
        <v>21.47</v>
      </c>
      <c r="D861" s="7" t="str" cm="1">
        <f t="array" ref="D861">_xlfn.IFS(Healthcare!$C861&lt;18.5,"under weight",Healthcare!$C861&lt;=24.9,"Normal Weight",Healthcare!$C861&gt;=25,"overweight",Healthcare!$C861&gt;=30,"obese")</f>
        <v>Normal Weight</v>
      </c>
      <c r="E861" s="7">
        <v>7.82</v>
      </c>
      <c r="F861" s="7" t="str" cm="1">
        <f t="array" ref="F861">_xlfn.IFS(Healthcare!$E861&lt;5.7,"normal",Healthcare!$E861&lt;=6.4,"prediabetes",Healthcare!$E861&gt;=6.5,"diabetes")</f>
        <v>diabetes</v>
      </c>
      <c r="G861" s="7" t="s">
        <v>19</v>
      </c>
      <c r="H861" s="7" t="s">
        <v>19</v>
      </c>
      <c r="I861" s="7" t="s">
        <v>19</v>
      </c>
      <c r="J861" s="7">
        <v>0</v>
      </c>
      <c r="K861" s="7" t="s">
        <v>19</v>
      </c>
      <c r="L861" s="7" t="str">
        <f>VLOOKUP(Healthcare!$A861,hospital_details,2,0)</f>
        <v>26-Nov-1968</v>
      </c>
      <c r="M861" s="7">
        <f t="shared" ref="M861:M924" ca="1" si="5153">VLOOKUP(A861,hospital_details,3,0)</f>
        <v>57</v>
      </c>
      <c r="N861" s="7">
        <f t="shared" ref="N861:N924" si="5154">VLOOKUP($A861,hospital_details,4,0)</f>
        <v>3</v>
      </c>
      <c r="O861" s="8">
        <f t="shared" ref="O861:O924" si="5155">VLOOKUP($A861,hospital_details,5,0)</f>
        <v>12475.35</v>
      </c>
      <c r="P861" s="7" t="str">
        <f t="shared" ref="P861:P924" si="5156">VLOOKUP($A861,hospital_details,6,0)</f>
        <v>tier - 3</v>
      </c>
      <c r="Q861" s="7" t="str">
        <f t="shared" ref="Q861:Q924" si="5157">VLOOKUP($A861,hospital_details,7,0)</f>
        <v>tier - 1</v>
      </c>
      <c r="R861" s="7" t="str">
        <f t="shared" ref="R861:R924" si="5158">VLOOKUP($A861,hospital_details,8,0)</f>
        <v>R1012</v>
      </c>
    </row>
    <row r="862" spans="1:18" ht="14.4" customHeight="1" x14ac:dyDescent="0.3">
      <c r="A862" s="5" t="s">
        <v>882</v>
      </c>
      <c r="B862" s="5" t="str">
        <f>VLOOKUP($A862,[1]!Customer_Names[#Data],3,0)</f>
        <v xml:space="preserve">  Alex</v>
      </c>
      <c r="C862" s="5">
        <v>52.89</v>
      </c>
      <c r="D862" s="5" t="str" cm="1">
        <f t="array" ref="D862">_xlfn.IFS(Healthcare!$C862&lt;18.5,"under weight",Healthcare!$C862&lt;=24.9,"Normal Weight",Healthcare!$C862&gt;=25,"overweight",Healthcare!$C862&gt;=30,"obese")</f>
        <v>overweight</v>
      </c>
      <c r="E862" s="5">
        <v>4.96</v>
      </c>
      <c r="F862" s="5" t="str" cm="1">
        <f t="array" ref="F862">_xlfn.IFS(Healthcare!$E862&lt;5.7,"normal",Healthcare!$E862&lt;=6.4,"prediabetes",Healthcare!$E862&gt;=6.5,"diabetes")</f>
        <v>normal</v>
      </c>
      <c r="G862" s="5" t="s">
        <v>20</v>
      </c>
      <c r="H862" s="5" t="s">
        <v>19</v>
      </c>
      <c r="I862" s="5" t="s">
        <v>19</v>
      </c>
      <c r="J862" s="5">
        <v>1</v>
      </c>
      <c r="K862" s="5" t="s">
        <v>19</v>
      </c>
      <c r="L862" s="5" t="str">
        <f>VLOOKUP(Healthcare!$A862,hospital_details,2,0)</f>
        <v>9-Aug-1995</v>
      </c>
      <c r="M862" s="5">
        <f t="shared" ref="M862:M925" ca="1" si="5159">VLOOKUP(A862,hospital_details,3,0)</f>
        <v>31</v>
      </c>
      <c r="N862" s="5">
        <f t="shared" ref="N862:N925" si="5160">VLOOKUP($A862,hospital_details,4,0)</f>
        <v>0</v>
      </c>
      <c r="O862" s="6">
        <f t="shared" ref="O862:O925" si="5161">VLOOKUP($A862,hospital_details,5,0)</f>
        <v>12452.25</v>
      </c>
      <c r="P862" s="5" t="str">
        <f t="shared" ref="P862:P925" si="5162">VLOOKUP($A862,hospital_details,6,0)</f>
        <v>tier - 3</v>
      </c>
      <c r="Q862" s="5" t="str">
        <f t="shared" ref="Q862:Q925" si="5163">VLOOKUP($A862,hospital_details,7,0)</f>
        <v>tier - 3</v>
      </c>
      <c r="R862" s="5" t="str">
        <f t="shared" ref="R862:R925" si="5164">VLOOKUP($A862,hospital_details,8,0)</f>
        <v>R1012</v>
      </c>
    </row>
    <row r="863" spans="1:18" ht="14.4" customHeight="1" x14ac:dyDescent="0.3">
      <c r="A863" s="7" t="s">
        <v>883</v>
      </c>
      <c r="B863" s="7" t="str">
        <f>VLOOKUP($A863,[1]!Customer_Names[#Data],3,0)</f>
        <v xml:space="preserve">  Kathryn</v>
      </c>
      <c r="C863" s="7">
        <v>32.965000000000003</v>
      </c>
      <c r="D863" s="7" t="str" cm="1">
        <f t="array" ref="D863">_xlfn.IFS(Healthcare!$C863&lt;18.5,"under weight",Healthcare!$C863&lt;=24.9,"Normal Weight",Healthcare!$C863&gt;=25,"overweight",Healthcare!$C863&gt;=30,"obese")</f>
        <v>overweight</v>
      </c>
      <c r="E863" s="7">
        <v>6.15</v>
      </c>
      <c r="F863" s="7" t="str" cm="1">
        <f t="array" ref="F863">_xlfn.IFS(Healthcare!$E863&lt;5.7,"normal",Healthcare!$E863&lt;=6.4,"prediabetes",Healthcare!$E863&gt;=6.5,"diabetes")</f>
        <v>prediabetes</v>
      </c>
      <c r="G863" s="7" t="s">
        <v>20</v>
      </c>
      <c r="H863" s="7" t="s">
        <v>19</v>
      </c>
      <c r="I863" s="7" t="s">
        <v>19</v>
      </c>
      <c r="J863" s="7">
        <v>1</v>
      </c>
      <c r="K863" s="7" t="s">
        <v>19</v>
      </c>
      <c r="L863" s="7" t="str">
        <f>VLOOKUP(Healthcare!$A863,hospital_details,2,0)</f>
        <v>4-Aug-1964</v>
      </c>
      <c r="M863" s="7">
        <f t="shared" ref="M863:M926" ca="1" si="5165">VLOOKUP(A863,hospital_details,3,0)</f>
        <v>62</v>
      </c>
      <c r="N863" s="7">
        <f t="shared" ref="N863:N926" si="5166">VLOOKUP($A863,hospital_details,4,0)</f>
        <v>0</v>
      </c>
      <c r="O863" s="8">
        <f t="shared" ref="O863:O926" si="5167">VLOOKUP($A863,hospital_details,5,0)</f>
        <v>12430.95</v>
      </c>
      <c r="P863" s="7" t="str">
        <f t="shared" ref="P863:P926" si="5168">VLOOKUP($A863,hospital_details,6,0)</f>
        <v>tier - 3</v>
      </c>
      <c r="Q863" s="7" t="str">
        <f t="shared" ref="Q863:Q926" si="5169">VLOOKUP($A863,hospital_details,7,0)</f>
        <v>tier - 3</v>
      </c>
      <c r="R863" s="7" t="str">
        <f t="shared" ref="R863:R926" si="5170">VLOOKUP($A863,hospital_details,8,0)</f>
        <v>R1024</v>
      </c>
    </row>
    <row r="864" spans="1:18" ht="14.4" customHeight="1" x14ac:dyDescent="0.3">
      <c r="A864" s="5" t="s">
        <v>884</v>
      </c>
      <c r="B864" s="5" t="str">
        <f>VLOOKUP($A864,[1]!Customer_Names[#Data],3,0)</f>
        <v xml:space="preserve">  Jason L</v>
      </c>
      <c r="C864" s="5">
        <v>36.799999999999997</v>
      </c>
      <c r="D864" s="5" t="str" cm="1">
        <f t="array" ref="D864">_xlfn.IFS(Healthcare!$C864&lt;18.5,"under weight",Healthcare!$C864&lt;=24.9,"Normal Weight",Healthcare!$C864&gt;=25,"overweight",Healthcare!$C864&gt;=30,"obese")</f>
        <v>overweight</v>
      </c>
      <c r="E864" s="5">
        <v>4.62</v>
      </c>
      <c r="F864" s="5" t="str" cm="1">
        <f t="array" ref="F864">_xlfn.IFS(Healthcare!$E864&lt;5.7,"normal",Healthcare!$E864&lt;=6.4,"prediabetes",Healthcare!$E864&gt;=6.5,"diabetes")</f>
        <v>normal</v>
      </c>
      <c r="G864" s="5" t="s">
        <v>19</v>
      </c>
      <c r="H864" s="5" t="s">
        <v>19</v>
      </c>
      <c r="I864" s="5" t="s">
        <v>29</v>
      </c>
      <c r="J864" s="5">
        <v>1</v>
      </c>
      <c r="K864" s="5" t="s">
        <v>19</v>
      </c>
      <c r="L864" s="5" t="str">
        <f>VLOOKUP(Healthcare!$A864,hospital_details,2,0)</f>
        <v>14-Jul-1979</v>
      </c>
      <c r="M864" s="5">
        <f t="shared" ref="M864:M927" ca="1" si="5171">VLOOKUP(A864,hospital_details,3,0)</f>
        <v>47</v>
      </c>
      <c r="N864" s="5">
        <f t="shared" ref="N864:N927" si="5172">VLOOKUP($A864,hospital_details,4,0)</f>
        <v>2</v>
      </c>
      <c r="O864" s="6">
        <f t="shared" ref="O864:O927" si="5173">VLOOKUP($A864,hospital_details,5,0)</f>
        <v>12408.29</v>
      </c>
      <c r="P864" s="5" t="str">
        <f t="shared" ref="P864:P927" si="5174">VLOOKUP($A864,hospital_details,6,0)</f>
        <v>tier - 3</v>
      </c>
      <c r="Q864" s="5" t="str">
        <f t="shared" ref="Q864:Q927" si="5175">VLOOKUP($A864,hospital_details,7,0)</f>
        <v>tier - 1</v>
      </c>
      <c r="R864" s="5" t="str">
        <f t="shared" ref="R864:R927" si="5176">VLOOKUP($A864,hospital_details,8,0)</f>
        <v>R1022</v>
      </c>
    </row>
    <row r="865" spans="1:18" ht="14.4" customHeight="1" x14ac:dyDescent="0.3">
      <c r="A865" s="7" t="s">
        <v>885</v>
      </c>
      <c r="B865" s="7" t="str">
        <f>VLOOKUP($A865,[1]!Customer_Names[#Data],3,0)</f>
        <v xml:space="preserve">  Benjamin J</v>
      </c>
      <c r="C865" s="7">
        <v>34.299999999999997</v>
      </c>
      <c r="D865" s="7" t="str" cm="1">
        <f t="array" ref="D865">_xlfn.IFS(Healthcare!$C865&lt;18.5,"under weight",Healthcare!$C865&lt;=24.9,"Normal Weight",Healthcare!$C865&gt;=25,"overweight",Healthcare!$C865&gt;=30,"obese")</f>
        <v>overweight</v>
      </c>
      <c r="E865" s="7">
        <v>4.87</v>
      </c>
      <c r="F865" s="7" t="str" cm="1">
        <f t="array" ref="F865">_xlfn.IFS(Healthcare!$E865&lt;5.7,"normal",Healthcare!$E865&lt;=6.4,"prediabetes",Healthcare!$E865&gt;=6.5,"diabetes")</f>
        <v>normal</v>
      </c>
      <c r="G865" s="7" t="s">
        <v>19</v>
      </c>
      <c r="H865" s="7" t="s">
        <v>19</v>
      </c>
      <c r="I865" s="7" t="s">
        <v>19</v>
      </c>
      <c r="J865" s="7">
        <v>2</v>
      </c>
      <c r="K865" s="7" t="s">
        <v>19</v>
      </c>
      <c r="L865" s="7" t="str">
        <f>VLOOKUP(Healthcare!$A865,hospital_details,2,0)</f>
        <v>21-Aug-1972</v>
      </c>
      <c r="M865" s="7">
        <f t="shared" ref="M865:M928" ca="1" si="5177">VLOOKUP(A865,hospital_details,3,0)</f>
        <v>54</v>
      </c>
      <c r="N865" s="7">
        <f t="shared" ref="N865:N928" si="5178">VLOOKUP($A865,hospital_details,4,0)</f>
        <v>0</v>
      </c>
      <c r="O865" s="8">
        <f t="shared" ref="O865:O928" si="5179">VLOOKUP($A865,hospital_details,5,0)</f>
        <v>12407.3</v>
      </c>
      <c r="P865" s="7" t="str">
        <f t="shared" ref="P865:P928" si="5180">VLOOKUP($A865,hospital_details,6,0)</f>
        <v>tier - 3</v>
      </c>
      <c r="Q865" s="7" t="str">
        <f t="shared" ref="Q865:Q928" si="5181">VLOOKUP($A865,hospital_details,7,0)</f>
        <v>tier - 2</v>
      </c>
      <c r="R865" s="7" t="str">
        <f t="shared" ref="R865:R928" si="5182">VLOOKUP($A865,hospital_details,8,0)</f>
        <v>R1021</v>
      </c>
    </row>
    <row r="866" spans="1:18" ht="14.4" customHeight="1" x14ac:dyDescent="0.3">
      <c r="A866" s="5" t="s">
        <v>886</v>
      </c>
      <c r="B866" s="5" t="str">
        <f>VLOOKUP($A866,[1]!Customer_Names[#Data],3,0)</f>
        <v xml:space="preserve">  Steven M</v>
      </c>
      <c r="C866" s="5">
        <v>35.244999999999997</v>
      </c>
      <c r="D866" s="5" t="str" cm="1">
        <f t="array" ref="D866">_xlfn.IFS(Healthcare!$C866&lt;18.5,"under weight",Healthcare!$C866&lt;=24.9,"Normal Weight",Healthcare!$C866&gt;=25,"overweight",Healthcare!$C866&gt;=30,"obese")</f>
        <v>overweight</v>
      </c>
      <c r="E866" s="5">
        <v>4.63</v>
      </c>
      <c r="F866" s="5" t="str" cm="1">
        <f t="array" ref="F866">_xlfn.IFS(Healthcare!$E866&lt;5.7,"normal",Healthcare!$E866&lt;=6.4,"prediabetes",Healthcare!$E866&gt;=6.5,"diabetes")</f>
        <v>normal</v>
      </c>
      <c r="G866" s="5" t="s">
        <v>19</v>
      </c>
      <c r="H866" s="5" t="s">
        <v>19</v>
      </c>
      <c r="I866" s="5" t="s">
        <v>19</v>
      </c>
      <c r="J866" s="5">
        <v>0</v>
      </c>
      <c r="K866" s="5" t="s">
        <v>19</v>
      </c>
      <c r="L866" s="5" t="str">
        <f>VLOOKUP(Healthcare!$A866,hospital_details,2,0)</f>
        <v>29-Dec-1989</v>
      </c>
      <c r="M866" s="5">
        <f t="shared" ref="M866:M929" ca="1" si="5183">VLOOKUP(A866,hospital_details,3,0)</f>
        <v>36</v>
      </c>
      <c r="N866" s="5">
        <f t="shared" ref="N866:N929" si="5184">VLOOKUP($A866,hospital_details,4,0)</f>
        <v>0</v>
      </c>
      <c r="O866" s="6">
        <f t="shared" ref="O866:O929" si="5185">VLOOKUP($A866,hospital_details,5,0)</f>
        <v>12404.88</v>
      </c>
      <c r="P866" s="5" t="str">
        <f t="shared" ref="P866:P929" si="5186">VLOOKUP($A866,hospital_details,6,0)</f>
        <v>tier - 3</v>
      </c>
      <c r="Q866" s="5" t="str">
        <f t="shared" ref="Q866:Q929" si="5187">VLOOKUP($A866,hospital_details,7,0)</f>
        <v>tier - 3</v>
      </c>
      <c r="R866" s="5" t="str">
        <f t="shared" ref="R866:R929" si="5188">VLOOKUP($A866,hospital_details,8,0)</f>
        <v>R1016</v>
      </c>
    </row>
    <row r="867" spans="1:18" ht="14.4" customHeight="1" x14ac:dyDescent="0.3">
      <c r="A867" s="7" t="s">
        <v>887</v>
      </c>
      <c r="B867" s="7" t="str">
        <f>VLOOKUP($A867,[1]!Customer_Names[#Data],3,0)</f>
        <v xml:space="preserve">  Erika</v>
      </c>
      <c r="C867" s="7">
        <v>26.23</v>
      </c>
      <c r="D867" s="7" t="str" cm="1">
        <f t="array" ref="D867">_xlfn.IFS(Healthcare!$C867&lt;18.5,"under weight",Healthcare!$C867&lt;=24.9,"Normal Weight",Healthcare!$C867&gt;=25,"overweight",Healthcare!$C867&gt;=30,"obese")</f>
        <v>overweight</v>
      </c>
      <c r="E867" s="7">
        <v>11.93</v>
      </c>
      <c r="F867" s="7" t="str" cm="1">
        <f t="array" ref="F867">_xlfn.IFS(Healthcare!$E867&lt;5.7,"normal",Healthcare!$E867&lt;=6.4,"prediabetes",Healthcare!$E867&gt;=6.5,"diabetes")</f>
        <v>diabetes</v>
      </c>
      <c r="G867" s="7" t="s">
        <v>19</v>
      </c>
      <c r="H867" s="7" t="s">
        <v>19</v>
      </c>
      <c r="I867" s="7" t="s">
        <v>19</v>
      </c>
      <c r="J867" s="7">
        <v>0</v>
      </c>
      <c r="K867" s="7" t="s">
        <v>19</v>
      </c>
      <c r="L867" s="7" t="str">
        <f>VLOOKUP(Healthcare!$A867,hospital_details,2,0)</f>
        <v>26-Sep-1962</v>
      </c>
      <c r="M867" s="7">
        <f t="shared" ref="M867:M930" ca="1" si="5189">VLOOKUP(A867,hospital_details,3,0)</f>
        <v>64</v>
      </c>
      <c r="N867" s="7">
        <f t="shared" ref="N867:N930" si="5190">VLOOKUP($A867,hospital_details,4,0)</f>
        <v>0</v>
      </c>
      <c r="O867" s="8">
        <f t="shared" ref="O867:O930" si="5191">VLOOKUP($A867,hospital_details,5,0)</f>
        <v>12369.89</v>
      </c>
      <c r="P867" s="7" t="str">
        <f t="shared" ref="P867:P930" si="5192">VLOOKUP($A867,hospital_details,6,0)</f>
        <v>tier - 3</v>
      </c>
      <c r="Q867" s="7" t="str">
        <f t="shared" ref="Q867:Q930" si="5193">VLOOKUP($A867,hospital_details,7,0)</f>
        <v>tier - 2</v>
      </c>
      <c r="R867" s="7" t="str">
        <f t="shared" ref="R867:R930" si="5194">VLOOKUP($A867,hospital_details,8,0)</f>
        <v>R1024</v>
      </c>
    </row>
    <row r="868" spans="1:18" ht="14.4" customHeight="1" x14ac:dyDescent="0.3">
      <c r="A868" s="5" t="s">
        <v>888</v>
      </c>
      <c r="B868" s="5" t="str">
        <f>VLOOKUP($A868,[1]!Customer_Names[#Data],3,0)</f>
        <v xml:space="preserve">  Chad</v>
      </c>
      <c r="C868" s="5">
        <v>36.1</v>
      </c>
      <c r="D868" s="5" t="str" cm="1">
        <f t="array" ref="D868">_xlfn.IFS(Healthcare!$C868&lt;18.5,"under weight",Healthcare!$C868&lt;=24.9,"Normal Weight",Healthcare!$C868&gt;=25,"overweight",Healthcare!$C868&gt;=30,"obese")</f>
        <v>overweight</v>
      </c>
      <c r="E868" s="5">
        <v>5.65</v>
      </c>
      <c r="F868" s="5" t="str" cm="1">
        <f t="array" ref="F868">_xlfn.IFS(Healthcare!$E868&lt;5.7,"normal",Healthcare!$E868&lt;=6.4,"prediabetes",Healthcare!$E868&gt;=6.5,"diabetes")</f>
        <v>normal</v>
      </c>
      <c r="G868" s="5" t="s">
        <v>20</v>
      </c>
      <c r="H868" s="5" t="s">
        <v>19</v>
      </c>
      <c r="I868" s="5" t="s">
        <v>19</v>
      </c>
      <c r="J868" s="5">
        <v>2</v>
      </c>
      <c r="K868" s="5" t="s">
        <v>19</v>
      </c>
      <c r="L868" s="5" t="str">
        <f>VLOOKUP(Healthcare!$A868,hospital_details,2,0)</f>
        <v>29-Dec-1966</v>
      </c>
      <c r="M868" s="5">
        <f t="shared" ref="M868:M931" ca="1" si="5195">VLOOKUP(A868,hospital_details,3,0)</f>
        <v>59</v>
      </c>
      <c r="N868" s="5">
        <f t="shared" ref="N868:N931" si="5196">VLOOKUP($A868,hospital_details,4,0)</f>
        <v>3</v>
      </c>
      <c r="O868" s="6">
        <f t="shared" ref="O868:O931" si="5197">VLOOKUP($A868,hospital_details,5,0)</f>
        <v>12363.55</v>
      </c>
      <c r="P868" s="5" t="str">
        <f t="shared" ref="P868:P931" si="5198">VLOOKUP($A868,hospital_details,6,0)</f>
        <v>tier - 3</v>
      </c>
      <c r="Q868" s="5" t="str">
        <f t="shared" ref="Q868:Q931" si="5199">VLOOKUP($A868,hospital_details,7,0)</f>
        <v>tier - 3</v>
      </c>
      <c r="R868" s="5" t="str">
        <f t="shared" ref="R868:R931" si="5200">VLOOKUP($A868,hospital_details,8,0)</f>
        <v>R1011</v>
      </c>
    </row>
    <row r="869" spans="1:18" ht="14.4" customHeight="1" x14ac:dyDescent="0.3">
      <c r="A869" s="7" t="s">
        <v>889</v>
      </c>
      <c r="B869" s="7" t="str">
        <f>VLOOKUP($A869,[1]!Customer_Names[#Data],3,0)</f>
        <v xml:space="preserve">  Mark</v>
      </c>
      <c r="C869" s="7">
        <v>37.1</v>
      </c>
      <c r="D869" s="7" t="str" cm="1">
        <f t="array" ref="D869">_xlfn.IFS(Healthcare!$C869&lt;18.5,"under weight",Healthcare!$C869&lt;=24.9,"Normal Weight",Healthcare!$C869&gt;=25,"overweight",Healthcare!$C869&gt;=30,"obese")</f>
        <v>overweight</v>
      </c>
      <c r="E869" s="7">
        <v>11.21</v>
      </c>
      <c r="F869" s="7" t="str" cm="1">
        <f t="array" ref="F869">_xlfn.IFS(Healthcare!$E869&lt;5.7,"normal",Healthcare!$E869&lt;=6.4,"prediabetes",Healthcare!$E869&gt;=6.5,"diabetes")</f>
        <v>diabetes</v>
      </c>
      <c r="G869" s="7" t="s">
        <v>20</v>
      </c>
      <c r="H869" s="7" t="s">
        <v>19</v>
      </c>
      <c r="I869" s="7" t="s">
        <v>29</v>
      </c>
      <c r="J869" s="7">
        <v>1</v>
      </c>
      <c r="K869" s="7" t="s">
        <v>19</v>
      </c>
      <c r="L869" s="7" t="str">
        <f>VLOOKUP(Healthcare!$A869,hospital_details,2,0)</f>
        <v>22-Sep-1963</v>
      </c>
      <c r="M869" s="7">
        <f t="shared" ref="M869:M932" ca="1" si="5201">VLOOKUP(A869,hospital_details,3,0)</f>
        <v>63</v>
      </c>
      <c r="N869" s="7">
        <f t="shared" ref="N869:N932" si="5202">VLOOKUP($A869,hospital_details,4,0)</f>
        <v>1</v>
      </c>
      <c r="O869" s="8">
        <f t="shared" ref="O869:O932" si="5203">VLOOKUP($A869,hospital_details,5,0)</f>
        <v>12347.17</v>
      </c>
      <c r="P869" s="7" t="str">
        <f t="shared" ref="P869:P932" si="5204">VLOOKUP($A869,hospital_details,6,0)</f>
        <v>tier - 3</v>
      </c>
      <c r="Q869" s="7" t="str">
        <f t="shared" ref="Q869:Q932" si="5205">VLOOKUP($A869,hospital_details,7,0)</f>
        <v>tier - 3</v>
      </c>
      <c r="R869" s="7" t="str">
        <f t="shared" ref="R869:R932" si="5206">VLOOKUP($A869,hospital_details,8,0)</f>
        <v>R1011</v>
      </c>
    </row>
    <row r="870" spans="1:18" ht="14.4" customHeight="1" x14ac:dyDescent="0.3">
      <c r="A870" s="5" t="s">
        <v>890</v>
      </c>
      <c r="B870" s="5" t="str">
        <f>VLOOKUP($A870,[1]!Customer_Names[#Data],3,0)</f>
        <v xml:space="preserve">  David</v>
      </c>
      <c r="C870" s="5">
        <v>27.5</v>
      </c>
      <c r="D870" s="5" t="str" cm="1">
        <f t="array" ref="D870">_xlfn.IFS(Healthcare!$C870&lt;18.5,"under weight",Healthcare!$C870&lt;=24.9,"Normal Weight",Healthcare!$C870&gt;=25,"overweight",Healthcare!$C870&gt;=30,"obese")</f>
        <v>overweight</v>
      </c>
      <c r="E870" s="5">
        <v>10.62</v>
      </c>
      <c r="F870" s="5" t="str" cm="1">
        <f t="array" ref="F870">_xlfn.IFS(Healthcare!$E870&lt;5.7,"normal",Healthcare!$E870&lt;=6.4,"prediabetes",Healthcare!$E870&gt;=6.5,"diabetes")</f>
        <v>diabetes</v>
      </c>
      <c r="G870" s="5" t="s">
        <v>20</v>
      </c>
      <c r="H870" s="5" t="s">
        <v>19</v>
      </c>
      <c r="I870" s="5" t="s">
        <v>29</v>
      </c>
      <c r="J870" s="5">
        <v>1</v>
      </c>
      <c r="K870" s="5" t="s">
        <v>19</v>
      </c>
      <c r="L870" s="5" t="str">
        <f>VLOOKUP(Healthcare!$A870,hospital_details,2,0)</f>
        <v>2-Aug-1963</v>
      </c>
      <c r="M870" s="5">
        <f t="shared" ref="M870:M933" ca="1" si="5207">VLOOKUP(A870,hospital_details,3,0)</f>
        <v>63</v>
      </c>
      <c r="N870" s="5">
        <f t="shared" ref="N870:N933" si="5208">VLOOKUP($A870,hospital_details,4,0)</f>
        <v>1</v>
      </c>
      <c r="O870" s="6">
        <f t="shared" ref="O870:O933" si="5209">VLOOKUP($A870,hospital_details,5,0)</f>
        <v>12333.83</v>
      </c>
      <c r="P870" s="5" t="str">
        <f t="shared" ref="P870:P933" si="5210">VLOOKUP($A870,hospital_details,6,0)</f>
        <v>tier - 3</v>
      </c>
      <c r="Q870" s="5" t="str">
        <f t="shared" ref="Q870:Q933" si="5211">VLOOKUP($A870,hospital_details,7,0)</f>
        <v>tier - 2</v>
      </c>
      <c r="R870" s="5" t="str">
        <f t="shared" ref="R870:R933" si="5212">VLOOKUP($A870,hospital_details,8,0)</f>
        <v>R1011</v>
      </c>
    </row>
    <row r="871" spans="1:18" ht="14.4" customHeight="1" x14ac:dyDescent="0.3">
      <c r="A871" s="7" t="s">
        <v>891</v>
      </c>
      <c r="B871" s="7" t="str">
        <f>VLOOKUP($A871,[1]!Customer_Names[#Data],3,0)</f>
        <v xml:space="preserve">  Matthew R</v>
      </c>
      <c r="C871" s="7">
        <v>24.7</v>
      </c>
      <c r="D871" s="7" t="str" cm="1">
        <f t="array" ref="D871">_xlfn.IFS(Healthcare!$C871&lt;18.5,"under weight",Healthcare!$C871&lt;=24.9,"Normal Weight",Healthcare!$C871&gt;=25,"overweight",Healthcare!$C871&gt;=30,"obese")</f>
        <v>Normal Weight</v>
      </c>
      <c r="E871" s="7">
        <v>10.7</v>
      </c>
      <c r="F871" s="7" t="str" cm="1">
        <f t="array" ref="F871">_xlfn.IFS(Healthcare!$E871&lt;5.7,"normal",Healthcare!$E871&lt;=6.4,"prediabetes",Healthcare!$E871&gt;=6.5,"diabetes")</f>
        <v>diabetes</v>
      </c>
      <c r="G871" s="7" t="s">
        <v>20</v>
      </c>
      <c r="H871" s="7" t="s">
        <v>19</v>
      </c>
      <c r="I871" s="7" t="s">
        <v>29</v>
      </c>
      <c r="J871" s="7">
        <v>1</v>
      </c>
      <c r="K871" s="7" t="s">
        <v>19</v>
      </c>
      <c r="L871" s="7" t="str">
        <f>VLOOKUP(Healthcare!$A871,hospital_details,2,0)</f>
        <v>29-Aug-1963</v>
      </c>
      <c r="M871" s="7">
        <f t="shared" ref="M871:M934" ca="1" si="5213">VLOOKUP(A871,hospital_details,3,0)</f>
        <v>63</v>
      </c>
      <c r="N871" s="7">
        <f t="shared" ref="N871:N934" si="5214">VLOOKUP($A871,hospital_details,4,0)</f>
        <v>0</v>
      </c>
      <c r="O871" s="8">
        <f t="shared" ref="O871:O934" si="5215">VLOOKUP($A871,hospital_details,5,0)</f>
        <v>12323.94</v>
      </c>
      <c r="P871" s="7" t="str">
        <f t="shared" ref="P871:P934" si="5216">VLOOKUP($A871,hospital_details,6,0)</f>
        <v>tier - 3</v>
      </c>
      <c r="Q871" s="7" t="str">
        <f t="shared" ref="Q871:Q934" si="5217">VLOOKUP($A871,hospital_details,7,0)</f>
        <v>tier - 3</v>
      </c>
      <c r="R871" s="7" t="str">
        <f t="shared" ref="R871:R934" si="5218">VLOOKUP($A871,hospital_details,8,0)</f>
        <v>R1017</v>
      </c>
    </row>
    <row r="872" spans="1:18" ht="14.4" customHeight="1" x14ac:dyDescent="0.3">
      <c r="A872" s="5" t="s">
        <v>892</v>
      </c>
      <c r="B872" s="5" t="str">
        <f>VLOOKUP($A872,[1]!Customer_Names[#Data],3,0)</f>
        <v xml:space="preserve">  Orla</v>
      </c>
      <c r="C872" s="5">
        <v>26.78</v>
      </c>
      <c r="D872" s="5" t="str" cm="1">
        <f t="array" ref="D872">_xlfn.IFS(Healthcare!$C872&lt;18.5,"under weight",Healthcare!$C872&lt;=24.9,"Normal Weight",Healthcare!$C872&gt;=25,"overweight",Healthcare!$C872&gt;=30,"obese")</f>
        <v>overweight</v>
      </c>
      <c r="E872" s="5">
        <v>10.02</v>
      </c>
      <c r="F872" s="5" t="str" cm="1">
        <f t="array" ref="F872">_xlfn.IFS(Healthcare!$E872&lt;5.7,"normal",Healthcare!$E872&lt;=6.4,"prediabetes",Healthcare!$E872&gt;=6.5,"diabetes")</f>
        <v>diabetes</v>
      </c>
      <c r="G872" s="5" t="s">
        <v>20</v>
      </c>
      <c r="H872" s="5" t="s">
        <v>19</v>
      </c>
      <c r="I872" s="5" t="s">
        <v>29</v>
      </c>
      <c r="J872" s="5">
        <v>1</v>
      </c>
      <c r="K872" s="5" t="s">
        <v>19</v>
      </c>
      <c r="L872" s="5" t="str">
        <f>VLOOKUP(Healthcare!$A872,hospital_details,2,0)</f>
        <v>28-Oct-1963</v>
      </c>
      <c r="M872" s="5">
        <f t="shared" ref="M872:M935" ca="1" si="5219">VLOOKUP(A872,hospital_details,3,0)</f>
        <v>62</v>
      </c>
      <c r="N872" s="5">
        <f t="shared" ref="N872:N935" si="5220">VLOOKUP($A872,hospital_details,4,0)</f>
        <v>0</v>
      </c>
      <c r="O872" s="6">
        <f t="shared" ref="O872:O935" si="5221">VLOOKUP($A872,hospital_details,5,0)</f>
        <v>12299.59</v>
      </c>
      <c r="P872" s="5" t="str">
        <f t="shared" ref="P872:P935" si="5222">VLOOKUP($A872,hospital_details,6,0)</f>
        <v>tier - 3</v>
      </c>
      <c r="Q872" s="5" t="str">
        <f t="shared" ref="Q872:Q935" si="5223">VLOOKUP($A872,hospital_details,7,0)</f>
        <v>tier - 1</v>
      </c>
      <c r="R872" s="5" t="str">
        <f t="shared" ref="R872:R935" si="5224">VLOOKUP($A872,hospital_details,8,0)</f>
        <v>R1025</v>
      </c>
    </row>
    <row r="873" spans="1:18" ht="14.4" customHeight="1" x14ac:dyDescent="0.3">
      <c r="A873" s="7" t="s">
        <v>893</v>
      </c>
      <c r="B873" s="7" t="str">
        <f>VLOOKUP($A873,[1]!Customer_Names[#Data],3,0)</f>
        <v xml:space="preserve">  Shaista S</v>
      </c>
      <c r="C873" s="7">
        <v>45.8</v>
      </c>
      <c r="D873" s="7" t="str" cm="1">
        <f t="array" ref="D873">_xlfn.IFS(Healthcare!$C873&lt;18.5,"under weight",Healthcare!$C873&lt;=24.9,"Normal Weight",Healthcare!$C873&gt;=25,"overweight",Healthcare!$C873&gt;=30,"obese")</f>
        <v>overweight</v>
      </c>
      <c r="E873" s="7">
        <v>4.8499999999999996</v>
      </c>
      <c r="F873" s="7" t="str" cm="1">
        <f t="array" ref="F873">_xlfn.IFS(Healthcare!$E873&lt;5.7,"normal",Healthcare!$E873&lt;=6.4,"prediabetes",Healthcare!$E873&gt;=6.5,"diabetes")</f>
        <v>normal</v>
      </c>
      <c r="G873" s="7" t="s">
        <v>19</v>
      </c>
      <c r="H873" s="7" t="s">
        <v>19</v>
      </c>
      <c r="I873" s="7" t="s">
        <v>19</v>
      </c>
      <c r="J873" s="7">
        <v>0</v>
      </c>
      <c r="K873" s="7" t="s">
        <v>19</v>
      </c>
      <c r="L873" s="7" t="str">
        <f>VLOOKUP(Healthcare!$A873,hospital_details,2,0)</f>
        <v>29-Oct-1990</v>
      </c>
      <c r="M873" s="7">
        <f t="shared" ref="M873:M936" ca="1" si="5225">VLOOKUP(A873,hospital_details,3,0)</f>
        <v>35</v>
      </c>
      <c r="N873" s="7">
        <f t="shared" ref="N873:N936" si="5226">VLOOKUP($A873,hospital_details,4,0)</f>
        <v>3</v>
      </c>
      <c r="O873" s="8">
        <f t="shared" ref="O873:O936" si="5227">VLOOKUP($A873,hospital_details,5,0)</f>
        <v>12282.38</v>
      </c>
      <c r="P873" s="7" t="str">
        <f t="shared" ref="P873:P936" si="5228">VLOOKUP($A873,hospital_details,6,0)</f>
        <v>tier - 3</v>
      </c>
      <c r="Q873" s="7" t="str">
        <f t="shared" ref="Q873:Q936" si="5229">VLOOKUP($A873,hospital_details,7,0)</f>
        <v>tier - 1</v>
      </c>
      <c r="R873" s="7" t="str">
        <f t="shared" ref="R873:R936" si="5230">VLOOKUP($A873,hospital_details,8,0)</f>
        <v>R1011</v>
      </c>
    </row>
    <row r="874" spans="1:18" ht="14.4" customHeight="1" x14ac:dyDescent="0.3">
      <c r="A874" s="5" t="s">
        <v>894</v>
      </c>
      <c r="B874" s="5" t="str">
        <f>VLOOKUP($A874,[1]!Customer_Names[#Data],3,0)</f>
        <v xml:space="preserve">  Emily</v>
      </c>
      <c r="C874" s="5">
        <v>29</v>
      </c>
      <c r="D874" s="5" t="str" cm="1">
        <f t="array" ref="D874">_xlfn.IFS(Healthcare!$C874&lt;18.5,"under weight",Healthcare!$C874&lt;=24.9,"Normal Weight",Healthcare!$C874&gt;=25,"overweight",Healthcare!$C874&gt;=30,"obese")</f>
        <v>overweight</v>
      </c>
      <c r="E874" s="5">
        <v>4.3899999999999997</v>
      </c>
      <c r="F874" s="5" t="str" cm="1">
        <f t="array" ref="F874">_xlfn.IFS(Healthcare!$E874&lt;5.7,"normal",Healthcare!$E874&lt;=6.4,"prediabetes",Healthcare!$E874&gt;=6.5,"diabetes")</f>
        <v>normal</v>
      </c>
      <c r="G874" s="5" t="s">
        <v>20</v>
      </c>
      <c r="H874" s="5" t="s">
        <v>19</v>
      </c>
      <c r="I874" s="5" t="s">
        <v>19</v>
      </c>
      <c r="J874" s="5">
        <v>2</v>
      </c>
      <c r="K874" s="5" t="s">
        <v>19</v>
      </c>
      <c r="L874" s="5" t="str">
        <f>VLOOKUP(Healthcare!$A874,hospital_details,2,0)</f>
        <v>16-Nov-1966</v>
      </c>
      <c r="M874" s="5">
        <f t="shared" ref="M874:M937" ca="1" si="5231">VLOOKUP(A874,hospital_details,3,0)</f>
        <v>59</v>
      </c>
      <c r="N874" s="5">
        <f t="shared" ref="N874:N937" si="5232">VLOOKUP($A874,hospital_details,4,0)</f>
        <v>0</v>
      </c>
      <c r="O874" s="6">
        <f t="shared" ref="O874:O937" si="5233">VLOOKUP($A874,hospital_details,5,0)</f>
        <v>12282.03</v>
      </c>
      <c r="P874" s="5" t="str">
        <f t="shared" ref="P874:P937" si="5234">VLOOKUP($A874,hospital_details,6,0)</f>
        <v>tier - 3</v>
      </c>
      <c r="Q874" s="5" t="str">
        <f t="shared" ref="Q874:Q937" si="5235">VLOOKUP($A874,hospital_details,7,0)</f>
        <v>tier - 1</v>
      </c>
      <c r="R874" s="5" t="str">
        <f t="shared" ref="R874:R937" si="5236">VLOOKUP($A874,hospital_details,8,0)</f>
        <v>R1025</v>
      </c>
    </row>
    <row r="875" spans="1:18" ht="14.4" customHeight="1" x14ac:dyDescent="0.3">
      <c r="A875" s="7" t="s">
        <v>895</v>
      </c>
      <c r="B875" s="7" t="str">
        <f>VLOOKUP($A875,[1]!Customer_Names[#Data],3,0)</f>
        <v xml:space="preserve">  Julie A</v>
      </c>
      <c r="C875" s="7">
        <v>33.534999999999997</v>
      </c>
      <c r="D875" s="7" t="str" cm="1">
        <f t="array" ref="D875">_xlfn.IFS(Healthcare!$C875&lt;18.5,"under weight",Healthcare!$C875&lt;=24.9,"Normal Weight",Healthcare!$C875&gt;=25,"overweight",Healthcare!$C875&gt;=30,"obese")</f>
        <v>overweight</v>
      </c>
      <c r="E875" s="7">
        <v>8.24</v>
      </c>
      <c r="F875" s="7" t="str" cm="1">
        <f t="array" ref="F875">_xlfn.IFS(Healthcare!$E875&lt;5.7,"normal",Healthcare!$E875&lt;=6.4,"prediabetes",Healthcare!$E875&gt;=6.5,"diabetes")</f>
        <v>diabetes</v>
      </c>
      <c r="G875" s="7" t="s">
        <v>20</v>
      </c>
      <c r="H875" s="7" t="s">
        <v>19</v>
      </c>
      <c r="I875" s="7" t="s">
        <v>19</v>
      </c>
      <c r="J875" s="7">
        <v>0</v>
      </c>
      <c r="K875" s="7" t="s">
        <v>19</v>
      </c>
      <c r="L875" s="7" t="str">
        <f>VLOOKUP(Healthcare!$A875,hospital_details,2,0)</f>
        <v>28-Aug-1967</v>
      </c>
      <c r="M875" s="7">
        <f t="shared" ref="M875:M938" ca="1" si="5237">VLOOKUP(A875,hospital_details,3,0)</f>
        <v>59</v>
      </c>
      <c r="N875" s="7">
        <f t="shared" ref="N875:N938" si="5238">VLOOKUP($A875,hospital_details,4,0)</f>
        <v>2</v>
      </c>
      <c r="O875" s="8">
        <f t="shared" ref="O875:O938" si="5239">VLOOKUP($A875,hospital_details,5,0)</f>
        <v>12269.69</v>
      </c>
      <c r="P875" s="7" t="str">
        <f t="shared" ref="P875:P938" si="5240">VLOOKUP($A875,hospital_details,6,0)</f>
        <v>tier - 3</v>
      </c>
      <c r="Q875" s="7" t="str">
        <f t="shared" ref="Q875:Q938" si="5241">VLOOKUP($A875,hospital_details,7,0)</f>
        <v>tier - 2</v>
      </c>
      <c r="R875" s="7" t="str">
        <f t="shared" ref="R875:R938" si="5242">VLOOKUP($A875,hospital_details,8,0)</f>
        <v>R1012</v>
      </c>
    </row>
    <row r="876" spans="1:18" ht="14.4" customHeight="1" x14ac:dyDescent="0.3">
      <c r="A876" s="5" t="s">
        <v>896</v>
      </c>
      <c r="B876" s="5" t="str">
        <f>VLOOKUP($A876,[1]!Customer_Names[#Data],3,0)</f>
        <v xml:space="preserve">  Megumi</v>
      </c>
      <c r="C876" s="5">
        <v>32.774999999999999</v>
      </c>
      <c r="D876" s="5" t="str" cm="1">
        <f t="array" ref="D876">_xlfn.IFS(Healthcare!$C876&lt;18.5,"under weight",Healthcare!$C876&lt;=24.9,"Normal Weight",Healthcare!$C876&gt;=25,"overweight",Healthcare!$C876&gt;=30,"obese")</f>
        <v>overweight</v>
      </c>
      <c r="E876" s="5">
        <v>9.77</v>
      </c>
      <c r="F876" s="5" t="str" cm="1">
        <f t="array" ref="F876">_xlfn.IFS(Healthcare!$E876&lt;5.7,"normal",Healthcare!$E876&lt;=6.4,"prediabetes",Healthcare!$E876&gt;=6.5,"diabetes")</f>
        <v>diabetes</v>
      </c>
      <c r="G876" s="5" t="s">
        <v>20</v>
      </c>
      <c r="H876" s="5" t="s">
        <v>19</v>
      </c>
      <c r="I876" s="5" t="s">
        <v>19</v>
      </c>
      <c r="J876" s="5">
        <v>0</v>
      </c>
      <c r="K876" s="5" t="s">
        <v>19</v>
      </c>
      <c r="L876" s="5" t="str">
        <f>VLOOKUP(Healthcare!$A876,hospital_details,2,0)</f>
        <v>30-Dec-1967</v>
      </c>
      <c r="M876" s="5">
        <f t="shared" ref="M876:M939" ca="1" si="5243">VLOOKUP(A876,hospital_details,3,0)</f>
        <v>58</v>
      </c>
      <c r="N876" s="5">
        <f t="shared" ref="N876:N939" si="5244">VLOOKUP($A876,hospital_details,4,0)</f>
        <v>2</v>
      </c>
      <c r="O876" s="6">
        <f t="shared" ref="O876:O939" si="5245">VLOOKUP($A876,hospital_details,5,0)</f>
        <v>12268.63</v>
      </c>
      <c r="P876" s="5" t="str">
        <f t="shared" ref="P876:P939" si="5246">VLOOKUP($A876,hospital_details,6,0)</f>
        <v>tier - 3</v>
      </c>
      <c r="Q876" s="5" t="str">
        <f t="shared" ref="Q876:Q939" si="5247">VLOOKUP($A876,hospital_details,7,0)</f>
        <v>tier - 1</v>
      </c>
      <c r="R876" s="5" t="str">
        <f t="shared" ref="R876:R939" si="5248">VLOOKUP($A876,hospital_details,8,0)</f>
        <v>R1012</v>
      </c>
    </row>
    <row r="877" spans="1:18" ht="14.4" customHeight="1" x14ac:dyDescent="0.3">
      <c r="A877" s="7" t="s">
        <v>897</v>
      </c>
      <c r="B877" s="7" t="str">
        <f>VLOOKUP($A877,[1]!Customer_Names[#Data],3,0)</f>
        <v xml:space="preserve">  Skylar</v>
      </c>
      <c r="C877" s="7">
        <v>37.51</v>
      </c>
      <c r="D877" s="7" t="str" cm="1">
        <f t="array" ref="D877">_xlfn.IFS(Healthcare!$C877&lt;18.5,"under weight",Healthcare!$C877&lt;=24.9,"Normal Weight",Healthcare!$C877&gt;=25,"overweight",Healthcare!$C877&gt;=30,"obese")</f>
        <v>overweight</v>
      </c>
      <c r="E877" s="7">
        <v>5.5</v>
      </c>
      <c r="F877" s="7" t="str" cm="1">
        <f t="array" ref="F877">_xlfn.IFS(Healthcare!$E877&lt;5.7,"normal",Healthcare!$E877&lt;=6.4,"prediabetes",Healthcare!$E877&gt;=6.5,"diabetes")</f>
        <v>normal</v>
      </c>
      <c r="G877" s="7" t="s">
        <v>20</v>
      </c>
      <c r="H877" s="7" t="s">
        <v>19</v>
      </c>
      <c r="I877" s="7" t="s">
        <v>19</v>
      </c>
      <c r="J877" s="7">
        <v>2</v>
      </c>
      <c r="K877" s="7" t="s">
        <v>19</v>
      </c>
      <c r="L877" s="7" t="str">
        <f>VLOOKUP(Healthcare!$A877,hospital_details,2,0)</f>
        <v>6-Dec-1966</v>
      </c>
      <c r="M877" s="7">
        <f t="shared" ref="M877:M940" ca="1" si="5249">VLOOKUP(A877,hospital_details,3,0)</f>
        <v>59</v>
      </c>
      <c r="N877" s="7">
        <f t="shared" ref="N877:N940" si="5250">VLOOKUP($A877,hospital_details,4,0)</f>
        <v>2</v>
      </c>
      <c r="O877" s="8">
        <f t="shared" ref="O877:O940" si="5251">VLOOKUP($A877,hospital_details,5,0)</f>
        <v>12265.51</v>
      </c>
      <c r="P877" s="7" t="str">
        <f t="shared" ref="P877:P940" si="5252">VLOOKUP($A877,hospital_details,6,0)</f>
        <v>tier - 3</v>
      </c>
      <c r="Q877" s="7" t="str">
        <f t="shared" ref="Q877:Q940" si="5253">VLOOKUP($A877,hospital_details,7,0)</f>
        <v>tier - 3</v>
      </c>
      <c r="R877" s="7" t="str">
        <f t="shared" ref="R877:R940" si="5254">VLOOKUP($A877,hospital_details,8,0)</f>
        <v>R1013</v>
      </c>
    </row>
    <row r="878" spans="1:18" ht="14.4" customHeight="1" x14ac:dyDescent="0.3">
      <c r="A878" s="5" t="s">
        <v>898</v>
      </c>
      <c r="B878" s="5" t="str">
        <f>VLOOKUP($A878,[1]!Customer_Names[#Data],3,0)</f>
        <v xml:space="preserve">  Victoria</v>
      </c>
      <c r="C878" s="5">
        <v>39.86</v>
      </c>
      <c r="D878" s="5" t="str" cm="1">
        <f t="array" ref="D878">_xlfn.IFS(Healthcare!$C878&lt;18.5,"under weight",Healthcare!$C878&lt;=24.9,"Normal Weight",Healthcare!$C878&gt;=25,"overweight",Healthcare!$C878&gt;=30,"obese")</f>
        <v>overweight</v>
      </c>
      <c r="E878" s="5">
        <v>11.84</v>
      </c>
      <c r="F878" s="5" t="str" cm="1">
        <f t="array" ref="F878">_xlfn.IFS(Healthcare!$E878&lt;5.7,"normal",Healthcare!$E878&lt;=6.4,"prediabetes",Healthcare!$E878&gt;=6.5,"diabetes")</f>
        <v>diabetes</v>
      </c>
      <c r="G878" s="5" t="s">
        <v>20</v>
      </c>
      <c r="H878" s="5" t="s">
        <v>19</v>
      </c>
      <c r="I878" s="5" t="s">
        <v>19</v>
      </c>
      <c r="J878" s="5">
        <v>1</v>
      </c>
      <c r="K878" s="5" t="s">
        <v>19</v>
      </c>
      <c r="L878" s="5" t="str">
        <f>VLOOKUP(Healthcare!$A878,hospital_details,2,0)</f>
        <v>13-Aug-1986</v>
      </c>
      <c r="M878" s="5">
        <f t="shared" ref="M878:M941" ca="1" si="5255">VLOOKUP(A878,hospital_details,3,0)</f>
        <v>40</v>
      </c>
      <c r="N878" s="5">
        <f t="shared" ref="N878:N941" si="5256">VLOOKUP($A878,hospital_details,4,0)</f>
        <v>3</v>
      </c>
      <c r="O878" s="6">
        <f t="shared" ref="O878:O941" si="5257">VLOOKUP($A878,hospital_details,5,0)</f>
        <v>12255.04</v>
      </c>
      <c r="P878" s="5" t="str">
        <f t="shared" ref="P878:P941" si="5258">VLOOKUP($A878,hospital_details,6,0)</f>
        <v>tier - 3</v>
      </c>
      <c r="Q878" s="5" t="str">
        <f t="shared" ref="Q878:Q941" si="5259">VLOOKUP($A878,hospital_details,7,0)</f>
        <v>tier - 2</v>
      </c>
      <c r="R878" s="5" t="str">
        <f t="shared" ref="R878:R941" si="5260">VLOOKUP($A878,hospital_details,8,0)</f>
        <v>R1026</v>
      </c>
    </row>
    <row r="879" spans="1:18" ht="14.4" customHeight="1" x14ac:dyDescent="0.3">
      <c r="A879" s="7" t="s">
        <v>899</v>
      </c>
      <c r="B879" s="7" t="str">
        <f>VLOOKUP($A879,[1]!Customer_Names[#Data],3,0)</f>
        <v xml:space="preserve">  Amanda L</v>
      </c>
      <c r="C879" s="7">
        <v>42.13</v>
      </c>
      <c r="D879" s="7" t="str" cm="1">
        <f t="array" ref="D879">_xlfn.IFS(Healthcare!$C879&lt;18.5,"under weight",Healthcare!$C879&lt;=24.9,"Normal Weight",Healthcare!$C879&gt;=25,"overweight",Healthcare!$C879&gt;=30,"obese")</f>
        <v>overweight</v>
      </c>
      <c r="E879" s="7">
        <v>4.66</v>
      </c>
      <c r="F879" s="7" t="str" cm="1">
        <f t="array" ref="F879">_xlfn.IFS(Healthcare!$E879&lt;5.7,"normal",Healthcare!$E879&lt;=6.4,"prediabetes",Healthcare!$E879&gt;=6.5,"diabetes")</f>
        <v>normal</v>
      </c>
      <c r="G879" s="7" t="s">
        <v>19</v>
      </c>
      <c r="H879" s="7" t="s">
        <v>19</v>
      </c>
      <c r="I879" s="7" t="s">
        <v>19</v>
      </c>
      <c r="J879" s="7">
        <v>0</v>
      </c>
      <c r="K879" s="7" t="s">
        <v>19</v>
      </c>
      <c r="L879" s="7" t="str">
        <f>VLOOKUP(Healthcare!$A879,hospital_details,2,0)</f>
        <v>23-Nov-1989</v>
      </c>
      <c r="M879" s="7">
        <f t="shared" ref="M879:M942" ca="1" si="5261">VLOOKUP(A879,hospital_details,3,0)</f>
        <v>36</v>
      </c>
      <c r="N879" s="7">
        <f t="shared" ref="N879:N942" si="5262">VLOOKUP($A879,hospital_details,4,0)</f>
        <v>3</v>
      </c>
      <c r="O879" s="8">
        <f t="shared" ref="O879:O942" si="5263">VLOOKUP($A879,hospital_details,5,0)</f>
        <v>12254.44</v>
      </c>
      <c r="P879" s="7" t="str">
        <f t="shared" ref="P879:P942" si="5264">VLOOKUP($A879,hospital_details,6,0)</f>
        <v>tier - 3</v>
      </c>
      <c r="Q879" s="7" t="str">
        <f t="shared" ref="Q879:Q942" si="5265">VLOOKUP($A879,hospital_details,7,0)</f>
        <v>tier - 3</v>
      </c>
      <c r="R879" s="7" t="str">
        <f t="shared" ref="R879:R942" si="5266">VLOOKUP($A879,hospital_details,8,0)</f>
        <v>R1026</v>
      </c>
    </row>
    <row r="880" spans="1:18" ht="14.4" customHeight="1" x14ac:dyDescent="0.3">
      <c r="A880" s="5" t="s">
        <v>900</v>
      </c>
      <c r="B880" s="5" t="str">
        <f>VLOOKUP($A880,[1]!Customer_Names[#Data],3,0)</f>
        <v xml:space="preserve">  Renee</v>
      </c>
      <c r="C880" s="5">
        <v>35.99</v>
      </c>
      <c r="D880" s="5" t="str" cm="1">
        <f t="array" ref="D880">_xlfn.IFS(Healthcare!$C880&lt;18.5,"under weight",Healthcare!$C880&lt;=24.9,"Normal Weight",Healthcare!$C880&gt;=25,"overweight",Healthcare!$C880&gt;=30,"obese")</f>
        <v>overweight</v>
      </c>
      <c r="E880" s="5">
        <v>11.11</v>
      </c>
      <c r="F880" s="5" t="str" cm="1">
        <f t="array" ref="F880">_xlfn.IFS(Healthcare!$E880&lt;5.7,"normal",Healthcare!$E880&lt;=6.4,"prediabetes",Healthcare!$E880&gt;=6.5,"diabetes")</f>
        <v>diabetes</v>
      </c>
      <c r="G880" s="5" t="s">
        <v>19</v>
      </c>
      <c r="H880" s="5" t="s">
        <v>19</v>
      </c>
      <c r="I880" s="5" t="s">
        <v>19</v>
      </c>
      <c r="J880" s="5">
        <v>0</v>
      </c>
      <c r="K880" s="5" t="s">
        <v>19</v>
      </c>
      <c r="L880" s="5" t="str">
        <f>VLOOKUP(Healthcare!$A880,hospital_details,2,0)</f>
        <v>23-Jun-1974</v>
      </c>
      <c r="M880" s="5">
        <f t="shared" ref="M880:M943" ca="1" si="5267">VLOOKUP(A880,hospital_details,3,0)</f>
        <v>52</v>
      </c>
      <c r="N880" s="5">
        <f t="shared" ref="N880:N943" si="5268">VLOOKUP($A880,hospital_details,4,0)</f>
        <v>0</v>
      </c>
      <c r="O880" s="6">
        <f t="shared" ref="O880:O943" si="5269">VLOOKUP($A880,hospital_details,5,0)</f>
        <v>12245.17</v>
      </c>
      <c r="P880" s="5" t="str">
        <f t="shared" ref="P880:P943" si="5270">VLOOKUP($A880,hospital_details,6,0)</f>
        <v>tier - 3</v>
      </c>
      <c r="Q880" s="5" t="str">
        <f t="shared" ref="Q880:Q943" si="5271">VLOOKUP($A880,hospital_details,7,0)</f>
        <v>tier - 1</v>
      </c>
      <c r="R880" s="5" t="str">
        <f t="shared" ref="R880:R943" si="5272">VLOOKUP($A880,hospital_details,8,0)</f>
        <v>R1012</v>
      </c>
    </row>
    <row r="881" spans="1:18" ht="14.4" customHeight="1" x14ac:dyDescent="0.3">
      <c r="A881" s="7" t="s">
        <v>901</v>
      </c>
      <c r="B881" s="7" t="str">
        <f>VLOOKUP($A881,[1]!Customer_Names[#Data],3,0)</f>
        <v xml:space="preserve">  Nellie A</v>
      </c>
      <c r="C881" s="7">
        <v>35.200000000000003</v>
      </c>
      <c r="D881" s="7" t="str" cm="1">
        <f t="array" ref="D881">_xlfn.IFS(Healthcare!$C881&lt;18.5,"under weight",Healthcare!$C881&lt;=24.9,"Normal Weight",Healthcare!$C881&gt;=25,"overweight",Healthcare!$C881&gt;=30,"obese")</f>
        <v>overweight</v>
      </c>
      <c r="E881" s="7">
        <v>7.72</v>
      </c>
      <c r="F881" s="7" t="str" cm="1">
        <f t="array" ref="F881">_xlfn.IFS(Healthcare!$E881&lt;5.7,"normal",Healthcare!$E881&lt;=6.4,"prediabetes",Healthcare!$E881&gt;=6.5,"diabetes")</f>
        <v>diabetes</v>
      </c>
      <c r="G881" s="7" t="s">
        <v>20</v>
      </c>
      <c r="H881" s="7" t="s">
        <v>19</v>
      </c>
      <c r="I881" s="7" t="s">
        <v>29</v>
      </c>
      <c r="J881" s="7">
        <v>1</v>
      </c>
      <c r="K881" s="7" t="s">
        <v>19</v>
      </c>
      <c r="L881" s="7" t="str">
        <f>VLOOKUP(Healthcare!$A881,hospital_details,2,0)</f>
        <v>17-Jul-1963</v>
      </c>
      <c r="M881" s="7">
        <f t="shared" ref="M881:M944" ca="1" si="5273">VLOOKUP(A881,hospital_details,3,0)</f>
        <v>63</v>
      </c>
      <c r="N881" s="7">
        <f t="shared" ref="N881:N944" si="5274">VLOOKUP($A881,hospital_details,4,0)</f>
        <v>0</v>
      </c>
      <c r="O881" s="8">
        <f t="shared" ref="O881:O944" si="5275">VLOOKUP($A881,hospital_details,5,0)</f>
        <v>12244.53</v>
      </c>
      <c r="P881" s="7" t="str">
        <f t="shared" ref="P881:P944" si="5276">VLOOKUP($A881,hospital_details,6,0)</f>
        <v>tier - 3</v>
      </c>
      <c r="Q881" s="7" t="str">
        <f t="shared" ref="Q881:Q944" si="5277">VLOOKUP($A881,hospital_details,7,0)</f>
        <v>tier - 1</v>
      </c>
      <c r="R881" s="7" t="str">
        <f t="shared" ref="R881:R944" si="5278">VLOOKUP($A881,hospital_details,8,0)</f>
        <v>R1013</v>
      </c>
    </row>
    <row r="882" spans="1:18" ht="14.4" customHeight="1" x14ac:dyDescent="0.3">
      <c r="A882" s="5" t="s">
        <v>902</v>
      </c>
      <c r="B882" s="5" t="str">
        <f>VLOOKUP($A882,[1]!Customer_Names[#Data],3,0)</f>
        <v xml:space="preserve">  Tamara</v>
      </c>
      <c r="C882" s="5">
        <v>29.91</v>
      </c>
      <c r="D882" s="5" t="str" cm="1">
        <f t="array" ref="D882">_xlfn.IFS(Healthcare!$C882&lt;18.5,"under weight",Healthcare!$C882&lt;=24.9,"Normal Weight",Healthcare!$C882&gt;=25,"overweight",Healthcare!$C882&gt;=30,"obese")</f>
        <v>overweight</v>
      </c>
      <c r="E882" s="5">
        <v>5.55</v>
      </c>
      <c r="F882" s="5" t="str" cm="1">
        <f t="array" ref="F882">_xlfn.IFS(Healthcare!$E882&lt;5.7,"normal",Healthcare!$E882&lt;=6.4,"prediabetes",Healthcare!$E882&gt;=6.5,"diabetes")</f>
        <v>normal</v>
      </c>
      <c r="G882" s="5" t="s">
        <v>20</v>
      </c>
      <c r="H882" s="5" t="s">
        <v>19</v>
      </c>
      <c r="I882" s="5" t="s">
        <v>19</v>
      </c>
      <c r="J882" s="5">
        <v>2</v>
      </c>
      <c r="K882" s="5" t="s">
        <v>19</v>
      </c>
      <c r="L882" s="5" t="str">
        <f>VLOOKUP(Healthcare!$A882,hospital_details,2,0)</f>
        <v>29-Jul-1966</v>
      </c>
      <c r="M882" s="5">
        <f t="shared" ref="M882:M945" ca="1" si="5279">VLOOKUP(A882,hospital_details,3,0)</f>
        <v>60</v>
      </c>
      <c r="N882" s="5">
        <f t="shared" ref="N882:N945" si="5280">VLOOKUP($A882,hospital_details,4,0)</f>
        <v>0</v>
      </c>
      <c r="O882" s="6">
        <f t="shared" ref="O882:O945" si="5281">VLOOKUP($A882,hospital_details,5,0)</f>
        <v>12237.73</v>
      </c>
      <c r="P882" s="5" t="str">
        <f t="shared" ref="P882:P945" si="5282">VLOOKUP($A882,hospital_details,6,0)</f>
        <v>tier - 3</v>
      </c>
      <c r="Q882" s="5" t="str">
        <f t="shared" ref="Q882:Q945" si="5283">VLOOKUP($A882,hospital_details,7,0)</f>
        <v>tier - 3</v>
      </c>
      <c r="R882" s="5" t="str">
        <f t="shared" ref="R882:R945" si="5284">VLOOKUP($A882,hospital_details,8,0)</f>
        <v>R1012</v>
      </c>
    </row>
    <row r="883" spans="1:18" ht="14.4" customHeight="1" x14ac:dyDescent="0.3">
      <c r="A883" s="7" t="s">
        <v>903</v>
      </c>
      <c r="B883" s="7" t="str">
        <f>VLOOKUP($A883,[1]!Customer_Names[#Data],3,0)</f>
        <v xml:space="preserve">  Joan</v>
      </c>
      <c r="C883" s="7">
        <v>36.479999999999997</v>
      </c>
      <c r="D883" s="7" t="str" cm="1">
        <f t="array" ref="D883">_xlfn.IFS(Healthcare!$C883&lt;18.5,"under weight",Healthcare!$C883&lt;=24.9,"Normal Weight",Healthcare!$C883&gt;=25,"overweight",Healthcare!$C883&gt;=30,"obese")</f>
        <v>overweight</v>
      </c>
      <c r="E883" s="7">
        <v>5.05</v>
      </c>
      <c r="F883" s="7" t="str" cm="1">
        <f t="array" ref="F883">_xlfn.IFS(Healthcare!$E883&lt;5.7,"normal",Healthcare!$E883&lt;=6.4,"prediabetes",Healthcare!$E883&gt;=6.5,"diabetes")</f>
        <v>normal</v>
      </c>
      <c r="G883" s="7" t="s">
        <v>20</v>
      </c>
      <c r="H883" s="7" t="s">
        <v>19</v>
      </c>
      <c r="I883" s="7" t="s">
        <v>19</v>
      </c>
      <c r="J883" s="7">
        <v>1</v>
      </c>
      <c r="K883" s="7" t="s">
        <v>19</v>
      </c>
      <c r="L883" s="7" t="str">
        <f>VLOOKUP(Healthcare!$A883,hospital_details,2,0)</f>
        <v>15-Oct-1964</v>
      </c>
      <c r="M883" s="7">
        <f t="shared" ref="M883:M946" ca="1" si="5285">VLOOKUP(A883,hospital_details,3,0)</f>
        <v>62</v>
      </c>
      <c r="N883" s="7">
        <f t="shared" ref="N883:N946" si="5286">VLOOKUP($A883,hospital_details,4,0)</f>
        <v>0</v>
      </c>
      <c r="O883" s="8">
        <f t="shared" ref="O883:O946" si="5287">VLOOKUP($A883,hospital_details,5,0)</f>
        <v>12235.84</v>
      </c>
      <c r="P883" s="7" t="str">
        <f t="shared" ref="P883:P946" si="5288">VLOOKUP($A883,hospital_details,6,0)</f>
        <v>tier - 3</v>
      </c>
      <c r="Q883" s="7" t="str">
        <f t="shared" ref="Q883:Q946" si="5289">VLOOKUP($A883,hospital_details,7,0)</f>
        <v>tier - 3</v>
      </c>
      <c r="R883" s="7" t="str">
        <f t="shared" ref="R883:R946" si="5290">VLOOKUP($A883,hospital_details,8,0)</f>
        <v>R1012</v>
      </c>
    </row>
    <row r="884" spans="1:18" ht="14.4" customHeight="1" x14ac:dyDescent="0.3">
      <c r="A884" s="5" t="s">
        <v>904</v>
      </c>
      <c r="B884" s="5" t="str">
        <f>VLOOKUP($A884,[1]!Customer_Names[#Data],3,0)</f>
        <v xml:space="preserve">  Aimee J</v>
      </c>
      <c r="C884" s="5">
        <v>27.5</v>
      </c>
      <c r="D884" s="5" t="str" cm="1">
        <f t="array" ref="D884">_xlfn.IFS(Healthcare!$C884&lt;18.5,"under weight",Healthcare!$C884&lt;=24.9,"Normal Weight",Healthcare!$C884&gt;=25,"overweight",Healthcare!$C884&gt;=30,"obese")</f>
        <v>overweight</v>
      </c>
      <c r="E884" s="5">
        <v>8.69</v>
      </c>
      <c r="F884" s="5" t="str" cm="1">
        <f t="array" ref="F884">_xlfn.IFS(Healthcare!$E884&lt;5.7,"normal",Healthcare!$E884&lt;=6.4,"prediabetes",Healthcare!$E884&gt;=6.5,"diabetes")</f>
        <v>diabetes</v>
      </c>
      <c r="G884" s="5" t="s">
        <v>20</v>
      </c>
      <c r="H884" s="5" t="s">
        <v>19</v>
      </c>
      <c r="I884" s="5" t="s">
        <v>29</v>
      </c>
      <c r="J884" s="5">
        <v>1</v>
      </c>
      <c r="K884" s="5" t="s">
        <v>19</v>
      </c>
      <c r="L884" s="5" t="str">
        <f>VLOOKUP(Healthcare!$A884,hospital_details,2,0)</f>
        <v>19-Jul-1963</v>
      </c>
      <c r="M884" s="5">
        <f t="shared" ref="M884:M947" ca="1" si="5291">VLOOKUP(A884,hospital_details,3,0)</f>
        <v>63</v>
      </c>
      <c r="N884" s="5">
        <f t="shared" ref="N884:N947" si="5292">VLOOKUP($A884,hospital_details,4,0)</f>
        <v>0</v>
      </c>
      <c r="O884" s="6">
        <f t="shared" ref="O884:O947" si="5293">VLOOKUP($A884,hospital_details,5,0)</f>
        <v>12233.83</v>
      </c>
      <c r="P884" s="5" t="str">
        <f t="shared" ref="P884:P947" si="5294">VLOOKUP($A884,hospital_details,6,0)</f>
        <v>tier - 3</v>
      </c>
      <c r="Q884" s="5" t="str">
        <f t="shared" ref="Q884:Q947" si="5295">VLOOKUP($A884,hospital_details,7,0)</f>
        <v>tier - 1</v>
      </c>
      <c r="R884" s="5" t="str">
        <f t="shared" ref="R884:R947" si="5296">VLOOKUP($A884,hospital_details,8,0)</f>
        <v>R1011</v>
      </c>
    </row>
    <row r="885" spans="1:18" ht="14.4" customHeight="1" x14ac:dyDescent="0.3">
      <c r="A885" s="7" t="s">
        <v>905</v>
      </c>
      <c r="B885" s="7" t="str">
        <f>VLOOKUP($A885,[1]!Customer_Names[#Data],3,0)</f>
        <v xml:space="preserve">  Suzanne</v>
      </c>
      <c r="C885" s="7">
        <v>33.44</v>
      </c>
      <c r="D885" s="7" t="str" cm="1">
        <f t="array" ref="D885">_xlfn.IFS(Healthcare!$C885&lt;18.5,"under weight",Healthcare!$C885&lt;=24.9,"Normal Weight",Healthcare!$C885&gt;=25,"overweight",Healthcare!$C885&gt;=30,"obese")</f>
        <v>overweight</v>
      </c>
      <c r="E885" s="7">
        <v>5.9</v>
      </c>
      <c r="F885" s="7" t="str" cm="1">
        <f t="array" ref="F885">_xlfn.IFS(Healthcare!$E885&lt;5.7,"normal",Healthcare!$E885&lt;=6.4,"prediabetes",Healthcare!$E885&gt;=6.5,"diabetes")</f>
        <v>prediabetes</v>
      </c>
      <c r="G885" s="7" t="s">
        <v>20</v>
      </c>
      <c r="H885" s="7" t="s">
        <v>19</v>
      </c>
      <c r="I885" s="7" t="s">
        <v>19</v>
      </c>
      <c r="J885" s="7">
        <v>1</v>
      </c>
      <c r="K885" s="7" t="s">
        <v>19</v>
      </c>
      <c r="L885" s="7" t="str">
        <f>VLOOKUP(Healthcare!$A885,hospital_details,2,0)</f>
        <v>24-Jun-1964</v>
      </c>
      <c r="M885" s="7">
        <f t="shared" ref="M885:M948" ca="1" si="5297">VLOOKUP(A885,hospital_details,3,0)</f>
        <v>62</v>
      </c>
      <c r="N885" s="7">
        <f t="shared" ref="N885:N948" si="5298">VLOOKUP($A885,hospital_details,4,0)</f>
        <v>0</v>
      </c>
      <c r="O885" s="8">
        <f t="shared" ref="O885:O948" si="5299">VLOOKUP($A885,hospital_details,5,0)</f>
        <v>12231.61</v>
      </c>
      <c r="P885" s="7" t="str">
        <f t="shared" ref="P885:P948" si="5300">VLOOKUP($A885,hospital_details,6,0)</f>
        <v>tier - 3</v>
      </c>
      <c r="Q885" s="7" t="str">
        <f t="shared" ref="Q885:Q948" si="5301">VLOOKUP($A885,hospital_details,7,0)</f>
        <v>tier - 3</v>
      </c>
      <c r="R885" s="7" t="str">
        <f t="shared" ref="R885:R948" si="5302">VLOOKUP($A885,hospital_details,8,0)</f>
        <v>R1012</v>
      </c>
    </row>
    <row r="886" spans="1:18" ht="14.4" customHeight="1" x14ac:dyDescent="0.3">
      <c r="A886" s="5" t="s">
        <v>906</v>
      </c>
      <c r="B886" s="5" t="str">
        <f>VLOOKUP($A886,[1]!Customer_Names[#Data],3,0)</f>
        <v xml:space="preserve">  Kristin A</v>
      </c>
      <c r="C886" s="5">
        <v>28.215</v>
      </c>
      <c r="D886" s="5" t="str" cm="1">
        <f t="array" ref="D886">_xlfn.IFS(Healthcare!$C886&lt;18.5,"under weight",Healthcare!$C886&lt;=24.9,"Normal Weight",Healthcare!$C886&gt;=25,"overweight",Healthcare!$C886&gt;=30,"obese")</f>
        <v>overweight</v>
      </c>
      <c r="E886" s="5">
        <v>6.29</v>
      </c>
      <c r="F886" s="5" t="str" cm="1">
        <f t="array" ref="F886">_xlfn.IFS(Healthcare!$E886&lt;5.7,"normal",Healthcare!$E886&lt;=6.4,"prediabetes",Healthcare!$E886&gt;=6.5,"diabetes")</f>
        <v>prediabetes</v>
      </c>
      <c r="G886" s="5" t="s">
        <v>20</v>
      </c>
      <c r="H886" s="5" t="s">
        <v>19</v>
      </c>
      <c r="I886" s="5" t="s">
        <v>19</v>
      </c>
      <c r="J886" s="5">
        <v>1</v>
      </c>
      <c r="K886" s="5" t="s">
        <v>19</v>
      </c>
      <c r="L886" s="5" t="str">
        <f>VLOOKUP(Healthcare!$A886,hospital_details,2,0)</f>
        <v>2-Jul-1964</v>
      </c>
      <c r="M886" s="5">
        <f t="shared" ref="M886:M949" ca="1" si="5303">VLOOKUP(A886,hospital_details,3,0)</f>
        <v>62</v>
      </c>
      <c r="N886" s="5">
        <f t="shared" ref="N886:N949" si="5304">VLOOKUP($A886,hospital_details,4,0)</f>
        <v>0</v>
      </c>
      <c r="O886" s="6">
        <f t="shared" ref="O886:O949" si="5305">VLOOKUP($A886,hospital_details,5,0)</f>
        <v>12224.35</v>
      </c>
      <c r="P886" s="5" t="str">
        <f t="shared" ref="P886:P949" si="5306">VLOOKUP($A886,hospital_details,6,0)</f>
        <v>tier - 3</v>
      </c>
      <c r="Q886" s="5" t="str">
        <f t="shared" ref="Q886:Q949" si="5307">VLOOKUP($A886,hospital_details,7,0)</f>
        <v>tier - 1</v>
      </c>
      <c r="R886" s="5" t="str">
        <f t="shared" ref="R886:R949" si="5308">VLOOKUP($A886,hospital_details,8,0)</f>
        <v>R1012</v>
      </c>
    </row>
    <row r="887" spans="1:18" ht="14.4" customHeight="1" x14ac:dyDescent="0.3">
      <c r="A887" s="7" t="s">
        <v>907</v>
      </c>
      <c r="B887" s="7" t="str">
        <f>VLOOKUP($A887,[1]!Customer_Names[#Data],3,0)</f>
        <v xml:space="preserve">  Bronwyn</v>
      </c>
      <c r="C887" s="7">
        <v>27.17</v>
      </c>
      <c r="D887" s="7" t="str" cm="1">
        <f t="array" ref="D887">_xlfn.IFS(Healthcare!$C887&lt;18.5,"under weight",Healthcare!$C887&lt;=24.9,"Normal Weight",Healthcare!$C887&gt;=25,"overweight",Healthcare!$C887&gt;=30,"obese")</f>
        <v>overweight</v>
      </c>
      <c r="E887" s="7">
        <v>5.84</v>
      </c>
      <c r="F887" s="7" t="str" cm="1">
        <f t="array" ref="F887">_xlfn.IFS(Healthcare!$E887&lt;5.7,"normal",Healthcare!$E887&lt;=6.4,"prediabetes",Healthcare!$E887&gt;=6.5,"diabetes")</f>
        <v>prediabetes</v>
      </c>
      <c r="G887" s="7" t="s">
        <v>20</v>
      </c>
      <c r="H887" s="7" t="s">
        <v>19</v>
      </c>
      <c r="I887" s="7" t="s">
        <v>19</v>
      </c>
      <c r="J887" s="7">
        <v>1</v>
      </c>
      <c r="K887" s="7" t="s">
        <v>19</v>
      </c>
      <c r="L887" s="7" t="str">
        <f>VLOOKUP(Healthcare!$A887,hospital_details,2,0)</f>
        <v>20-Jul-1964</v>
      </c>
      <c r="M887" s="7">
        <f t="shared" ref="M887:M950" ca="1" si="5309">VLOOKUP(A887,hospital_details,3,0)</f>
        <v>62</v>
      </c>
      <c r="N887" s="7">
        <f t="shared" ref="N887:N950" si="5310">VLOOKUP($A887,hospital_details,4,0)</f>
        <v>0</v>
      </c>
      <c r="O887" s="8">
        <f t="shared" ref="O887:O950" si="5311">VLOOKUP($A887,hospital_details,5,0)</f>
        <v>12222.9</v>
      </c>
      <c r="P887" s="7" t="str">
        <f t="shared" ref="P887:P950" si="5312">VLOOKUP($A887,hospital_details,6,0)</f>
        <v>tier - 3</v>
      </c>
      <c r="Q887" s="7" t="str">
        <f t="shared" ref="Q887:Q950" si="5313">VLOOKUP($A887,hospital_details,7,0)</f>
        <v>tier - 2</v>
      </c>
      <c r="R887" s="7" t="str">
        <f t="shared" ref="R887:R950" si="5314">VLOOKUP($A887,hospital_details,8,0)</f>
        <v>R1012</v>
      </c>
    </row>
    <row r="888" spans="1:18" ht="14.4" customHeight="1" x14ac:dyDescent="0.3">
      <c r="A888" s="5" t="s">
        <v>908</v>
      </c>
      <c r="B888" s="5" t="str">
        <f>VLOOKUP($A888,[1]!Customer_Names[#Data],3,0)</f>
        <v xml:space="preserve">  Taylor J</v>
      </c>
      <c r="C888" s="5">
        <v>35.380000000000003</v>
      </c>
      <c r="D888" s="5" t="str" cm="1">
        <f t="array" ref="D888">_xlfn.IFS(Healthcare!$C888&lt;18.5,"under weight",Healthcare!$C888&lt;=24.9,"Normal Weight",Healthcare!$C888&gt;=25,"overweight",Healthcare!$C888&gt;=30,"obese")</f>
        <v>overweight</v>
      </c>
      <c r="E888" s="5">
        <v>6.12</v>
      </c>
      <c r="F888" s="5" t="str" cm="1">
        <f t="array" ref="F888">_xlfn.IFS(Healthcare!$E888&lt;5.7,"normal",Healthcare!$E888&lt;=6.4,"prediabetes",Healthcare!$E888&gt;=6.5,"diabetes")</f>
        <v>prediabetes</v>
      </c>
      <c r="G888" s="5" t="s">
        <v>19</v>
      </c>
      <c r="H888" s="5" t="s">
        <v>19</v>
      </c>
      <c r="I888" s="5" t="s">
        <v>19</v>
      </c>
      <c r="J888" s="5">
        <v>0</v>
      </c>
      <c r="K888" s="5" t="s">
        <v>19</v>
      </c>
      <c r="L888" s="5" t="str">
        <f>VLOOKUP(Healthcare!$A888,hospital_details,2,0)</f>
        <v>14-Aug-1977</v>
      </c>
      <c r="M888" s="5">
        <f t="shared" ref="M888:M951" ca="1" si="5315">VLOOKUP(A888,hospital_details,3,0)</f>
        <v>49</v>
      </c>
      <c r="N888" s="5">
        <f t="shared" ref="N888:N951" si="5316">VLOOKUP($A888,hospital_details,4,0)</f>
        <v>2</v>
      </c>
      <c r="O888" s="6">
        <f t="shared" ref="O888:O951" si="5317">VLOOKUP($A888,hospital_details,5,0)</f>
        <v>12218.7</v>
      </c>
      <c r="P888" s="5" t="str">
        <f t="shared" ref="P888:P951" si="5318">VLOOKUP($A888,hospital_details,6,0)</f>
        <v>tier - 3</v>
      </c>
      <c r="Q888" s="5" t="str">
        <f t="shared" ref="Q888:Q951" si="5319">VLOOKUP($A888,hospital_details,7,0)</f>
        <v>tier - 1</v>
      </c>
      <c r="R888" s="5" t="str">
        <f t="shared" ref="R888:R951" si="5320">VLOOKUP($A888,hospital_details,8,0)</f>
        <v>R1012</v>
      </c>
    </row>
    <row r="889" spans="1:18" ht="14.4" customHeight="1" x14ac:dyDescent="0.3">
      <c r="A889" s="7" t="s">
        <v>909</v>
      </c>
      <c r="B889" s="7" t="str">
        <f>VLOOKUP($A889,[1]!Customer_Names[#Data],3,0)</f>
        <v xml:space="preserve">  Kimberly M</v>
      </c>
      <c r="C889" s="7">
        <v>43.48</v>
      </c>
      <c r="D889" s="7" t="str" cm="1">
        <f t="array" ref="D889">_xlfn.IFS(Healthcare!$C889&lt;18.5,"under weight",Healthcare!$C889&lt;=24.9,"Normal Weight",Healthcare!$C889&gt;=25,"overweight",Healthcare!$C889&gt;=30,"obese")</f>
        <v>overweight</v>
      </c>
      <c r="E889" s="7">
        <v>6.24</v>
      </c>
      <c r="F889" s="7" t="str" cm="1">
        <f t="array" ref="F889">_xlfn.IFS(Healthcare!$E889&lt;5.7,"normal",Healthcare!$E889&lt;=6.4,"prediabetes",Healthcare!$E889&gt;=6.5,"diabetes")</f>
        <v>prediabetes</v>
      </c>
      <c r="G889" s="7" t="s">
        <v>19</v>
      </c>
      <c r="H889" s="7" t="s">
        <v>19</v>
      </c>
      <c r="I889" s="7" t="s">
        <v>19</v>
      </c>
      <c r="J889" s="7">
        <v>0</v>
      </c>
      <c r="K889" s="7" t="s">
        <v>19</v>
      </c>
      <c r="L889" s="7" t="str">
        <f>VLOOKUP(Healthcare!$A889,hospital_details,2,0)</f>
        <v>29-Aug-1991</v>
      </c>
      <c r="M889" s="7">
        <f t="shared" ref="M889:M952" ca="1" si="5321">VLOOKUP(A889,hospital_details,3,0)</f>
        <v>35</v>
      </c>
      <c r="N889" s="7">
        <f t="shared" ref="N889:N952" si="5322">VLOOKUP($A889,hospital_details,4,0)</f>
        <v>3</v>
      </c>
      <c r="O889" s="8">
        <f t="shared" ref="O889:O952" si="5323">VLOOKUP($A889,hospital_details,5,0)</f>
        <v>12198.64</v>
      </c>
      <c r="P889" s="7" t="str">
        <f t="shared" ref="P889:P952" si="5324">VLOOKUP($A889,hospital_details,6,0)</f>
        <v>tier - 3</v>
      </c>
      <c r="Q889" s="7" t="str">
        <f t="shared" ref="Q889:Q952" si="5325">VLOOKUP($A889,hospital_details,7,0)</f>
        <v>tier - 3</v>
      </c>
      <c r="R889" s="7" t="str">
        <f t="shared" ref="R889:R952" si="5326">VLOOKUP($A889,hospital_details,8,0)</f>
        <v>R1026</v>
      </c>
    </row>
    <row r="890" spans="1:18" ht="14.4" customHeight="1" x14ac:dyDescent="0.3">
      <c r="A890" s="5" t="s">
        <v>910</v>
      </c>
      <c r="B890" s="5" t="str">
        <f>VLOOKUP($A890,[1]!Customer_Names[#Data],3,0)</f>
        <v xml:space="preserve">  Joshua E</v>
      </c>
      <c r="C890" s="5">
        <v>41.73</v>
      </c>
      <c r="D890" s="5" t="str" cm="1">
        <f t="array" ref="D890">_xlfn.IFS(Healthcare!$C890&lt;18.5,"under weight",Healthcare!$C890&lt;=24.9,"Normal Weight",Healthcare!$C890&gt;=25,"overweight",Healthcare!$C890&gt;=30,"obese")</f>
        <v>overweight</v>
      </c>
      <c r="E890" s="5">
        <v>6.25</v>
      </c>
      <c r="F890" s="5" t="str" cm="1">
        <f t="array" ref="F890">_xlfn.IFS(Healthcare!$E890&lt;5.7,"normal",Healthcare!$E890&lt;=6.4,"prediabetes",Healthcare!$E890&gt;=6.5,"diabetes")</f>
        <v>prediabetes</v>
      </c>
      <c r="G890" s="5" t="s">
        <v>19</v>
      </c>
      <c r="H890" s="5" t="s">
        <v>19</v>
      </c>
      <c r="I890" s="5" t="s">
        <v>19</v>
      </c>
      <c r="J890" s="5">
        <v>1</v>
      </c>
      <c r="K890" s="5" t="s">
        <v>19</v>
      </c>
      <c r="L890" s="5" t="str">
        <f>VLOOKUP(Healthcare!$A890,hospital_details,2,0)</f>
        <v>5-Oct-1987</v>
      </c>
      <c r="M890" s="5">
        <f t="shared" ref="M890:M953" ca="1" si="5327">VLOOKUP(A890,hospital_details,3,0)</f>
        <v>39</v>
      </c>
      <c r="N890" s="5">
        <f t="shared" ref="N890:N953" si="5328">VLOOKUP($A890,hospital_details,4,0)</f>
        <v>3</v>
      </c>
      <c r="O890" s="6">
        <f t="shared" ref="O890:O953" si="5329">VLOOKUP($A890,hospital_details,5,0)</f>
        <v>12148.2</v>
      </c>
      <c r="P890" s="5" t="str">
        <f t="shared" ref="P890:P953" si="5330">VLOOKUP($A890,hospital_details,6,0)</f>
        <v>tier - 3</v>
      </c>
      <c r="Q890" s="5" t="str">
        <f t="shared" ref="Q890:Q953" si="5331">VLOOKUP($A890,hospital_details,7,0)</f>
        <v>tier - 3</v>
      </c>
      <c r="R890" s="5" t="str">
        <f t="shared" ref="R890:R953" si="5332">VLOOKUP($A890,hospital_details,8,0)</f>
        <v>R1012</v>
      </c>
    </row>
    <row r="891" spans="1:18" ht="14.4" customHeight="1" x14ac:dyDescent="0.3">
      <c r="A891" s="7" t="s">
        <v>911</v>
      </c>
      <c r="B891" s="7" t="str">
        <f>VLOOKUP($A891,[1]!Customer_Names[#Data],3,0)</f>
        <v xml:space="preserve">  Jeffrey</v>
      </c>
      <c r="C891" s="7">
        <v>28.9</v>
      </c>
      <c r="D891" s="7" t="str" cm="1">
        <f t="array" ref="D891">_xlfn.IFS(Healthcare!$C891&lt;18.5,"under weight",Healthcare!$C891&lt;=24.9,"Normal Weight",Healthcare!$C891&gt;=25,"overweight",Healthcare!$C891&gt;=30,"obese")</f>
        <v>overweight</v>
      </c>
      <c r="E891" s="7">
        <v>11.96</v>
      </c>
      <c r="F891" s="7" t="str" cm="1">
        <f t="array" ref="F891">_xlfn.IFS(Healthcare!$E891&lt;5.7,"normal",Healthcare!$E891&lt;=6.4,"prediabetes",Healthcare!$E891&gt;=6.5,"diabetes")</f>
        <v>diabetes</v>
      </c>
      <c r="G891" s="7" t="s">
        <v>19</v>
      </c>
      <c r="H891" s="7" t="s">
        <v>19</v>
      </c>
      <c r="I891" s="7" t="s">
        <v>19</v>
      </c>
      <c r="J891" s="7">
        <v>0</v>
      </c>
      <c r="K891" s="7" t="s">
        <v>19</v>
      </c>
      <c r="L891" s="7" t="str">
        <f>VLOOKUP(Healthcare!$A891,hospital_details,2,0)</f>
        <v>15-Sep-1962</v>
      </c>
      <c r="M891" s="7">
        <f t="shared" ref="M891:M954" ca="1" si="5333">VLOOKUP(A891,hospital_details,3,0)</f>
        <v>64</v>
      </c>
      <c r="N891" s="7">
        <f t="shared" ref="N891:N954" si="5334">VLOOKUP($A891,hospital_details,4,0)</f>
        <v>0</v>
      </c>
      <c r="O891" s="8">
        <f t="shared" ref="O891:O954" si="5335">VLOOKUP($A891,hospital_details,5,0)</f>
        <v>12146.97</v>
      </c>
      <c r="P891" s="7" t="str">
        <f t="shared" ref="P891:P954" si="5336">VLOOKUP($A891,hospital_details,6,0)</f>
        <v>tier - 3</v>
      </c>
      <c r="Q891" s="7" t="str">
        <f t="shared" ref="Q891:Q954" si="5337">VLOOKUP($A891,hospital_details,7,0)</f>
        <v>tier - 3</v>
      </c>
      <c r="R891" s="7" t="str">
        <f t="shared" ref="R891:R954" si="5338">VLOOKUP($A891,hospital_details,8,0)</f>
        <v>R1011</v>
      </c>
    </row>
    <row r="892" spans="1:18" ht="14.4" customHeight="1" x14ac:dyDescent="0.3">
      <c r="A892" s="5" t="s">
        <v>912</v>
      </c>
      <c r="B892" s="5" t="str">
        <f>VLOOKUP($A892,[1]!Customer_Names[#Data],3,0)</f>
        <v xml:space="preserve">  Andrew R</v>
      </c>
      <c r="C892" s="5">
        <v>25.74</v>
      </c>
      <c r="D892" s="5" t="str" cm="1">
        <f t="array" ref="D892">_xlfn.IFS(Healthcare!$C892&lt;18.5,"under weight",Healthcare!$C892&lt;=24.9,"Normal Weight",Healthcare!$C892&gt;=25,"overweight",Healthcare!$C892&gt;=30,"obese")</f>
        <v>overweight</v>
      </c>
      <c r="E892" s="5">
        <v>7.69</v>
      </c>
      <c r="F892" s="5" t="str" cm="1">
        <f t="array" ref="F892">_xlfn.IFS(Healthcare!$E892&lt;5.7,"normal",Healthcare!$E892&lt;=6.4,"prediabetes",Healthcare!$E892&gt;=6.5,"diabetes")</f>
        <v>diabetes</v>
      </c>
      <c r="G892" s="5" t="s">
        <v>19</v>
      </c>
      <c r="H892" s="5" t="s">
        <v>19</v>
      </c>
      <c r="I892" s="5" t="s">
        <v>19</v>
      </c>
      <c r="J892" s="5">
        <v>0</v>
      </c>
      <c r="K892" s="5" t="s">
        <v>19</v>
      </c>
      <c r="L892" s="5" t="str">
        <f>VLOOKUP(Healthcare!$A892,hospital_details,2,0)</f>
        <v>4-Nov-1962</v>
      </c>
      <c r="M892" s="5">
        <f t="shared" ref="M892:M955" ca="1" si="5339">VLOOKUP(A892,hospital_details,3,0)</f>
        <v>63</v>
      </c>
      <c r="N892" s="5">
        <f t="shared" ref="N892:N955" si="5340">VLOOKUP($A892,hospital_details,4,0)</f>
        <v>0</v>
      </c>
      <c r="O892" s="6">
        <f t="shared" ref="O892:O955" si="5341">VLOOKUP($A892,hospital_details,5,0)</f>
        <v>12142.58</v>
      </c>
      <c r="P892" s="5" t="str">
        <f t="shared" ref="P892:P955" si="5342">VLOOKUP($A892,hospital_details,6,0)</f>
        <v>tier - 3</v>
      </c>
      <c r="Q892" s="5" t="str">
        <f t="shared" ref="Q892:Q955" si="5343">VLOOKUP($A892,hospital_details,7,0)</f>
        <v>tier - 2</v>
      </c>
      <c r="R892" s="5" t="str">
        <f t="shared" ref="R892:R955" si="5344">VLOOKUP($A892,hospital_details,8,0)</f>
        <v>R1013</v>
      </c>
    </row>
    <row r="893" spans="1:18" ht="14.4" customHeight="1" x14ac:dyDescent="0.3">
      <c r="A893" s="7" t="s">
        <v>913</v>
      </c>
      <c r="B893" s="7" t="str">
        <f>VLOOKUP($A893,[1]!Customer_Names[#Data],3,0)</f>
        <v xml:space="preserve">  Francisco J</v>
      </c>
      <c r="C893" s="7">
        <v>36.06</v>
      </c>
      <c r="D893" s="7" t="str" cm="1">
        <f t="array" ref="D893">_xlfn.IFS(Healthcare!$C893&lt;18.5,"under weight",Healthcare!$C893&lt;=24.9,"Normal Weight",Healthcare!$C893&gt;=25,"overweight",Healthcare!$C893&gt;=30,"obese")</f>
        <v>overweight</v>
      </c>
      <c r="E893" s="7">
        <v>8.83</v>
      </c>
      <c r="F893" s="7" t="str" cm="1">
        <f t="array" ref="F893">_xlfn.IFS(Healthcare!$E893&lt;5.7,"normal",Healthcare!$E893&lt;=6.4,"prediabetes",Healthcare!$E893&gt;=6.5,"diabetes")</f>
        <v>diabetes</v>
      </c>
      <c r="G893" s="7" t="s">
        <v>19</v>
      </c>
      <c r="H893" s="7" t="s">
        <v>19</v>
      </c>
      <c r="I893" s="7" t="s">
        <v>19</v>
      </c>
      <c r="J893" s="7">
        <v>0</v>
      </c>
      <c r="K893" s="7" t="s">
        <v>19</v>
      </c>
      <c r="L893" s="7" t="str">
        <f>VLOOKUP(Healthcare!$A893,hospital_details,2,0)</f>
        <v>16-Sep-1974</v>
      </c>
      <c r="M893" s="7">
        <f t="shared" ref="M893:M956" ca="1" si="5345">VLOOKUP(A893,hospital_details,3,0)</f>
        <v>52</v>
      </c>
      <c r="N893" s="7">
        <f t="shared" ref="N893:N956" si="5346">VLOOKUP($A893,hospital_details,4,0)</f>
        <v>0</v>
      </c>
      <c r="O893" s="8">
        <f t="shared" ref="O893:O956" si="5347">VLOOKUP($A893,hospital_details,5,0)</f>
        <v>12137.6</v>
      </c>
      <c r="P893" s="7" t="str">
        <f t="shared" ref="P893:P956" si="5348">VLOOKUP($A893,hospital_details,6,0)</f>
        <v>tier - 3</v>
      </c>
      <c r="Q893" s="7" t="str">
        <f t="shared" ref="Q893:Q956" si="5349">VLOOKUP($A893,hospital_details,7,0)</f>
        <v>tier - 3</v>
      </c>
      <c r="R893" s="7" t="str">
        <f t="shared" ref="R893:R956" si="5350">VLOOKUP($A893,hospital_details,8,0)</f>
        <v>R1012</v>
      </c>
    </row>
    <row r="894" spans="1:18" ht="14.4" customHeight="1" x14ac:dyDescent="0.3">
      <c r="A894" s="5" t="s">
        <v>914</v>
      </c>
      <c r="B894" s="5" t="str">
        <f>VLOOKUP($A894,[1]!Customer_Names[#Data],3,0)</f>
        <v xml:space="preserve">  Rhonda</v>
      </c>
      <c r="C894" s="5">
        <v>43.28</v>
      </c>
      <c r="D894" s="5" t="str" cm="1">
        <f t="array" ref="D894">_xlfn.IFS(Healthcare!$C894&lt;18.5,"under weight",Healthcare!$C894&lt;=24.9,"Normal Weight",Healthcare!$C894&gt;=25,"overweight",Healthcare!$C894&gt;=30,"obese")</f>
        <v>overweight</v>
      </c>
      <c r="E894" s="5">
        <v>4.41</v>
      </c>
      <c r="F894" s="5" t="str" cm="1">
        <f t="array" ref="F894">_xlfn.IFS(Healthcare!$E894&lt;5.7,"normal",Healthcare!$E894&lt;=6.4,"prediabetes",Healthcare!$E894&gt;=6.5,"diabetes")</f>
        <v>normal</v>
      </c>
      <c r="G894" s="5" t="s">
        <v>19</v>
      </c>
      <c r="H894" s="5" t="s">
        <v>19</v>
      </c>
      <c r="I894" s="5" t="s">
        <v>19</v>
      </c>
      <c r="J894" s="5">
        <v>0</v>
      </c>
      <c r="K894" s="5" t="s">
        <v>19</v>
      </c>
      <c r="L894" s="5" t="str">
        <f>VLOOKUP(Healthcare!$A894,hospital_details,2,0)</f>
        <v>6-Nov-1991</v>
      </c>
      <c r="M894" s="5">
        <f t="shared" ref="M894:M957" ca="1" si="5351">VLOOKUP(A894,hospital_details,3,0)</f>
        <v>34</v>
      </c>
      <c r="N894" s="5">
        <f t="shared" ref="N894:N957" si="5352">VLOOKUP($A894,hospital_details,4,0)</f>
        <v>3</v>
      </c>
      <c r="O894" s="6">
        <f t="shared" ref="O894:O957" si="5353">VLOOKUP($A894,hospital_details,5,0)</f>
        <v>12130.8</v>
      </c>
      <c r="P894" s="5" t="str">
        <f t="shared" ref="P894:P957" si="5354">VLOOKUP($A894,hospital_details,6,0)</f>
        <v>tier - 3</v>
      </c>
      <c r="Q894" s="5" t="str">
        <f t="shared" ref="Q894:Q957" si="5355">VLOOKUP($A894,hospital_details,7,0)</f>
        <v>tier - 3</v>
      </c>
      <c r="R894" s="5" t="str">
        <f t="shared" ref="R894:R957" si="5356">VLOOKUP($A894,hospital_details,8,0)</f>
        <v>R1026</v>
      </c>
    </row>
    <row r="895" spans="1:18" ht="14.4" customHeight="1" x14ac:dyDescent="0.3">
      <c r="A895" s="7" t="s">
        <v>915</v>
      </c>
      <c r="B895" s="7" t="str">
        <f>VLOOKUP($A895,[1]!Customer_Names[#Data],3,0)</f>
        <v xml:space="preserve">  John</v>
      </c>
      <c r="C895" s="7">
        <v>28.785</v>
      </c>
      <c r="D895" s="7" t="str" cm="1">
        <f t="array" ref="D895">_xlfn.IFS(Healthcare!$C895&lt;18.5,"under weight",Healthcare!$C895&lt;=24.9,"Normal Weight",Healthcare!$C895&gt;=25,"overweight",Healthcare!$C895&gt;=30,"obese")</f>
        <v>overweight</v>
      </c>
      <c r="E895" s="7">
        <v>9.1</v>
      </c>
      <c r="F895" s="7" t="str" cm="1">
        <f t="array" ref="F895">_xlfn.IFS(Healthcare!$E895&lt;5.7,"normal",Healthcare!$E895&lt;=6.4,"prediabetes",Healthcare!$E895&gt;=6.5,"diabetes")</f>
        <v>diabetes</v>
      </c>
      <c r="G895" s="7" t="s">
        <v>20</v>
      </c>
      <c r="H895" s="7" t="s">
        <v>19</v>
      </c>
      <c r="I895" s="7" t="s">
        <v>29</v>
      </c>
      <c r="J895" s="7">
        <v>1</v>
      </c>
      <c r="K895" s="7" t="s">
        <v>19</v>
      </c>
      <c r="L895" s="7" t="str">
        <f>VLOOKUP(Healthcare!$A895,hospital_details,2,0)</f>
        <v>4-Jun-1963</v>
      </c>
      <c r="M895" s="7">
        <f t="shared" ref="M895:M958" ca="1" si="5357">VLOOKUP(A895,hospital_details,3,0)</f>
        <v>63</v>
      </c>
      <c r="N895" s="7">
        <f t="shared" ref="N895:N958" si="5358">VLOOKUP($A895,hospital_details,4,0)</f>
        <v>0</v>
      </c>
      <c r="O895" s="8">
        <f t="shared" ref="O895:O958" si="5359">VLOOKUP($A895,hospital_details,5,0)</f>
        <v>12129.61</v>
      </c>
      <c r="P895" s="7" t="str">
        <f t="shared" ref="P895:P958" si="5360">VLOOKUP($A895,hospital_details,6,0)</f>
        <v>tier - 3</v>
      </c>
      <c r="Q895" s="7" t="str">
        <f t="shared" ref="Q895:Q958" si="5361">VLOOKUP($A895,hospital_details,7,0)</f>
        <v>tier - 1</v>
      </c>
      <c r="R895" s="7" t="str">
        <f t="shared" ref="R895:R958" si="5362">VLOOKUP($A895,hospital_details,8,0)</f>
        <v>R1012</v>
      </c>
    </row>
    <row r="896" spans="1:18" ht="14.4" customHeight="1" x14ac:dyDescent="0.3">
      <c r="A896" s="5" t="s">
        <v>916</v>
      </c>
      <c r="B896" s="5" t="str">
        <f>VLOOKUP($A896,[1]!Customer_Names[#Data],3,0)</f>
        <v xml:space="preserve">  Miles J</v>
      </c>
      <c r="C896" s="5">
        <v>25.46</v>
      </c>
      <c r="D896" s="5" t="str" cm="1">
        <f t="array" ref="D896">_xlfn.IFS(Healthcare!$C896&lt;18.5,"under weight",Healthcare!$C896&lt;=24.9,"Normal Weight",Healthcare!$C896&gt;=25,"overweight",Healthcare!$C896&gt;=30,"obese")</f>
        <v>overweight</v>
      </c>
      <c r="E896" s="5">
        <v>11.52</v>
      </c>
      <c r="F896" s="5" t="str" cm="1">
        <f t="array" ref="F896">_xlfn.IFS(Healthcare!$E896&lt;5.7,"normal",Healthcare!$E896&lt;=6.4,"prediabetes",Healthcare!$E896&gt;=6.5,"diabetes")</f>
        <v>diabetes</v>
      </c>
      <c r="G896" s="5" t="s">
        <v>20</v>
      </c>
      <c r="H896" s="5" t="s">
        <v>19</v>
      </c>
      <c r="I896" s="5" t="s">
        <v>29</v>
      </c>
      <c r="J896" s="5">
        <v>1</v>
      </c>
      <c r="K896" s="5" t="s">
        <v>19</v>
      </c>
      <c r="L896" s="5" t="str">
        <f>VLOOKUP(Healthcare!$A896,hospital_details,2,0)</f>
        <v>20-Jul-1963</v>
      </c>
      <c r="M896" s="5">
        <f t="shared" ref="M896:M959" ca="1" si="5363">VLOOKUP(A896,hospital_details,3,0)</f>
        <v>63</v>
      </c>
      <c r="N896" s="5">
        <f t="shared" ref="N896:N959" si="5364">VLOOKUP($A896,hospital_details,4,0)</f>
        <v>0</v>
      </c>
      <c r="O896" s="6">
        <f t="shared" ref="O896:O959" si="5365">VLOOKUP($A896,hospital_details,5,0)</f>
        <v>12124.99</v>
      </c>
      <c r="P896" s="5" t="str">
        <f t="shared" ref="P896:P959" si="5366">VLOOKUP($A896,hospital_details,6,0)</f>
        <v>tier - 3</v>
      </c>
      <c r="Q896" s="5" t="str">
        <f t="shared" ref="Q896:Q959" si="5367">VLOOKUP($A896,hospital_details,7,0)</f>
        <v>tier - 1</v>
      </c>
      <c r="R896" s="5" t="str">
        <f t="shared" ref="R896:R959" si="5368">VLOOKUP($A896,hospital_details,8,0)</f>
        <v>R1012</v>
      </c>
    </row>
    <row r="897" spans="1:18" ht="14.4" customHeight="1" x14ac:dyDescent="0.3">
      <c r="A897" s="7" t="s">
        <v>917</v>
      </c>
      <c r="B897" s="7" t="str">
        <f>VLOOKUP($A897,[1]!Customer_Names[#Data],3,0)</f>
        <v xml:space="preserve">  Justyna I</v>
      </c>
      <c r="C897" s="7">
        <v>30.8</v>
      </c>
      <c r="D897" s="7" t="str" cm="1">
        <f t="array" ref="D897">_xlfn.IFS(Healthcare!$C897&lt;18.5,"under weight",Healthcare!$C897&lt;=24.9,"Normal Weight",Healthcare!$C897&gt;=25,"overweight",Healthcare!$C897&gt;=30,"obese")</f>
        <v>overweight</v>
      </c>
      <c r="E897" s="7">
        <v>10.95</v>
      </c>
      <c r="F897" s="7" t="str" cm="1">
        <f t="array" ref="F897">_xlfn.IFS(Healthcare!$E897&lt;5.7,"normal",Healthcare!$E897&lt;=6.4,"prediabetes",Healthcare!$E897&gt;=6.5,"diabetes")</f>
        <v>diabetes</v>
      </c>
      <c r="G897" s="7" t="s">
        <v>19</v>
      </c>
      <c r="H897" s="7" t="s">
        <v>19</v>
      </c>
      <c r="I897" s="7" t="s">
        <v>19</v>
      </c>
      <c r="J897" s="7">
        <v>0</v>
      </c>
      <c r="K897" s="7" t="s">
        <v>19</v>
      </c>
      <c r="L897" s="7" t="str">
        <f>VLOOKUP(Healthcare!$A897,hospital_details,2,0)</f>
        <v>25-Oct-1968</v>
      </c>
      <c r="M897" s="7">
        <f t="shared" ref="M897:M960" ca="1" si="5369">VLOOKUP(A897,hospital_details,3,0)</f>
        <v>57</v>
      </c>
      <c r="N897" s="7">
        <f t="shared" ref="N897:N960" si="5370">VLOOKUP($A897,hospital_details,4,0)</f>
        <v>3</v>
      </c>
      <c r="O897" s="8">
        <f t="shared" ref="O897:O960" si="5371">VLOOKUP($A897,hospital_details,5,0)</f>
        <v>12105.32</v>
      </c>
      <c r="P897" s="7" t="str">
        <f t="shared" ref="P897:P960" si="5372">VLOOKUP($A897,hospital_details,6,0)</f>
        <v>tier - 3</v>
      </c>
      <c r="Q897" s="7" t="str">
        <f t="shared" ref="Q897:Q960" si="5373">VLOOKUP($A897,hospital_details,7,0)</f>
        <v>tier - 3</v>
      </c>
      <c r="R897" s="7" t="str">
        <f t="shared" ref="R897:R960" si="5374">VLOOKUP($A897,hospital_details,8,0)</f>
        <v>R1011</v>
      </c>
    </row>
    <row r="898" spans="1:18" ht="14.4" customHeight="1" x14ac:dyDescent="0.3">
      <c r="A898" s="5" t="s">
        <v>918</v>
      </c>
      <c r="B898" s="5" t="str">
        <f>VLOOKUP($A898,[1]!Customer_Names[#Data],3,0)</f>
        <v xml:space="preserve">  Lucille</v>
      </c>
      <c r="C898" s="5">
        <v>28.88</v>
      </c>
      <c r="D898" s="5" t="str" cm="1">
        <f t="array" ref="D898">_xlfn.IFS(Healthcare!$C898&lt;18.5,"under weight",Healthcare!$C898&lt;=24.9,"Normal Weight",Healthcare!$C898&gt;=25,"overweight",Healthcare!$C898&gt;=30,"obese")</f>
        <v>overweight</v>
      </c>
      <c r="E898" s="5">
        <v>11.5</v>
      </c>
      <c r="F898" s="5" t="str" cm="1">
        <f t="array" ref="F898">_xlfn.IFS(Healthcare!$E898&lt;5.7,"normal",Healthcare!$E898&lt;=6.4,"prediabetes",Healthcare!$E898&gt;=6.5,"diabetes")</f>
        <v>diabetes</v>
      </c>
      <c r="G898" s="5" t="s">
        <v>19</v>
      </c>
      <c r="H898" s="5" t="s">
        <v>19</v>
      </c>
      <c r="I898" s="5" t="s">
        <v>19</v>
      </c>
      <c r="J898" s="5">
        <v>0</v>
      </c>
      <c r="K898" s="5" t="s">
        <v>19</v>
      </c>
      <c r="L898" s="5" t="str">
        <f>VLOOKUP(Healthcare!$A898,hospital_details,2,0)</f>
        <v>9-Dec-1968</v>
      </c>
      <c r="M898" s="5">
        <f t="shared" ref="M898:M961" ca="1" si="5375">VLOOKUP(A898,hospital_details,3,0)</f>
        <v>57</v>
      </c>
      <c r="N898" s="5">
        <f t="shared" ref="N898:N961" si="5376">VLOOKUP($A898,hospital_details,4,0)</f>
        <v>2</v>
      </c>
      <c r="O898" s="6">
        <f t="shared" ref="O898:O961" si="5377">VLOOKUP($A898,hospital_details,5,0)</f>
        <v>12096.65</v>
      </c>
      <c r="P898" s="5" t="str">
        <f t="shared" ref="P898:P961" si="5378">VLOOKUP($A898,hospital_details,6,0)</f>
        <v>tier - 3</v>
      </c>
      <c r="Q898" s="5" t="str">
        <f t="shared" ref="Q898:Q961" si="5379">VLOOKUP($A898,hospital_details,7,0)</f>
        <v>tier - 1</v>
      </c>
      <c r="R898" s="5" t="str">
        <f t="shared" ref="R898:R961" si="5380">VLOOKUP($A898,hospital_details,8,0)</f>
        <v>R1024</v>
      </c>
    </row>
    <row r="899" spans="1:18" ht="14.4" customHeight="1" x14ac:dyDescent="0.3">
      <c r="A899" s="7" t="s">
        <v>919</v>
      </c>
      <c r="B899" s="7" t="str">
        <f>VLOOKUP($A899,[1]!Customer_Names[#Data],3,0)</f>
        <v xml:space="preserve">  April</v>
      </c>
      <c r="C899" s="7">
        <v>23</v>
      </c>
      <c r="D899" s="7" t="str" cm="1">
        <f t="array" ref="D899">_xlfn.IFS(Healthcare!$C899&lt;18.5,"under weight",Healthcare!$C899&lt;=24.9,"Normal Weight",Healthcare!$C899&gt;=25,"overweight",Healthcare!$C899&gt;=30,"obese")</f>
        <v>Normal Weight</v>
      </c>
      <c r="E899" s="7">
        <v>9.8800000000000008</v>
      </c>
      <c r="F899" s="7" t="str" cm="1">
        <f t="array" ref="F899">_xlfn.IFS(Healthcare!$E899&lt;5.7,"normal",Healthcare!$E899&lt;=6.4,"prediabetes",Healthcare!$E899&gt;=6.5,"diabetes")</f>
        <v>diabetes</v>
      </c>
      <c r="G899" s="7" t="s">
        <v>19</v>
      </c>
      <c r="H899" s="7" t="s">
        <v>19</v>
      </c>
      <c r="I899" s="7" t="s">
        <v>19</v>
      </c>
      <c r="J899" s="7">
        <v>0</v>
      </c>
      <c r="K899" s="7" t="s">
        <v>19</v>
      </c>
      <c r="L899" s="7" t="str">
        <f>VLOOKUP(Healthcare!$A899,hospital_details,2,0)</f>
        <v>21-Jun-1968</v>
      </c>
      <c r="M899" s="7">
        <f t="shared" ref="M899:M962" ca="1" si="5381">VLOOKUP(A899,hospital_details,3,0)</f>
        <v>58</v>
      </c>
      <c r="N899" s="7">
        <f t="shared" ref="N899:N962" si="5382">VLOOKUP($A899,hospital_details,4,0)</f>
        <v>3</v>
      </c>
      <c r="O899" s="8">
        <f t="shared" ref="O899:O962" si="5383">VLOOKUP($A899,hospital_details,5,0)</f>
        <v>12094.48</v>
      </c>
      <c r="P899" s="7" t="str">
        <f t="shared" ref="P899:P962" si="5384">VLOOKUP($A899,hospital_details,6,0)</f>
        <v>tier - 3</v>
      </c>
      <c r="Q899" s="7" t="str">
        <f t="shared" ref="Q899:Q962" si="5385">VLOOKUP($A899,hospital_details,7,0)</f>
        <v>tier - 3</v>
      </c>
      <c r="R899" s="7" t="str">
        <f t="shared" ref="R899:R962" si="5386">VLOOKUP($A899,hospital_details,8,0)</f>
        <v>R1011</v>
      </c>
    </row>
    <row r="900" spans="1:18" ht="14.4" customHeight="1" x14ac:dyDescent="0.3">
      <c r="A900" s="5" t="s">
        <v>920</v>
      </c>
      <c r="B900" s="5" t="str">
        <f>VLOOKUP($A900,[1]!Customer_Names[#Data],3,0)</f>
        <v xml:space="preserve">  Robert</v>
      </c>
      <c r="C900" s="5">
        <v>38.25</v>
      </c>
      <c r="D900" s="5" t="str" cm="1">
        <f t="array" ref="D900">_xlfn.IFS(Healthcare!$C900&lt;18.5,"under weight",Healthcare!$C900&lt;=24.9,"Normal Weight",Healthcare!$C900&gt;=25,"overweight",Healthcare!$C900&gt;=30,"obese")</f>
        <v>overweight</v>
      </c>
      <c r="E900" s="5">
        <v>6.2</v>
      </c>
      <c r="F900" s="5" t="str" cm="1">
        <f t="array" ref="F900">_xlfn.IFS(Healthcare!$E900&lt;5.7,"normal",Healthcare!$E900&lt;=6.4,"prediabetes",Healthcare!$E900&gt;=6.5,"diabetes")</f>
        <v>prediabetes</v>
      </c>
      <c r="G900" s="5" t="s">
        <v>19</v>
      </c>
      <c r="H900" s="5" t="s">
        <v>19</v>
      </c>
      <c r="I900" s="5" t="s">
        <v>19</v>
      </c>
      <c r="J900" s="5">
        <v>1</v>
      </c>
      <c r="K900" s="5" t="s">
        <v>19</v>
      </c>
      <c r="L900" s="5" t="str">
        <f>VLOOKUP(Healthcare!$A900,hospital_details,2,0)</f>
        <v>2-Sep-1984</v>
      </c>
      <c r="M900" s="5">
        <f t="shared" ref="M900:M963" ca="1" si="5387">VLOOKUP(A900,hospital_details,3,0)</f>
        <v>42</v>
      </c>
      <c r="N900" s="5">
        <f t="shared" ref="N900:N963" si="5388">VLOOKUP($A900,hospital_details,4,0)</f>
        <v>3</v>
      </c>
      <c r="O900" s="6">
        <f t="shared" ref="O900:O963" si="5389">VLOOKUP($A900,hospital_details,5,0)</f>
        <v>12091.34</v>
      </c>
      <c r="P900" s="5" t="str">
        <f t="shared" ref="P900:P963" si="5390">VLOOKUP($A900,hospital_details,6,0)</f>
        <v>tier - 3</v>
      </c>
      <c r="Q900" s="5" t="str">
        <f t="shared" ref="Q900:Q963" si="5391">VLOOKUP($A900,hospital_details,7,0)</f>
        <v>tier - 2</v>
      </c>
      <c r="R900" s="5" t="str">
        <f t="shared" ref="R900:R963" si="5392">VLOOKUP($A900,hospital_details,8,0)</f>
        <v>R1022</v>
      </c>
    </row>
    <row r="901" spans="1:18" ht="14.4" customHeight="1" x14ac:dyDescent="0.3">
      <c r="A901" s="7" t="s">
        <v>921</v>
      </c>
      <c r="B901" s="7" t="str">
        <f>VLOOKUP($A901,[1]!Customer_Names[#Data],3,0)</f>
        <v xml:space="preserve">  Alyssa</v>
      </c>
      <c r="C901" s="7">
        <v>39.25</v>
      </c>
      <c r="D901" s="7" t="str" cm="1">
        <f t="array" ref="D901">_xlfn.IFS(Healthcare!$C901&lt;18.5,"under weight",Healthcare!$C901&lt;=24.9,"Normal Weight",Healthcare!$C901&gt;=25,"overweight",Healthcare!$C901&gt;=30,"obese")</f>
        <v>overweight</v>
      </c>
      <c r="E901" s="7">
        <v>8.41</v>
      </c>
      <c r="F901" s="7" t="str" cm="1">
        <f t="array" ref="F901">_xlfn.IFS(Healthcare!$E901&lt;5.7,"normal",Healthcare!$E901&lt;=6.4,"prediabetes",Healthcare!$E901&gt;=6.5,"diabetes")</f>
        <v>diabetes</v>
      </c>
      <c r="G901" s="7" t="s">
        <v>20</v>
      </c>
      <c r="H901" s="7" t="s">
        <v>19</v>
      </c>
      <c r="I901" s="7" t="s">
        <v>19</v>
      </c>
      <c r="J901" s="7">
        <v>1</v>
      </c>
      <c r="K901" s="7" t="s">
        <v>19</v>
      </c>
      <c r="L901" s="7" t="str">
        <f>VLOOKUP(Healthcare!$A901,hospital_details,2,0)</f>
        <v>7-Sep-1986</v>
      </c>
      <c r="M901" s="7">
        <f t="shared" ref="M901:M964" ca="1" si="5393">VLOOKUP(A901,hospital_details,3,0)</f>
        <v>40</v>
      </c>
      <c r="N901" s="7">
        <f t="shared" ref="N901:N964" si="5394">VLOOKUP($A901,hospital_details,4,0)</f>
        <v>3</v>
      </c>
      <c r="O901" s="8">
        <f t="shared" ref="O901:O964" si="5395">VLOOKUP($A901,hospital_details,5,0)</f>
        <v>12048.13</v>
      </c>
      <c r="P901" s="7" t="str">
        <f t="shared" ref="P901:P964" si="5396">VLOOKUP($A901,hospital_details,6,0)</f>
        <v>tier - 3</v>
      </c>
      <c r="Q901" s="7" t="str">
        <f t="shared" ref="Q901:Q964" si="5397">VLOOKUP($A901,hospital_details,7,0)</f>
        <v>tier - 2</v>
      </c>
      <c r="R901" s="7" t="str">
        <f t="shared" ref="R901:R964" si="5398">VLOOKUP($A901,hospital_details,8,0)</f>
        <v>R1026</v>
      </c>
    </row>
    <row r="902" spans="1:18" ht="14.4" customHeight="1" x14ac:dyDescent="0.3">
      <c r="A902" s="5" t="s">
        <v>922</v>
      </c>
      <c r="B902" s="5" t="str">
        <f>VLOOKUP($A902,[1]!Customer_Names[#Data],3,0)</f>
        <v xml:space="preserve">  Jessica E</v>
      </c>
      <c r="C902" s="5">
        <v>26.6</v>
      </c>
      <c r="D902" s="5" t="str" cm="1">
        <f t="array" ref="D902">_xlfn.IFS(Healthcare!$C902&lt;18.5,"under weight",Healthcare!$C902&lt;=24.9,"Normal Weight",Healthcare!$C902&gt;=25,"overweight",Healthcare!$C902&gt;=30,"obese")</f>
        <v>overweight</v>
      </c>
      <c r="E902" s="5">
        <v>5.07</v>
      </c>
      <c r="F902" s="5" t="str" cm="1">
        <f t="array" ref="F902">_xlfn.IFS(Healthcare!$E902&lt;5.7,"normal",Healthcare!$E902&lt;=6.4,"prediabetes",Healthcare!$E902&gt;=6.5,"diabetes")</f>
        <v>normal</v>
      </c>
      <c r="G902" s="5" t="s">
        <v>20</v>
      </c>
      <c r="H902" s="5" t="s">
        <v>19</v>
      </c>
      <c r="I902" s="5" t="s">
        <v>19</v>
      </c>
      <c r="J902" s="5">
        <v>2</v>
      </c>
      <c r="K902" s="5" t="s">
        <v>19</v>
      </c>
      <c r="L902" s="5" t="str">
        <f>VLOOKUP(Healthcare!$A902,hospital_details,2,0)</f>
        <v>24-Nov-1966</v>
      </c>
      <c r="M902" s="5">
        <f t="shared" ref="M902:M965" ca="1" si="5399">VLOOKUP(A902,hospital_details,3,0)</f>
        <v>59</v>
      </c>
      <c r="N902" s="5">
        <f t="shared" ref="N902:N965" si="5400">VLOOKUP($A902,hospital_details,4,0)</f>
        <v>1</v>
      </c>
      <c r="O902" s="6">
        <f t="shared" ref="O902:O965" si="5401">VLOOKUP($A902,hospital_details,5,0)</f>
        <v>12044.34</v>
      </c>
      <c r="P902" s="5" t="str">
        <f t="shared" ref="P902:P965" si="5402">VLOOKUP($A902,hospital_details,6,0)</f>
        <v>tier - 3</v>
      </c>
      <c r="Q902" s="5" t="str">
        <f t="shared" ref="Q902:Q965" si="5403">VLOOKUP($A902,hospital_details,7,0)</f>
        <v>tier - 1</v>
      </c>
      <c r="R902" s="5" t="str">
        <f t="shared" ref="R902:R965" si="5404">VLOOKUP($A902,hospital_details,8,0)</f>
        <v>R1012</v>
      </c>
    </row>
    <row r="903" spans="1:18" ht="14.4" customHeight="1" x14ac:dyDescent="0.3">
      <c r="A903" s="7" t="s">
        <v>923</v>
      </c>
      <c r="B903" s="7" t="str">
        <f>VLOOKUP($A903,[1]!Customer_Names[#Data],3,0)</f>
        <v xml:space="preserve">  Patrick J</v>
      </c>
      <c r="C903" s="7">
        <v>35.700000000000003</v>
      </c>
      <c r="D903" s="7" t="str" cm="1">
        <f t="array" ref="D903">_xlfn.IFS(Healthcare!$C903&lt;18.5,"under weight",Healthcare!$C903&lt;=24.9,"Normal Weight",Healthcare!$C903&gt;=25,"overweight",Healthcare!$C903&gt;=30,"obese")</f>
        <v>overweight</v>
      </c>
      <c r="E903" s="7">
        <v>4.0599999999999996</v>
      </c>
      <c r="F903" s="7" t="str" cm="1">
        <f t="array" ref="F903">_xlfn.IFS(Healthcare!$E903&lt;5.7,"normal",Healthcare!$E903&lt;=6.4,"prediabetes",Healthcare!$E903&gt;=6.5,"diabetes")</f>
        <v>normal</v>
      </c>
      <c r="G903" s="7" t="s">
        <v>19</v>
      </c>
      <c r="H903" s="7" t="s">
        <v>19</v>
      </c>
      <c r="I903" s="7" t="s">
        <v>29</v>
      </c>
      <c r="J903" s="7">
        <v>1</v>
      </c>
      <c r="K903" s="7" t="s">
        <v>19</v>
      </c>
      <c r="L903" s="7" t="str">
        <f>VLOOKUP(Healthcare!$A903,hospital_details,2,0)</f>
        <v>16-Oct-1979</v>
      </c>
      <c r="M903" s="7">
        <f t="shared" ref="M903:M966" ca="1" si="5405">VLOOKUP(A903,hospital_details,3,0)</f>
        <v>47</v>
      </c>
      <c r="N903" s="7">
        <f t="shared" ref="N903:N966" si="5406">VLOOKUP($A903,hospital_details,4,0)</f>
        <v>2</v>
      </c>
      <c r="O903" s="8">
        <f t="shared" ref="O903:O966" si="5407">VLOOKUP($A903,hospital_details,5,0)</f>
        <v>12035.18</v>
      </c>
      <c r="P903" s="7" t="str">
        <f t="shared" ref="P903:P966" si="5408">VLOOKUP($A903,hospital_details,6,0)</f>
        <v>tier - 3</v>
      </c>
      <c r="Q903" s="7" t="str">
        <f t="shared" ref="Q903:Q966" si="5409">VLOOKUP($A903,hospital_details,7,0)</f>
        <v>tier - 3</v>
      </c>
      <c r="R903" s="7" t="str">
        <f t="shared" ref="R903:R966" si="5410">VLOOKUP($A903,hospital_details,8,0)</f>
        <v>R1021</v>
      </c>
    </row>
    <row r="904" spans="1:18" ht="14.4" customHeight="1" x14ac:dyDescent="0.3">
      <c r="A904" s="5" t="s">
        <v>924</v>
      </c>
      <c r="B904" s="5" t="str">
        <f>VLOOKUP($A904,[1]!Customer_Names[#Data],3,0)</f>
        <v xml:space="preserve">  Emilie</v>
      </c>
      <c r="C904" s="5">
        <v>20.100000000000001</v>
      </c>
      <c r="D904" s="5" t="str" cm="1">
        <f t="array" ref="D904">_xlfn.IFS(Healthcare!$C904&lt;18.5,"under weight",Healthcare!$C904&lt;=24.9,"Normal Weight",Healthcare!$C904&gt;=25,"overweight",Healthcare!$C904&gt;=30,"obese")</f>
        <v>Normal Weight</v>
      </c>
      <c r="E904" s="5">
        <v>10.52</v>
      </c>
      <c r="F904" s="5" t="str" cm="1">
        <f t="array" ref="F904">_xlfn.IFS(Healthcare!$E904&lt;5.7,"normal",Healthcare!$E904&lt;=6.4,"prediabetes",Healthcare!$E904&gt;=6.5,"diabetes")</f>
        <v>diabetes</v>
      </c>
      <c r="G904" s="5" t="s">
        <v>19</v>
      </c>
      <c r="H904" s="5" t="s">
        <v>19</v>
      </c>
      <c r="I904" s="5" t="s">
        <v>19</v>
      </c>
      <c r="J904" s="5">
        <v>0</v>
      </c>
      <c r="K904" s="5" t="s">
        <v>19</v>
      </c>
      <c r="L904" s="5" t="str">
        <f>VLOOKUP(Healthcare!$A904,hospital_details,2,0)</f>
        <v>29-Oct-1965</v>
      </c>
      <c r="M904" s="5">
        <f t="shared" ref="M904:M967" ca="1" si="5411">VLOOKUP(A904,hospital_details,3,0)</f>
        <v>60</v>
      </c>
      <c r="N904" s="5">
        <f t="shared" ref="N904:N967" si="5412">VLOOKUP($A904,hospital_details,4,0)</f>
        <v>1</v>
      </c>
      <c r="O904" s="6">
        <f t="shared" ref="O904:O967" si="5413">VLOOKUP($A904,hospital_details,5,0)</f>
        <v>12032.33</v>
      </c>
      <c r="P904" s="5" t="str">
        <f t="shared" ref="P904:P967" si="5414">VLOOKUP($A904,hospital_details,6,0)</f>
        <v>tier - 3</v>
      </c>
      <c r="Q904" s="5" t="str">
        <f t="shared" ref="Q904:Q967" si="5415">VLOOKUP($A904,hospital_details,7,0)</f>
        <v>tier - 1</v>
      </c>
      <c r="R904" s="5" t="str">
        <f t="shared" ref="R904:R967" si="5416">VLOOKUP($A904,hospital_details,8,0)</f>
        <v>R1011</v>
      </c>
    </row>
    <row r="905" spans="1:18" ht="14.4" customHeight="1" x14ac:dyDescent="0.3">
      <c r="A905" s="7" t="s">
        <v>925</v>
      </c>
      <c r="B905" s="7" t="str">
        <f>VLOOKUP($A905,[1]!Customer_Names[#Data],3,0)</f>
        <v xml:space="preserve">  Caitlin B</v>
      </c>
      <c r="C905" s="7">
        <v>22.23</v>
      </c>
      <c r="D905" s="7" t="str" cm="1">
        <f t="array" ref="D905">_xlfn.IFS(Healthcare!$C905&lt;18.5,"under weight",Healthcare!$C905&lt;=24.9,"Normal Weight",Healthcare!$C905&gt;=25,"overweight",Healthcare!$C905&gt;=30,"obese")</f>
        <v>Normal Weight</v>
      </c>
      <c r="E905" s="7">
        <v>9.65</v>
      </c>
      <c r="F905" s="7" t="str" cm="1">
        <f t="array" ref="F905">_xlfn.IFS(Healthcare!$E905&lt;5.7,"normal",Healthcare!$E905&lt;=6.4,"prediabetes",Healthcare!$E905&gt;=6.5,"diabetes")</f>
        <v>diabetes</v>
      </c>
      <c r="G905" s="7" t="s">
        <v>19</v>
      </c>
      <c r="H905" s="7" t="s">
        <v>19</v>
      </c>
      <c r="I905" s="7" t="s">
        <v>19</v>
      </c>
      <c r="J905" s="7">
        <v>0</v>
      </c>
      <c r="K905" s="7" t="s">
        <v>19</v>
      </c>
      <c r="L905" s="7" t="str">
        <f>VLOOKUP(Healthcare!$A905,hospital_details,2,0)</f>
        <v>9-Jun-1965</v>
      </c>
      <c r="M905" s="7">
        <f t="shared" ref="M905:M968" ca="1" si="5417">VLOOKUP(A905,hospital_details,3,0)</f>
        <v>61</v>
      </c>
      <c r="N905" s="7">
        <f t="shared" ref="N905:N968" si="5418">VLOOKUP($A905,hospital_details,4,0)</f>
        <v>0</v>
      </c>
      <c r="O905" s="8">
        <f t="shared" ref="O905:O968" si="5419">VLOOKUP($A905,hospital_details,5,0)</f>
        <v>12029.29</v>
      </c>
      <c r="P905" s="7" t="str">
        <f t="shared" ref="P905:P968" si="5420">VLOOKUP($A905,hospital_details,6,0)</f>
        <v>tier - 3</v>
      </c>
      <c r="Q905" s="7" t="str">
        <f t="shared" ref="Q905:Q968" si="5421">VLOOKUP($A905,hospital_details,7,0)</f>
        <v>tier - 2</v>
      </c>
      <c r="R905" s="7" t="str">
        <f t="shared" ref="R905:R968" si="5422">VLOOKUP($A905,hospital_details,8,0)</f>
        <v>R1024</v>
      </c>
    </row>
    <row r="906" spans="1:18" ht="14.4" customHeight="1" x14ac:dyDescent="0.3">
      <c r="A906" s="5" t="s">
        <v>926</v>
      </c>
      <c r="B906" s="5" t="str">
        <f>VLOOKUP($A906,[1]!Customer_Names[#Data],3,0)</f>
        <v xml:space="preserve">  Joseph W</v>
      </c>
      <c r="C906" s="5">
        <v>36.47</v>
      </c>
      <c r="D906" s="5" t="str" cm="1">
        <f t="array" ref="D906">_xlfn.IFS(Healthcare!$C906&lt;18.5,"under weight",Healthcare!$C906&lt;=24.9,"Normal Weight",Healthcare!$C906&gt;=25,"overweight",Healthcare!$C906&gt;=30,"obese")</f>
        <v>overweight</v>
      </c>
      <c r="E906" s="5">
        <v>6.21</v>
      </c>
      <c r="F906" s="5" t="str" cm="1">
        <f t="array" ref="F906">_xlfn.IFS(Healthcare!$E906&lt;5.7,"normal",Healthcare!$E906&lt;=6.4,"prediabetes",Healthcare!$E906&gt;=6.5,"diabetes")</f>
        <v>prediabetes</v>
      </c>
      <c r="G906" s="5" t="s">
        <v>19</v>
      </c>
      <c r="H906" s="5" t="s">
        <v>19</v>
      </c>
      <c r="I906" s="5" t="s">
        <v>19</v>
      </c>
      <c r="J906" s="5">
        <v>0</v>
      </c>
      <c r="K906" s="5" t="s">
        <v>19</v>
      </c>
      <c r="L906" s="5" t="str">
        <f>VLOOKUP(Healthcare!$A906,hospital_details,2,0)</f>
        <v>17-Oct-1982</v>
      </c>
      <c r="M906" s="5">
        <f t="shared" ref="M906:M969" ca="1" si="5423">VLOOKUP(A906,hospital_details,3,0)</f>
        <v>44</v>
      </c>
      <c r="N906" s="5">
        <f t="shared" ref="N906:N969" si="5424">VLOOKUP($A906,hospital_details,4,0)</f>
        <v>3</v>
      </c>
      <c r="O906" s="6">
        <f t="shared" ref="O906:O969" si="5425">VLOOKUP($A906,hospital_details,5,0)</f>
        <v>12001.29</v>
      </c>
      <c r="P906" s="5" t="str">
        <f t="shared" ref="P906:P969" si="5426">VLOOKUP($A906,hospital_details,6,0)</f>
        <v>tier - 3</v>
      </c>
      <c r="Q906" s="5" t="str">
        <f t="shared" ref="Q906:Q969" si="5427">VLOOKUP($A906,hospital_details,7,0)</f>
        <v>tier - 3</v>
      </c>
      <c r="R906" s="5" t="str">
        <f t="shared" ref="R906:R969" si="5428">VLOOKUP($A906,hospital_details,8,0)</f>
        <v>R1021</v>
      </c>
    </row>
    <row r="907" spans="1:18" ht="14.4" customHeight="1" x14ac:dyDescent="0.3">
      <c r="A907" s="7" t="s">
        <v>927</v>
      </c>
      <c r="B907" s="7" t="str">
        <f>VLOOKUP($A907,[1]!Customer_Names[#Data],3,0)</f>
        <v xml:space="preserve">  Wendy</v>
      </c>
      <c r="C907" s="7">
        <v>49.64</v>
      </c>
      <c r="D907" s="7" t="str" cm="1">
        <f t="array" ref="D907">_xlfn.IFS(Healthcare!$C907&lt;18.5,"under weight",Healthcare!$C907&lt;=24.9,"Normal Weight",Healthcare!$C907&gt;=25,"overweight",Healthcare!$C907&gt;=30,"obese")</f>
        <v>overweight</v>
      </c>
      <c r="E907" s="7">
        <v>4.76</v>
      </c>
      <c r="F907" s="7" t="str" cm="1">
        <f t="array" ref="F907">_xlfn.IFS(Healthcare!$E907&lt;5.7,"normal",Healthcare!$E907&lt;=6.4,"prediabetes",Healthcare!$E907&gt;=6.5,"diabetes")</f>
        <v>normal</v>
      </c>
      <c r="G907" s="7" t="s">
        <v>19</v>
      </c>
      <c r="H907" s="7" t="s">
        <v>19</v>
      </c>
      <c r="I907" s="7" t="s">
        <v>29</v>
      </c>
      <c r="J907" s="7">
        <v>1</v>
      </c>
      <c r="K907" s="7" t="s">
        <v>19</v>
      </c>
      <c r="L907" s="7" t="str">
        <f>VLOOKUP(Healthcare!$A907,hospital_details,2,0)</f>
        <v>12-Dec-1993</v>
      </c>
      <c r="M907" s="7">
        <f t="shared" ref="M907:M970" ca="1" si="5429">VLOOKUP(A907,hospital_details,3,0)</f>
        <v>32</v>
      </c>
      <c r="N907" s="7">
        <f t="shared" ref="N907:N970" si="5430">VLOOKUP($A907,hospital_details,4,0)</f>
        <v>0</v>
      </c>
      <c r="O907" s="8">
        <f t="shared" ref="O907:O970" si="5431">VLOOKUP($A907,hospital_details,5,0)</f>
        <v>11994.89</v>
      </c>
      <c r="P907" s="7" t="str">
        <f t="shared" ref="P907:P970" si="5432">VLOOKUP($A907,hospital_details,6,0)</f>
        <v>tier - 3</v>
      </c>
      <c r="Q907" s="7" t="str">
        <f t="shared" ref="Q907:Q970" si="5433">VLOOKUP($A907,hospital_details,7,0)</f>
        <v>tier - 2</v>
      </c>
      <c r="R907" s="7" t="str">
        <f t="shared" ref="R907:R970" si="5434">VLOOKUP($A907,hospital_details,8,0)</f>
        <v>R1012</v>
      </c>
    </row>
    <row r="908" spans="1:18" ht="14.4" customHeight="1" x14ac:dyDescent="0.3">
      <c r="A908" s="5" t="s">
        <v>928</v>
      </c>
      <c r="B908" s="5" t="str">
        <f>VLOOKUP($A908,[1]!Customer_Names[#Data],3,0)</f>
        <v xml:space="preserve">  Leah L</v>
      </c>
      <c r="C908" s="5">
        <v>36.799999999999997</v>
      </c>
      <c r="D908" s="5" t="str" cm="1">
        <f t="array" ref="D908">_xlfn.IFS(Healthcare!$C908&lt;18.5,"under weight",Healthcare!$C908&lt;=24.9,"Normal Weight",Healthcare!$C908&gt;=25,"overweight",Healthcare!$C908&gt;=30,"obese")</f>
        <v>overweight</v>
      </c>
      <c r="E908" s="5">
        <v>5.73</v>
      </c>
      <c r="F908" s="5" t="str" cm="1">
        <f t="array" ref="F908">_xlfn.IFS(Healthcare!$E908&lt;5.7,"normal",Healthcare!$E908&lt;=6.4,"prediabetes",Healthcare!$E908&gt;=6.5,"diabetes")</f>
        <v>prediabetes</v>
      </c>
      <c r="G908" s="5" t="s">
        <v>20</v>
      </c>
      <c r="H908" s="5" t="s">
        <v>19</v>
      </c>
      <c r="I908" s="5" t="s">
        <v>29</v>
      </c>
      <c r="J908" s="5">
        <v>1</v>
      </c>
      <c r="K908" s="5" t="s">
        <v>19</v>
      </c>
      <c r="L908" s="5" t="str">
        <f>VLOOKUP(Healthcare!$A908,hospital_details,2,0)</f>
        <v>4-Jul-1983</v>
      </c>
      <c r="M908" s="5">
        <f t="shared" ref="M908:M971" ca="1" si="5435">VLOOKUP(A908,hospital_details,3,0)</f>
        <v>43</v>
      </c>
      <c r="N908" s="5">
        <f t="shared" ref="N908:N971" si="5436">VLOOKUP($A908,hospital_details,4,0)</f>
        <v>3</v>
      </c>
      <c r="O908" s="6">
        <f t="shared" ref="O908:O971" si="5437">VLOOKUP($A908,hospital_details,5,0)</f>
        <v>11987.68</v>
      </c>
      <c r="P908" s="5" t="str">
        <f t="shared" ref="P908:P971" si="5438">VLOOKUP($A908,hospital_details,6,0)</f>
        <v>tier - 3</v>
      </c>
      <c r="Q908" s="5" t="str">
        <f t="shared" ref="Q908:Q971" si="5439">VLOOKUP($A908,hospital_details,7,0)</f>
        <v>tier - 2</v>
      </c>
      <c r="R908" s="5" t="str">
        <f t="shared" ref="R908:R971" si="5440">VLOOKUP($A908,hospital_details,8,0)</f>
        <v>R1026</v>
      </c>
    </row>
    <row r="909" spans="1:18" ht="14.4" customHeight="1" x14ac:dyDescent="0.3">
      <c r="A909" s="7" t="s">
        <v>929</v>
      </c>
      <c r="B909" s="7" t="str">
        <f>VLOOKUP($A909,[1]!Customer_Names[#Data],3,0)</f>
        <v xml:space="preserve">  Wayne L</v>
      </c>
      <c r="C909" s="7">
        <v>33.880000000000003</v>
      </c>
      <c r="D909" s="7" t="str" cm="1">
        <f t="array" ref="D909">_xlfn.IFS(Healthcare!$C909&lt;18.5,"under weight",Healthcare!$C909&lt;=24.9,"Normal Weight",Healthcare!$C909&gt;=25,"overweight",Healthcare!$C909&gt;=30,"obese")</f>
        <v>overweight</v>
      </c>
      <c r="E909" s="7">
        <v>10.78</v>
      </c>
      <c r="F909" s="7" t="str" cm="1">
        <f t="array" ref="F909">_xlfn.IFS(Healthcare!$E909&lt;5.7,"normal",Healthcare!$E909&lt;=6.4,"prediabetes",Healthcare!$E909&gt;=6.5,"diabetes")</f>
        <v>diabetes</v>
      </c>
      <c r="G909" s="7" t="s">
        <v>20</v>
      </c>
      <c r="H909" s="7" t="s">
        <v>19</v>
      </c>
      <c r="I909" s="7" t="s">
        <v>19</v>
      </c>
      <c r="J909" s="7">
        <v>0</v>
      </c>
      <c r="K909" s="7" t="s">
        <v>19</v>
      </c>
      <c r="L909" s="7" t="str">
        <f>VLOOKUP(Healthcare!$A909,hospital_details,2,0)</f>
        <v>22-Dec-1967</v>
      </c>
      <c r="M909" s="7">
        <f t="shared" ref="M909:M972" ca="1" si="5441">VLOOKUP(A909,hospital_details,3,0)</f>
        <v>58</v>
      </c>
      <c r="N909" s="7">
        <f t="shared" ref="N909:N972" si="5442">VLOOKUP($A909,hospital_details,4,0)</f>
        <v>3</v>
      </c>
      <c r="O909" s="8">
        <f t="shared" ref="O909:O972" si="5443">VLOOKUP($A909,hospital_details,5,0)</f>
        <v>11987.17</v>
      </c>
      <c r="P909" s="7" t="str">
        <f t="shared" ref="P909:P972" si="5444">VLOOKUP($A909,hospital_details,6,0)</f>
        <v>tier - 3</v>
      </c>
      <c r="Q909" s="7" t="str">
        <f t="shared" ref="Q909:Q972" si="5445">VLOOKUP($A909,hospital_details,7,0)</f>
        <v>tier - 3</v>
      </c>
      <c r="R909" s="7" t="str">
        <f t="shared" ref="R909:R972" si="5446">VLOOKUP($A909,hospital_details,8,0)</f>
        <v>R1013</v>
      </c>
    </row>
    <row r="910" spans="1:18" ht="14.4" customHeight="1" x14ac:dyDescent="0.3">
      <c r="A910" s="5" t="s">
        <v>930</v>
      </c>
      <c r="B910" s="5" t="str">
        <f>VLOOKUP($A910,[1]!Customer_Names[#Data],3,0)</f>
        <v xml:space="preserve">  Jason M</v>
      </c>
      <c r="C910" s="5">
        <v>32.01</v>
      </c>
      <c r="D910" s="5" t="str" cm="1">
        <f t="array" ref="D910">_xlfn.IFS(Healthcare!$C910&lt;18.5,"under weight",Healthcare!$C910&lt;=24.9,"Normal Weight",Healthcare!$C910&gt;=25,"overweight",Healthcare!$C910&gt;=30,"obese")</f>
        <v>overweight</v>
      </c>
      <c r="E910" s="5">
        <v>5.08</v>
      </c>
      <c r="F910" s="5" t="str" cm="1">
        <f t="array" ref="F910">_xlfn.IFS(Healthcare!$E910&lt;5.7,"normal",Healthcare!$E910&lt;=6.4,"prediabetes",Healthcare!$E910&gt;=6.5,"diabetes")</f>
        <v>normal</v>
      </c>
      <c r="G910" s="5" t="s">
        <v>20</v>
      </c>
      <c r="H910" s="5" t="s">
        <v>19</v>
      </c>
      <c r="I910" s="5" t="s">
        <v>19</v>
      </c>
      <c r="J910" s="5">
        <v>1</v>
      </c>
      <c r="K910" s="5" t="s">
        <v>19</v>
      </c>
      <c r="L910" s="5" t="str">
        <f>VLOOKUP(Healthcare!$A910,hospital_details,2,0)</f>
        <v>29-Sep-1964</v>
      </c>
      <c r="M910" s="5">
        <f t="shared" ref="M910:M973" ca="1" si="5447">VLOOKUP(A910,hospital_details,3,0)</f>
        <v>62</v>
      </c>
      <c r="N910" s="5">
        <f t="shared" ref="N910:N973" si="5448">VLOOKUP($A910,hospital_details,4,0)</f>
        <v>1</v>
      </c>
      <c r="O910" s="6">
        <f t="shared" ref="O910:O973" si="5449">VLOOKUP($A910,hospital_details,5,0)</f>
        <v>11946.63</v>
      </c>
      <c r="P910" s="5" t="str">
        <f t="shared" ref="P910:P973" si="5450">VLOOKUP($A910,hospital_details,6,0)</f>
        <v>tier - 3</v>
      </c>
      <c r="Q910" s="5" t="str">
        <f t="shared" ref="Q910:Q973" si="5451">VLOOKUP($A910,hospital_details,7,0)</f>
        <v>tier - 2</v>
      </c>
      <c r="R910" s="5" t="str">
        <f t="shared" ref="R910:R973" si="5452">VLOOKUP($A910,hospital_details,8,0)</f>
        <v>R1013</v>
      </c>
    </row>
    <row r="911" spans="1:18" ht="14.4" customHeight="1" x14ac:dyDescent="0.3">
      <c r="A911" s="7" t="s">
        <v>931</v>
      </c>
      <c r="B911" s="7" t="str">
        <f>VLOOKUP($A911,[1]!Customer_Names[#Data],3,0)</f>
        <v xml:space="preserve">  Floris</v>
      </c>
      <c r="C911" s="7">
        <v>33.630000000000003</v>
      </c>
      <c r="D911" s="7" t="str" cm="1">
        <f t="array" ref="D911">_xlfn.IFS(Healthcare!$C911&lt;18.5,"under weight",Healthcare!$C911&lt;=24.9,"Normal Weight",Healthcare!$C911&gt;=25,"overweight",Healthcare!$C911&gt;=30,"obese")</f>
        <v>overweight</v>
      </c>
      <c r="E911" s="7">
        <v>11.39</v>
      </c>
      <c r="F911" s="7" t="str" cm="1">
        <f t="array" ref="F911">_xlfn.IFS(Healthcare!$E911&lt;5.7,"normal",Healthcare!$E911&lt;=6.4,"prediabetes",Healthcare!$E911&gt;=6.5,"diabetes")</f>
        <v>diabetes</v>
      </c>
      <c r="G911" s="7" t="s">
        <v>19</v>
      </c>
      <c r="H911" s="7" t="s">
        <v>19</v>
      </c>
      <c r="I911" s="7" t="s">
        <v>19</v>
      </c>
      <c r="J911" s="7">
        <v>0</v>
      </c>
      <c r="K911" s="7" t="s">
        <v>19</v>
      </c>
      <c r="L911" s="7" t="str">
        <f>VLOOKUP(Healthcare!$A911,hospital_details,2,0)</f>
        <v>1-Nov-1965</v>
      </c>
      <c r="M911" s="7">
        <f t="shared" ref="M911:M974" ca="1" si="5453">VLOOKUP(A911,hospital_details,3,0)</f>
        <v>60</v>
      </c>
      <c r="N911" s="7">
        <f t="shared" ref="N911:N974" si="5454">VLOOKUP($A911,hospital_details,4,0)</f>
        <v>1</v>
      </c>
      <c r="O911" s="8">
        <f t="shared" ref="O911:O974" si="5455">VLOOKUP($A911,hospital_details,5,0)</f>
        <v>11945.13</v>
      </c>
      <c r="P911" s="7" t="str">
        <f t="shared" ref="P911:P974" si="5456">VLOOKUP($A911,hospital_details,6,0)</f>
        <v>tier - 3</v>
      </c>
      <c r="Q911" s="7" t="str">
        <f t="shared" ref="Q911:Q974" si="5457">VLOOKUP($A911,hospital_details,7,0)</f>
        <v>tier - 2</v>
      </c>
      <c r="R911" s="7" t="str">
        <f t="shared" ref="R911:R974" si="5458">VLOOKUP($A911,hospital_details,8,0)</f>
        <v>R1012</v>
      </c>
    </row>
    <row r="912" spans="1:18" ht="14.4" customHeight="1" x14ac:dyDescent="0.3">
      <c r="A912" s="5" t="s">
        <v>932</v>
      </c>
      <c r="B912" s="5" t="str">
        <f>VLOOKUP($A912,[1]!Customer_Names[#Data],3,0)</f>
        <v xml:space="preserve">  Marc</v>
      </c>
      <c r="C912" s="5">
        <v>34.865000000000002</v>
      </c>
      <c r="D912" s="5" t="str" cm="1">
        <f t="array" ref="D912">_xlfn.IFS(Healthcare!$C912&lt;18.5,"under weight",Healthcare!$C912&lt;=24.9,"Normal Weight",Healthcare!$C912&gt;=25,"overweight",Healthcare!$C912&gt;=30,"obese")</f>
        <v>overweight</v>
      </c>
      <c r="E912" s="5">
        <v>5.35</v>
      </c>
      <c r="F912" s="5" t="str" cm="1">
        <f t="array" ref="F912">_xlfn.IFS(Healthcare!$E912&lt;5.7,"normal",Healthcare!$E912&lt;=6.4,"prediabetes",Healthcare!$E912&gt;=6.5,"diabetes")</f>
        <v>normal</v>
      </c>
      <c r="G912" s="5" t="s">
        <v>20</v>
      </c>
      <c r="H912" s="5" t="s">
        <v>19</v>
      </c>
      <c r="I912" s="5" t="s">
        <v>19</v>
      </c>
      <c r="J912" s="5">
        <v>1</v>
      </c>
      <c r="K912" s="5" t="s">
        <v>19</v>
      </c>
      <c r="L912" s="5" t="str">
        <f>VLOOKUP(Healthcare!$A912,hospital_details,2,0)</f>
        <v>25-Dec-1964</v>
      </c>
      <c r="M912" s="5">
        <f t="shared" ref="M912:M975" ca="1" si="5459">VLOOKUP(A912,hospital_details,3,0)</f>
        <v>61</v>
      </c>
      <c r="N912" s="5">
        <f t="shared" ref="N912:N975" si="5460">VLOOKUP($A912,hospital_details,4,0)</f>
        <v>0</v>
      </c>
      <c r="O912" s="6">
        <f t="shared" ref="O912:O975" si="5461">VLOOKUP($A912,hospital_details,5,0)</f>
        <v>11944.59</v>
      </c>
      <c r="P912" s="5" t="str">
        <f t="shared" ref="P912:P975" si="5462">VLOOKUP($A912,hospital_details,6,0)</f>
        <v>tier - 3</v>
      </c>
      <c r="Q912" s="5" t="str">
        <f t="shared" ref="Q912:Q975" si="5463">VLOOKUP($A912,hospital_details,7,0)</f>
        <v>tier - 2</v>
      </c>
      <c r="R912" s="5" t="str">
        <f t="shared" ref="R912:R975" si="5464">VLOOKUP($A912,hospital_details,8,0)</f>
        <v>R1016</v>
      </c>
    </row>
    <row r="913" spans="1:18" ht="14.4" customHeight="1" x14ac:dyDescent="0.3">
      <c r="A913" s="7" t="s">
        <v>933</v>
      </c>
      <c r="B913" s="7" t="str">
        <f>VLOOKUP($A913,[1]!Customer_Names[#Data],3,0)</f>
        <v xml:space="preserve">  Christopher</v>
      </c>
      <c r="C913" s="7">
        <v>43.11</v>
      </c>
      <c r="D913" s="7" t="str" cm="1">
        <f t="array" ref="D913">_xlfn.IFS(Healthcare!$C913&lt;18.5,"under weight",Healthcare!$C913&lt;=24.9,"Normal Weight",Healthcare!$C913&gt;=25,"overweight",Healthcare!$C913&gt;=30,"obese")</f>
        <v>overweight</v>
      </c>
      <c r="E913" s="7">
        <v>5.6</v>
      </c>
      <c r="F913" s="7" t="str" cm="1">
        <f t="array" ref="F913">_xlfn.IFS(Healthcare!$E913&lt;5.7,"normal",Healthcare!$E913&lt;=6.4,"prediabetes",Healthcare!$E913&gt;=6.5,"diabetes")</f>
        <v>normal</v>
      </c>
      <c r="G913" s="7" t="s">
        <v>19</v>
      </c>
      <c r="H913" s="7" t="s">
        <v>19</v>
      </c>
      <c r="I913" s="7" t="s">
        <v>19</v>
      </c>
      <c r="J913" s="7">
        <v>0</v>
      </c>
      <c r="K913" s="7" t="s">
        <v>19</v>
      </c>
      <c r="L913" s="7" t="str">
        <f>VLOOKUP(Healthcare!$A913,hospital_details,2,0)</f>
        <v>19-Oct-1991</v>
      </c>
      <c r="M913" s="7">
        <f t="shared" ref="M913:M976" ca="1" si="5465">VLOOKUP(A913,hospital_details,3,0)</f>
        <v>34</v>
      </c>
      <c r="N913" s="7">
        <f t="shared" ref="N913:N976" si="5466">VLOOKUP($A913,hospital_details,4,0)</f>
        <v>3</v>
      </c>
      <c r="O913" s="8">
        <f t="shared" ref="O913:O976" si="5467">VLOOKUP($A913,hospital_details,5,0)</f>
        <v>11941.83</v>
      </c>
      <c r="P913" s="7" t="str">
        <f t="shared" ref="P913:P976" si="5468">VLOOKUP($A913,hospital_details,6,0)</f>
        <v>tier - 3</v>
      </c>
      <c r="Q913" s="7" t="str">
        <f t="shared" ref="Q913:Q976" si="5469">VLOOKUP($A913,hospital_details,7,0)</f>
        <v>tier - 1</v>
      </c>
      <c r="R913" s="7" t="str">
        <f t="shared" ref="R913:R976" si="5470">VLOOKUP($A913,hospital_details,8,0)</f>
        <v>R1023</v>
      </c>
    </row>
    <row r="914" spans="1:18" ht="14.4" customHeight="1" x14ac:dyDescent="0.3">
      <c r="A914" s="5" t="s">
        <v>934</v>
      </c>
      <c r="B914" s="5" t="str">
        <f>VLOOKUP($A914,[1]!Customer_Names[#Data],3,0)</f>
        <v xml:space="preserve">  Kevin</v>
      </c>
      <c r="C914" s="5">
        <v>30.305</v>
      </c>
      <c r="D914" s="5" t="str" cm="1">
        <f t="array" ref="D914">_xlfn.IFS(Healthcare!$C914&lt;18.5,"under weight",Healthcare!$C914&lt;=24.9,"Normal Weight",Healthcare!$C914&gt;=25,"overweight",Healthcare!$C914&gt;=30,"obese")</f>
        <v>overweight</v>
      </c>
      <c r="E914" s="5">
        <v>4.2699999999999996</v>
      </c>
      <c r="F914" s="5" t="str" cm="1">
        <f t="array" ref="F914">_xlfn.IFS(Healthcare!$E914&lt;5.7,"normal",Healthcare!$E914&lt;=6.4,"prediabetes",Healthcare!$E914&gt;=6.5,"diabetes")</f>
        <v>normal</v>
      </c>
      <c r="G914" s="5" t="s">
        <v>20</v>
      </c>
      <c r="H914" s="5" t="s">
        <v>19</v>
      </c>
      <c r="I914" s="5" t="s">
        <v>19</v>
      </c>
      <c r="J914" s="5">
        <v>1</v>
      </c>
      <c r="K914" s="5" t="s">
        <v>19</v>
      </c>
      <c r="L914" s="5" t="str">
        <f>VLOOKUP(Healthcare!$A914,hospital_details,2,0)</f>
        <v>2-Aug-1964</v>
      </c>
      <c r="M914" s="5">
        <f t="shared" ref="M914:M977" ca="1" si="5471">VLOOKUP(A914,hospital_details,3,0)</f>
        <v>62</v>
      </c>
      <c r="N914" s="5">
        <f t="shared" ref="N914:N977" si="5472">VLOOKUP($A914,hospital_details,4,0)</f>
        <v>0</v>
      </c>
      <c r="O914" s="6">
        <f t="shared" ref="O914:O977" si="5473">VLOOKUP($A914,hospital_details,5,0)</f>
        <v>11938.26</v>
      </c>
      <c r="P914" s="5" t="str">
        <f t="shared" ref="P914:P977" si="5474">VLOOKUP($A914,hospital_details,6,0)</f>
        <v>tier - 3</v>
      </c>
      <c r="Q914" s="5" t="str">
        <f t="shared" ref="Q914:Q977" si="5475">VLOOKUP($A914,hospital_details,7,0)</f>
        <v>tier - 3</v>
      </c>
      <c r="R914" s="5" t="str">
        <f t="shared" ref="R914:R977" si="5476">VLOOKUP($A914,hospital_details,8,0)</f>
        <v>R1019</v>
      </c>
    </row>
    <row r="915" spans="1:18" ht="14.4" customHeight="1" x14ac:dyDescent="0.3">
      <c r="A915" s="7" t="s">
        <v>935</v>
      </c>
      <c r="B915" s="7" t="str">
        <f>VLOOKUP($A915,[1]!Customer_Names[#Data],3,0)</f>
        <v xml:space="preserve">  Aharon N</v>
      </c>
      <c r="C915" s="7">
        <v>25.175000000000001</v>
      </c>
      <c r="D915" s="7" t="str" cm="1">
        <f t="array" ref="D915">_xlfn.IFS(Healthcare!$C915&lt;18.5,"under weight",Healthcare!$C915&lt;=24.9,"Normal Weight",Healthcare!$C915&gt;=25,"overweight",Healthcare!$C915&gt;=30,"obese")</f>
        <v>overweight</v>
      </c>
      <c r="E915" s="7">
        <v>5.57</v>
      </c>
      <c r="F915" s="7" t="str" cm="1">
        <f t="array" ref="F915">_xlfn.IFS(Healthcare!$E915&lt;5.7,"normal",Healthcare!$E915&lt;=6.4,"prediabetes",Healthcare!$E915&gt;=6.5,"diabetes")</f>
        <v>normal</v>
      </c>
      <c r="G915" s="7" t="s">
        <v>20</v>
      </c>
      <c r="H915" s="7" t="s">
        <v>19</v>
      </c>
      <c r="I915" s="7" t="s">
        <v>19</v>
      </c>
      <c r="J915" s="7">
        <v>1</v>
      </c>
      <c r="K915" s="7" t="s">
        <v>19</v>
      </c>
      <c r="L915" s="7" t="str">
        <f>VLOOKUP(Healthcare!$A915,hospital_details,2,0)</f>
        <v>20-Dec-1964</v>
      </c>
      <c r="M915" s="7">
        <f t="shared" ref="M915:M978" ca="1" si="5477">VLOOKUP(A915,hospital_details,3,0)</f>
        <v>61</v>
      </c>
      <c r="N915" s="7">
        <f t="shared" ref="N915:N978" si="5478">VLOOKUP($A915,hospital_details,4,0)</f>
        <v>0</v>
      </c>
      <c r="O915" s="8">
        <f t="shared" ref="O915:O978" si="5479">VLOOKUP($A915,hospital_details,5,0)</f>
        <v>11931.13</v>
      </c>
      <c r="P915" s="7" t="str">
        <f t="shared" ref="P915:P978" si="5480">VLOOKUP($A915,hospital_details,6,0)</f>
        <v>tier - 3</v>
      </c>
      <c r="Q915" s="7" t="str">
        <f t="shared" ref="Q915:Q978" si="5481">VLOOKUP($A915,hospital_details,7,0)</f>
        <v>tier - 1</v>
      </c>
      <c r="R915" s="7" t="str">
        <f t="shared" ref="R915:R978" si="5482">VLOOKUP($A915,hospital_details,8,0)</f>
        <v>R1019</v>
      </c>
    </row>
    <row r="916" spans="1:18" ht="14.4" customHeight="1" x14ac:dyDescent="0.3">
      <c r="A916" s="5" t="s">
        <v>936</v>
      </c>
      <c r="B916" s="5" t="str">
        <f>VLOOKUP($A916,[1]!Customer_Names[#Data],3,0)</f>
        <v xml:space="preserve">  Lawrence D</v>
      </c>
      <c r="C916" s="5">
        <v>26.8</v>
      </c>
      <c r="D916" s="5" t="str" cm="1">
        <f t="array" ref="D916">_xlfn.IFS(Healthcare!$C916&lt;18.5,"under weight",Healthcare!$C916&lt;=24.9,"Normal Weight",Healthcare!$C916&gt;=25,"overweight",Healthcare!$C916&gt;=30,"obese")</f>
        <v>overweight</v>
      </c>
      <c r="E916" s="5">
        <v>5.68</v>
      </c>
      <c r="F916" s="5" t="str" cm="1">
        <f t="array" ref="F916">_xlfn.IFS(Healthcare!$E916&lt;5.7,"normal",Healthcare!$E916&lt;=6.4,"prediabetes",Healthcare!$E916&gt;=6.5,"diabetes")</f>
        <v>normal</v>
      </c>
      <c r="G916" s="5" t="s">
        <v>20</v>
      </c>
      <c r="H916" s="5" t="s">
        <v>19</v>
      </c>
      <c r="I916" s="5" t="s">
        <v>19</v>
      </c>
      <c r="J916" s="5">
        <v>1</v>
      </c>
      <c r="K916" s="5" t="s">
        <v>19</v>
      </c>
      <c r="L916" s="5" t="str">
        <f>VLOOKUP(Healthcare!$A916,hospital_details,2,0)</f>
        <v>19-Nov-1964</v>
      </c>
      <c r="M916" s="5">
        <f t="shared" ref="M916:M979" ca="1" si="5483">VLOOKUP(A916,hospital_details,3,0)</f>
        <v>61</v>
      </c>
      <c r="N916" s="5">
        <f t="shared" ref="N916:N979" si="5484">VLOOKUP($A916,hospital_details,4,0)</f>
        <v>0</v>
      </c>
      <c r="O916" s="6">
        <f t="shared" ref="O916:O979" si="5485">VLOOKUP($A916,hospital_details,5,0)</f>
        <v>11918.2</v>
      </c>
      <c r="P916" s="5" t="str">
        <f t="shared" ref="P916:P979" si="5486">VLOOKUP($A916,hospital_details,6,0)</f>
        <v>tier - 3</v>
      </c>
      <c r="Q916" s="5" t="str">
        <f t="shared" ref="Q916:Q979" si="5487">VLOOKUP($A916,hospital_details,7,0)</f>
        <v>tier - 1</v>
      </c>
      <c r="R916" s="5" t="str">
        <f t="shared" ref="R916:R979" si="5488">VLOOKUP($A916,hospital_details,8,0)</f>
        <v>R1021</v>
      </c>
    </row>
    <row r="917" spans="1:18" ht="14.4" customHeight="1" x14ac:dyDescent="0.3">
      <c r="A917" s="7" t="s">
        <v>937</v>
      </c>
      <c r="B917" s="7" t="str">
        <f>VLOOKUP($A917,[1]!Customer_Names[#Data],3,0)</f>
        <v xml:space="preserve">  Malcolm</v>
      </c>
      <c r="C917" s="7">
        <v>21.78</v>
      </c>
      <c r="D917" s="7" t="str" cm="1">
        <f t="array" ref="D917">_xlfn.IFS(Healthcare!$C917&lt;18.5,"under weight",Healthcare!$C917&lt;=24.9,"Normal Weight",Healthcare!$C917&gt;=25,"overweight",Healthcare!$C917&gt;=30,"obese")</f>
        <v>Normal Weight</v>
      </c>
      <c r="E917" s="7">
        <v>5.3</v>
      </c>
      <c r="F917" s="7" t="str" cm="1">
        <f t="array" ref="F917">_xlfn.IFS(Healthcare!$E917&lt;5.7,"normal",Healthcare!$E917&lt;=6.4,"prediabetes",Healthcare!$E917&gt;=6.5,"diabetes")</f>
        <v>normal</v>
      </c>
      <c r="G917" s="7" t="s">
        <v>19</v>
      </c>
      <c r="H917" s="7" t="s">
        <v>20</v>
      </c>
      <c r="I917" s="7" t="s">
        <v>19</v>
      </c>
      <c r="J917" s="7">
        <v>1</v>
      </c>
      <c r="K917" s="7" t="s">
        <v>19</v>
      </c>
      <c r="L917" s="7" t="str">
        <f>VLOOKUP(Healthcare!$A917,hospital_details,2,0)</f>
        <v>2-Jun-2004</v>
      </c>
      <c r="M917" s="7">
        <f t="shared" ref="M917:M980" ca="1" si="5489">VLOOKUP(A917,hospital_details,3,0)</f>
        <v>22</v>
      </c>
      <c r="N917" s="7">
        <f t="shared" ref="N917:N980" si="5490">VLOOKUP($A917,hospital_details,4,0)</f>
        <v>2</v>
      </c>
      <c r="O917" s="8">
        <f t="shared" ref="O917:O980" si="5491">VLOOKUP($A917,hospital_details,5,0)</f>
        <v>11884.05</v>
      </c>
      <c r="P917" s="7" t="str">
        <f t="shared" ref="P917:P980" si="5492">VLOOKUP($A917,hospital_details,6,0)</f>
        <v>tier - 3</v>
      </c>
      <c r="Q917" s="7" t="str">
        <f t="shared" ref="Q917:Q980" si="5493">VLOOKUP($A917,hospital_details,7,0)</f>
        <v>tier - 3</v>
      </c>
      <c r="R917" s="7" t="str">
        <f t="shared" ref="R917:R980" si="5494">VLOOKUP($A917,hospital_details,8,0)</f>
        <v>R1013</v>
      </c>
    </row>
    <row r="918" spans="1:18" ht="14.4" customHeight="1" x14ac:dyDescent="0.3">
      <c r="A918" s="5" t="s">
        <v>938</v>
      </c>
      <c r="B918" s="5" t="str">
        <f>VLOOKUP($A918,[1]!Customer_Names[#Data],3,0)</f>
        <v xml:space="preserve">  Anna E</v>
      </c>
      <c r="C918" s="5">
        <v>30.14</v>
      </c>
      <c r="D918" s="5" t="str" cm="1">
        <f t="array" ref="D918">_xlfn.IFS(Healthcare!$C918&lt;18.5,"under weight",Healthcare!$C918&lt;=24.9,"Normal Weight",Healthcare!$C918&gt;=25,"overweight",Healthcare!$C918&gt;=30,"obese")</f>
        <v>overweight</v>
      </c>
      <c r="E918" s="5">
        <v>9.4499999999999993</v>
      </c>
      <c r="F918" s="5" t="str" cm="1">
        <f t="array" ref="F918">_xlfn.IFS(Healthcare!$E918&lt;5.7,"normal",Healthcare!$E918&lt;=6.4,"prediabetes",Healthcare!$E918&gt;=6.5,"diabetes")</f>
        <v>diabetes</v>
      </c>
      <c r="G918" s="5" t="s">
        <v>20</v>
      </c>
      <c r="H918" s="5" t="s">
        <v>19</v>
      </c>
      <c r="I918" s="5" t="s">
        <v>19</v>
      </c>
      <c r="J918" s="5">
        <v>0</v>
      </c>
      <c r="K918" s="5" t="s">
        <v>19</v>
      </c>
      <c r="L918" s="5" t="str">
        <f>VLOOKUP(Healthcare!$A918,hospital_details,2,0)</f>
        <v>29-Oct-1967</v>
      </c>
      <c r="M918" s="5">
        <f t="shared" ref="M918:M981" ca="1" si="5495">VLOOKUP(A918,hospital_details,3,0)</f>
        <v>58</v>
      </c>
      <c r="N918" s="5">
        <f t="shared" ref="N918:N981" si="5496">VLOOKUP($A918,hospital_details,4,0)</f>
        <v>2</v>
      </c>
      <c r="O918" s="6">
        <f t="shared" ref="O918:O981" si="5497">VLOOKUP($A918,hospital_details,5,0)</f>
        <v>11881.97</v>
      </c>
      <c r="P918" s="5" t="str">
        <f t="shared" ref="P918:P981" si="5498">VLOOKUP($A918,hospital_details,6,0)</f>
        <v>tier - 3</v>
      </c>
      <c r="Q918" s="5" t="str">
        <f t="shared" ref="Q918:Q981" si="5499">VLOOKUP($A918,hospital_details,7,0)</f>
        <v>tier - 1</v>
      </c>
      <c r="R918" s="5" t="str">
        <f t="shared" ref="R918:R981" si="5500">VLOOKUP($A918,hospital_details,8,0)</f>
        <v>R1013</v>
      </c>
    </row>
    <row r="919" spans="1:18" ht="14.4" customHeight="1" x14ac:dyDescent="0.3">
      <c r="A919" s="7" t="s">
        <v>939</v>
      </c>
      <c r="B919" s="7" t="str">
        <f>VLOOKUP($A919,[1]!Customer_Names[#Data],3,0)</f>
        <v xml:space="preserve">  Jenny</v>
      </c>
      <c r="C919" s="7">
        <v>29.7</v>
      </c>
      <c r="D919" s="7" t="str" cm="1">
        <f t="array" ref="D919">_xlfn.IFS(Healthcare!$C919&lt;18.5,"under weight",Healthcare!$C919&lt;=24.9,"Normal Weight",Healthcare!$C919&gt;=25,"overweight",Healthcare!$C919&gt;=30,"obese")</f>
        <v>overweight</v>
      </c>
      <c r="E919" s="7">
        <v>6.79</v>
      </c>
      <c r="F919" s="7" t="str" cm="1">
        <f t="array" ref="F919">_xlfn.IFS(Healthcare!$E919&lt;5.7,"normal",Healthcare!$E919&lt;=6.4,"prediabetes",Healthcare!$E919&gt;=6.5,"diabetes")</f>
        <v>diabetes</v>
      </c>
      <c r="G919" s="7" t="s">
        <v>20</v>
      </c>
      <c r="H919" s="7" t="s">
        <v>19</v>
      </c>
      <c r="I919" s="7" t="s">
        <v>19</v>
      </c>
      <c r="J919" s="7">
        <v>0</v>
      </c>
      <c r="K919" s="7" t="s">
        <v>19</v>
      </c>
      <c r="L919" s="7" t="str">
        <f>VLOOKUP(Healthcare!$A919,hospital_details,2,0)</f>
        <v>14-Jul-1967</v>
      </c>
      <c r="M919" s="7">
        <f t="shared" ref="M919:M982" ca="1" si="5501">VLOOKUP(A919,hospital_details,3,0)</f>
        <v>59</v>
      </c>
      <c r="N919" s="7">
        <f t="shared" ref="N919:N982" si="5502">VLOOKUP($A919,hospital_details,4,0)</f>
        <v>2</v>
      </c>
      <c r="O919" s="8">
        <f t="shared" ref="O919:O982" si="5503">VLOOKUP($A919,hospital_details,5,0)</f>
        <v>11881.36</v>
      </c>
      <c r="P919" s="7" t="str">
        <f t="shared" ref="P919:P982" si="5504">VLOOKUP($A919,hospital_details,6,0)</f>
        <v>tier - 3</v>
      </c>
      <c r="Q919" s="7" t="str">
        <f t="shared" ref="Q919:Q982" si="5505">VLOOKUP($A919,hospital_details,7,0)</f>
        <v>tier - 2</v>
      </c>
      <c r="R919" s="7" t="str">
        <f t="shared" ref="R919:R982" si="5506">VLOOKUP($A919,hospital_details,8,0)</f>
        <v>R1011</v>
      </c>
    </row>
    <row r="920" spans="1:18" ht="14.4" customHeight="1" x14ac:dyDescent="0.3">
      <c r="A920" s="5" t="s">
        <v>940</v>
      </c>
      <c r="B920" s="5" t="str">
        <f>VLOOKUP($A920,[1]!Customer_Names[#Data],3,0)</f>
        <v xml:space="preserve">  Melissa L</v>
      </c>
      <c r="C920" s="5">
        <v>32.395000000000003</v>
      </c>
      <c r="D920" s="5" t="str" cm="1">
        <f t="array" ref="D920">_xlfn.IFS(Healthcare!$C920&lt;18.5,"under weight",Healthcare!$C920&lt;=24.9,"Normal Weight",Healthcare!$C920&gt;=25,"overweight",Healthcare!$C920&gt;=30,"obese")</f>
        <v>overweight</v>
      </c>
      <c r="E920" s="5">
        <v>11.1</v>
      </c>
      <c r="F920" s="5" t="str" cm="1">
        <f t="array" ref="F920">_xlfn.IFS(Healthcare!$E920&lt;5.7,"normal",Healthcare!$E920&lt;=6.4,"prediabetes",Healthcare!$E920&gt;=6.5,"diabetes")</f>
        <v>diabetes</v>
      </c>
      <c r="G920" s="5" t="s">
        <v>20</v>
      </c>
      <c r="H920" s="5" t="s">
        <v>19</v>
      </c>
      <c r="I920" s="5" t="s">
        <v>19</v>
      </c>
      <c r="J920" s="5">
        <v>0</v>
      </c>
      <c r="K920" s="5" t="s">
        <v>19</v>
      </c>
      <c r="L920" s="5" t="str">
        <f>VLOOKUP(Healthcare!$A920,hospital_details,2,0)</f>
        <v>24-Aug-1967</v>
      </c>
      <c r="M920" s="5">
        <f t="shared" ref="M920:M983" ca="1" si="5507">VLOOKUP(A920,hospital_details,3,0)</f>
        <v>59</v>
      </c>
      <c r="N920" s="5">
        <f t="shared" ref="N920:N983" si="5508">VLOOKUP($A920,hospital_details,4,0)</f>
        <v>1</v>
      </c>
      <c r="O920" s="6">
        <f t="shared" ref="O920:O983" si="5509">VLOOKUP($A920,hospital_details,5,0)</f>
        <v>11879.1</v>
      </c>
      <c r="P920" s="5" t="str">
        <f t="shared" ref="P920:P983" si="5510">VLOOKUP($A920,hospital_details,6,0)</f>
        <v>tier - 3</v>
      </c>
      <c r="Q920" s="5" t="str">
        <f t="shared" ref="Q920:Q983" si="5511">VLOOKUP($A920,hospital_details,7,0)</f>
        <v>tier - 3</v>
      </c>
      <c r="R920" s="5" t="str">
        <f t="shared" ref="R920:R983" si="5512">VLOOKUP($A920,hospital_details,8,0)</f>
        <v>R1024</v>
      </c>
    </row>
    <row r="921" spans="1:18" ht="14.4" customHeight="1" x14ac:dyDescent="0.3">
      <c r="A921" s="7" t="s">
        <v>941</v>
      </c>
      <c r="B921" s="7" t="str">
        <f>VLOOKUP($A921,[1]!Customer_Names[#Data],3,0)</f>
        <v xml:space="preserve">  Chia J</v>
      </c>
      <c r="C921" s="7">
        <v>36.64</v>
      </c>
      <c r="D921" s="7" t="str" cm="1">
        <f t="array" ref="D921">_xlfn.IFS(Healthcare!$C921&lt;18.5,"under weight",Healthcare!$C921&lt;=24.9,"Normal Weight",Healthcare!$C921&gt;=25,"overweight",Healthcare!$C921&gt;=30,"obese")</f>
        <v>overweight</v>
      </c>
      <c r="E921" s="7">
        <v>7.26</v>
      </c>
      <c r="F921" s="7" t="str" cm="1">
        <f t="array" ref="F921">_xlfn.IFS(Healthcare!$E921&lt;5.7,"normal",Healthcare!$E921&lt;=6.4,"prediabetes",Healthcare!$E921&gt;=6.5,"diabetes")</f>
        <v>diabetes</v>
      </c>
      <c r="G921" s="7" t="s">
        <v>19</v>
      </c>
      <c r="H921" s="7" t="s">
        <v>19</v>
      </c>
      <c r="I921" s="7" t="s">
        <v>19</v>
      </c>
      <c r="J921" s="7">
        <v>0</v>
      </c>
      <c r="K921" s="7" t="s">
        <v>19</v>
      </c>
      <c r="L921" s="7" t="str">
        <f>VLOOKUP(Healthcare!$A921,hospital_details,2,0)</f>
        <v>7-Jul-1974</v>
      </c>
      <c r="M921" s="7">
        <f t="shared" ref="M921:M984" ca="1" si="5513">VLOOKUP(A921,hospital_details,3,0)</f>
        <v>52</v>
      </c>
      <c r="N921" s="7">
        <f t="shared" ref="N921:N984" si="5514">VLOOKUP($A921,hospital_details,4,0)</f>
        <v>0</v>
      </c>
      <c r="O921" s="8">
        <f t="shared" ref="O921:O984" si="5515">VLOOKUP($A921,hospital_details,5,0)</f>
        <v>11858.56</v>
      </c>
      <c r="P921" s="7" t="str">
        <f t="shared" ref="P921:P984" si="5516">VLOOKUP($A921,hospital_details,6,0)</f>
        <v>tier - 3</v>
      </c>
      <c r="Q921" s="7" t="str">
        <f t="shared" ref="Q921:Q984" si="5517">VLOOKUP($A921,hospital_details,7,0)</f>
        <v>tier - 3</v>
      </c>
      <c r="R921" s="7" t="str">
        <f t="shared" ref="R921:R984" si="5518">VLOOKUP($A921,hospital_details,8,0)</f>
        <v>R1011</v>
      </c>
    </row>
    <row r="922" spans="1:18" ht="14.4" customHeight="1" x14ac:dyDescent="0.3">
      <c r="A922" s="5" t="s">
        <v>942</v>
      </c>
      <c r="B922" s="5" t="str">
        <f>VLOOKUP($A922,[1]!Customer_Names[#Data],3,0)</f>
        <v xml:space="preserve">  Laura A</v>
      </c>
      <c r="C922" s="5">
        <v>39.049999999999997</v>
      </c>
      <c r="D922" s="5" t="str" cm="1">
        <f t="array" ref="D922">_xlfn.IFS(Healthcare!$C922&lt;18.5,"under weight",Healthcare!$C922&lt;=24.9,"Normal Weight",Healthcare!$C922&gt;=25,"overweight",Healthcare!$C922&gt;=30,"obese")</f>
        <v>overweight</v>
      </c>
      <c r="E922" s="5">
        <v>5.27</v>
      </c>
      <c r="F922" s="5" t="str" cm="1">
        <f t="array" ref="F922">_xlfn.IFS(Healthcare!$E922&lt;5.7,"normal",Healthcare!$E922&lt;=6.4,"prediabetes",Healthcare!$E922&gt;=6.5,"diabetes")</f>
        <v>normal</v>
      </c>
      <c r="G922" s="5" t="s">
        <v>20</v>
      </c>
      <c r="H922" s="5" t="s">
        <v>19</v>
      </c>
      <c r="I922" s="5" t="s">
        <v>19</v>
      </c>
      <c r="J922" s="5">
        <v>1</v>
      </c>
      <c r="K922" s="5" t="s">
        <v>19</v>
      </c>
      <c r="L922" s="5" t="str">
        <f>VLOOKUP(Healthcare!$A922,hospital_details,2,0)</f>
        <v>29-Sep-1964</v>
      </c>
      <c r="M922" s="5">
        <f t="shared" ref="M922:M985" ca="1" si="5519">VLOOKUP(A922,hospital_details,3,0)</f>
        <v>62</v>
      </c>
      <c r="N922" s="5">
        <f t="shared" ref="N922:N985" si="5520">VLOOKUP($A922,hospital_details,4,0)</f>
        <v>0</v>
      </c>
      <c r="O922" s="6">
        <f t="shared" ref="O922:O985" si="5521">VLOOKUP($A922,hospital_details,5,0)</f>
        <v>11856.41</v>
      </c>
      <c r="P922" s="5" t="str">
        <f t="shared" ref="P922:P985" si="5522">VLOOKUP($A922,hospital_details,6,0)</f>
        <v>tier - 3</v>
      </c>
      <c r="Q922" s="5" t="str">
        <f t="shared" ref="Q922:Q985" si="5523">VLOOKUP($A922,hospital_details,7,0)</f>
        <v>tier - 2</v>
      </c>
      <c r="R922" s="5" t="str">
        <f t="shared" ref="R922:R985" si="5524">VLOOKUP($A922,hospital_details,8,0)</f>
        <v>R1013</v>
      </c>
    </row>
    <row r="923" spans="1:18" ht="14.4" customHeight="1" x14ac:dyDescent="0.3">
      <c r="A923" s="7" t="s">
        <v>943</v>
      </c>
      <c r="B923" s="7" t="str">
        <f>VLOOKUP($A923,[1]!Customer_Names[#Data],3,0)</f>
        <v xml:space="preserve">  Aditi</v>
      </c>
      <c r="C923" s="7">
        <v>33.1</v>
      </c>
      <c r="D923" s="7" t="str" cm="1">
        <f t="array" ref="D923">_xlfn.IFS(Healthcare!$C923&lt;18.5,"under weight",Healthcare!$C923&lt;=24.9,"Normal Weight",Healthcare!$C923&gt;=25,"overweight",Healthcare!$C923&gt;=30,"obese")</f>
        <v>overweight</v>
      </c>
      <c r="E923" s="7">
        <v>5.46</v>
      </c>
      <c r="F923" s="7" t="str" cm="1">
        <f t="array" ref="F923">_xlfn.IFS(Healthcare!$E923&lt;5.7,"normal",Healthcare!$E923&lt;=6.4,"prediabetes",Healthcare!$E923&gt;=6.5,"diabetes")</f>
        <v>normal</v>
      </c>
      <c r="G923" s="7" t="s">
        <v>20</v>
      </c>
      <c r="H923" s="7" t="s">
        <v>19</v>
      </c>
      <c r="I923" s="7" t="s">
        <v>19</v>
      </c>
      <c r="J923" s="7">
        <v>1</v>
      </c>
      <c r="K923" s="7" t="s">
        <v>19</v>
      </c>
      <c r="L923" s="7" t="str">
        <f>VLOOKUP(Healthcare!$A923,hospital_details,2,0)</f>
        <v>27-Jun-1964</v>
      </c>
      <c r="M923" s="7">
        <f t="shared" ref="M923:M986" ca="1" si="5525">VLOOKUP(A923,hospital_details,3,0)</f>
        <v>62</v>
      </c>
      <c r="N923" s="7">
        <f t="shared" ref="N923:N986" si="5526">VLOOKUP($A923,hospital_details,4,0)</f>
        <v>0</v>
      </c>
      <c r="O923" s="8">
        <f t="shared" ref="O923:O986" si="5527">VLOOKUP($A923,hospital_details,5,0)</f>
        <v>11848.14</v>
      </c>
      <c r="P923" s="7" t="str">
        <f t="shared" ref="P923:P986" si="5528">VLOOKUP($A923,hospital_details,6,0)</f>
        <v>tier - 3</v>
      </c>
      <c r="Q923" s="7" t="str">
        <f t="shared" ref="Q923:Q986" si="5529">VLOOKUP($A923,hospital_details,7,0)</f>
        <v>tier - 2</v>
      </c>
      <c r="R923" s="7" t="str">
        <f t="shared" ref="R923:R986" si="5530">VLOOKUP($A923,hospital_details,8,0)</f>
        <v>R1011</v>
      </c>
    </row>
    <row r="924" spans="1:18" ht="14.4" customHeight="1" x14ac:dyDescent="0.3">
      <c r="A924" s="5" t="s">
        <v>944</v>
      </c>
      <c r="B924" s="5" t="str">
        <f>VLOOKUP($A924,[1]!Customer_Names[#Data],3,0)</f>
        <v xml:space="preserve">  Leah A</v>
      </c>
      <c r="C924" s="5">
        <v>31.824999999999999</v>
      </c>
      <c r="D924" s="5" t="str" cm="1">
        <f t="array" ref="D924">_xlfn.IFS(Healthcare!$C924&lt;18.5,"under weight",Healthcare!$C924&lt;=24.9,"Normal Weight",Healthcare!$C924&gt;=25,"overweight",Healthcare!$C924&gt;=30,"obese")</f>
        <v>overweight</v>
      </c>
      <c r="E924" s="5">
        <v>8.1300000000000008</v>
      </c>
      <c r="F924" s="5" t="str" cm="1">
        <f t="array" ref="F924">_xlfn.IFS(Healthcare!$E924&lt;5.7,"normal",Healthcare!$E924&lt;=6.4,"prediabetes",Healthcare!$E924&gt;=6.5,"diabetes")</f>
        <v>diabetes</v>
      </c>
      <c r="G924" s="5" t="s">
        <v>19</v>
      </c>
      <c r="H924" s="5" t="s">
        <v>19</v>
      </c>
      <c r="I924" s="5" t="s">
        <v>19</v>
      </c>
      <c r="J924" s="5">
        <v>0</v>
      </c>
      <c r="K924" s="5" t="s">
        <v>19</v>
      </c>
      <c r="L924" s="5" t="str">
        <f>VLOOKUP(Healthcare!$A924,hospital_details,2,0)</f>
        <v>10-Nov-1965</v>
      </c>
      <c r="M924" s="5">
        <f t="shared" ref="M924:M987" ca="1" si="5531">VLOOKUP(A924,hospital_details,3,0)</f>
        <v>60</v>
      </c>
      <c r="N924" s="5">
        <f t="shared" ref="N924:N987" si="5532">VLOOKUP($A924,hospital_details,4,0)</f>
        <v>0</v>
      </c>
      <c r="O924" s="6">
        <f t="shared" ref="O924:O987" si="5533">VLOOKUP($A924,hospital_details,5,0)</f>
        <v>11842.62</v>
      </c>
      <c r="P924" s="5" t="str">
        <f t="shared" ref="P924:P987" si="5534">VLOOKUP($A924,hospital_details,6,0)</f>
        <v>tier - 3</v>
      </c>
      <c r="Q924" s="5" t="str">
        <f t="shared" ref="Q924:Q987" si="5535">VLOOKUP($A924,hospital_details,7,0)</f>
        <v>tier - 3</v>
      </c>
      <c r="R924" s="5" t="str">
        <f t="shared" ref="R924:R987" si="5536">VLOOKUP($A924,hospital_details,8,0)</f>
        <v>R1012</v>
      </c>
    </row>
    <row r="925" spans="1:18" ht="14.4" customHeight="1" x14ac:dyDescent="0.3">
      <c r="A925" s="7" t="s">
        <v>945</v>
      </c>
      <c r="B925" s="7" t="str">
        <f>VLOOKUP($A925,[1]!Customer_Names[#Data],3,0)</f>
        <v xml:space="preserve">  Marianne</v>
      </c>
      <c r="C925" s="7">
        <v>29</v>
      </c>
      <c r="D925" s="7" t="str" cm="1">
        <f t="array" ref="D925">_xlfn.IFS(Healthcare!$C925&lt;18.5,"under weight",Healthcare!$C925&lt;=24.9,"Normal Weight",Healthcare!$C925&gt;=25,"overweight",Healthcare!$C925&gt;=30,"obese")</f>
        <v>overweight</v>
      </c>
      <c r="E925" s="7">
        <v>4.25</v>
      </c>
      <c r="F925" s="7" t="str" cm="1">
        <f t="array" ref="F925">_xlfn.IFS(Healthcare!$E925&lt;5.7,"normal",Healthcare!$E925&lt;=6.4,"prediabetes",Healthcare!$E925&gt;=6.5,"diabetes")</f>
        <v>normal</v>
      </c>
      <c r="G925" s="7" t="s">
        <v>20</v>
      </c>
      <c r="H925" s="7" t="s">
        <v>19</v>
      </c>
      <c r="I925" s="7" t="s">
        <v>19</v>
      </c>
      <c r="J925" s="7">
        <v>1</v>
      </c>
      <c r="K925" s="7" t="s">
        <v>19</v>
      </c>
      <c r="L925" s="7" t="str">
        <f>VLOOKUP(Healthcare!$A925,hospital_details,2,0)</f>
        <v>11-Jul-1964</v>
      </c>
      <c r="M925" s="7">
        <f t="shared" ref="M925:M988" ca="1" si="5537">VLOOKUP(A925,hospital_details,3,0)</f>
        <v>62</v>
      </c>
      <c r="N925" s="7">
        <f t="shared" ref="N925:N988" si="5538">VLOOKUP($A925,hospital_details,4,0)</f>
        <v>0</v>
      </c>
      <c r="O925" s="8">
        <f t="shared" ref="O925:O988" si="5539">VLOOKUP($A925,hospital_details,5,0)</f>
        <v>11842.44</v>
      </c>
      <c r="P925" s="7" t="str">
        <f t="shared" ref="P925:P988" si="5540">VLOOKUP($A925,hospital_details,6,0)</f>
        <v>tier - 3</v>
      </c>
      <c r="Q925" s="7" t="str">
        <f t="shared" ref="Q925:Q988" si="5541">VLOOKUP($A925,hospital_details,7,0)</f>
        <v>tier - 2</v>
      </c>
      <c r="R925" s="7" t="str">
        <f t="shared" ref="R925:R988" si="5542">VLOOKUP($A925,hospital_details,8,0)</f>
        <v>R1011</v>
      </c>
    </row>
    <row r="926" spans="1:18" ht="14.4" customHeight="1" x14ac:dyDescent="0.3">
      <c r="A926" s="5" t="s">
        <v>946</v>
      </c>
      <c r="B926" s="5" t="str">
        <f>VLOOKUP($A926,[1]!Customer_Names[#Data],3,0)</f>
        <v xml:space="preserve">  Carla</v>
      </c>
      <c r="C926" s="5">
        <v>30.495000000000001</v>
      </c>
      <c r="D926" s="5" t="str" cm="1">
        <f t="array" ref="D926">_xlfn.IFS(Healthcare!$C926&lt;18.5,"under weight",Healthcare!$C926&lt;=24.9,"Normal Weight",Healthcare!$C926&gt;=25,"overweight",Healthcare!$C926&gt;=30,"obese")</f>
        <v>overweight</v>
      </c>
      <c r="E926" s="5">
        <v>8.68</v>
      </c>
      <c r="F926" s="5" t="str" cm="1">
        <f t="array" ref="F926">_xlfn.IFS(Healthcare!$E926&lt;5.7,"normal",Healthcare!$E926&lt;=6.4,"prediabetes",Healthcare!$E926&gt;=6.5,"diabetes")</f>
        <v>diabetes</v>
      </c>
      <c r="G926" s="5" t="s">
        <v>19</v>
      </c>
      <c r="H926" s="5" t="s">
        <v>19</v>
      </c>
      <c r="I926" s="5" t="s">
        <v>19</v>
      </c>
      <c r="J926" s="5">
        <v>0</v>
      </c>
      <c r="K926" s="5" t="s">
        <v>19</v>
      </c>
      <c r="L926" s="5" t="str">
        <f>VLOOKUP(Healthcare!$A926,hospital_details,2,0)</f>
        <v>25-Sep-1965</v>
      </c>
      <c r="M926" s="5">
        <f t="shared" ref="M926:M989" ca="1" si="5543">VLOOKUP(A926,hospital_details,3,0)</f>
        <v>61</v>
      </c>
      <c r="N926" s="5">
        <f t="shared" ref="N926:N989" si="5544">VLOOKUP($A926,hospital_details,4,0)</f>
        <v>0</v>
      </c>
      <c r="O926" s="6">
        <f t="shared" ref="O926:O989" si="5545">VLOOKUP($A926,hospital_details,5,0)</f>
        <v>11840.78</v>
      </c>
      <c r="P926" s="5" t="str">
        <f t="shared" ref="P926:P989" si="5546">VLOOKUP($A926,hospital_details,6,0)</f>
        <v>tier - 3</v>
      </c>
      <c r="Q926" s="5" t="str">
        <f t="shared" ref="Q926:Q989" si="5547">VLOOKUP($A926,hospital_details,7,0)</f>
        <v>tier - 2</v>
      </c>
      <c r="R926" s="5" t="str">
        <f t="shared" ref="R926:R989" si="5548">VLOOKUP($A926,hospital_details,8,0)</f>
        <v>R1012</v>
      </c>
    </row>
    <row r="927" spans="1:18" ht="14.4" customHeight="1" x14ac:dyDescent="0.3">
      <c r="A927" s="7" t="s">
        <v>947</v>
      </c>
      <c r="B927" s="7" t="str">
        <f>VLOOKUP($A927,[1]!Customer_Names[#Data],3,0)</f>
        <v xml:space="preserve">  Oksana</v>
      </c>
      <c r="C927" s="7">
        <v>25.2</v>
      </c>
      <c r="D927" s="7" t="str" cm="1">
        <f t="array" ref="D927">_xlfn.IFS(Healthcare!$C927&lt;18.5,"under weight",Healthcare!$C927&lt;=24.9,"Normal Weight",Healthcare!$C927&gt;=25,"overweight",Healthcare!$C927&gt;=30,"obese")</f>
        <v>overweight</v>
      </c>
      <c r="E927" s="7">
        <v>6.25</v>
      </c>
      <c r="F927" s="7" t="str" cm="1">
        <f t="array" ref="F927">_xlfn.IFS(Healthcare!$E927&lt;5.7,"normal",Healthcare!$E927&lt;=6.4,"prediabetes",Healthcare!$E927&gt;=6.5,"diabetes")</f>
        <v>prediabetes</v>
      </c>
      <c r="G927" s="7" t="s">
        <v>20</v>
      </c>
      <c r="H927" s="7" t="s">
        <v>19</v>
      </c>
      <c r="I927" s="7" t="s">
        <v>19</v>
      </c>
      <c r="J927" s="7">
        <v>1</v>
      </c>
      <c r="K927" s="7" t="s">
        <v>19</v>
      </c>
      <c r="L927" s="7" t="str">
        <f>VLOOKUP(Healthcare!$A927,hospital_details,2,0)</f>
        <v>11-Sep-1964</v>
      </c>
      <c r="M927" s="7">
        <f t="shared" ref="M927:M990" ca="1" si="5549">VLOOKUP(A927,hospital_details,3,0)</f>
        <v>62</v>
      </c>
      <c r="N927" s="7">
        <f t="shared" ref="N927:N990" si="5550">VLOOKUP($A927,hospital_details,4,0)</f>
        <v>0</v>
      </c>
      <c r="O927" s="8">
        <f t="shared" ref="O927:O990" si="5551">VLOOKUP($A927,hospital_details,5,0)</f>
        <v>11837.16</v>
      </c>
      <c r="P927" s="7" t="str">
        <f t="shared" ref="P927:P990" si="5552">VLOOKUP($A927,hospital_details,6,0)</f>
        <v>tier - 3</v>
      </c>
      <c r="Q927" s="7" t="str">
        <f t="shared" ref="Q927:Q990" si="5553">VLOOKUP($A927,hospital_details,7,0)</f>
        <v>tier - 3</v>
      </c>
      <c r="R927" s="7" t="str">
        <f t="shared" ref="R927:R990" si="5554">VLOOKUP($A927,hospital_details,8,0)</f>
        <v>R1011</v>
      </c>
    </row>
    <row r="928" spans="1:18" ht="14.4" customHeight="1" x14ac:dyDescent="0.3">
      <c r="A928" s="5" t="s">
        <v>948</v>
      </c>
      <c r="B928" s="5" t="str">
        <f>VLOOKUP($A928,[1]!Customer_Names[#Data],3,0)</f>
        <v xml:space="preserve">  Rebecca B</v>
      </c>
      <c r="C928" s="5">
        <v>22.77</v>
      </c>
      <c r="D928" s="5" t="str" cm="1">
        <f t="array" ref="D928">_xlfn.IFS(Healthcare!$C928&lt;18.5,"under weight",Healthcare!$C928&lt;=24.9,"Normal Weight",Healthcare!$C928&gt;=25,"overweight",Healthcare!$C928&gt;=30,"obese")</f>
        <v>Normal Weight</v>
      </c>
      <c r="E928" s="5">
        <v>4.47</v>
      </c>
      <c r="F928" s="5" t="str" cm="1">
        <f t="array" ref="F928">_xlfn.IFS(Healthcare!$E928&lt;5.7,"normal",Healthcare!$E928&lt;=6.4,"prediabetes",Healthcare!$E928&gt;=6.5,"diabetes")</f>
        <v>normal</v>
      </c>
      <c r="G928" s="5" t="s">
        <v>20</v>
      </c>
      <c r="H928" s="5" t="s">
        <v>19</v>
      </c>
      <c r="I928" s="5" t="s">
        <v>19</v>
      </c>
      <c r="J928" s="5">
        <v>1</v>
      </c>
      <c r="K928" s="5" t="s">
        <v>19</v>
      </c>
      <c r="L928" s="5" t="str">
        <f>VLOOKUP(Healthcare!$A928,hospital_details,2,0)</f>
        <v>27-Jun-1964</v>
      </c>
      <c r="M928" s="5">
        <f t="shared" ref="M928:M991" ca="1" si="5555">VLOOKUP(A928,hospital_details,3,0)</f>
        <v>62</v>
      </c>
      <c r="N928" s="5">
        <f t="shared" ref="N928:N991" si="5556">VLOOKUP($A928,hospital_details,4,0)</f>
        <v>0</v>
      </c>
      <c r="O928" s="6">
        <f t="shared" ref="O928:O991" si="5557">VLOOKUP($A928,hospital_details,5,0)</f>
        <v>11833.78</v>
      </c>
      <c r="P928" s="5" t="str">
        <f t="shared" ref="P928:P991" si="5558">VLOOKUP($A928,hospital_details,6,0)</f>
        <v>tier - 3</v>
      </c>
      <c r="Q928" s="5" t="str">
        <f t="shared" ref="Q928:Q991" si="5559">VLOOKUP($A928,hospital_details,7,0)</f>
        <v>tier - 3</v>
      </c>
      <c r="R928" s="5" t="str">
        <f t="shared" ref="R928:R991" si="5560">VLOOKUP($A928,hospital_details,8,0)</f>
        <v>R1013</v>
      </c>
    </row>
    <row r="929" spans="1:18" ht="14.4" customHeight="1" x14ac:dyDescent="0.3">
      <c r="A929" s="7" t="s">
        <v>949</v>
      </c>
      <c r="B929" s="7" t="str">
        <f>VLOOKUP($A929,[1]!Customer_Names[#Data],3,0)</f>
        <v xml:space="preserve">  Maria A</v>
      </c>
      <c r="C929" s="7">
        <v>23.18</v>
      </c>
      <c r="D929" s="7" t="str" cm="1">
        <f t="array" ref="D929">_xlfn.IFS(Healthcare!$C929&lt;18.5,"under weight",Healthcare!$C929&lt;=24.9,"Normal Weight",Healthcare!$C929&gt;=25,"overweight",Healthcare!$C929&gt;=30,"obese")</f>
        <v>Normal Weight</v>
      </c>
      <c r="E929" s="7">
        <v>8.31</v>
      </c>
      <c r="F929" s="7" t="str" cm="1">
        <f t="array" ref="F929">_xlfn.IFS(Healthcare!$E929&lt;5.7,"normal",Healthcare!$E929&lt;=6.4,"prediabetes",Healthcare!$E929&gt;=6.5,"diabetes")</f>
        <v>diabetes</v>
      </c>
      <c r="G929" s="7" t="s">
        <v>19</v>
      </c>
      <c r="H929" s="7" t="s">
        <v>19</v>
      </c>
      <c r="I929" s="7" t="s">
        <v>19</v>
      </c>
      <c r="J929" s="7">
        <v>0</v>
      </c>
      <c r="K929" s="7" t="s">
        <v>19</v>
      </c>
      <c r="L929" s="7" t="str">
        <f>VLOOKUP(Healthcare!$A929,hospital_details,2,0)</f>
        <v>3-Oct-1965</v>
      </c>
      <c r="M929" s="7">
        <f t="shared" ref="M929:M992" ca="1" si="5561">VLOOKUP(A929,hospital_details,3,0)</f>
        <v>61</v>
      </c>
      <c r="N929" s="7">
        <f t="shared" ref="N929:N992" si="5562">VLOOKUP($A929,hospital_details,4,0)</f>
        <v>0</v>
      </c>
      <c r="O929" s="8">
        <f t="shared" ref="O929:O992" si="5563">VLOOKUP($A929,hospital_details,5,0)</f>
        <v>11830.61</v>
      </c>
      <c r="P929" s="7" t="str">
        <f t="shared" ref="P929:P992" si="5564">VLOOKUP($A929,hospital_details,6,0)</f>
        <v>tier - 3</v>
      </c>
      <c r="Q929" s="7" t="str">
        <f t="shared" ref="Q929:Q992" si="5565">VLOOKUP($A929,hospital_details,7,0)</f>
        <v>tier - 1</v>
      </c>
      <c r="R929" s="7" t="str">
        <f t="shared" ref="R929:R992" si="5566">VLOOKUP($A929,hospital_details,8,0)</f>
        <v>R1012</v>
      </c>
    </row>
    <row r="930" spans="1:18" ht="14.4" customHeight="1" x14ac:dyDescent="0.3">
      <c r="A930" s="5" t="s">
        <v>950</v>
      </c>
      <c r="B930" s="5" t="str">
        <f>VLOOKUP($A930,[1]!Customer_Names[#Data],3,0)</f>
        <v xml:space="preserve">  Lisa M</v>
      </c>
      <c r="C930" s="5">
        <v>35.409999999999997</v>
      </c>
      <c r="D930" s="5" t="str" cm="1">
        <f t="array" ref="D930">_xlfn.IFS(Healthcare!$C930&lt;18.5,"under weight",Healthcare!$C930&lt;=24.9,"Normal Weight",Healthcare!$C930&gt;=25,"overweight",Healthcare!$C930&gt;=30,"obese")</f>
        <v>overweight</v>
      </c>
      <c r="E930" s="5">
        <v>5.68</v>
      </c>
      <c r="F930" s="5" t="str" cm="1">
        <f t="array" ref="F930">_xlfn.IFS(Healthcare!$E930&lt;5.7,"normal",Healthcare!$E930&lt;=6.4,"prediabetes",Healthcare!$E930&gt;=6.5,"diabetes")</f>
        <v>normal</v>
      </c>
      <c r="G930" s="5" t="s">
        <v>19</v>
      </c>
      <c r="H930" s="5" t="s">
        <v>19</v>
      </c>
      <c r="I930" s="5" t="s">
        <v>19</v>
      </c>
      <c r="J930" s="5">
        <v>0</v>
      </c>
      <c r="K930" s="5" t="s">
        <v>19</v>
      </c>
      <c r="L930" s="5" t="str">
        <f>VLOOKUP(Healthcare!$A930,hospital_details,2,0)</f>
        <v>20-Nov-1982</v>
      </c>
      <c r="M930" s="5">
        <f t="shared" ref="M930:M993" ca="1" si="5567">VLOOKUP(A930,hospital_details,3,0)</f>
        <v>43</v>
      </c>
      <c r="N930" s="5">
        <f t="shared" ref="N930:N993" si="5568">VLOOKUP($A930,hospital_details,4,0)</f>
        <v>3</v>
      </c>
      <c r="O930" s="6">
        <f t="shared" ref="O930:O993" si="5569">VLOOKUP($A930,hospital_details,5,0)</f>
        <v>11773.06</v>
      </c>
      <c r="P930" s="5" t="str">
        <f t="shared" ref="P930:P993" si="5570">VLOOKUP($A930,hospital_details,6,0)</f>
        <v>tier - 3</v>
      </c>
      <c r="Q930" s="5" t="str">
        <f t="shared" ref="Q930:Q993" si="5571">VLOOKUP($A930,hospital_details,7,0)</f>
        <v>tier - 3</v>
      </c>
      <c r="R930" s="5" t="str">
        <f t="shared" ref="R930:R993" si="5572">VLOOKUP($A930,hospital_details,8,0)</f>
        <v>R1026</v>
      </c>
    </row>
    <row r="931" spans="1:18" ht="14.4" customHeight="1" x14ac:dyDescent="0.3">
      <c r="A931" s="7" t="s">
        <v>951</v>
      </c>
      <c r="B931" s="7" t="str">
        <f>VLOOKUP($A931,[1]!Customer_Names[#Data],3,0)</f>
        <v xml:space="preserve">  Steve Jr</v>
      </c>
      <c r="C931" s="7">
        <v>32.11</v>
      </c>
      <c r="D931" s="7" t="str" cm="1">
        <f t="array" ref="D931">_xlfn.IFS(Healthcare!$C931&lt;18.5,"under weight",Healthcare!$C931&lt;=24.9,"Normal Weight",Healthcare!$C931&gt;=25,"overweight",Healthcare!$C931&gt;=30,"obese")</f>
        <v>overweight</v>
      </c>
      <c r="E931" s="7">
        <v>4.75</v>
      </c>
      <c r="F931" s="7" t="str" cm="1">
        <f t="array" ref="F931">_xlfn.IFS(Healthcare!$E931&lt;5.7,"normal",Healthcare!$E931&lt;=6.4,"prediabetes",Healthcare!$E931&gt;=6.5,"diabetes")</f>
        <v>normal</v>
      </c>
      <c r="G931" s="7" t="s">
        <v>20</v>
      </c>
      <c r="H931" s="7" t="s">
        <v>19</v>
      </c>
      <c r="I931" s="7" t="s">
        <v>19</v>
      </c>
      <c r="J931" s="7">
        <v>2</v>
      </c>
      <c r="K931" s="7" t="s">
        <v>19</v>
      </c>
      <c r="L931" s="7" t="str">
        <f>VLOOKUP(Healthcare!$A931,hospital_details,2,0)</f>
        <v>25-Jul-1966</v>
      </c>
      <c r="M931" s="7">
        <f t="shared" ref="M931:M994" ca="1" si="5573">VLOOKUP(A931,hospital_details,3,0)</f>
        <v>60</v>
      </c>
      <c r="N931" s="7">
        <f t="shared" ref="N931:N994" si="5574">VLOOKUP($A931,hospital_details,4,0)</f>
        <v>1</v>
      </c>
      <c r="O931" s="8">
        <f t="shared" ref="O931:O994" si="5575">VLOOKUP($A931,hospital_details,5,0)</f>
        <v>11763</v>
      </c>
      <c r="P931" s="7" t="str">
        <f t="shared" ref="P931:P994" si="5576">VLOOKUP($A931,hospital_details,6,0)</f>
        <v>tier - 3</v>
      </c>
      <c r="Q931" s="7" t="str">
        <f t="shared" ref="Q931:Q994" si="5577">VLOOKUP($A931,hospital_details,7,0)</f>
        <v>tier - 3</v>
      </c>
      <c r="R931" s="7" t="str">
        <f t="shared" ref="R931:R994" si="5578">VLOOKUP($A931,hospital_details,8,0)</f>
        <v>R1016</v>
      </c>
    </row>
    <row r="932" spans="1:18" ht="14.4" customHeight="1" x14ac:dyDescent="0.3">
      <c r="A932" s="5" t="s">
        <v>952</v>
      </c>
      <c r="B932" s="5" t="str">
        <f>VLOOKUP($A932,[1]!Customer_Names[#Data],3,0)</f>
        <v xml:space="preserve">  Tiffany</v>
      </c>
      <c r="C932" s="5">
        <v>34.479999999999997</v>
      </c>
      <c r="D932" s="5" t="str" cm="1">
        <f t="array" ref="D932">_xlfn.IFS(Healthcare!$C932&lt;18.5,"under weight",Healthcare!$C932&lt;=24.9,"Normal Weight",Healthcare!$C932&gt;=25,"overweight",Healthcare!$C932&gt;=30,"obese")</f>
        <v>overweight</v>
      </c>
      <c r="E932" s="5">
        <v>6.31</v>
      </c>
      <c r="F932" s="5" t="str" cm="1">
        <f t="array" ref="F932">_xlfn.IFS(Healthcare!$E932&lt;5.7,"normal",Healthcare!$E932&lt;=6.4,"prediabetes",Healthcare!$E932&gt;=6.5,"diabetes")</f>
        <v>prediabetes</v>
      </c>
      <c r="G932" s="5" t="s">
        <v>19</v>
      </c>
      <c r="H932" s="5" t="s">
        <v>19</v>
      </c>
      <c r="I932" s="5" t="s">
        <v>29</v>
      </c>
      <c r="J932" s="5">
        <v>1</v>
      </c>
      <c r="K932" s="5" t="s">
        <v>19</v>
      </c>
      <c r="L932" s="5" t="str">
        <f>VLOOKUP(Healthcare!$A932,hospital_details,2,0)</f>
        <v>6-Nov-1979</v>
      </c>
      <c r="M932" s="5">
        <f t="shared" ref="M932:M995" ca="1" si="5579">VLOOKUP(A932,hospital_details,3,0)</f>
        <v>46</v>
      </c>
      <c r="N932" s="5">
        <f t="shared" ref="N932:N995" si="5580">VLOOKUP($A932,hospital_details,4,0)</f>
        <v>2</v>
      </c>
      <c r="O932" s="6">
        <f t="shared" ref="O932:O995" si="5581">VLOOKUP($A932,hospital_details,5,0)</f>
        <v>11752.68</v>
      </c>
      <c r="P932" s="5" t="str">
        <f t="shared" ref="P932:P995" si="5582">VLOOKUP($A932,hospital_details,6,0)</f>
        <v>tier - 3</v>
      </c>
      <c r="Q932" s="5" t="str">
        <f t="shared" ref="Q932:Q995" si="5583">VLOOKUP($A932,hospital_details,7,0)</f>
        <v>tier - 1</v>
      </c>
      <c r="R932" s="5" t="str">
        <f t="shared" ref="R932:R995" si="5584">VLOOKUP($A932,hospital_details,8,0)</f>
        <v>R1026</v>
      </c>
    </row>
    <row r="933" spans="1:18" ht="14.4" customHeight="1" x14ac:dyDescent="0.3">
      <c r="A933" s="7" t="s">
        <v>953</v>
      </c>
      <c r="B933" s="7" t="str">
        <f>VLOOKUP($A933,[1]!Customer_Names[#Data],3,0)</f>
        <v xml:space="preserve">  Greg</v>
      </c>
      <c r="C933" s="7">
        <v>34.39</v>
      </c>
      <c r="D933" s="7" t="str" cm="1">
        <f t="array" ref="D933">_xlfn.IFS(Healthcare!$C933&lt;18.5,"under weight",Healthcare!$C933&lt;=24.9,"Normal Weight",Healthcare!$C933&gt;=25,"overweight",Healthcare!$C933&gt;=30,"obese")</f>
        <v>overweight</v>
      </c>
      <c r="E933" s="7">
        <v>6.28</v>
      </c>
      <c r="F933" s="7" t="str" cm="1">
        <f t="array" ref="F933">_xlfn.IFS(Healthcare!$E933&lt;5.7,"normal",Healthcare!$E933&lt;=6.4,"prediabetes",Healthcare!$E933&gt;=6.5,"diabetes")</f>
        <v>prediabetes</v>
      </c>
      <c r="G933" s="7" t="s">
        <v>20</v>
      </c>
      <c r="H933" s="7" t="s">
        <v>19</v>
      </c>
      <c r="I933" s="7" t="s">
        <v>19</v>
      </c>
      <c r="J933" s="7">
        <v>1</v>
      </c>
      <c r="K933" s="7" t="s">
        <v>19</v>
      </c>
      <c r="L933" s="7" t="str">
        <f>VLOOKUP(Healthcare!$A933,hospital_details,2,0)</f>
        <v>2-Dec-1964</v>
      </c>
      <c r="M933" s="7">
        <f t="shared" ref="M933:M996" ca="1" si="5585">VLOOKUP(A933,hospital_details,3,0)</f>
        <v>61</v>
      </c>
      <c r="N933" s="7">
        <f t="shared" ref="N933:N996" si="5586">VLOOKUP($A933,hospital_details,4,0)</f>
        <v>0</v>
      </c>
      <c r="O933" s="8">
        <f t="shared" ref="O933:O996" si="5587">VLOOKUP($A933,hospital_details,5,0)</f>
        <v>11743.93</v>
      </c>
      <c r="P933" s="7" t="str">
        <f t="shared" ref="P933:P996" si="5588">VLOOKUP($A933,hospital_details,6,0)</f>
        <v>tier - 3</v>
      </c>
      <c r="Q933" s="7" t="str">
        <f t="shared" ref="Q933:Q996" si="5589">VLOOKUP($A933,hospital_details,7,0)</f>
        <v>tier - 1</v>
      </c>
      <c r="R933" s="7" t="str">
        <f t="shared" ref="R933:R996" si="5590">VLOOKUP($A933,hospital_details,8,0)</f>
        <v>R1012</v>
      </c>
    </row>
    <row r="934" spans="1:18" ht="14.4" customHeight="1" x14ac:dyDescent="0.3">
      <c r="A934" s="5" t="s">
        <v>954</v>
      </c>
      <c r="B934" s="5" t="str">
        <f>VLOOKUP($A934,[1]!Customer_Names[#Data],3,0)</f>
        <v xml:space="preserve">  Dale</v>
      </c>
      <c r="C934" s="5">
        <v>26.4</v>
      </c>
      <c r="D934" s="5" t="str" cm="1">
        <f t="array" ref="D934">_xlfn.IFS(Healthcare!$C934&lt;18.5,"under weight",Healthcare!$C934&lt;=24.9,"Normal Weight",Healthcare!$C934&gt;=25,"overweight",Healthcare!$C934&gt;=30,"obese")</f>
        <v>overweight</v>
      </c>
      <c r="E934" s="5">
        <v>9.2899999999999991</v>
      </c>
      <c r="F934" s="5" t="str" cm="1">
        <f t="array" ref="F934">_xlfn.IFS(Healthcare!$E934&lt;5.7,"normal",Healthcare!$E934&lt;=6.4,"prediabetes",Healthcare!$E934&gt;=6.5,"diabetes")</f>
        <v>diabetes</v>
      </c>
      <c r="G934" s="5" t="s">
        <v>20</v>
      </c>
      <c r="H934" s="5" t="s">
        <v>19</v>
      </c>
      <c r="I934" s="5" t="s">
        <v>29</v>
      </c>
      <c r="J934" s="5">
        <v>1</v>
      </c>
      <c r="K934" s="5" t="s">
        <v>19</v>
      </c>
      <c r="L934" s="5" t="str">
        <f>VLOOKUP(Healthcare!$A934,hospital_details,2,0)</f>
        <v>9-Jun-1963</v>
      </c>
      <c r="M934" s="5">
        <f t="shared" ref="M934:M997" ca="1" si="5591">VLOOKUP(A934,hospital_details,3,0)</f>
        <v>63</v>
      </c>
      <c r="N934" s="5">
        <f t="shared" ref="N934:N997" si="5592">VLOOKUP($A934,hospital_details,4,0)</f>
        <v>0</v>
      </c>
      <c r="O934" s="6">
        <f t="shared" ref="O934:O997" si="5593">VLOOKUP($A934,hospital_details,5,0)</f>
        <v>11743.3</v>
      </c>
      <c r="P934" s="5" t="str">
        <f t="shared" ref="P934:P997" si="5594">VLOOKUP($A934,hospital_details,6,0)</f>
        <v>tier - 3</v>
      </c>
      <c r="Q934" s="5" t="str">
        <f t="shared" ref="Q934:Q997" si="5595">VLOOKUP($A934,hospital_details,7,0)</f>
        <v>tier - 3</v>
      </c>
      <c r="R934" s="5" t="str">
        <f t="shared" ref="R934:R997" si="5596">VLOOKUP($A934,hospital_details,8,0)</f>
        <v>R1013</v>
      </c>
    </row>
    <row r="935" spans="1:18" ht="14.4" customHeight="1" x14ac:dyDescent="0.3">
      <c r="A935" s="7" t="s">
        <v>955</v>
      </c>
      <c r="B935" s="7" t="str">
        <f>VLOOKUP($A935,[1]!Customer_Names[#Data],3,0)</f>
        <v xml:space="preserve">  Brittany A</v>
      </c>
      <c r="C935" s="7">
        <v>28.1</v>
      </c>
      <c r="D935" s="7" t="str" cm="1">
        <f t="array" ref="D935">_xlfn.IFS(Healthcare!$C935&lt;18.5,"under weight",Healthcare!$C935&lt;=24.9,"Normal Weight",Healthcare!$C935&gt;=25,"overweight",Healthcare!$C935&gt;=30,"obese")</f>
        <v>overweight</v>
      </c>
      <c r="E935" s="7">
        <v>5.79</v>
      </c>
      <c r="F935" s="7" t="str" cm="1">
        <f t="array" ref="F935">_xlfn.IFS(Healthcare!$E935&lt;5.7,"normal",Healthcare!$E935&lt;=6.4,"prediabetes",Healthcare!$E935&gt;=6.5,"diabetes")</f>
        <v>prediabetes</v>
      </c>
      <c r="G935" s="7" t="s">
        <v>20</v>
      </c>
      <c r="H935" s="7" t="s">
        <v>19</v>
      </c>
      <c r="I935" s="7" t="s">
        <v>29</v>
      </c>
      <c r="J935" s="7">
        <v>1</v>
      </c>
      <c r="K935" s="7" t="s">
        <v>19</v>
      </c>
      <c r="L935" s="7" t="str">
        <f>VLOOKUP(Healthcare!$A935,hospital_details,2,0)</f>
        <v>12-Nov-1969</v>
      </c>
      <c r="M935" s="7">
        <f t="shared" ref="M935:M998" ca="1" si="5597">VLOOKUP(A935,hospital_details,3,0)</f>
        <v>56</v>
      </c>
      <c r="N935" s="7">
        <f t="shared" ref="N935:N998" si="5598">VLOOKUP($A935,hospital_details,4,0)</f>
        <v>3</v>
      </c>
      <c r="O935" s="8">
        <f t="shared" ref="O935:O998" si="5599">VLOOKUP($A935,hospital_details,5,0)</f>
        <v>11741.73</v>
      </c>
      <c r="P935" s="7" t="str">
        <f t="shared" ref="P935:P998" si="5600">VLOOKUP($A935,hospital_details,6,0)</f>
        <v>tier - 3</v>
      </c>
      <c r="Q935" s="7" t="str">
        <f t="shared" ref="Q935:Q998" si="5601">VLOOKUP($A935,hospital_details,7,0)</f>
        <v>tier - 1</v>
      </c>
      <c r="R935" s="7" t="str">
        <f t="shared" ref="R935:R998" si="5602">VLOOKUP($A935,hospital_details,8,0)</f>
        <v>R1011</v>
      </c>
    </row>
    <row r="936" spans="1:18" ht="14.4" customHeight="1" x14ac:dyDescent="0.3">
      <c r="A936" s="5" t="s">
        <v>956</v>
      </c>
      <c r="B936" s="5" t="str">
        <f>VLOOKUP($A936,[1]!Customer_Names[#Data],3,0)</f>
        <v xml:space="preserve">  Robert S</v>
      </c>
      <c r="C936" s="5">
        <v>27</v>
      </c>
      <c r="D936" s="5" t="str" cm="1">
        <f t="array" ref="D936">_xlfn.IFS(Healthcare!$C936&lt;18.5,"under weight",Healthcare!$C936&lt;=24.9,"Normal Weight",Healthcare!$C936&gt;=25,"overweight",Healthcare!$C936&gt;=30,"obese")</f>
        <v>overweight</v>
      </c>
      <c r="E936" s="5">
        <v>4.54</v>
      </c>
      <c r="F936" s="5" t="str" cm="1">
        <f t="array" ref="F936">_xlfn.IFS(Healthcare!$E936&lt;5.7,"normal",Healthcare!$E936&lt;=6.4,"prediabetes",Healthcare!$E936&gt;=6.5,"diabetes")</f>
        <v>normal</v>
      </c>
      <c r="G936" s="5" t="s">
        <v>20</v>
      </c>
      <c r="H936" s="5" t="s">
        <v>19</v>
      </c>
      <c r="I936" s="5" t="s">
        <v>19</v>
      </c>
      <c r="J936" s="5">
        <v>1</v>
      </c>
      <c r="K936" s="5" t="s">
        <v>19</v>
      </c>
      <c r="L936" s="5" t="str">
        <f>VLOOKUP(Healthcare!$A936,hospital_details,2,0)</f>
        <v>5-Sep-1988</v>
      </c>
      <c r="M936" s="5">
        <f t="shared" ref="M936:M999" ca="1" si="5603">VLOOKUP(A936,hospital_details,3,0)</f>
        <v>38</v>
      </c>
      <c r="N936" s="5">
        <f t="shared" ref="N936:N999" si="5604">VLOOKUP($A936,hospital_details,4,0)</f>
        <v>2</v>
      </c>
      <c r="O936" s="6">
        <f t="shared" ref="O936:O999" si="5605">VLOOKUP($A936,hospital_details,5,0)</f>
        <v>11737.85</v>
      </c>
      <c r="P936" s="5" t="str">
        <f t="shared" ref="P936:P999" si="5606">VLOOKUP($A936,hospital_details,6,0)</f>
        <v>tier - 3</v>
      </c>
      <c r="Q936" s="5" t="str">
        <f t="shared" ref="Q936:Q999" si="5607">VLOOKUP($A936,hospital_details,7,0)</f>
        <v>tier - 1</v>
      </c>
      <c r="R936" s="5" t="str">
        <f t="shared" ref="R936:R999" si="5608">VLOOKUP($A936,hospital_details,8,0)</f>
        <v>R1011</v>
      </c>
    </row>
    <row r="937" spans="1:18" ht="14.4" customHeight="1" x14ac:dyDescent="0.3">
      <c r="A937" s="7" t="s">
        <v>957</v>
      </c>
      <c r="B937" s="7" t="str">
        <f>VLOOKUP($A937,[1]!Customer_Names[#Data],3,0)</f>
        <v xml:space="preserve">  Cameron</v>
      </c>
      <c r="C937" s="7">
        <v>28.594999999999999</v>
      </c>
      <c r="D937" s="7" t="str" cm="1">
        <f t="array" ref="D937">_xlfn.IFS(Healthcare!$C937&lt;18.5,"under weight",Healthcare!$C937&lt;=24.9,"Normal Weight",Healthcare!$C937&gt;=25,"overweight",Healthcare!$C937&gt;=30,"obese")</f>
        <v>overweight</v>
      </c>
      <c r="E937" s="7">
        <v>4.68</v>
      </c>
      <c r="F937" s="7" t="str" cm="1">
        <f t="array" ref="F937">_xlfn.IFS(Healthcare!$E937&lt;5.7,"normal",Healthcare!$E937&lt;=6.4,"prediabetes",Healthcare!$E937&gt;=6.5,"diabetes")</f>
        <v>normal</v>
      </c>
      <c r="G937" s="7" t="s">
        <v>20</v>
      </c>
      <c r="H937" s="7" t="s">
        <v>19</v>
      </c>
      <c r="I937" s="7" t="s">
        <v>19</v>
      </c>
      <c r="J937" s="7">
        <v>1</v>
      </c>
      <c r="K937" s="7" t="s">
        <v>19</v>
      </c>
      <c r="L937" s="7" t="str">
        <f>VLOOKUP(Healthcare!$A937,hospital_details,2,0)</f>
        <v>9-Nov-1964</v>
      </c>
      <c r="M937" s="7">
        <f t="shared" ref="M937:M1000" ca="1" si="5609">VLOOKUP(A937,hospital_details,3,0)</f>
        <v>61</v>
      </c>
      <c r="N937" s="7">
        <f t="shared" ref="N937:N1000" si="5610">VLOOKUP($A937,hospital_details,4,0)</f>
        <v>0</v>
      </c>
      <c r="O937" s="8">
        <f t="shared" ref="O937:O1000" si="5611">VLOOKUP($A937,hospital_details,5,0)</f>
        <v>11735.88</v>
      </c>
      <c r="P937" s="7" t="str">
        <f t="shared" ref="P937:P1000" si="5612">VLOOKUP($A937,hospital_details,6,0)</f>
        <v>tier - 3</v>
      </c>
      <c r="Q937" s="7" t="str">
        <f t="shared" ref="Q937:Q1000" si="5613">VLOOKUP($A937,hospital_details,7,0)</f>
        <v>tier - 1</v>
      </c>
      <c r="R937" s="7" t="str">
        <f t="shared" ref="R937:R1000" si="5614">VLOOKUP($A937,hospital_details,8,0)</f>
        <v>R1012</v>
      </c>
    </row>
    <row r="938" spans="1:18" ht="14.4" customHeight="1" x14ac:dyDescent="0.3">
      <c r="A938" s="5" t="s">
        <v>958</v>
      </c>
      <c r="B938" s="5" t="str">
        <f>VLOOKUP($A938,[1]!Customer_Names[#Data],3,0)</f>
        <v xml:space="preserve">  Ulrike</v>
      </c>
      <c r="C938" s="5">
        <v>36.799999999999997</v>
      </c>
      <c r="D938" s="5" t="str" cm="1">
        <f t="array" ref="D938">_xlfn.IFS(Healthcare!$C938&lt;18.5,"under weight",Healthcare!$C938&lt;=24.9,"Normal Weight",Healthcare!$C938&gt;=25,"overweight",Healthcare!$C938&gt;=30,"obese")</f>
        <v>overweight</v>
      </c>
      <c r="E938" s="5">
        <v>5.88</v>
      </c>
      <c r="F938" s="5" t="str" cm="1">
        <f t="array" ref="F938">_xlfn.IFS(Healthcare!$E938&lt;5.7,"normal",Healthcare!$E938&lt;=6.4,"prediabetes",Healthcare!$E938&gt;=6.5,"diabetes")</f>
        <v>prediabetes</v>
      </c>
      <c r="G938" s="5" t="s">
        <v>19</v>
      </c>
      <c r="H938" s="5" t="s">
        <v>19</v>
      </c>
      <c r="I938" s="5" t="s">
        <v>19</v>
      </c>
      <c r="J938" s="5">
        <v>1</v>
      </c>
      <c r="K938" s="5" t="s">
        <v>19</v>
      </c>
      <c r="L938" s="5" t="str">
        <f>VLOOKUP(Healthcare!$A938,hospital_details,2,0)</f>
        <v>26-Nov-1984</v>
      </c>
      <c r="M938" s="5">
        <f t="shared" ref="M938:M1001" ca="1" si="5615">VLOOKUP(A938,hospital_details,3,0)</f>
        <v>41</v>
      </c>
      <c r="N938" s="5">
        <f t="shared" ref="N938:N1001" si="5616">VLOOKUP($A938,hospital_details,4,0)</f>
        <v>3</v>
      </c>
      <c r="O938" s="6">
        <f t="shared" ref="O938:O1001" si="5617">VLOOKUP($A938,hospital_details,5,0)</f>
        <v>11730.82</v>
      </c>
      <c r="P938" s="5" t="str">
        <f t="shared" ref="P938:P1001" si="5618">VLOOKUP($A938,hospital_details,6,0)</f>
        <v>tier - 3</v>
      </c>
      <c r="Q938" s="5" t="str">
        <f t="shared" ref="Q938:Q1001" si="5619">VLOOKUP($A938,hospital_details,7,0)</f>
        <v>tier - 3</v>
      </c>
      <c r="R938" s="5" t="str">
        <f t="shared" ref="R938:R1001" si="5620">VLOOKUP($A938,hospital_details,8,0)</f>
        <v>R1026</v>
      </c>
    </row>
    <row r="939" spans="1:18" ht="14.4" customHeight="1" x14ac:dyDescent="0.3">
      <c r="A939" s="7" t="s">
        <v>959</v>
      </c>
      <c r="B939" s="7" t="str">
        <f>VLOOKUP($A939,[1]!Customer_Names[#Data],3,0)</f>
        <v xml:space="preserve">  Katlyn A</v>
      </c>
      <c r="C939" s="7">
        <v>23.75</v>
      </c>
      <c r="D939" s="7" t="str" cm="1">
        <f t="array" ref="D939">_xlfn.IFS(Healthcare!$C939&lt;18.5,"under weight",Healthcare!$C939&lt;=24.9,"Normal Weight",Healthcare!$C939&gt;=25,"overweight",Healthcare!$C939&gt;=30,"obese")</f>
        <v>Normal Weight</v>
      </c>
      <c r="E939" s="7">
        <v>5.42</v>
      </c>
      <c r="F939" s="7" t="str" cm="1">
        <f t="array" ref="F939">_xlfn.IFS(Healthcare!$E939&lt;5.7,"normal",Healthcare!$E939&lt;=6.4,"prediabetes",Healthcare!$E939&gt;=6.5,"diabetes")</f>
        <v>normal</v>
      </c>
      <c r="G939" s="7" t="s">
        <v>20</v>
      </c>
      <c r="H939" s="7" t="s">
        <v>19</v>
      </c>
      <c r="I939" s="7" t="s">
        <v>29</v>
      </c>
      <c r="J939" s="7">
        <v>1</v>
      </c>
      <c r="K939" s="7" t="s">
        <v>19</v>
      </c>
      <c r="L939" s="7" t="str">
        <f>VLOOKUP(Healthcare!$A939,hospital_details,2,0)</f>
        <v>12-Oct-1969</v>
      </c>
      <c r="M939" s="7">
        <f t="shared" ref="M939:M1002" ca="1" si="5621">VLOOKUP(A939,hospital_details,3,0)</f>
        <v>57</v>
      </c>
      <c r="N939" s="7">
        <f t="shared" ref="N939:N1002" si="5622">VLOOKUP($A939,hospital_details,4,0)</f>
        <v>2</v>
      </c>
      <c r="O939" s="8">
        <f t="shared" ref="O939:O1002" si="5623">VLOOKUP($A939,hospital_details,5,0)</f>
        <v>11729.68</v>
      </c>
      <c r="P939" s="7" t="str">
        <f t="shared" ref="P939:P1002" si="5624">VLOOKUP($A939,hospital_details,6,0)</f>
        <v>tier - 3</v>
      </c>
      <c r="Q939" s="7" t="str">
        <f t="shared" ref="Q939:Q1002" si="5625">VLOOKUP($A939,hospital_details,7,0)</f>
        <v>tier - 1</v>
      </c>
      <c r="R939" s="7" t="str">
        <f t="shared" ref="R939:R1002" si="5626">VLOOKUP($A939,hospital_details,8,0)</f>
        <v>R1024</v>
      </c>
    </row>
    <row r="940" spans="1:18" ht="14.4" customHeight="1" x14ac:dyDescent="0.3">
      <c r="A940" s="5" t="s">
        <v>960</v>
      </c>
      <c r="B940" s="5" t="str">
        <f>VLOOKUP($A940,[1]!Customer_Names[#Data],3,0)</f>
        <v xml:space="preserve">  Morgan B</v>
      </c>
      <c r="C940" s="5">
        <v>35.619999999999997</v>
      </c>
      <c r="D940" s="5" t="str" cm="1">
        <f t="array" ref="D940">_xlfn.IFS(Healthcare!$C940&lt;18.5,"under weight",Healthcare!$C940&lt;=24.9,"Normal Weight",Healthcare!$C940&gt;=25,"overweight",Healthcare!$C940&gt;=30,"obese")</f>
        <v>overweight</v>
      </c>
      <c r="E940" s="5">
        <v>4.16</v>
      </c>
      <c r="F940" s="5" t="str" cm="1">
        <f t="array" ref="F940">_xlfn.IFS(Healthcare!$E940&lt;5.7,"normal",Healthcare!$E940&lt;=6.4,"prediabetes",Healthcare!$E940&gt;=6.5,"diabetes")</f>
        <v>normal</v>
      </c>
      <c r="G940" s="5" t="s">
        <v>19</v>
      </c>
      <c r="H940" s="5" t="s">
        <v>19</v>
      </c>
      <c r="I940" s="5" t="s">
        <v>19</v>
      </c>
      <c r="J940" s="5">
        <v>0</v>
      </c>
      <c r="K940" s="5" t="s">
        <v>19</v>
      </c>
      <c r="L940" s="5" t="str">
        <f>VLOOKUP(Healthcare!$A940,hospital_details,2,0)</f>
        <v>21-Oct-1982</v>
      </c>
      <c r="M940" s="5">
        <f t="shared" ref="M940:M1003" ca="1" si="5627">VLOOKUP(A940,hospital_details,3,0)</f>
        <v>43</v>
      </c>
      <c r="N940" s="5">
        <f t="shared" ref="N940:N1003" si="5628">VLOOKUP($A940,hospital_details,4,0)</f>
        <v>3</v>
      </c>
      <c r="O940" s="6">
        <f t="shared" ref="O940:O1003" si="5629">VLOOKUP($A940,hospital_details,5,0)</f>
        <v>11712.97</v>
      </c>
      <c r="P940" s="5" t="str">
        <f t="shared" ref="P940:P1003" si="5630">VLOOKUP($A940,hospital_details,6,0)</f>
        <v>tier - 3</v>
      </c>
      <c r="Q940" s="5" t="str">
        <f t="shared" ref="Q940:Q1003" si="5631">VLOOKUP($A940,hospital_details,7,0)</f>
        <v>tier - 2</v>
      </c>
      <c r="R940" s="5" t="str">
        <f t="shared" ref="R940:R1003" si="5632">VLOOKUP($A940,hospital_details,8,0)</f>
        <v>R1021</v>
      </c>
    </row>
    <row r="941" spans="1:18" ht="14.4" customHeight="1" x14ac:dyDescent="0.3">
      <c r="A941" s="7" t="s">
        <v>961</v>
      </c>
      <c r="B941" s="7" t="str">
        <f>VLOOKUP($A941,[1]!Customer_Names[#Data],3,0)</f>
        <v xml:space="preserve">  Peter</v>
      </c>
      <c r="C941" s="7">
        <v>30.69</v>
      </c>
      <c r="D941" s="7" t="str" cm="1">
        <f t="array" ref="D941">_xlfn.IFS(Healthcare!$C941&lt;18.5,"under weight",Healthcare!$C941&lt;=24.9,"Normal Weight",Healthcare!$C941&gt;=25,"overweight",Healthcare!$C941&gt;=30,"obese")</f>
        <v>overweight</v>
      </c>
      <c r="E941" s="7">
        <v>7.05</v>
      </c>
      <c r="F941" s="7" t="str" cm="1">
        <f t="array" ref="F941">_xlfn.IFS(Healthcare!$E941&lt;5.7,"normal",Healthcare!$E941&lt;=6.4,"prediabetes",Healthcare!$E941&gt;=6.5,"diabetes")</f>
        <v>diabetes</v>
      </c>
      <c r="G941" s="7" t="s">
        <v>20</v>
      </c>
      <c r="H941" s="7" t="s">
        <v>19</v>
      </c>
      <c r="I941" s="7" t="s">
        <v>19</v>
      </c>
      <c r="J941" s="7">
        <v>2</v>
      </c>
      <c r="K941" s="7" t="s">
        <v>19</v>
      </c>
      <c r="L941" s="7" t="str">
        <f>VLOOKUP(Healthcare!$A941,hospital_details,2,0)</f>
        <v>1-Dec-1970</v>
      </c>
      <c r="M941" s="7">
        <f t="shared" ref="M941:M1004" ca="1" si="5633">VLOOKUP(A941,hospital_details,3,0)</f>
        <v>55</v>
      </c>
      <c r="N941" s="7">
        <f t="shared" ref="N941:N1004" si="5634">VLOOKUP($A941,hospital_details,4,0)</f>
        <v>0</v>
      </c>
      <c r="O941" s="8">
        <f t="shared" ref="O941:O1004" si="5635">VLOOKUP($A941,hospital_details,5,0)</f>
        <v>11696.52</v>
      </c>
      <c r="P941" s="7" t="str">
        <f t="shared" ref="P941:P1004" si="5636">VLOOKUP($A941,hospital_details,6,0)</f>
        <v>tier - 3</v>
      </c>
      <c r="Q941" s="7" t="str">
        <f t="shared" ref="Q941:Q1004" si="5637">VLOOKUP($A941,hospital_details,7,0)</f>
        <v>tier - 1</v>
      </c>
      <c r="R941" s="7" t="str">
        <f t="shared" ref="R941:R1004" si="5638">VLOOKUP($A941,hospital_details,8,0)</f>
        <v>R1021</v>
      </c>
    </row>
    <row r="942" spans="1:18" ht="14.4" customHeight="1" x14ac:dyDescent="0.3">
      <c r="A942" s="5" t="s">
        <v>962</v>
      </c>
      <c r="B942" s="5" t="str">
        <f>VLOOKUP($A942,[1]!Customer_Names[#Data],3,0)</f>
        <v xml:space="preserve">  Chandler</v>
      </c>
      <c r="C942" s="5">
        <v>35.799999999999997</v>
      </c>
      <c r="D942" s="5" t="str" cm="1">
        <f t="array" ref="D942">_xlfn.IFS(Healthcare!$C942&lt;18.5,"under weight",Healthcare!$C942&lt;=24.9,"Normal Weight",Healthcare!$C942&gt;=25,"overweight",Healthcare!$C942&gt;=30,"obese")</f>
        <v>overweight</v>
      </c>
      <c r="E942" s="5">
        <v>5.63</v>
      </c>
      <c r="F942" s="5" t="str" cm="1">
        <f t="array" ref="F942">_xlfn.IFS(Healthcare!$E942&lt;5.7,"normal",Healthcare!$E942&lt;=6.4,"prediabetes",Healthcare!$E942&gt;=6.5,"diabetes")</f>
        <v>normal</v>
      </c>
      <c r="G942" s="5" t="s">
        <v>20</v>
      </c>
      <c r="H942" s="5" t="s">
        <v>19</v>
      </c>
      <c r="I942" s="5" t="s">
        <v>19</v>
      </c>
      <c r="J942" s="5">
        <v>2</v>
      </c>
      <c r="K942" s="5" t="s">
        <v>19</v>
      </c>
      <c r="L942" s="5" t="str">
        <f>VLOOKUP(Healthcare!$A942,hospital_details,2,0)</f>
        <v>9-Nov-1966</v>
      </c>
      <c r="M942" s="5">
        <f t="shared" ref="M942:M1005" ca="1" si="5639">VLOOKUP(A942,hospital_details,3,0)</f>
        <v>59</v>
      </c>
      <c r="N942" s="5">
        <f t="shared" ref="N942:N1005" si="5640">VLOOKUP($A942,hospital_details,4,0)</f>
        <v>1</v>
      </c>
      <c r="O942" s="6">
        <f t="shared" ref="O942:O1005" si="5641">VLOOKUP($A942,hospital_details,5,0)</f>
        <v>11674.13</v>
      </c>
      <c r="P942" s="5" t="str">
        <f t="shared" ref="P942:P1005" si="5642">VLOOKUP($A942,hospital_details,6,0)</f>
        <v>tier - 3</v>
      </c>
      <c r="Q942" s="5" t="str">
        <f t="shared" ref="Q942:Q1005" si="5643">VLOOKUP($A942,hospital_details,7,0)</f>
        <v>tier - 1</v>
      </c>
      <c r="R942" s="5" t="str">
        <f t="shared" ref="R942:R1005" si="5644">VLOOKUP($A942,hospital_details,8,0)</f>
        <v>R1011</v>
      </c>
    </row>
    <row r="943" spans="1:18" ht="14.4" customHeight="1" x14ac:dyDescent="0.3">
      <c r="A943" s="7" t="s">
        <v>963</v>
      </c>
      <c r="B943" s="7" t="str">
        <f>VLOOKUP($A943,[1]!Customer_Names[#Data],3,0)</f>
        <v xml:space="preserve">  Silvana M</v>
      </c>
      <c r="C943" s="7">
        <v>28.785</v>
      </c>
      <c r="D943" s="7" t="str" cm="1">
        <f t="array" ref="D943">_xlfn.IFS(Healthcare!$C943&lt;18.5,"under weight",Healthcare!$C943&lt;=24.9,"Normal Weight",Healthcare!$C943&gt;=25,"overweight",Healthcare!$C943&gt;=30,"obese")</f>
        <v>overweight</v>
      </c>
      <c r="E943" s="7">
        <v>4.24</v>
      </c>
      <c r="F943" s="7" t="str" cm="1">
        <f t="array" ref="F943">_xlfn.IFS(Healthcare!$E943&lt;5.7,"normal",Healthcare!$E943&lt;=6.4,"prediabetes",Healthcare!$E943&gt;=6.5,"diabetes")</f>
        <v>normal</v>
      </c>
      <c r="G943" s="7" t="s">
        <v>20</v>
      </c>
      <c r="H943" s="7" t="s">
        <v>19</v>
      </c>
      <c r="I943" s="7" t="s">
        <v>19</v>
      </c>
      <c r="J943" s="7">
        <v>2</v>
      </c>
      <c r="K943" s="7" t="s">
        <v>19</v>
      </c>
      <c r="L943" s="7" t="str">
        <f>VLOOKUP(Healthcare!$A943,hospital_details,2,0)</f>
        <v>23-Aug-1966</v>
      </c>
      <c r="M943" s="7">
        <f t="shared" ref="M943:M1006" ca="1" si="5645">VLOOKUP(A943,hospital_details,3,0)</f>
        <v>60</v>
      </c>
      <c r="N943" s="7">
        <f t="shared" ref="N943:N1006" si="5646">VLOOKUP($A943,hospital_details,4,0)</f>
        <v>0</v>
      </c>
      <c r="O943" s="8">
        <f t="shared" ref="O943:O1006" si="5647">VLOOKUP($A943,hospital_details,5,0)</f>
        <v>11658.38</v>
      </c>
      <c r="P943" s="7" t="str">
        <f t="shared" ref="P943:P1006" si="5648">VLOOKUP($A943,hospital_details,6,0)</f>
        <v>tier - 3</v>
      </c>
      <c r="Q943" s="7" t="str">
        <f t="shared" ref="Q943:Q1006" si="5649">VLOOKUP($A943,hospital_details,7,0)</f>
        <v>tier - 3</v>
      </c>
      <c r="R943" s="7" t="str">
        <f t="shared" ref="R943:R1006" si="5650">VLOOKUP($A943,hospital_details,8,0)</f>
        <v>R1024</v>
      </c>
    </row>
    <row r="944" spans="1:18" ht="14.4" customHeight="1" x14ac:dyDescent="0.3">
      <c r="A944" s="5" t="s">
        <v>964</v>
      </c>
      <c r="B944" s="5" t="str">
        <f>VLOOKUP($A944,[1]!Customer_Names[#Data],3,0)</f>
        <v xml:space="preserve">  Natty</v>
      </c>
      <c r="C944" s="5">
        <v>28.594999999999999</v>
      </c>
      <c r="D944" s="5" t="str" cm="1">
        <f t="array" ref="D944">_xlfn.IFS(Healthcare!$C944&lt;18.5,"under weight",Healthcare!$C944&lt;=24.9,"Normal Weight",Healthcare!$C944&gt;=25,"overweight",Healthcare!$C944&gt;=30,"obese")</f>
        <v>overweight</v>
      </c>
      <c r="E944" s="5">
        <v>4.96</v>
      </c>
      <c r="F944" s="5" t="str" cm="1">
        <f t="array" ref="F944">_xlfn.IFS(Healthcare!$E944&lt;5.7,"normal",Healthcare!$E944&lt;=6.4,"prediabetes",Healthcare!$E944&gt;=6.5,"diabetes")</f>
        <v>normal</v>
      </c>
      <c r="G944" s="5" t="s">
        <v>20</v>
      </c>
      <c r="H944" s="5" t="s">
        <v>19</v>
      </c>
      <c r="I944" s="5" t="s">
        <v>19</v>
      </c>
      <c r="J944" s="5">
        <v>2</v>
      </c>
      <c r="K944" s="5" t="s">
        <v>19</v>
      </c>
      <c r="L944" s="5" t="str">
        <f>VLOOKUP(Healthcare!$A944,hospital_details,2,0)</f>
        <v>6-Jul-1966</v>
      </c>
      <c r="M944" s="5">
        <f t="shared" ref="M944:M1007" ca="1" si="5651">VLOOKUP(A944,hospital_details,3,0)</f>
        <v>60</v>
      </c>
      <c r="N944" s="5">
        <f t="shared" ref="N944:N1007" si="5652">VLOOKUP($A944,hospital_details,4,0)</f>
        <v>0</v>
      </c>
      <c r="O944" s="6">
        <f t="shared" ref="O944:O1007" si="5653">VLOOKUP($A944,hospital_details,5,0)</f>
        <v>11658.12</v>
      </c>
      <c r="P944" s="5" t="str">
        <f t="shared" ref="P944:P1007" si="5654">VLOOKUP($A944,hospital_details,6,0)</f>
        <v>tier - 3</v>
      </c>
      <c r="Q944" s="5" t="str">
        <f t="shared" ref="Q944:Q1007" si="5655">VLOOKUP($A944,hospital_details,7,0)</f>
        <v>tier - 1</v>
      </c>
      <c r="R944" s="5" t="str">
        <f t="shared" ref="R944:R1007" si="5656">VLOOKUP($A944,hospital_details,8,0)</f>
        <v>R1024</v>
      </c>
    </row>
    <row r="945" spans="1:18" ht="14.4" customHeight="1" x14ac:dyDescent="0.3">
      <c r="A945" s="7" t="s">
        <v>965</v>
      </c>
      <c r="B945" s="7" t="str">
        <f>VLOOKUP($A945,[1]!Customer_Names[#Data],3,0)</f>
        <v xml:space="preserve">  Nicholas T</v>
      </c>
      <c r="C945" s="7">
        <v>48.75</v>
      </c>
      <c r="D945" s="7" t="str" cm="1">
        <f t="array" ref="D945">_xlfn.IFS(Healthcare!$C945&lt;18.5,"under weight",Healthcare!$C945&lt;=24.9,"Normal Weight",Healthcare!$C945&gt;=25,"overweight",Healthcare!$C945&gt;=30,"obese")</f>
        <v>overweight</v>
      </c>
      <c r="E945" s="7">
        <v>4.34</v>
      </c>
      <c r="F945" s="7" t="str" cm="1">
        <f t="array" ref="F945">_xlfn.IFS(Healthcare!$E945&lt;5.7,"normal",Healthcare!$E945&lt;=6.4,"prediabetes",Healthcare!$E945&gt;=6.5,"diabetes")</f>
        <v>normal</v>
      </c>
      <c r="G945" s="7" t="s">
        <v>19</v>
      </c>
      <c r="H945" s="7" t="s">
        <v>19</v>
      </c>
      <c r="I945" s="7" t="s">
        <v>19</v>
      </c>
      <c r="J945" s="7">
        <v>0</v>
      </c>
      <c r="K945" s="7" t="s">
        <v>19</v>
      </c>
      <c r="L945" s="7" t="str">
        <f>VLOOKUP(Healthcare!$A945,hospital_details,2,0)</f>
        <v>20-Jul-1994</v>
      </c>
      <c r="M945" s="7">
        <f t="shared" ref="M945:M1008" ca="1" si="5657">VLOOKUP(A945,hospital_details,3,0)</f>
        <v>32</v>
      </c>
      <c r="N945" s="7">
        <f t="shared" ref="N945:N1008" si="5658">VLOOKUP($A945,hospital_details,4,0)</f>
        <v>0</v>
      </c>
      <c r="O945" s="8">
        <f t="shared" ref="O945:O1008" si="5659">VLOOKUP($A945,hospital_details,5,0)</f>
        <v>11657.81</v>
      </c>
      <c r="P945" s="7" t="str">
        <f t="shared" ref="P945:P1008" si="5660">VLOOKUP($A945,hospital_details,6,0)</f>
        <v>tier - 3</v>
      </c>
      <c r="Q945" s="7" t="str">
        <f t="shared" ref="Q945:Q1008" si="5661">VLOOKUP($A945,hospital_details,7,0)</f>
        <v>tier - 2</v>
      </c>
      <c r="R945" s="7" t="str">
        <f t="shared" ref="R945:R1008" si="5662">VLOOKUP($A945,hospital_details,8,0)</f>
        <v>R1023</v>
      </c>
    </row>
    <row r="946" spans="1:18" ht="14.4" customHeight="1" x14ac:dyDescent="0.3">
      <c r="A946" s="5" t="s">
        <v>966</v>
      </c>
      <c r="B946" s="5" t="str">
        <f>VLOOKUP($A946,[1]!Customer_Names[#Data],3,0)</f>
        <v xml:space="preserve">  Rebecca</v>
      </c>
      <c r="C946" s="5">
        <v>28.31</v>
      </c>
      <c r="D946" s="5" t="str" cm="1">
        <f t="array" ref="D946">_xlfn.IFS(Healthcare!$C946&lt;18.5,"under weight",Healthcare!$C946&lt;=24.9,"Normal Weight",Healthcare!$C946&gt;=25,"overweight",Healthcare!$C946&gt;=30,"obese")</f>
        <v>overweight</v>
      </c>
      <c r="E946" s="5">
        <v>5.43</v>
      </c>
      <c r="F946" s="5" t="str" cm="1">
        <f t="array" ref="F946">_xlfn.IFS(Healthcare!$E946&lt;5.7,"normal",Healthcare!$E946&lt;=6.4,"prediabetes",Healthcare!$E946&gt;=6.5,"diabetes")</f>
        <v>normal</v>
      </c>
      <c r="G946" s="5" t="s">
        <v>20</v>
      </c>
      <c r="H946" s="5" t="s">
        <v>19</v>
      </c>
      <c r="I946" s="5" t="s">
        <v>19</v>
      </c>
      <c r="J946" s="5">
        <v>2</v>
      </c>
      <c r="K946" s="5" t="s">
        <v>19</v>
      </c>
      <c r="L946" s="5" t="str">
        <f>VLOOKUP(Healthcare!$A946,hospital_details,2,0)</f>
        <v>4-Oct-1966</v>
      </c>
      <c r="M946" s="5">
        <f t="shared" ref="M946:M1009" ca="1" si="5663">VLOOKUP(A946,hospital_details,3,0)</f>
        <v>60</v>
      </c>
      <c r="N946" s="5">
        <f t="shared" ref="N946:N1009" si="5664">VLOOKUP($A946,hospital_details,4,0)</f>
        <v>0</v>
      </c>
      <c r="O946" s="6">
        <f t="shared" ref="O946:O1009" si="5665">VLOOKUP($A946,hospital_details,5,0)</f>
        <v>11657.72</v>
      </c>
      <c r="P946" s="5" t="str">
        <f t="shared" ref="P946:P1009" si="5666">VLOOKUP($A946,hospital_details,6,0)</f>
        <v>tier - 3</v>
      </c>
      <c r="Q946" s="5" t="str">
        <f t="shared" ref="Q946:Q1009" si="5667">VLOOKUP($A946,hospital_details,7,0)</f>
        <v>tier - 2</v>
      </c>
      <c r="R946" s="5" t="str">
        <f t="shared" ref="R946:R1009" si="5668">VLOOKUP($A946,hospital_details,8,0)</f>
        <v>R1024</v>
      </c>
    </row>
    <row r="947" spans="1:18" ht="14.4" customHeight="1" x14ac:dyDescent="0.3">
      <c r="A947" s="7" t="s">
        <v>967</v>
      </c>
      <c r="B947" s="7" t="str">
        <f>VLOOKUP($A947,[1]!Customer_Names[#Data],3,0)</f>
        <v xml:space="preserve">  John</v>
      </c>
      <c r="C947" s="7">
        <v>38.39</v>
      </c>
      <c r="D947" s="7" t="str" cm="1">
        <f t="array" ref="D947">_xlfn.IFS(Healthcare!$C947&lt;18.5,"under weight",Healthcare!$C947&lt;=24.9,"Normal Weight",Healthcare!$C947&gt;=25,"overweight",Healthcare!$C947&gt;=30,"obese")</f>
        <v>overweight</v>
      </c>
      <c r="E947" s="7">
        <v>8.33</v>
      </c>
      <c r="F947" s="7" t="str" cm="1">
        <f t="array" ref="F947">_xlfn.IFS(Healthcare!$E947&lt;5.7,"normal",Healthcare!$E947&lt;=6.4,"prediabetes",Healthcare!$E947&gt;=6.5,"diabetes")</f>
        <v>diabetes</v>
      </c>
      <c r="G947" s="7" t="s">
        <v>20</v>
      </c>
      <c r="H947" s="7" t="s">
        <v>19</v>
      </c>
      <c r="I947" s="7" t="s">
        <v>19</v>
      </c>
      <c r="J947" s="7">
        <v>1</v>
      </c>
      <c r="K947" s="7" t="s">
        <v>19</v>
      </c>
      <c r="L947" s="7" t="str">
        <f>VLOOKUP(Healthcare!$A947,hospital_details,2,0)</f>
        <v>17-Jul-1986</v>
      </c>
      <c r="M947" s="7">
        <f t="shared" ref="M947:M1010" ca="1" si="5669">VLOOKUP(A947,hospital_details,3,0)</f>
        <v>40</v>
      </c>
      <c r="N947" s="7">
        <f t="shared" ref="N947:N1010" si="5670">VLOOKUP($A947,hospital_details,4,0)</f>
        <v>3</v>
      </c>
      <c r="O947" s="8">
        <f t="shared" ref="O947:O1010" si="5671">VLOOKUP($A947,hospital_details,5,0)</f>
        <v>11625.11</v>
      </c>
      <c r="P947" s="7" t="str">
        <f t="shared" ref="P947:P1010" si="5672">VLOOKUP($A947,hospital_details,6,0)</f>
        <v>tier - 3</v>
      </c>
      <c r="Q947" s="7" t="str">
        <f t="shared" ref="Q947:Q1010" si="5673">VLOOKUP($A947,hospital_details,7,0)</f>
        <v>tier - 3</v>
      </c>
      <c r="R947" s="7" t="str">
        <f t="shared" ref="R947:R1010" si="5674">VLOOKUP($A947,hospital_details,8,0)</f>
        <v>R1022</v>
      </c>
    </row>
    <row r="948" spans="1:18" ht="14.4" customHeight="1" x14ac:dyDescent="0.3">
      <c r="A948" s="5" t="s">
        <v>968</v>
      </c>
      <c r="B948" s="5" t="str">
        <f>VLOOKUP($A948,[1]!Customer_Names[#Data],3,0)</f>
        <v xml:space="preserve">  Antony G</v>
      </c>
      <c r="C948" s="5">
        <v>25.87</v>
      </c>
      <c r="D948" s="5" t="str" cm="1">
        <f t="array" ref="D948">_xlfn.IFS(Healthcare!$C948&lt;18.5,"under weight",Healthcare!$C948&lt;=24.9,"Normal Weight",Healthcare!$C948&gt;=25,"overweight",Healthcare!$C948&gt;=30,"obese")</f>
        <v>overweight</v>
      </c>
      <c r="E948" s="5">
        <v>5.63</v>
      </c>
      <c r="F948" s="5" t="str" cm="1">
        <f t="array" ref="F948">_xlfn.IFS(Healthcare!$E948&lt;5.7,"normal",Healthcare!$E948&lt;=6.4,"prediabetes",Healthcare!$E948&gt;=6.5,"diabetes")</f>
        <v>normal</v>
      </c>
      <c r="G948" s="5" t="s">
        <v>20</v>
      </c>
      <c r="H948" s="5" t="s">
        <v>19</v>
      </c>
      <c r="I948" s="5" t="s">
        <v>19</v>
      </c>
      <c r="J948" s="5">
        <v>1</v>
      </c>
      <c r="K948" s="5" t="s">
        <v>19</v>
      </c>
      <c r="L948" s="5" t="str">
        <f>VLOOKUP(Healthcare!$A948,hospital_details,2,0)</f>
        <v>20-Jun-1964</v>
      </c>
      <c r="M948" s="5">
        <f t="shared" ref="M948:M1011" ca="1" si="5675">VLOOKUP(A948,hospital_details,3,0)</f>
        <v>62</v>
      </c>
      <c r="N948" s="5">
        <f t="shared" ref="N948:N1011" si="5676">VLOOKUP($A948,hospital_details,4,0)</f>
        <v>0</v>
      </c>
      <c r="O948" s="6">
        <f t="shared" ref="O948:O1011" si="5677">VLOOKUP($A948,hospital_details,5,0)</f>
        <v>11602.75</v>
      </c>
      <c r="P948" s="5" t="str">
        <f t="shared" ref="P948:P1011" si="5678">VLOOKUP($A948,hospital_details,6,0)</f>
        <v>tier - 3</v>
      </c>
      <c r="Q948" s="5" t="str">
        <f t="shared" ref="Q948:Q1011" si="5679">VLOOKUP($A948,hospital_details,7,0)</f>
        <v>tier - 1</v>
      </c>
      <c r="R948" s="5" t="str">
        <f t="shared" ref="R948:R1011" si="5680">VLOOKUP($A948,hospital_details,8,0)</f>
        <v>R1020</v>
      </c>
    </row>
    <row r="949" spans="1:18" ht="14.4" customHeight="1" x14ac:dyDescent="0.3">
      <c r="A949" s="7" t="s">
        <v>969</v>
      </c>
      <c r="B949" s="7" t="str">
        <f>VLOOKUP($A949,[1]!Customer_Names[#Data],3,0)</f>
        <v xml:space="preserve">  Eric</v>
      </c>
      <c r="C949" s="7">
        <v>43.7</v>
      </c>
      <c r="D949" s="7" t="str" cm="1">
        <f t="array" ref="D949">_xlfn.IFS(Healthcare!$C949&lt;18.5,"under weight",Healthcare!$C949&lt;=24.9,"Normal Weight",Healthcare!$C949&gt;=25,"overweight",Healthcare!$C949&gt;=30,"obese")</f>
        <v>overweight</v>
      </c>
      <c r="E949" s="7">
        <v>7.23</v>
      </c>
      <c r="F949" s="7" t="str" cm="1">
        <f t="array" ref="F949">_xlfn.IFS(Healthcare!$E949&lt;5.7,"normal",Healthcare!$E949&lt;=6.4,"prediabetes",Healthcare!$E949&gt;=6.5,"diabetes")</f>
        <v>diabetes</v>
      </c>
      <c r="G949" s="7" t="s">
        <v>19</v>
      </c>
      <c r="H949" s="7" t="s">
        <v>19</v>
      </c>
      <c r="I949" s="7" t="s">
        <v>19</v>
      </c>
      <c r="J949" s="7">
        <v>0</v>
      </c>
      <c r="K949" s="7" t="s">
        <v>19</v>
      </c>
      <c r="L949" s="7" t="str">
        <f>VLOOKUP(Healthcare!$A949,hospital_details,2,0)</f>
        <v>6-Nov-1965</v>
      </c>
      <c r="M949" s="7">
        <f t="shared" ref="M949:M1012" ca="1" si="5681">VLOOKUP(A949,hospital_details,3,0)</f>
        <v>60</v>
      </c>
      <c r="N949" s="7">
        <f t="shared" ref="N949:N1012" si="5682">VLOOKUP($A949,hospital_details,4,0)</f>
        <v>1</v>
      </c>
      <c r="O949" s="8">
        <f t="shared" ref="O949:O1012" si="5683">VLOOKUP($A949,hospital_details,5,0)</f>
        <v>11576.13</v>
      </c>
      <c r="P949" s="7" t="str">
        <f t="shared" ref="P949:P1012" si="5684">VLOOKUP($A949,hospital_details,6,0)</f>
        <v>tier - 3</v>
      </c>
      <c r="Q949" s="7" t="str">
        <f t="shared" ref="Q949:Q1012" si="5685">VLOOKUP($A949,hospital_details,7,0)</f>
        <v>tier - 3</v>
      </c>
      <c r="R949" s="7" t="str">
        <f t="shared" ref="R949:R1012" si="5686">VLOOKUP($A949,hospital_details,8,0)</f>
        <v>R1011</v>
      </c>
    </row>
    <row r="950" spans="1:18" ht="14.4" customHeight="1" x14ac:dyDescent="0.3">
      <c r="A950" s="5" t="s">
        <v>970</v>
      </c>
      <c r="B950" s="5" t="str">
        <f>VLOOKUP($A950,[1]!Customer_Names[#Data],3,0)</f>
        <v xml:space="preserve">  Erik</v>
      </c>
      <c r="C950" s="5">
        <v>40.945</v>
      </c>
      <c r="D950" s="5" t="str" cm="1">
        <f t="array" ref="D950">_xlfn.IFS(Healthcare!$C950&lt;18.5,"under weight",Healthcare!$C950&lt;=24.9,"Normal Weight",Healthcare!$C950&gt;=25,"overweight",Healthcare!$C950&gt;=30,"obese")</f>
        <v>overweight</v>
      </c>
      <c r="E950" s="5">
        <v>10.57</v>
      </c>
      <c r="F950" s="5" t="str" cm="1">
        <f t="array" ref="F950">_xlfn.IFS(Healthcare!$E950&lt;5.7,"normal",Healthcare!$E950&lt;=6.4,"prediabetes",Healthcare!$E950&gt;=6.5,"diabetes")</f>
        <v>diabetes</v>
      </c>
      <c r="G950" s="5" t="s">
        <v>19</v>
      </c>
      <c r="H950" s="5" t="s">
        <v>19</v>
      </c>
      <c r="I950" s="5" t="s">
        <v>19</v>
      </c>
      <c r="J950" s="5">
        <v>0</v>
      </c>
      <c r="K950" s="5" t="s">
        <v>19</v>
      </c>
      <c r="L950" s="5" t="str">
        <f>VLOOKUP(Healthcare!$A950,hospital_details,2,0)</f>
        <v>25-Dec-1965</v>
      </c>
      <c r="M950" s="5">
        <f t="shared" ref="M950:M1013" ca="1" si="5687">VLOOKUP(A950,hospital_details,3,0)</f>
        <v>60</v>
      </c>
      <c r="N950" s="5">
        <f t="shared" ref="N950:N1013" si="5688">VLOOKUP($A950,hospital_details,4,0)</f>
        <v>0</v>
      </c>
      <c r="O950" s="6">
        <f t="shared" ref="O950:O1013" si="5689">VLOOKUP($A950,hospital_details,5,0)</f>
        <v>11566.3</v>
      </c>
      <c r="P950" s="5" t="str">
        <f t="shared" ref="P950:P1013" si="5690">VLOOKUP($A950,hospital_details,6,0)</f>
        <v>tier - 3</v>
      </c>
      <c r="Q950" s="5" t="str">
        <f t="shared" ref="Q950:Q1013" si="5691">VLOOKUP($A950,hospital_details,7,0)</f>
        <v>tier - 3</v>
      </c>
      <c r="R950" s="5" t="str">
        <f t="shared" ref="R950:R1013" si="5692">VLOOKUP($A950,hospital_details,8,0)</f>
        <v>R1016</v>
      </c>
    </row>
    <row r="951" spans="1:18" ht="14.4" customHeight="1" x14ac:dyDescent="0.3">
      <c r="A951" s="7" t="s">
        <v>971</v>
      </c>
      <c r="B951" s="7" t="str">
        <f>VLOOKUP($A951,[1]!Customer_Names[#Data],3,0)</f>
        <v xml:space="preserve">  Matthew T</v>
      </c>
      <c r="C951" s="7">
        <v>27.94</v>
      </c>
      <c r="D951" s="7" t="str" cm="1">
        <f t="array" ref="D951">_xlfn.IFS(Healthcare!$C951&lt;18.5,"under weight",Healthcare!$C951&lt;=24.9,"Normal Weight",Healthcare!$C951&gt;=25,"overweight",Healthcare!$C951&gt;=30,"obese")</f>
        <v>overweight</v>
      </c>
      <c r="E951" s="7">
        <v>7.92</v>
      </c>
      <c r="F951" s="7" t="str" cm="1">
        <f t="array" ref="F951">_xlfn.IFS(Healthcare!$E951&lt;5.7,"normal",Healthcare!$E951&lt;=6.4,"prediabetes",Healthcare!$E951&gt;=6.5,"diabetes")</f>
        <v>diabetes</v>
      </c>
      <c r="G951" s="7" t="s">
        <v>19</v>
      </c>
      <c r="H951" s="7" t="s">
        <v>19</v>
      </c>
      <c r="I951" s="7" t="s">
        <v>19</v>
      </c>
      <c r="J951" s="7">
        <v>0</v>
      </c>
      <c r="K951" s="7" t="s">
        <v>19</v>
      </c>
      <c r="L951" s="7" t="str">
        <f>VLOOKUP(Healthcare!$A951,hospital_details,2,0)</f>
        <v>27-Oct-1965</v>
      </c>
      <c r="M951" s="7">
        <f t="shared" ref="M951:M1014" ca="1" si="5693">VLOOKUP(A951,hospital_details,3,0)</f>
        <v>60</v>
      </c>
      <c r="N951" s="7">
        <f t="shared" ref="N951:N1014" si="5694">VLOOKUP($A951,hospital_details,4,0)</f>
        <v>1</v>
      </c>
      <c r="O951" s="8">
        <f t="shared" ref="O951:O1014" si="5695">VLOOKUP($A951,hospital_details,5,0)</f>
        <v>11554.22</v>
      </c>
      <c r="P951" s="7" t="str">
        <f t="shared" ref="P951:P1014" si="5696">VLOOKUP($A951,hospital_details,6,0)</f>
        <v>tier - 3</v>
      </c>
      <c r="Q951" s="7" t="str">
        <f t="shared" ref="Q951:Q1014" si="5697">VLOOKUP($A951,hospital_details,7,0)</f>
        <v>tier - 1</v>
      </c>
      <c r="R951" s="7" t="str">
        <f t="shared" ref="R951:R1014" si="5698">VLOOKUP($A951,hospital_details,8,0)</f>
        <v>R1013</v>
      </c>
    </row>
    <row r="952" spans="1:18" ht="14.4" customHeight="1" x14ac:dyDescent="0.3">
      <c r="A952" s="5" t="s">
        <v>972</v>
      </c>
      <c r="B952" s="5" t="str">
        <f>VLOOKUP($A952,[1]!Customer_Names[#Data],3,0)</f>
        <v xml:space="preserve">  Cassandra</v>
      </c>
      <c r="C952" s="5">
        <v>31.9</v>
      </c>
      <c r="D952" s="5" t="str" cm="1">
        <f t="array" ref="D952">_xlfn.IFS(Healthcare!$C952&lt;18.5,"under weight",Healthcare!$C952&lt;=24.9,"Normal Weight",Healthcare!$C952&gt;=25,"overweight",Healthcare!$C952&gt;=30,"obese")</f>
        <v>overweight</v>
      </c>
      <c r="E952" s="5">
        <v>10.119999999999999</v>
      </c>
      <c r="F952" s="5" t="str" cm="1">
        <f t="array" ref="F952">_xlfn.IFS(Healthcare!$E952&lt;5.7,"normal",Healthcare!$E952&lt;=6.4,"prediabetes",Healthcare!$E952&gt;=6.5,"diabetes")</f>
        <v>diabetes</v>
      </c>
      <c r="G952" s="5" t="s">
        <v>19</v>
      </c>
      <c r="H952" s="5" t="s">
        <v>19</v>
      </c>
      <c r="I952" s="5" t="s">
        <v>19</v>
      </c>
      <c r="J952" s="5">
        <v>2</v>
      </c>
      <c r="K952" s="5" t="s">
        <v>19</v>
      </c>
      <c r="L952" s="5" t="str">
        <f>VLOOKUP(Healthcare!$A952,hospital_details,2,0)</f>
        <v>23-Jul-1973</v>
      </c>
      <c r="M952" s="5">
        <f t="shared" ref="M952:M1015" ca="1" si="5699">VLOOKUP(A952,hospital_details,3,0)</f>
        <v>53</v>
      </c>
      <c r="N952" s="5">
        <f t="shared" ref="N952:N1015" si="5700">VLOOKUP($A952,hospital_details,4,0)</f>
        <v>5</v>
      </c>
      <c r="O952" s="6">
        <f t="shared" ref="O952:O1015" si="5701">VLOOKUP($A952,hospital_details,5,0)</f>
        <v>11552.9</v>
      </c>
      <c r="P952" s="5" t="str">
        <f t="shared" ref="P952:P1015" si="5702">VLOOKUP($A952,hospital_details,6,0)</f>
        <v>tier - 3</v>
      </c>
      <c r="Q952" s="5" t="str">
        <f t="shared" ref="Q952:Q1015" si="5703">VLOOKUP($A952,hospital_details,7,0)</f>
        <v>tier - 2</v>
      </c>
      <c r="R952" s="5" t="str">
        <f t="shared" ref="R952:R1015" si="5704">VLOOKUP($A952,hospital_details,8,0)</f>
        <v>R1011</v>
      </c>
    </row>
    <row r="953" spans="1:18" ht="14.4" customHeight="1" x14ac:dyDescent="0.3">
      <c r="A953" s="7" t="s">
        <v>973</v>
      </c>
      <c r="B953" s="7" t="str">
        <f>VLOOKUP($A953,[1]!Customer_Names[#Data],3,0)</f>
        <v xml:space="preserve">  Rosemary C</v>
      </c>
      <c r="C953" s="7">
        <v>31.64</v>
      </c>
      <c r="D953" s="7" t="str" cm="1">
        <f t="array" ref="D953">_xlfn.IFS(Healthcare!$C953&lt;18.5,"under weight",Healthcare!$C953&lt;=24.9,"Normal Weight",Healthcare!$C953&gt;=25,"overweight",Healthcare!$C953&gt;=30,"obese")</f>
        <v>overweight</v>
      </c>
      <c r="E953" s="7">
        <v>7.91</v>
      </c>
      <c r="F953" s="7" t="str" cm="1">
        <f t="array" ref="F953">_xlfn.IFS(Healthcare!$E953&lt;5.7,"normal",Healthcare!$E953&lt;=6.4,"prediabetes",Healthcare!$E953&gt;=6.5,"diabetes")</f>
        <v>diabetes</v>
      </c>
      <c r="G953" s="7" t="s">
        <v>19</v>
      </c>
      <c r="H953" s="7" t="s">
        <v>19</v>
      </c>
      <c r="I953" s="7" t="s">
        <v>19</v>
      </c>
      <c r="J953" s="7">
        <v>0</v>
      </c>
      <c r="K953" s="7" t="s">
        <v>19</v>
      </c>
      <c r="L953" s="7" t="str">
        <f>VLOOKUP(Healthcare!$A953,hospital_details,2,0)</f>
        <v>1-Dec-1971</v>
      </c>
      <c r="M953" s="7">
        <f t="shared" ref="M953:M1016" ca="1" si="5705">VLOOKUP(A953,hospital_details,3,0)</f>
        <v>54</v>
      </c>
      <c r="N953" s="7">
        <f t="shared" ref="N953:N1016" si="5706">VLOOKUP($A953,hospital_details,4,0)</f>
        <v>0</v>
      </c>
      <c r="O953" s="8">
        <f t="shared" ref="O953:O1016" si="5707">VLOOKUP($A953,hospital_details,5,0)</f>
        <v>11540.25</v>
      </c>
      <c r="P953" s="7" t="str">
        <f t="shared" ref="P953:P1016" si="5708">VLOOKUP($A953,hospital_details,6,0)</f>
        <v>tier - 3</v>
      </c>
      <c r="Q953" s="7" t="str">
        <f t="shared" ref="Q953:Q1016" si="5709">VLOOKUP($A953,hospital_details,7,0)</f>
        <v>tier - 1</v>
      </c>
      <c r="R953" s="7" t="str">
        <f t="shared" ref="R953:R1016" si="5710">VLOOKUP($A953,hospital_details,8,0)</f>
        <v>R1012</v>
      </c>
    </row>
    <row r="954" spans="1:18" ht="14.4" customHeight="1" x14ac:dyDescent="0.3">
      <c r="A954" s="5" t="s">
        <v>974</v>
      </c>
      <c r="B954" s="5" t="str">
        <f>VLOOKUP($A954,[1]!Customer_Names[#Data],3,0)</f>
        <v xml:space="preserve">  Carrie A</v>
      </c>
      <c r="C954" s="5">
        <v>46.7</v>
      </c>
      <c r="D954" s="5" t="str" cm="1">
        <f t="array" ref="D954">_xlfn.IFS(Healthcare!$C954&lt;18.5,"under weight",Healthcare!$C954&lt;=24.9,"Normal Weight",Healthcare!$C954&gt;=25,"overweight",Healthcare!$C954&gt;=30,"obese")</f>
        <v>overweight</v>
      </c>
      <c r="E954" s="5">
        <v>10.9</v>
      </c>
      <c r="F954" s="5" t="str" cm="1">
        <f t="array" ref="F954">_xlfn.IFS(Healthcare!$E954&lt;5.7,"normal",Healthcare!$E954&lt;=6.4,"prediabetes",Healthcare!$E954&gt;=6.5,"diabetes")</f>
        <v>diabetes</v>
      </c>
      <c r="G954" s="5" t="s">
        <v>19</v>
      </c>
      <c r="H954" s="5" t="s">
        <v>19</v>
      </c>
      <c r="I954" s="5" t="s">
        <v>19</v>
      </c>
      <c r="J954" s="5">
        <v>0</v>
      </c>
      <c r="K954" s="5" t="s">
        <v>19</v>
      </c>
      <c r="L954" s="5" t="str">
        <f>VLOOKUP(Healthcare!$A954,hospital_details,2,0)</f>
        <v>14-Nov-1968</v>
      </c>
      <c r="M954" s="5">
        <f t="shared" ref="M954:M1017" ca="1" si="5711">VLOOKUP(A954,hospital_details,3,0)</f>
        <v>57</v>
      </c>
      <c r="N954" s="5">
        <f t="shared" ref="N954:N1017" si="5712">VLOOKUP($A954,hospital_details,4,0)</f>
        <v>2</v>
      </c>
      <c r="O954" s="6">
        <f t="shared" ref="O954:O1017" si="5713">VLOOKUP($A954,hospital_details,5,0)</f>
        <v>11538.42</v>
      </c>
      <c r="P954" s="5" t="str">
        <f t="shared" ref="P954:P1017" si="5714">VLOOKUP($A954,hospital_details,6,0)</f>
        <v>tier - 3</v>
      </c>
      <c r="Q954" s="5" t="str">
        <f t="shared" ref="Q954:Q1017" si="5715">VLOOKUP($A954,hospital_details,7,0)</f>
        <v>tier - 1</v>
      </c>
      <c r="R954" s="5" t="str">
        <f t="shared" ref="R954:R1017" si="5716">VLOOKUP($A954,hospital_details,8,0)</f>
        <v>R1011</v>
      </c>
    </row>
    <row r="955" spans="1:18" ht="14.4" customHeight="1" x14ac:dyDescent="0.3">
      <c r="A955" s="7" t="s">
        <v>975</v>
      </c>
      <c r="B955" s="7" t="str">
        <f>VLOOKUP($A955,[1]!Customer_Names[#Data],3,0)</f>
        <v xml:space="preserve">  Gerardo Sr</v>
      </c>
      <c r="C955" s="7">
        <v>18.335000000000001</v>
      </c>
      <c r="D955" s="7" t="str" cm="1">
        <f t="array" ref="D955">_xlfn.IFS(Healthcare!$C955&lt;18.5,"under weight",Healthcare!$C955&lt;=24.9,"Normal Weight",Healthcare!$C955&gt;=25,"overweight",Healthcare!$C955&gt;=30,"obese")</f>
        <v>under weight</v>
      </c>
      <c r="E955" s="7">
        <v>11.83</v>
      </c>
      <c r="F955" s="7" t="str" cm="1">
        <f t="array" ref="F955">_xlfn.IFS(Healthcare!$E955&lt;5.7,"normal",Healthcare!$E955&lt;=6.4,"prediabetes",Healthcare!$E955&gt;=6.5,"diabetes")</f>
        <v>diabetes</v>
      </c>
      <c r="G955" s="7" t="s">
        <v>19</v>
      </c>
      <c r="H955" s="7" t="s">
        <v>19</v>
      </c>
      <c r="I955" s="7" t="s">
        <v>19</v>
      </c>
      <c r="J955" s="7">
        <v>0</v>
      </c>
      <c r="K955" s="7" t="s">
        <v>19</v>
      </c>
      <c r="L955" s="7" t="str">
        <f>VLOOKUP(Healthcare!$A955,hospital_details,2,0)</f>
        <v>3-Oct-1965</v>
      </c>
      <c r="M955" s="7">
        <f t="shared" ref="M955:M1018" ca="1" si="5717">VLOOKUP(A955,hospital_details,3,0)</f>
        <v>61</v>
      </c>
      <c r="N955" s="7">
        <f t="shared" ref="N955:N1018" si="5718">VLOOKUP($A955,hospital_details,4,0)</f>
        <v>0</v>
      </c>
      <c r="O955" s="8">
        <f t="shared" ref="O955:O1018" si="5719">VLOOKUP($A955,hospital_details,5,0)</f>
        <v>11534.87</v>
      </c>
      <c r="P955" s="7" t="str">
        <f t="shared" ref="P955:P1018" si="5720">VLOOKUP($A955,hospital_details,6,0)</f>
        <v>tier - 3</v>
      </c>
      <c r="Q955" s="7" t="str">
        <f t="shared" ref="Q955:Q1018" si="5721">VLOOKUP($A955,hospital_details,7,0)</f>
        <v>tier - 1</v>
      </c>
      <c r="R955" s="7" t="str">
        <f t="shared" ref="R955:R1018" si="5722">VLOOKUP($A955,hospital_details,8,0)</f>
        <v>R1017</v>
      </c>
    </row>
    <row r="956" spans="1:18" ht="14.4" customHeight="1" x14ac:dyDescent="0.3">
      <c r="A956" s="5" t="s">
        <v>976</v>
      </c>
      <c r="B956" s="5" t="str">
        <f>VLOOKUP($A956,[1]!Customer_Names[#Data],3,0)</f>
        <v xml:space="preserve">  Matthew R</v>
      </c>
      <c r="C956" s="5">
        <v>31.24</v>
      </c>
      <c r="D956" s="5" t="str" cm="1">
        <f t="array" ref="D956">_xlfn.IFS(Healthcare!$C956&lt;18.5,"under weight",Healthcare!$C956&lt;=24.9,"Normal Weight",Healthcare!$C956&gt;=25,"overweight",Healthcare!$C956&gt;=30,"obese")</f>
        <v>overweight</v>
      </c>
      <c r="E956" s="5">
        <v>7.42</v>
      </c>
      <c r="F956" s="5" t="str" cm="1">
        <f t="array" ref="F956">_xlfn.IFS(Healthcare!$E956&lt;5.7,"normal",Healthcare!$E956&lt;=6.4,"prediabetes",Healthcare!$E956&gt;=6.5,"diabetes")</f>
        <v>diabetes</v>
      </c>
      <c r="G956" s="5" t="s">
        <v>20</v>
      </c>
      <c r="H956" s="5" t="s">
        <v>19</v>
      </c>
      <c r="I956" s="5" t="s">
        <v>19</v>
      </c>
      <c r="J956" s="5">
        <v>2</v>
      </c>
      <c r="K956" s="5" t="s">
        <v>19</v>
      </c>
      <c r="L956" s="5" t="str">
        <f>VLOOKUP(Healthcare!$A956,hospital_details,2,0)</f>
        <v>23-Jul-1970</v>
      </c>
      <c r="M956" s="5">
        <f t="shared" ref="M956:M1019" ca="1" si="5723">VLOOKUP(A956,hospital_details,3,0)</f>
        <v>56</v>
      </c>
      <c r="N956" s="5">
        <f t="shared" ref="N956:N1019" si="5724">VLOOKUP($A956,hospital_details,4,0)</f>
        <v>0</v>
      </c>
      <c r="O956" s="6">
        <f t="shared" ref="O956:O1019" si="5725">VLOOKUP($A956,hospital_details,5,0)</f>
        <v>11530.12</v>
      </c>
      <c r="P956" s="5" t="str">
        <f t="shared" ref="P956:P1019" si="5726">VLOOKUP($A956,hospital_details,6,0)</f>
        <v>tier - 3</v>
      </c>
      <c r="Q956" s="5" t="str">
        <f t="shared" ref="Q956:Q1019" si="5727">VLOOKUP($A956,hospital_details,7,0)</f>
        <v>tier - 1</v>
      </c>
      <c r="R956" s="5" t="str">
        <f t="shared" ref="R956:R1019" si="5728">VLOOKUP($A956,hospital_details,8,0)</f>
        <v>R1012</v>
      </c>
    </row>
    <row r="957" spans="1:18" ht="14.4" customHeight="1" x14ac:dyDescent="0.3">
      <c r="A957" s="7" t="s">
        <v>977</v>
      </c>
      <c r="B957" s="7" t="str">
        <f>VLOOKUP($A957,[1]!Customer_Names[#Data],3,0)</f>
        <v xml:space="preserve">  Meghan E</v>
      </c>
      <c r="C957" s="7">
        <v>39.22</v>
      </c>
      <c r="D957" s="7" t="str" cm="1">
        <f t="array" ref="D957">_xlfn.IFS(Healthcare!$C957&lt;18.5,"under weight",Healthcare!$C957&lt;=24.9,"Normal Weight",Healthcare!$C957&gt;=25,"overweight",Healthcare!$C957&gt;=30,"obese")</f>
        <v>overweight</v>
      </c>
      <c r="E957" s="7">
        <v>5.62</v>
      </c>
      <c r="F957" s="7" t="str" cm="1">
        <f t="array" ref="F957">_xlfn.IFS(Healthcare!$E957&lt;5.7,"normal",Healthcare!$E957&lt;=6.4,"prediabetes",Healthcare!$E957&gt;=6.5,"diabetes")</f>
        <v>normal</v>
      </c>
      <c r="G957" s="7" t="s">
        <v>20</v>
      </c>
      <c r="H957" s="7" t="s">
        <v>19</v>
      </c>
      <c r="I957" s="7" t="s">
        <v>19</v>
      </c>
      <c r="J957" s="7">
        <v>1</v>
      </c>
      <c r="K957" s="7" t="s">
        <v>19</v>
      </c>
      <c r="L957" s="7" t="str">
        <f>VLOOKUP(Healthcare!$A957,hospital_details,2,0)</f>
        <v>12-Jun-1988</v>
      </c>
      <c r="M957" s="7">
        <f t="shared" ref="M957:M1020" ca="1" si="5729">VLOOKUP(A957,hospital_details,3,0)</f>
        <v>38</v>
      </c>
      <c r="N957" s="7">
        <f t="shared" ref="N957:N1020" si="5730">VLOOKUP($A957,hospital_details,4,0)</f>
        <v>3</v>
      </c>
      <c r="O957" s="8">
        <f t="shared" ref="O957:O1020" si="5731">VLOOKUP($A957,hospital_details,5,0)</f>
        <v>11524.25</v>
      </c>
      <c r="P957" s="7" t="str">
        <f t="shared" ref="P957:P1020" si="5732">VLOOKUP($A957,hospital_details,6,0)</f>
        <v>tier - 3</v>
      </c>
      <c r="Q957" s="7" t="str">
        <f t="shared" ref="Q957:Q1020" si="5733">VLOOKUP($A957,hospital_details,7,0)</f>
        <v>tier - 1</v>
      </c>
      <c r="R957" s="7" t="str">
        <f t="shared" ref="R957:R1020" si="5734">VLOOKUP($A957,hospital_details,8,0)</f>
        <v>R1026</v>
      </c>
    </row>
    <row r="958" spans="1:18" ht="14.4" customHeight="1" x14ac:dyDescent="0.3">
      <c r="A958" s="5" t="s">
        <v>978</v>
      </c>
      <c r="B958" s="5" t="str">
        <f>VLOOKUP($A958,[1]!Customer_Names[#Data],3,0)</f>
        <v xml:space="preserve">  Eric</v>
      </c>
      <c r="C958" s="5">
        <v>24.414999999999999</v>
      </c>
      <c r="D958" s="5" t="str" cm="1">
        <f t="array" ref="D958">_xlfn.IFS(Healthcare!$C958&lt;18.5,"under weight",Healthcare!$C958&lt;=24.9,"Normal Weight",Healthcare!$C958&gt;=25,"overweight",Healthcare!$C958&gt;=30,"obese")</f>
        <v>Normal Weight</v>
      </c>
      <c r="E958" s="5">
        <v>7.16</v>
      </c>
      <c r="F958" s="5" t="str" cm="1">
        <f t="array" ref="F958">_xlfn.IFS(Healthcare!$E958&lt;5.7,"normal",Healthcare!$E958&lt;=6.4,"prediabetes",Healthcare!$E958&gt;=6.5,"diabetes")</f>
        <v>diabetes</v>
      </c>
      <c r="G958" s="5" t="s">
        <v>19</v>
      </c>
      <c r="H958" s="5" t="s">
        <v>19</v>
      </c>
      <c r="I958" s="5" t="s">
        <v>19</v>
      </c>
      <c r="J958" s="5">
        <v>0</v>
      </c>
      <c r="K958" s="5" t="s">
        <v>19</v>
      </c>
      <c r="L958" s="5" t="str">
        <f>VLOOKUP(Healthcare!$A958,hospital_details,2,0)</f>
        <v>19-Dec-1971</v>
      </c>
      <c r="M958" s="5">
        <f t="shared" ref="M958:M1021" ca="1" si="5735">VLOOKUP(A958,hospital_details,3,0)</f>
        <v>54</v>
      </c>
      <c r="N958" s="5">
        <f t="shared" ref="N958:N1021" si="5736">VLOOKUP($A958,hospital_details,4,0)</f>
        <v>4</v>
      </c>
      <c r="O958" s="6">
        <f t="shared" ref="O958:O1021" si="5737">VLOOKUP($A958,hospital_details,5,0)</f>
        <v>11520.1</v>
      </c>
      <c r="P958" s="5" t="str">
        <f t="shared" ref="P958:P1021" si="5738">VLOOKUP($A958,hospital_details,6,0)</f>
        <v>tier - 3</v>
      </c>
      <c r="Q958" s="5" t="str">
        <f t="shared" ref="Q958:Q1021" si="5739">VLOOKUP($A958,hospital_details,7,0)</f>
        <v>tier - 1</v>
      </c>
      <c r="R958" s="5" t="str">
        <f t="shared" ref="R958:R1021" si="5740">VLOOKUP($A958,hospital_details,8,0)</f>
        <v>R1012</v>
      </c>
    </row>
    <row r="959" spans="1:18" ht="14.4" customHeight="1" x14ac:dyDescent="0.3">
      <c r="A959" s="7" t="s">
        <v>979</v>
      </c>
      <c r="B959" s="7" t="str">
        <f>VLOOKUP($A959,[1]!Customer_Names[#Data],3,0)</f>
        <v xml:space="preserve">  Lisa B</v>
      </c>
      <c r="C959" s="7">
        <v>32.299999999999997</v>
      </c>
      <c r="D959" s="7" t="str" cm="1">
        <f t="array" ref="D959">_xlfn.IFS(Healthcare!$C959&lt;18.5,"under weight",Healthcare!$C959&lt;=24.9,"Normal Weight",Healthcare!$C959&gt;=25,"overweight",Healthcare!$C959&gt;=30,"obese")</f>
        <v>overweight</v>
      </c>
      <c r="E959" s="7">
        <v>9.89</v>
      </c>
      <c r="F959" s="7" t="str" cm="1">
        <f t="array" ref="F959">_xlfn.IFS(Healthcare!$E959&lt;5.7,"normal",Healthcare!$E959&lt;=6.4,"prediabetes",Healthcare!$E959&gt;=6.5,"diabetes")</f>
        <v>diabetes</v>
      </c>
      <c r="G959" s="7" t="s">
        <v>19</v>
      </c>
      <c r="H959" s="7" t="s">
        <v>19</v>
      </c>
      <c r="I959" s="7" t="s">
        <v>19</v>
      </c>
      <c r="J959" s="7">
        <v>0</v>
      </c>
      <c r="K959" s="7" t="s">
        <v>19</v>
      </c>
      <c r="L959" s="7" t="str">
        <f>VLOOKUP(Healthcare!$A959,hospital_details,2,0)</f>
        <v>24-Jun-1968</v>
      </c>
      <c r="M959" s="7">
        <f t="shared" ref="M959:M1022" ca="1" si="5741">VLOOKUP(A959,hospital_details,3,0)</f>
        <v>58</v>
      </c>
      <c r="N959" s="7">
        <f t="shared" ref="N959:N1022" si="5742">VLOOKUP($A959,hospital_details,4,0)</f>
        <v>1</v>
      </c>
      <c r="O959" s="8">
        <f t="shared" ref="O959:O1022" si="5743">VLOOKUP($A959,hospital_details,5,0)</f>
        <v>11512.41</v>
      </c>
      <c r="P959" s="7" t="str">
        <f t="shared" ref="P959:P1022" si="5744">VLOOKUP($A959,hospital_details,6,0)</f>
        <v>tier - 3</v>
      </c>
      <c r="Q959" s="7" t="str">
        <f t="shared" ref="Q959:Q1022" si="5745">VLOOKUP($A959,hospital_details,7,0)</f>
        <v>tier - 1</v>
      </c>
      <c r="R959" s="7" t="str">
        <f t="shared" ref="R959:R1022" si="5746">VLOOKUP($A959,hospital_details,8,0)</f>
        <v>R1024</v>
      </c>
    </row>
    <row r="960" spans="1:18" ht="14.4" customHeight="1" x14ac:dyDescent="0.3">
      <c r="A960" s="5" t="s">
        <v>980</v>
      </c>
      <c r="B960" s="5" t="str">
        <f>VLOOKUP($A960,[1]!Customer_Names[#Data],3,0)</f>
        <v xml:space="preserve">  Jane R</v>
      </c>
      <c r="C960" s="5">
        <v>39.94</v>
      </c>
      <c r="D960" s="5" t="str" cm="1">
        <f t="array" ref="D960">_xlfn.IFS(Healthcare!$C960&lt;18.5,"under weight",Healthcare!$C960&lt;=24.9,"Normal Weight",Healthcare!$C960&gt;=25,"overweight",Healthcare!$C960&gt;=30,"obese")</f>
        <v>overweight</v>
      </c>
      <c r="E960" s="5">
        <v>5.14</v>
      </c>
      <c r="F960" s="5" t="str" cm="1">
        <f t="array" ref="F960">_xlfn.IFS(Healthcare!$E960&lt;5.7,"normal",Healthcare!$E960&lt;=6.4,"prediabetes",Healthcare!$E960&gt;=6.5,"diabetes")</f>
        <v>normal</v>
      </c>
      <c r="G960" s="5" t="s">
        <v>19</v>
      </c>
      <c r="H960" s="5" t="s">
        <v>19</v>
      </c>
      <c r="I960" s="5" t="s">
        <v>19</v>
      </c>
      <c r="J960" s="5">
        <v>0</v>
      </c>
      <c r="K960" s="5" t="s">
        <v>19</v>
      </c>
      <c r="L960" s="5" t="str">
        <f>VLOOKUP(Healthcare!$A960,hospital_details,2,0)</f>
        <v>6-Oct-1989</v>
      </c>
      <c r="M960" s="5">
        <f t="shared" ref="M960:M1023" ca="1" si="5747">VLOOKUP(A960,hospital_details,3,0)</f>
        <v>37</v>
      </c>
      <c r="N960" s="5">
        <f t="shared" ref="N960:N1023" si="5748">VLOOKUP($A960,hospital_details,4,0)</f>
        <v>3</v>
      </c>
      <c r="O960" s="6">
        <f t="shared" ref="O960:O1023" si="5749">VLOOKUP($A960,hospital_details,5,0)</f>
        <v>11511.61</v>
      </c>
      <c r="P960" s="5" t="str">
        <f t="shared" ref="P960:P1023" si="5750">VLOOKUP($A960,hospital_details,6,0)</f>
        <v>tier - 3</v>
      </c>
      <c r="Q960" s="5" t="str">
        <f t="shared" ref="Q960:Q1023" si="5751">VLOOKUP($A960,hospital_details,7,0)</f>
        <v>tier - 3</v>
      </c>
      <c r="R960" s="5" t="str">
        <f t="shared" ref="R960:R1023" si="5752">VLOOKUP($A960,hospital_details,8,0)</f>
        <v>R1026</v>
      </c>
    </row>
    <row r="961" spans="1:18" ht="14.4" customHeight="1" x14ac:dyDescent="0.3">
      <c r="A961" s="7" t="s">
        <v>981</v>
      </c>
      <c r="B961" s="7" t="str">
        <f>VLOOKUP($A961,[1]!Customer_Names[#Data],3,0)</f>
        <v xml:space="preserve">  Allison M</v>
      </c>
      <c r="C961" s="7">
        <v>30</v>
      </c>
      <c r="D961" s="7" t="str" cm="1">
        <f t="array" ref="D961">_xlfn.IFS(Healthcare!$C961&lt;18.5,"under weight",Healthcare!$C961&lt;=24.9,"Normal Weight",Healthcare!$C961&gt;=25,"overweight",Healthcare!$C961&gt;=30,"obese")</f>
        <v>overweight</v>
      </c>
      <c r="E961" s="7">
        <v>5.61</v>
      </c>
      <c r="F961" s="7" t="str" cm="1">
        <f t="array" ref="F961">_xlfn.IFS(Healthcare!$E961&lt;5.7,"normal",Healthcare!$E961&lt;=6.4,"prediabetes",Healthcare!$E961&gt;=6.5,"diabetes")</f>
        <v>normal</v>
      </c>
      <c r="G961" s="7" t="s">
        <v>20</v>
      </c>
      <c r="H961" s="7" t="s">
        <v>19</v>
      </c>
      <c r="I961" s="7" t="s">
        <v>29</v>
      </c>
      <c r="J961" s="7">
        <v>1</v>
      </c>
      <c r="K961" s="7" t="s">
        <v>19</v>
      </c>
      <c r="L961" s="7" t="str">
        <f>VLOOKUP(Healthcare!$A961,hospital_details,2,0)</f>
        <v>11-Aug-1969</v>
      </c>
      <c r="M961" s="7">
        <f t="shared" ref="M961:M1024" ca="1" si="5753">VLOOKUP(A961,hospital_details,3,0)</f>
        <v>57</v>
      </c>
      <c r="N961" s="7">
        <f t="shared" ref="N961:N1024" si="5754">VLOOKUP($A961,hospital_details,4,0)</f>
        <v>0</v>
      </c>
      <c r="O961" s="8">
        <f t="shared" ref="O961:O1024" si="5755">VLOOKUP($A961,hospital_details,5,0)</f>
        <v>11497.69</v>
      </c>
      <c r="P961" s="7" t="str">
        <f t="shared" ref="P961:P1024" si="5756">VLOOKUP($A961,hospital_details,6,0)</f>
        <v>tier - 3</v>
      </c>
      <c r="Q961" s="7" t="str">
        <f t="shared" ref="Q961:Q1024" si="5757">VLOOKUP($A961,hospital_details,7,0)</f>
        <v>tier - 1</v>
      </c>
      <c r="R961" s="7" t="str">
        <f t="shared" ref="R961:R1024" si="5758">VLOOKUP($A961,hospital_details,8,0)</f>
        <v>R1012</v>
      </c>
    </row>
    <row r="962" spans="1:18" ht="14.4" customHeight="1" x14ac:dyDescent="0.3">
      <c r="A962" s="5" t="s">
        <v>982</v>
      </c>
      <c r="B962" s="5" t="str">
        <f>VLOOKUP($A962,[1]!Customer_Names[#Data],3,0)</f>
        <v xml:space="preserve">  Sarah E</v>
      </c>
      <c r="C962" s="5">
        <v>35.340000000000003</v>
      </c>
      <c r="D962" s="5" t="str" cm="1">
        <f t="array" ref="D962">_xlfn.IFS(Healthcare!$C962&lt;18.5,"under weight",Healthcare!$C962&lt;=24.9,"Normal Weight",Healthcare!$C962&gt;=25,"overweight",Healthcare!$C962&gt;=30,"obese")</f>
        <v>overweight</v>
      </c>
      <c r="E962" s="5">
        <v>5.51</v>
      </c>
      <c r="F962" s="5" t="str" cm="1">
        <f t="array" ref="F962">_xlfn.IFS(Healthcare!$E962&lt;5.7,"normal",Healthcare!$E962&lt;=6.4,"prediabetes",Healthcare!$E962&gt;=6.5,"diabetes")</f>
        <v>normal</v>
      </c>
      <c r="G962" s="5" t="s">
        <v>20</v>
      </c>
      <c r="H962" s="5" t="s">
        <v>19</v>
      </c>
      <c r="I962" s="5" t="s">
        <v>29</v>
      </c>
      <c r="J962" s="5">
        <v>1</v>
      </c>
      <c r="K962" s="5" t="s">
        <v>19</v>
      </c>
      <c r="L962" s="5" t="str">
        <f>VLOOKUP(Healthcare!$A962,hospital_details,2,0)</f>
        <v>7-Jun-1983</v>
      </c>
      <c r="M962" s="5">
        <f t="shared" ref="M962:M1025" ca="1" si="5759">VLOOKUP(A962,hospital_details,3,0)</f>
        <v>43</v>
      </c>
      <c r="N962" s="5">
        <f t="shared" ref="N962:N1025" si="5760">VLOOKUP($A962,hospital_details,4,0)</f>
        <v>3</v>
      </c>
      <c r="O962" s="6">
        <f t="shared" ref="O962:O1025" si="5761">VLOOKUP($A962,hospital_details,5,0)</f>
        <v>11492.46</v>
      </c>
      <c r="P962" s="5" t="str">
        <f t="shared" ref="P962:P1025" si="5762">VLOOKUP($A962,hospital_details,6,0)</f>
        <v>tier - 3</v>
      </c>
      <c r="Q962" s="5" t="str">
        <f t="shared" ref="Q962:Q1025" si="5763">VLOOKUP($A962,hospital_details,7,0)</f>
        <v>tier - 3</v>
      </c>
      <c r="R962" s="5" t="str">
        <f t="shared" ref="R962:R1025" si="5764">VLOOKUP($A962,hospital_details,8,0)</f>
        <v>R1026</v>
      </c>
    </row>
    <row r="963" spans="1:18" ht="14.4" customHeight="1" x14ac:dyDescent="0.3">
      <c r="A963" s="7" t="s">
        <v>983</v>
      </c>
      <c r="B963" s="7" t="str">
        <f>VLOOKUP($A963,[1]!Customer_Names[#Data],3,0)</f>
        <v xml:space="preserve">  Philip J</v>
      </c>
      <c r="C963" s="7">
        <v>32.204999999999998</v>
      </c>
      <c r="D963" s="7" t="str" cm="1">
        <f t="array" ref="D963">_xlfn.IFS(Healthcare!$C963&lt;18.5,"under weight",Healthcare!$C963&lt;=24.9,"Normal Weight",Healthcare!$C963&gt;=25,"overweight",Healthcare!$C963&gt;=30,"obese")</f>
        <v>overweight</v>
      </c>
      <c r="E963" s="7">
        <v>8.3800000000000008</v>
      </c>
      <c r="F963" s="7" t="str" cm="1">
        <f t="array" ref="F963">_xlfn.IFS(Healthcare!$E963&lt;5.7,"normal",Healthcare!$E963&lt;=6.4,"prediabetes",Healthcare!$E963&gt;=6.5,"diabetes")</f>
        <v>diabetes</v>
      </c>
      <c r="G963" s="7" t="s">
        <v>20</v>
      </c>
      <c r="H963" s="7" t="s">
        <v>19</v>
      </c>
      <c r="I963" s="7" t="s">
        <v>19</v>
      </c>
      <c r="J963" s="7">
        <v>2</v>
      </c>
      <c r="K963" s="7" t="s">
        <v>19</v>
      </c>
      <c r="L963" s="7" t="str">
        <f>VLOOKUP(Healthcare!$A963,hospital_details,2,0)</f>
        <v>13-Oct-1970</v>
      </c>
      <c r="M963" s="7">
        <f t="shared" ref="M963:M1026" ca="1" si="5765">VLOOKUP(A963,hospital_details,3,0)</f>
        <v>56</v>
      </c>
      <c r="N963" s="7">
        <f t="shared" ref="N963:N1026" si="5766">VLOOKUP($A963,hospital_details,4,0)</f>
        <v>3</v>
      </c>
      <c r="O963" s="8">
        <f t="shared" ref="O963:O1026" si="5767">VLOOKUP($A963,hospital_details,5,0)</f>
        <v>11488.32</v>
      </c>
      <c r="P963" s="7" t="str">
        <f t="shared" ref="P963:P1026" si="5768">VLOOKUP($A963,hospital_details,6,0)</f>
        <v>tier - 3</v>
      </c>
      <c r="Q963" s="7" t="str">
        <f t="shared" ref="Q963:Q1026" si="5769">VLOOKUP($A963,hospital_details,7,0)</f>
        <v>tier - 1</v>
      </c>
      <c r="R963" s="7" t="str">
        <f t="shared" ref="R963:R1026" si="5770">VLOOKUP($A963,hospital_details,8,0)</f>
        <v>R1014</v>
      </c>
    </row>
    <row r="964" spans="1:18" ht="14.4" customHeight="1" x14ac:dyDescent="0.3">
      <c r="A964" s="5" t="s">
        <v>984</v>
      </c>
      <c r="B964" s="5" t="str">
        <f>VLOOKUP($A964,[1]!Customer_Names[#Data],3,0)</f>
        <v xml:space="preserve">  Jillian A</v>
      </c>
      <c r="C964" s="5">
        <v>33.880000000000003</v>
      </c>
      <c r="D964" s="5" t="str" cm="1">
        <f t="array" ref="D964">_xlfn.IFS(Healthcare!$C964&lt;18.5,"under weight",Healthcare!$C964&lt;=24.9,"Normal Weight",Healthcare!$C964&gt;=25,"overweight",Healthcare!$C964&gt;=30,"obese")</f>
        <v>overweight</v>
      </c>
      <c r="E964" s="5">
        <v>4.68</v>
      </c>
      <c r="F964" s="5" t="str" cm="1">
        <f t="array" ref="F964">_xlfn.IFS(Healthcare!$E964&lt;5.7,"normal",Healthcare!$E964&lt;=6.4,"prediabetes",Healthcare!$E964&gt;=6.5,"diabetes")</f>
        <v>normal</v>
      </c>
      <c r="G964" s="5" t="s">
        <v>19</v>
      </c>
      <c r="H964" s="5" t="s">
        <v>20</v>
      </c>
      <c r="I964" s="5" t="s">
        <v>19</v>
      </c>
      <c r="J964" s="5">
        <v>1</v>
      </c>
      <c r="K964" s="5" t="s">
        <v>19</v>
      </c>
      <c r="L964" s="5" t="str">
        <f>VLOOKUP(Healthcare!$A964,hospital_details,2,0)</f>
        <v>10-Sep-2004</v>
      </c>
      <c r="M964" s="5">
        <f t="shared" ref="M964:M1027" ca="1" si="5771">VLOOKUP(A964,hospital_details,3,0)</f>
        <v>22</v>
      </c>
      <c r="N964" s="5">
        <f t="shared" ref="N964:N1027" si="5772">VLOOKUP($A964,hospital_details,4,0)</f>
        <v>0</v>
      </c>
      <c r="O964" s="6">
        <f t="shared" ref="O964:O1027" si="5773">VLOOKUP($A964,hospital_details,5,0)</f>
        <v>11482.63</v>
      </c>
      <c r="P964" s="5" t="str">
        <f t="shared" ref="P964:P1027" si="5774">VLOOKUP($A964,hospital_details,6,0)</f>
        <v>tier - 3</v>
      </c>
      <c r="Q964" s="5" t="str">
        <f t="shared" ref="Q964:Q1027" si="5775">VLOOKUP($A964,hospital_details,7,0)</f>
        <v>tier - 2</v>
      </c>
      <c r="R964" s="5" t="str">
        <f t="shared" ref="R964:R1027" si="5776">VLOOKUP($A964,hospital_details,8,0)</f>
        <v>R1013</v>
      </c>
    </row>
    <row r="965" spans="1:18" ht="14.4" customHeight="1" x14ac:dyDescent="0.3">
      <c r="A965" s="7" t="s">
        <v>985</v>
      </c>
      <c r="B965" s="7" t="str">
        <f>VLOOKUP($A965,[1]!Customer_Names[#Data],3,0)</f>
        <v xml:space="preserve">  Laura D</v>
      </c>
      <c r="C965" s="7">
        <v>26.63</v>
      </c>
      <c r="D965" s="7" t="str" cm="1">
        <f t="array" ref="D965">_xlfn.IFS(Healthcare!$C965&lt;18.5,"under weight",Healthcare!$C965&lt;=24.9,"Normal Weight",Healthcare!$C965&gt;=25,"overweight",Healthcare!$C965&gt;=30,"obese")</f>
        <v>overweight</v>
      </c>
      <c r="E965" s="7">
        <v>4.3600000000000003</v>
      </c>
      <c r="F965" s="7" t="str" cm="1">
        <f t="array" ref="F965">_xlfn.IFS(Healthcare!$E965&lt;5.7,"normal",Healthcare!$E965&lt;=6.4,"prediabetes",Healthcare!$E965&gt;=6.5,"diabetes")</f>
        <v>normal</v>
      </c>
      <c r="G965" s="7" t="s">
        <v>20</v>
      </c>
      <c r="H965" s="7" t="s">
        <v>19</v>
      </c>
      <c r="I965" s="7" t="s">
        <v>19</v>
      </c>
      <c r="J965" s="7">
        <v>2</v>
      </c>
      <c r="K965" s="7" t="s">
        <v>19</v>
      </c>
      <c r="L965" s="7" t="str">
        <f>VLOOKUP(Healthcare!$A965,hospital_details,2,0)</f>
        <v>7-Sep-1966</v>
      </c>
      <c r="M965" s="7">
        <f t="shared" ref="M965:M1028" ca="1" si="5777">VLOOKUP(A965,hospital_details,3,0)</f>
        <v>60</v>
      </c>
      <c r="N965" s="7">
        <f t="shared" ref="N965:N1028" si="5778">VLOOKUP($A965,hospital_details,4,0)</f>
        <v>0</v>
      </c>
      <c r="O965" s="8">
        <f t="shared" ref="O965:O1028" si="5779">VLOOKUP($A965,hospital_details,5,0)</f>
        <v>11478.14</v>
      </c>
      <c r="P965" s="7" t="str">
        <f t="shared" ref="P965:P1028" si="5780">VLOOKUP($A965,hospital_details,6,0)</f>
        <v>tier - 3</v>
      </c>
      <c r="Q965" s="7" t="str">
        <f t="shared" ref="Q965:Q1028" si="5781">VLOOKUP($A965,hospital_details,7,0)</f>
        <v>tier - 2</v>
      </c>
      <c r="R965" s="7" t="str">
        <f t="shared" ref="R965:R1028" si="5782">VLOOKUP($A965,hospital_details,8,0)</f>
        <v>R1025</v>
      </c>
    </row>
    <row r="966" spans="1:18" ht="14.4" customHeight="1" x14ac:dyDescent="0.3">
      <c r="A966" s="5" t="s">
        <v>986</v>
      </c>
      <c r="B966" s="5" t="str">
        <f>VLOOKUP($A966,[1]!Customer_Names[#Data],3,0)</f>
        <v xml:space="preserve">  Megan E</v>
      </c>
      <c r="C966" s="5">
        <v>28.7</v>
      </c>
      <c r="D966" s="5" t="str" cm="1">
        <f t="array" ref="D966">_xlfn.IFS(Healthcare!$C966&lt;18.5,"under weight",Healthcare!$C966&lt;=24.9,"Normal Weight",Healthcare!$C966&gt;=25,"overweight",Healthcare!$C966&gt;=30,"obese")</f>
        <v>overweight</v>
      </c>
      <c r="E966" s="5">
        <v>7.74</v>
      </c>
      <c r="F966" s="5" t="str" cm="1">
        <f t="array" ref="F966">_xlfn.IFS(Healthcare!$E966&lt;5.7,"normal",Healthcare!$E966&lt;=6.4,"prediabetes",Healthcare!$E966&gt;=6.5,"diabetes")</f>
        <v>diabetes</v>
      </c>
      <c r="G966" s="5" t="s">
        <v>19</v>
      </c>
      <c r="H966" s="5" t="s">
        <v>19</v>
      </c>
      <c r="I966" s="5" t="s">
        <v>19</v>
      </c>
      <c r="J966" s="5">
        <v>0</v>
      </c>
      <c r="K966" s="5" t="s">
        <v>19</v>
      </c>
      <c r="L966" s="5" t="str">
        <f>VLOOKUP(Healthcare!$A966,hospital_details,2,0)</f>
        <v>23-Jun-1965</v>
      </c>
      <c r="M966" s="5">
        <f t="shared" ref="M966:M1029" ca="1" si="5783">VLOOKUP(A966,hospital_details,3,0)</f>
        <v>61</v>
      </c>
      <c r="N966" s="5">
        <f t="shared" ref="N966:N1029" si="5784">VLOOKUP($A966,hospital_details,4,0)</f>
        <v>0</v>
      </c>
      <c r="O966" s="6">
        <f t="shared" ref="O966:O1029" si="5785">VLOOKUP($A966,hospital_details,5,0)</f>
        <v>11455.28</v>
      </c>
      <c r="P966" s="5" t="str">
        <f t="shared" ref="P966:P1029" si="5786">VLOOKUP($A966,hospital_details,6,0)</f>
        <v>tier - 3</v>
      </c>
      <c r="Q966" s="5" t="str">
        <f t="shared" ref="Q966:Q1029" si="5787">VLOOKUP($A966,hospital_details,7,0)</f>
        <v>tier - 2</v>
      </c>
      <c r="R966" s="5" t="str">
        <f t="shared" ref="R966:R1029" si="5788">VLOOKUP($A966,hospital_details,8,0)</f>
        <v>R1011</v>
      </c>
    </row>
    <row r="967" spans="1:18" ht="14.4" customHeight="1" x14ac:dyDescent="0.3">
      <c r="A967" s="7" t="s">
        <v>987</v>
      </c>
      <c r="B967" s="7" t="str">
        <f>VLOOKUP($A967,[1]!Customer_Names[#Data],3,0)</f>
        <v xml:space="preserve">  Shannon J</v>
      </c>
      <c r="C967" s="7">
        <v>25.65</v>
      </c>
      <c r="D967" s="7" t="str" cm="1">
        <f t="array" ref="D967">_xlfn.IFS(Healthcare!$C967&lt;18.5,"under weight",Healthcare!$C967&lt;=24.9,"Normal Weight",Healthcare!$C967&gt;=25,"overweight",Healthcare!$C967&gt;=30,"obese")</f>
        <v>overweight</v>
      </c>
      <c r="E967" s="7">
        <v>4.05</v>
      </c>
      <c r="F967" s="7" t="str" cm="1">
        <f t="array" ref="F967">_xlfn.IFS(Healthcare!$E967&lt;5.7,"normal",Healthcare!$E967&lt;=6.4,"prediabetes",Healthcare!$E967&gt;=6.5,"diabetes")</f>
        <v>normal</v>
      </c>
      <c r="G967" s="7" t="s">
        <v>20</v>
      </c>
      <c r="H967" s="7" t="s">
        <v>19</v>
      </c>
      <c r="I967" s="7" t="s">
        <v>19</v>
      </c>
      <c r="J967" s="7">
        <v>2</v>
      </c>
      <c r="K967" s="7" t="s">
        <v>19</v>
      </c>
      <c r="L967" s="7" t="str">
        <f>VLOOKUP(Healthcare!$A967,hospital_details,2,0)</f>
        <v>14-Jun-1966</v>
      </c>
      <c r="M967" s="7">
        <f t="shared" ref="M967:M1030" ca="1" si="5789">VLOOKUP(A967,hospital_details,3,0)</f>
        <v>60</v>
      </c>
      <c r="N967" s="7">
        <f t="shared" ref="N967:N1030" si="5790">VLOOKUP($A967,hospital_details,4,0)</f>
        <v>0</v>
      </c>
      <c r="O967" s="8">
        <f t="shared" ref="O967:O1030" si="5791">VLOOKUP($A967,hospital_details,5,0)</f>
        <v>11454.02</v>
      </c>
      <c r="P967" s="7" t="str">
        <f t="shared" ref="P967:P1030" si="5792">VLOOKUP($A967,hospital_details,6,0)</f>
        <v>tier - 3</v>
      </c>
      <c r="Q967" s="7" t="str">
        <f t="shared" ref="Q967:Q1030" si="5793">VLOOKUP($A967,hospital_details,7,0)</f>
        <v>tier - 1</v>
      </c>
      <c r="R967" s="7" t="str">
        <f t="shared" ref="R967:R1030" si="5794">VLOOKUP($A967,hospital_details,8,0)</f>
        <v>R1012</v>
      </c>
    </row>
    <row r="968" spans="1:18" ht="14.4" customHeight="1" x14ac:dyDescent="0.3">
      <c r="A968" s="5" t="s">
        <v>988</v>
      </c>
      <c r="B968" s="5" t="str">
        <f>VLOOKUP($A968,[1]!Customer_Names[#Data],3,0)</f>
        <v xml:space="preserve">  Rachelle M</v>
      </c>
      <c r="C968" s="5">
        <v>36.384999999999998</v>
      </c>
      <c r="D968" s="5" t="str" cm="1">
        <f t="array" ref="D968">_xlfn.IFS(Healthcare!$C968&lt;18.5,"under weight",Healthcare!$C968&lt;=24.9,"Normal Weight",Healthcare!$C968&gt;=25,"overweight",Healthcare!$C968&gt;=30,"obese")</f>
        <v>overweight</v>
      </c>
      <c r="E968" s="5">
        <v>11.49</v>
      </c>
      <c r="F968" s="5" t="str" cm="1">
        <f t="array" ref="F968">_xlfn.IFS(Healthcare!$E968&lt;5.7,"normal",Healthcare!$E968&lt;=6.4,"prediabetes",Healthcare!$E968&gt;=6.5,"diabetes")</f>
        <v>diabetes</v>
      </c>
      <c r="G968" s="5" t="s">
        <v>19</v>
      </c>
      <c r="H968" s="5" t="s">
        <v>19</v>
      </c>
      <c r="I968" s="5" t="s">
        <v>19</v>
      </c>
      <c r="J968" s="5">
        <v>0</v>
      </c>
      <c r="K968" s="5" t="s">
        <v>19</v>
      </c>
      <c r="L968" s="5" t="str">
        <f>VLOOKUP(Healthcare!$A968,hospital_details,2,0)</f>
        <v>12-Sep-1971</v>
      </c>
      <c r="M968" s="5">
        <f t="shared" ref="M968:M1031" ca="1" si="5795">VLOOKUP(A968,hospital_details,3,0)</f>
        <v>55</v>
      </c>
      <c r="N968" s="5">
        <f t="shared" ref="N968:N1031" si="5796">VLOOKUP($A968,hospital_details,4,0)</f>
        <v>3</v>
      </c>
      <c r="O968" s="6">
        <f t="shared" ref="O968:O1031" si="5797">VLOOKUP($A968,hospital_details,5,0)</f>
        <v>11436.74</v>
      </c>
      <c r="P968" s="5" t="str">
        <f t="shared" ref="P968:P1031" si="5798">VLOOKUP($A968,hospital_details,6,0)</f>
        <v>tier - 3</v>
      </c>
      <c r="Q968" s="5" t="str">
        <f t="shared" ref="Q968:Q1031" si="5799">VLOOKUP($A968,hospital_details,7,0)</f>
        <v>tier - 3</v>
      </c>
      <c r="R968" s="5" t="str">
        <f t="shared" ref="R968:R1031" si="5800">VLOOKUP($A968,hospital_details,8,0)</f>
        <v>R1012</v>
      </c>
    </row>
    <row r="969" spans="1:18" ht="14.4" customHeight="1" x14ac:dyDescent="0.3">
      <c r="A969" s="7" t="s">
        <v>989</v>
      </c>
      <c r="B969" s="7" t="str">
        <f>VLOOKUP($A969,[1]!Customer_Names[#Data],3,0)</f>
        <v xml:space="preserve">  Casey</v>
      </c>
      <c r="C969" s="7">
        <v>34.69</v>
      </c>
      <c r="D969" s="7" t="str" cm="1">
        <f t="array" ref="D969">_xlfn.IFS(Healthcare!$C969&lt;18.5,"under weight",Healthcare!$C969&lt;=24.9,"Normal Weight",Healthcare!$C969&gt;=25,"overweight",Healthcare!$C969&gt;=30,"obese")</f>
        <v>overweight</v>
      </c>
      <c r="E969" s="7">
        <v>5.65</v>
      </c>
      <c r="F969" s="7" t="str" cm="1">
        <f t="array" ref="F969">_xlfn.IFS(Healthcare!$E969&lt;5.7,"normal",Healthcare!$E969&lt;=6.4,"prediabetes",Healthcare!$E969&gt;=6.5,"diabetes")</f>
        <v>normal</v>
      </c>
      <c r="G969" s="7" t="s">
        <v>19</v>
      </c>
      <c r="H969" s="7" t="s">
        <v>19</v>
      </c>
      <c r="I969" s="7" t="s">
        <v>19</v>
      </c>
      <c r="J969" s="7">
        <v>0</v>
      </c>
      <c r="K969" s="7" t="s">
        <v>19</v>
      </c>
      <c r="L969" s="7" t="str">
        <f>VLOOKUP(Healthcare!$A969,hospital_details,2,0)</f>
        <v>17-Jul-1980</v>
      </c>
      <c r="M969" s="7">
        <f t="shared" ref="M969:M1032" ca="1" si="5801">VLOOKUP(A969,hospital_details,3,0)</f>
        <v>46</v>
      </c>
      <c r="N969" s="7">
        <f t="shared" ref="N969:N1032" si="5802">VLOOKUP($A969,hospital_details,4,0)</f>
        <v>2</v>
      </c>
      <c r="O969" s="8">
        <f t="shared" ref="O969:O1032" si="5803">VLOOKUP($A969,hospital_details,5,0)</f>
        <v>11435.74</v>
      </c>
      <c r="P969" s="7" t="str">
        <f t="shared" ref="P969:P1032" si="5804">VLOOKUP($A969,hospital_details,6,0)</f>
        <v>tier - 3</v>
      </c>
      <c r="Q969" s="7" t="str">
        <f t="shared" ref="Q969:Q1032" si="5805">VLOOKUP($A969,hospital_details,7,0)</f>
        <v>tier - 3</v>
      </c>
      <c r="R969" s="7" t="str">
        <f t="shared" ref="R969:R1032" si="5806">VLOOKUP($A969,hospital_details,8,0)</f>
        <v>R1021</v>
      </c>
    </row>
    <row r="970" spans="1:18" ht="14.4" customHeight="1" x14ac:dyDescent="0.3">
      <c r="A970" s="5" t="s">
        <v>990</v>
      </c>
      <c r="B970" s="5" t="str">
        <f>VLOOKUP($A970,[1]!Customer_Names[#Data],3,0)</f>
        <v xml:space="preserve">  Jessica L</v>
      </c>
      <c r="C970" s="5">
        <v>37.68</v>
      </c>
      <c r="D970" s="5" t="str" cm="1">
        <f t="array" ref="D970">_xlfn.IFS(Healthcare!$C970&lt;18.5,"under weight",Healthcare!$C970&lt;=24.9,"Normal Weight",Healthcare!$C970&gt;=25,"overweight",Healthcare!$C970&gt;=30,"obese")</f>
        <v>overweight</v>
      </c>
      <c r="E970" s="5">
        <v>4.29</v>
      </c>
      <c r="F970" s="5" t="str" cm="1">
        <f t="array" ref="F970">_xlfn.IFS(Healthcare!$E970&lt;5.7,"normal",Healthcare!$E970&lt;=6.4,"prediabetes",Healthcare!$E970&gt;=6.5,"diabetes")</f>
        <v>normal</v>
      </c>
      <c r="G970" s="5" t="s">
        <v>20</v>
      </c>
      <c r="H970" s="5" t="s">
        <v>19</v>
      </c>
      <c r="I970" s="5" t="s">
        <v>19</v>
      </c>
      <c r="J970" s="5">
        <v>0</v>
      </c>
      <c r="K970" s="5" t="s">
        <v>19</v>
      </c>
      <c r="L970" s="5" t="str">
        <f>VLOOKUP(Healthcare!$A970,hospital_details,2,0)</f>
        <v>9-Jun-1985</v>
      </c>
      <c r="M970" s="5">
        <f t="shared" ref="M970:M1033" ca="1" si="5807">VLOOKUP(A970,hospital_details,3,0)</f>
        <v>41</v>
      </c>
      <c r="N970" s="5">
        <f t="shared" ref="N970:N1033" si="5808">VLOOKUP($A970,hospital_details,4,0)</f>
        <v>3</v>
      </c>
      <c r="O970" s="6">
        <f t="shared" ref="O970:O1033" si="5809">VLOOKUP($A970,hospital_details,5,0)</f>
        <v>11419.49</v>
      </c>
      <c r="P970" s="5" t="str">
        <f t="shared" ref="P970:P1033" si="5810">VLOOKUP($A970,hospital_details,6,0)</f>
        <v>tier - 3</v>
      </c>
      <c r="Q970" s="5" t="str">
        <f t="shared" ref="Q970:Q1033" si="5811">VLOOKUP($A970,hospital_details,7,0)</f>
        <v>tier - 1</v>
      </c>
      <c r="R970" s="5" t="str">
        <f t="shared" ref="R970:R1033" si="5812">VLOOKUP($A970,hospital_details,8,0)</f>
        <v>R1012</v>
      </c>
    </row>
    <row r="971" spans="1:18" ht="14.4" customHeight="1" x14ac:dyDescent="0.3">
      <c r="A971" s="7" t="s">
        <v>991</v>
      </c>
      <c r="B971" s="7" t="str">
        <f>VLOOKUP($A971,[1]!Customer_Names[#Data],3,0)</f>
        <v xml:space="preserve">  Brandon F</v>
      </c>
      <c r="C971" s="7">
        <v>35.49</v>
      </c>
      <c r="D971" s="7" t="str" cm="1">
        <f t="array" ref="D971">_xlfn.IFS(Healthcare!$C971&lt;18.5,"under weight",Healthcare!$C971&lt;=24.9,"Normal Weight",Healthcare!$C971&gt;=25,"overweight",Healthcare!$C971&gt;=30,"obese")</f>
        <v>overweight</v>
      </c>
      <c r="E971" s="7">
        <v>4.74</v>
      </c>
      <c r="F971" s="7" t="str" cm="1">
        <f t="array" ref="F971">_xlfn.IFS(Healthcare!$E971&lt;5.7,"normal",Healthcare!$E971&lt;=6.4,"prediabetes",Healthcare!$E971&gt;=6.5,"diabetes")</f>
        <v>normal</v>
      </c>
      <c r="G971" s="7" t="s">
        <v>20</v>
      </c>
      <c r="H971" s="7" t="s">
        <v>19</v>
      </c>
      <c r="I971" s="7" t="s">
        <v>29</v>
      </c>
      <c r="J971" s="7">
        <v>1</v>
      </c>
      <c r="K971" s="7" t="s">
        <v>19</v>
      </c>
      <c r="L971" s="7" t="str">
        <f>VLOOKUP(Healthcare!$A971,hospital_details,2,0)</f>
        <v>23-Oct-1983</v>
      </c>
      <c r="M971" s="7">
        <f t="shared" ref="M971:M1034" ca="1" si="5813">VLOOKUP(A971,hospital_details,3,0)</f>
        <v>42</v>
      </c>
      <c r="N971" s="7">
        <f t="shared" ref="N971:N1034" si="5814">VLOOKUP($A971,hospital_details,4,0)</f>
        <v>3</v>
      </c>
      <c r="O971" s="8">
        <f t="shared" ref="O971:O1034" si="5815">VLOOKUP($A971,hospital_details,5,0)</f>
        <v>11412.02</v>
      </c>
      <c r="P971" s="7" t="str">
        <f t="shared" ref="P971:P1034" si="5816">VLOOKUP($A971,hospital_details,6,0)</f>
        <v>tier - 3</v>
      </c>
      <c r="Q971" s="7" t="str">
        <f t="shared" ref="Q971:Q1034" si="5817">VLOOKUP($A971,hospital_details,7,0)</f>
        <v>tier - 1</v>
      </c>
      <c r="R971" s="7" t="str">
        <f t="shared" ref="R971:R1034" si="5818">VLOOKUP($A971,hospital_details,8,0)</f>
        <v>R1021</v>
      </c>
    </row>
    <row r="972" spans="1:18" ht="14.4" customHeight="1" x14ac:dyDescent="0.3">
      <c r="A972" s="5" t="s">
        <v>992</v>
      </c>
      <c r="B972" s="5" t="str">
        <f>VLOOKUP($A972,[1]!Customer_Names[#Data],3,0)</f>
        <v xml:space="preserve">  Melissa</v>
      </c>
      <c r="C972" s="5">
        <v>44.7</v>
      </c>
      <c r="D972" s="5" t="str" cm="1">
        <f t="array" ref="D972">_xlfn.IFS(Healthcare!$C972&lt;18.5,"under weight",Healthcare!$C972&lt;=24.9,"Normal Weight",Healthcare!$C972&gt;=25,"overweight",Healthcare!$C972&gt;=30,"obese")</f>
        <v>overweight</v>
      </c>
      <c r="E972" s="5">
        <v>7.6</v>
      </c>
      <c r="F972" s="5" t="str" cm="1">
        <f t="array" ref="F972">_xlfn.IFS(Healthcare!$E972&lt;5.7,"normal",Healthcare!$E972&lt;=6.4,"prediabetes",Healthcare!$E972&gt;=6.5,"diabetes")</f>
        <v>diabetes</v>
      </c>
      <c r="G972" s="5" t="s">
        <v>20</v>
      </c>
      <c r="H972" s="5" t="s">
        <v>19</v>
      </c>
      <c r="I972" s="5" t="s">
        <v>19</v>
      </c>
      <c r="J972" s="5">
        <v>2</v>
      </c>
      <c r="K972" s="5" t="s">
        <v>19</v>
      </c>
      <c r="L972" s="5" t="str">
        <f>VLOOKUP(Healthcare!$A972,hospital_details,2,0)</f>
        <v>7-Oct-1970</v>
      </c>
      <c r="M972" s="5">
        <f t="shared" ref="M972:M1035" ca="1" si="5819">VLOOKUP(A972,hospital_details,3,0)</f>
        <v>56</v>
      </c>
      <c r="N972" s="5">
        <f t="shared" ref="N972:N1035" si="5820">VLOOKUP($A972,hospital_details,4,0)</f>
        <v>3</v>
      </c>
      <c r="O972" s="6">
        <f t="shared" ref="O972:O1035" si="5821">VLOOKUP($A972,hospital_details,5,0)</f>
        <v>11411.69</v>
      </c>
      <c r="P972" s="5" t="str">
        <f t="shared" ref="P972:P1035" si="5822">VLOOKUP($A972,hospital_details,6,0)</f>
        <v>tier - 3</v>
      </c>
      <c r="Q972" s="5" t="str">
        <f t="shared" ref="Q972:Q1035" si="5823">VLOOKUP($A972,hospital_details,7,0)</f>
        <v>tier - 2</v>
      </c>
      <c r="R972" s="5" t="str">
        <f t="shared" ref="R972:R1035" si="5824">VLOOKUP($A972,hospital_details,8,0)</f>
        <v>R1011</v>
      </c>
    </row>
    <row r="973" spans="1:18" ht="14.4" customHeight="1" x14ac:dyDescent="0.3">
      <c r="A973" s="7" t="s">
        <v>993</v>
      </c>
      <c r="B973" s="7" t="str">
        <f>VLOOKUP($A973,[1]!Customer_Names[#Data],3,0)</f>
        <v xml:space="preserve">  Danielle N</v>
      </c>
      <c r="C973" s="7">
        <v>38.380000000000003</v>
      </c>
      <c r="D973" s="7" t="str" cm="1">
        <f t="array" ref="D973">_xlfn.IFS(Healthcare!$C973&lt;18.5,"under weight",Healthcare!$C973&lt;=24.9,"Normal Weight",Healthcare!$C973&gt;=25,"overweight",Healthcare!$C973&gt;=30,"obese")</f>
        <v>overweight</v>
      </c>
      <c r="E973" s="7">
        <v>8.5</v>
      </c>
      <c r="F973" s="7" t="str" cm="1">
        <f t="array" ref="F973">_xlfn.IFS(Healthcare!$E973&lt;5.7,"normal",Healthcare!$E973&lt;=6.4,"prediabetes",Healthcare!$E973&gt;=6.5,"diabetes")</f>
        <v>diabetes</v>
      </c>
      <c r="G973" s="7" t="s">
        <v>20</v>
      </c>
      <c r="H973" s="7" t="s">
        <v>19</v>
      </c>
      <c r="I973" s="7" t="s">
        <v>19</v>
      </c>
      <c r="J973" s="7">
        <v>2</v>
      </c>
      <c r="K973" s="7" t="s">
        <v>19</v>
      </c>
      <c r="L973" s="7" t="str">
        <f>VLOOKUP(Healthcare!$A973,hospital_details,2,0)</f>
        <v>2-Oct-1970</v>
      </c>
      <c r="M973" s="7">
        <f t="shared" ref="M973:M1036" ca="1" si="5825">VLOOKUP(A973,hospital_details,3,0)</f>
        <v>56</v>
      </c>
      <c r="N973" s="7">
        <f t="shared" ref="N973:N1036" si="5826">VLOOKUP($A973,hospital_details,4,0)</f>
        <v>2</v>
      </c>
      <c r="O973" s="8">
        <f t="shared" ref="O973:O1036" si="5827">VLOOKUP($A973,hospital_details,5,0)</f>
        <v>11396.9</v>
      </c>
      <c r="P973" s="7" t="str">
        <f t="shared" ref="P973:P1036" si="5828">VLOOKUP($A973,hospital_details,6,0)</f>
        <v>tier - 3</v>
      </c>
      <c r="Q973" s="7" t="str">
        <f t="shared" ref="Q973:Q1036" si="5829">VLOOKUP($A973,hospital_details,7,0)</f>
        <v>tier - 3</v>
      </c>
      <c r="R973" s="7" t="str">
        <f t="shared" ref="R973:R1036" si="5830">VLOOKUP($A973,hospital_details,8,0)</f>
        <v>R1024</v>
      </c>
    </row>
    <row r="974" spans="1:18" ht="14.4" customHeight="1" x14ac:dyDescent="0.3">
      <c r="A974" s="5" t="s">
        <v>994</v>
      </c>
      <c r="B974" s="5" t="str">
        <f>VLOOKUP($A974,[1]!Customer_Names[#Data],3,0)</f>
        <v xml:space="preserve">  Matthew</v>
      </c>
      <c r="C974" s="5">
        <v>35.244999999999997</v>
      </c>
      <c r="D974" s="5" t="str" cm="1">
        <f t="array" ref="D974">_xlfn.IFS(Healthcare!$C974&lt;18.5,"under weight",Healthcare!$C974&lt;=24.9,"Normal Weight",Healthcare!$C974&gt;=25,"overweight",Healthcare!$C974&gt;=30,"obese")</f>
        <v>overweight</v>
      </c>
      <c r="E974" s="5">
        <v>11.22</v>
      </c>
      <c r="F974" s="5" t="str" cm="1">
        <f t="array" ref="F974">_xlfn.IFS(Healthcare!$E974&lt;5.7,"normal",Healthcare!$E974&lt;=6.4,"prediabetes",Healthcare!$E974&gt;=6.5,"diabetes")</f>
        <v>diabetes</v>
      </c>
      <c r="G974" s="5" t="s">
        <v>20</v>
      </c>
      <c r="H974" s="5" t="s">
        <v>19</v>
      </c>
      <c r="I974" s="5" t="s">
        <v>19</v>
      </c>
      <c r="J974" s="5">
        <v>0</v>
      </c>
      <c r="K974" s="5" t="s">
        <v>19</v>
      </c>
      <c r="L974" s="5" t="str">
        <f>VLOOKUP(Healthcare!$A974,hospital_details,2,0)</f>
        <v>19-Dec-1967</v>
      </c>
      <c r="M974" s="5">
        <f t="shared" ref="M974:M1037" ca="1" si="5831">VLOOKUP(A974,hospital_details,3,0)</f>
        <v>58</v>
      </c>
      <c r="N974" s="5">
        <f t="shared" ref="N974:N1037" si="5832">VLOOKUP($A974,hospital_details,4,0)</f>
        <v>1</v>
      </c>
      <c r="O974" s="6">
        <f t="shared" ref="O974:O1037" si="5833">VLOOKUP($A974,hospital_details,5,0)</f>
        <v>11394.07</v>
      </c>
      <c r="P974" s="5" t="str">
        <f t="shared" ref="P974:P1037" si="5834">VLOOKUP($A974,hospital_details,6,0)</f>
        <v>tier - 3</v>
      </c>
      <c r="Q974" s="5" t="str">
        <f t="shared" ref="Q974:Q1037" si="5835">VLOOKUP($A974,hospital_details,7,0)</f>
        <v>tier - 1</v>
      </c>
      <c r="R974" s="5" t="str">
        <f t="shared" ref="R974:R1037" si="5836">VLOOKUP($A974,hospital_details,8,0)</f>
        <v>R1018</v>
      </c>
    </row>
    <row r="975" spans="1:18" ht="14.4" customHeight="1" x14ac:dyDescent="0.3">
      <c r="A975" s="7" t="s">
        <v>995</v>
      </c>
      <c r="B975" s="7" t="str">
        <f>VLOOKUP($A975,[1]!Customer_Names[#Data],3,0)</f>
        <v xml:space="preserve">  Bettina</v>
      </c>
      <c r="C975" s="7">
        <v>49.84</v>
      </c>
      <c r="D975" s="7" t="str" cm="1">
        <f t="array" ref="D975">_xlfn.IFS(Healthcare!$C975&lt;18.5,"under weight",Healthcare!$C975&lt;=24.9,"Normal Weight",Healthcare!$C975&gt;=25,"overweight",Healthcare!$C975&gt;=30,"obese")</f>
        <v>overweight</v>
      </c>
      <c r="E975" s="7">
        <v>5.0999999999999996</v>
      </c>
      <c r="F975" s="7" t="str" cm="1">
        <f t="array" ref="F975">_xlfn.IFS(Healthcare!$E975&lt;5.7,"normal",Healthcare!$E975&lt;=6.4,"prediabetes",Healthcare!$E975&gt;=6.5,"diabetes")</f>
        <v>normal</v>
      </c>
      <c r="G975" s="7" t="s">
        <v>20</v>
      </c>
      <c r="H975" s="7" t="s">
        <v>19</v>
      </c>
      <c r="I975" s="7" t="s">
        <v>29</v>
      </c>
      <c r="J975" s="7">
        <v>1</v>
      </c>
      <c r="K975" s="7" t="s">
        <v>19</v>
      </c>
      <c r="L975" s="7" t="str">
        <f>VLOOKUP(Healthcare!$A975,hospital_details,2,0)</f>
        <v>28-Jul-1997</v>
      </c>
      <c r="M975" s="7">
        <f t="shared" ref="M975:M1038" ca="1" si="5837">VLOOKUP(A975,hospital_details,3,0)</f>
        <v>29</v>
      </c>
      <c r="N975" s="7">
        <f t="shared" ref="N975:N1038" si="5838">VLOOKUP($A975,hospital_details,4,0)</f>
        <v>0</v>
      </c>
      <c r="O975" s="8">
        <f t="shared" ref="O975:O1038" si="5839">VLOOKUP($A975,hospital_details,5,0)</f>
        <v>11388.27</v>
      </c>
      <c r="P975" s="7" t="str">
        <f t="shared" ref="P975:P1038" si="5840">VLOOKUP($A975,hospital_details,6,0)</f>
        <v>tier - 3</v>
      </c>
      <c r="Q975" s="7" t="str">
        <f t="shared" ref="Q975:Q1038" si="5841">VLOOKUP($A975,hospital_details,7,0)</f>
        <v>tier - 2</v>
      </c>
      <c r="R975" s="7" t="str">
        <f t="shared" ref="R975:R1038" si="5842">VLOOKUP($A975,hospital_details,8,0)</f>
        <v>R1026</v>
      </c>
    </row>
    <row r="976" spans="1:18" ht="14.4" customHeight="1" x14ac:dyDescent="0.3">
      <c r="A976" s="5" t="s">
        <v>996</v>
      </c>
      <c r="B976" s="5" t="str">
        <f>VLOOKUP($A976,[1]!Customer_Names[#Data],3,0)</f>
        <v xml:space="preserve">  Alexander</v>
      </c>
      <c r="C976" s="5">
        <v>49.06</v>
      </c>
      <c r="D976" s="5" t="str" cm="1">
        <f t="array" ref="D976">_xlfn.IFS(Healthcare!$C976&lt;18.5,"under weight",Healthcare!$C976&lt;=24.9,"Normal Weight",Healthcare!$C976&gt;=25,"overweight",Healthcare!$C976&gt;=30,"obese")</f>
        <v>overweight</v>
      </c>
      <c r="E976" s="5">
        <v>5.43</v>
      </c>
      <c r="F976" s="5" t="str" cm="1">
        <f t="array" ref="F976">_xlfn.IFS(Healthcare!$E976&lt;5.7,"normal",Healthcare!$E976&lt;=6.4,"prediabetes",Healthcare!$E976&gt;=6.5,"diabetes")</f>
        <v>normal</v>
      </c>
      <c r="G976" s="5" t="s">
        <v>20</v>
      </c>
      <c r="H976" s="5" t="s">
        <v>19</v>
      </c>
      <c r="I976" s="5" t="s">
        <v>19</v>
      </c>
      <c r="J976" s="5">
        <v>1</v>
      </c>
      <c r="K976" s="5" t="s">
        <v>19</v>
      </c>
      <c r="L976" s="5" t="str">
        <f>VLOOKUP(Healthcare!$A976,hospital_details,2,0)</f>
        <v>13-Jun-1964</v>
      </c>
      <c r="M976" s="5">
        <f t="shared" ref="M976:M1039" ca="1" si="5843">VLOOKUP(A976,hospital_details,3,0)</f>
        <v>62</v>
      </c>
      <c r="N976" s="5">
        <f t="shared" ref="N976:N1039" si="5844">VLOOKUP($A976,hospital_details,4,0)</f>
        <v>0</v>
      </c>
      <c r="O976" s="6">
        <f t="shared" ref="O976:O1039" si="5845">VLOOKUP($A976,hospital_details,5,0)</f>
        <v>11381.33</v>
      </c>
      <c r="P976" s="5" t="str">
        <f t="shared" ref="P976:P1039" si="5846">VLOOKUP($A976,hospital_details,6,0)</f>
        <v>tier - 3</v>
      </c>
      <c r="Q976" s="5" t="str">
        <f t="shared" ref="Q976:Q1039" si="5847">VLOOKUP($A976,hospital_details,7,0)</f>
        <v>tier - 2</v>
      </c>
      <c r="R976" s="5" t="str">
        <f t="shared" ref="R976:R1039" si="5848">VLOOKUP($A976,hospital_details,8,0)</f>
        <v>R1013</v>
      </c>
    </row>
    <row r="977" spans="1:18" ht="14.4" customHeight="1" x14ac:dyDescent="0.3">
      <c r="A977" s="7" t="s">
        <v>997</v>
      </c>
      <c r="B977" s="7" t="str">
        <f>VLOOKUP($A977,[1]!Customer_Names[#Data],3,0)</f>
        <v xml:space="preserve">  Holli</v>
      </c>
      <c r="C977" s="7">
        <v>30.88</v>
      </c>
      <c r="D977" s="7" t="str" cm="1">
        <f t="array" ref="D977">_xlfn.IFS(Healthcare!$C977&lt;18.5,"under weight",Healthcare!$C977&lt;=24.9,"Normal Weight",Healthcare!$C977&gt;=25,"overweight",Healthcare!$C977&gt;=30,"obese")</f>
        <v>overweight</v>
      </c>
      <c r="E977" s="7">
        <v>5.82</v>
      </c>
      <c r="F977" s="7" t="str" cm="1">
        <f t="array" ref="F977">_xlfn.IFS(Healthcare!$E977&lt;5.7,"normal",Healthcare!$E977&lt;=6.4,"prediabetes",Healthcare!$E977&gt;=6.5,"diabetes")</f>
        <v>prediabetes</v>
      </c>
      <c r="G977" s="7" t="s">
        <v>19</v>
      </c>
      <c r="H977" s="7" t="s">
        <v>19</v>
      </c>
      <c r="I977" s="7" t="s">
        <v>19</v>
      </c>
      <c r="J977" s="7">
        <v>2</v>
      </c>
      <c r="K977" s="7" t="s">
        <v>19</v>
      </c>
      <c r="L977" s="7" t="str">
        <f>VLOOKUP(Healthcare!$A977,hospital_details,2,0)</f>
        <v>6-Dec-1972</v>
      </c>
      <c r="M977" s="7">
        <f t="shared" ref="M977:M1040" ca="1" si="5849">VLOOKUP(A977,hospital_details,3,0)</f>
        <v>53</v>
      </c>
      <c r="N977" s="7">
        <f t="shared" ref="N977:N1040" si="5850">VLOOKUP($A977,hospital_details,4,0)</f>
        <v>0</v>
      </c>
      <c r="O977" s="8">
        <f t="shared" ref="O977:O1040" si="5851">VLOOKUP($A977,hospital_details,5,0)</f>
        <v>11378.57</v>
      </c>
      <c r="P977" s="7" t="str">
        <f t="shared" ref="P977:P1040" si="5852">VLOOKUP($A977,hospital_details,6,0)</f>
        <v>tier - 3</v>
      </c>
      <c r="Q977" s="7" t="str">
        <f t="shared" ref="Q977:Q1040" si="5853">VLOOKUP($A977,hospital_details,7,0)</f>
        <v>tier - 2</v>
      </c>
      <c r="R977" s="7" t="str">
        <f t="shared" ref="R977:R1040" si="5854">VLOOKUP($A977,hospital_details,8,0)</f>
        <v>R1025</v>
      </c>
    </row>
    <row r="978" spans="1:18" ht="14.4" customHeight="1" x14ac:dyDescent="0.3">
      <c r="A978" s="5" t="s">
        <v>998</v>
      </c>
      <c r="B978" s="5" t="str">
        <f>VLOOKUP($A978,[1]!Customer_Names[#Data],3,0)</f>
        <v xml:space="preserve">  Heather C</v>
      </c>
      <c r="C978" s="5">
        <v>33.35</v>
      </c>
      <c r="D978" s="5" t="str" cm="1">
        <f t="array" ref="D978">_xlfn.IFS(Healthcare!$C978&lt;18.5,"under weight",Healthcare!$C978&lt;=24.9,"Normal Weight",Healthcare!$C978&gt;=25,"overweight",Healthcare!$C978&gt;=30,"obese")</f>
        <v>overweight</v>
      </c>
      <c r="E978" s="5">
        <v>6.05</v>
      </c>
      <c r="F978" s="5" t="str" cm="1">
        <f t="array" ref="F978">_xlfn.IFS(Healthcare!$E978&lt;5.7,"normal",Healthcare!$E978&lt;=6.4,"prediabetes",Healthcare!$E978&gt;=6.5,"diabetes")</f>
        <v>prediabetes</v>
      </c>
      <c r="G978" s="5" t="s">
        <v>19</v>
      </c>
      <c r="H978" s="5" t="s">
        <v>19</v>
      </c>
      <c r="I978" s="5" t="s">
        <v>29</v>
      </c>
      <c r="J978" s="5">
        <v>1</v>
      </c>
      <c r="K978" s="5" t="s">
        <v>19</v>
      </c>
      <c r="L978" s="5" t="str">
        <f>VLOOKUP(Healthcare!$A978,hospital_details,2,0)</f>
        <v>7-Jun-1979</v>
      </c>
      <c r="M978" s="5">
        <f t="shared" ref="M978:M1041" ca="1" si="5855">VLOOKUP(A978,hospital_details,3,0)</f>
        <v>47</v>
      </c>
      <c r="N978" s="5">
        <f t="shared" ref="N978:N1041" si="5856">VLOOKUP($A978,hospital_details,4,0)</f>
        <v>2</v>
      </c>
      <c r="O978" s="6">
        <f t="shared" ref="O978:O1041" si="5857">VLOOKUP($A978,hospital_details,5,0)</f>
        <v>11369.39</v>
      </c>
      <c r="P978" s="5" t="str">
        <f t="shared" ref="P978:P1041" si="5858">VLOOKUP($A978,hospital_details,6,0)</f>
        <v>tier - 3</v>
      </c>
      <c r="Q978" s="5" t="str">
        <f t="shared" ref="Q978:Q1041" si="5859">VLOOKUP($A978,hospital_details,7,0)</f>
        <v>tier - 1</v>
      </c>
      <c r="R978" s="5" t="str">
        <f t="shared" ref="R978:R1041" si="5860">VLOOKUP($A978,hospital_details,8,0)</f>
        <v>R1026</v>
      </c>
    </row>
    <row r="979" spans="1:18" ht="14.4" customHeight="1" x14ac:dyDescent="0.3">
      <c r="A979" s="7" t="s">
        <v>999</v>
      </c>
      <c r="B979" s="7" t="str">
        <f>VLOOKUP($A979,[1]!Customer_Names[#Data],3,0)</f>
        <v xml:space="preserve">  Kyle</v>
      </c>
      <c r="C979" s="7">
        <v>38</v>
      </c>
      <c r="D979" s="7" t="str" cm="1">
        <f t="array" ref="D979">_xlfn.IFS(Healthcare!$C979&lt;18.5,"under weight",Healthcare!$C979&lt;=24.9,"Normal Weight",Healthcare!$C979&gt;=25,"overweight",Healthcare!$C979&gt;=30,"obese")</f>
        <v>overweight</v>
      </c>
      <c r="E979" s="7">
        <v>6.38</v>
      </c>
      <c r="F979" s="7" t="str" cm="1">
        <f t="array" ref="F979">_xlfn.IFS(Healthcare!$E979&lt;5.7,"normal",Healthcare!$E979&lt;=6.4,"prediabetes",Healthcare!$E979&gt;=6.5,"diabetes")</f>
        <v>prediabetes</v>
      </c>
      <c r="G979" s="7" t="s">
        <v>20</v>
      </c>
      <c r="H979" s="7" t="s">
        <v>19</v>
      </c>
      <c r="I979" s="7" t="s">
        <v>19</v>
      </c>
      <c r="J979" s="7">
        <v>1</v>
      </c>
      <c r="K979" s="7" t="s">
        <v>19</v>
      </c>
      <c r="L979" s="7" t="str">
        <f>VLOOKUP(Healthcare!$A979,hospital_details,2,0)</f>
        <v>13-Dec-1964</v>
      </c>
      <c r="M979" s="7">
        <f t="shared" ref="M979:M1042" ca="1" si="5861">VLOOKUP(A979,hospital_details,3,0)</f>
        <v>61</v>
      </c>
      <c r="N979" s="7">
        <f t="shared" ref="N979:N1042" si="5862">VLOOKUP($A979,hospital_details,4,0)</f>
        <v>0</v>
      </c>
      <c r="O979" s="8">
        <f t="shared" ref="O979:O1042" si="5863">VLOOKUP($A979,hospital_details,5,0)</f>
        <v>11365.95</v>
      </c>
      <c r="P979" s="7" t="str">
        <f t="shared" ref="P979:P1042" si="5864">VLOOKUP($A979,hospital_details,6,0)</f>
        <v>tier - 3</v>
      </c>
      <c r="Q979" s="7" t="str">
        <f t="shared" ref="Q979:Q1042" si="5865">VLOOKUP($A979,hospital_details,7,0)</f>
        <v>tier - 2</v>
      </c>
      <c r="R979" s="7" t="str">
        <f t="shared" ref="R979:R1042" si="5866">VLOOKUP($A979,hospital_details,8,0)</f>
        <v>R1011</v>
      </c>
    </row>
    <row r="980" spans="1:18" ht="14.4" customHeight="1" x14ac:dyDescent="0.3">
      <c r="A980" s="5" t="s">
        <v>1000</v>
      </c>
      <c r="B980" s="5" t="str">
        <f>VLOOKUP($A980,[1]!Customer_Names[#Data],3,0)</f>
        <v xml:space="preserve">  Thomas J</v>
      </c>
      <c r="C980" s="5">
        <v>36.08</v>
      </c>
      <c r="D980" s="5" t="str" cm="1">
        <f t="array" ref="D980">_xlfn.IFS(Healthcare!$C980&lt;18.5,"under weight",Healthcare!$C980&lt;=24.9,"Normal Weight",Healthcare!$C980&gt;=25,"overweight",Healthcare!$C980&gt;=30,"obese")</f>
        <v>overweight</v>
      </c>
      <c r="E980" s="5">
        <v>5.73</v>
      </c>
      <c r="F980" s="5" t="str" cm="1">
        <f t="array" ref="F980">_xlfn.IFS(Healthcare!$E980&lt;5.7,"normal",Healthcare!$E980&lt;=6.4,"prediabetes",Healthcare!$E980&gt;=6.5,"diabetes")</f>
        <v>prediabetes</v>
      </c>
      <c r="G980" s="5" t="s">
        <v>20</v>
      </c>
      <c r="H980" s="5" t="s">
        <v>19</v>
      </c>
      <c r="I980" s="5" t="s">
        <v>19</v>
      </c>
      <c r="J980" s="5">
        <v>1</v>
      </c>
      <c r="K980" s="5" t="s">
        <v>19</v>
      </c>
      <c r="L980" s="5" t="str">
        <f>VLOOKUP(Healthcare!$A980,hospital_details,2,0)</f>
        <v>3-Jul-1964</v>
      </c>
      <c r="M980" s="5">
        <f t="shared" ref="M980:M1043" ca="1" si="5867">VLOOKUP(A980,hospital_details,3,0)</f>
        <v>62</v>
      </c>
      <c r="N980" s="5">
        <f t="shared" ref="N980:N1043" si="5868">VLOOKUP($A980,hospital_details,4,0)</f>
        <v>0</v>
      </c>
      <c r="O980" s="6">
        <f t="shared" ref="O980:O1043" si="5869">VLOOKUP($A980,hospital_details,5,0)</f>
        <v>11363.28</v>
      </c>
      <c r="P980" s="5" t="str">
        <f t="shared" ref="P980:P1043" si="5870">VLOOKUP($A980,hospital_details,6,0)</f>
        <v>tier - 3</v>
      </c>
      <c r="Q980" s="5" t="str">
        <f t="shared" ref="Q980:Q1043" si="5871">VLOOKUP($A980,hospital_details,7,0)</f>
        <v>tier - 1</v>
      </c>
      <c r="R980" s="5" t="str">
        <f t="shared" ref="R980:R1043" si="5872">VLOOKUP($A980,hospital_details,8,0)</f>
        <v>R1013</v>
      </c>
    </row>
    <row r="981" spans="1:18" ht="14.4" customHeight="1" x14ac:dyDescent="0.3">
      <c r="A981" s="7" t="s">
        <v>1001</v>
      </c>
      <c r="B981" s="7" t="str">
        <f>VLOOKUP($A981,[1]!Customer_Names[#Data],3,0)</f>
        <v xml:space="preserve">  Chris</v>
      </c>
      <c r="C981" s="7">
        <v>35.700000000000003</v>
      </c>
      <c r="D981" s="7" t="str" cm="1">
        <f t="array" ref="D981">_xlfn.IFS(Healthcare!$C981&lt;18.5,"under weight",Healthcare!$C981&lt;=24.9,"Normal Weight",Healthcare!$C981&gt;=25,"overweight",Healthcare!$C981&gt;=30,"obese")</f>
        <v>overweight</v>
      </c>
      <c r="E981" s="7">
        <v>5.47</v>
      </c>
      <c r="F981" s="7" t="str" cm="1">
        <f t="array" ref="F981">_xlfn.IFS(Healthcare!$E981&lt;5.7,"normal",Healthcare!$E981&lt;=6.4,"prediabetes",Healthcare!$E981&gt;=6.5,"diabetes")</f>
        <v>normal</v>
      </c>
      <c r="G981" s="7" t="s">
        <v>20</v>
      </c>
      <c r="H981" s="7" t="s">
        <v>19</v>
      </c>
      <c r="I981" s="7" t="s">
        <v>19</v>
      </c>
      <c r="J981" s="7">
        <v>1</v>
      </c>
      <c r="K981" s="7" t="s">
        <v>19</v>
      </c>
      <c r="L981" s="7" t="str">
        <f>VLOOKUP(Healthcare!$A981,hospital_details,2,0)</f>
        <v>4-Jul-1964</v>
      </c>
      <c r="M981" s="7">
        <f t="shared" ref="M981:M1044" ca="1" si="5873">VLOOKUP(A981,hospital_details,3,0)</f>
        <v>62</v>
      </c>
      <c r="N981" s="7">
        <f t="shared" ref="N981:N1044" si="5874">VLOOKUP($A981,hospital_details,4,0)</f>
        <v>0</v>
      </c>
      <c r="O981" s="8">
        <f t="shared" ref="O981:O1044" si="5875">VLOOKUP($A981,hospital_details,5,0)</f>
        <v>11362.76</v>
      </c>
      <c r="P981" s="7" t="str">
        <f t="shared" ref="P981:P1044" si="5876">VLOOKUP($A981,hospital_details,6,0)</f>
        <v>tier - 3</v>
      </c>
      <c r="Q981" s="7" t="str">
        <f t="shared" ref="Q981:Q1044" si="5877">VLOOKUP($A981,hospital_details,7,0)</f>
        <v>tier - 1</v>
      </c>
      <c r="R981" s="7" t="str">
        <f t="shared" ref="R981:R1044" si="5878">VLOOKUP($A981,hospital_details,8,0)</f>
        <v>R1011</v>
      </c>
    </row>
    <row r="982" spans="1:18" ht="14.4" customHeight="1" x14ac:dyDescent="0.3">
      <c r="A982" s="5" t="s">
        <v>1002</v>
      </c>
      <c r="B982" s="5" t="str">
        <f>VLOOKUP($A982,[1]!Customer_Names[#Data],3,0)</f>
        <v xml:space="preserve">  Graham</v>
      </c>
      <c r="C982" s="5">
        <v>34.01</v>
      </c>
      <c r="D982" s="5" t="str" cm="1">
        <f t="array" ref="D982">_xlfn.IFS(Healthcare!$C982&lt;18.5,"under weight",Healthcare!$C982&lt;=24.9,"Normal Weight",Healthcare!$C982&gt;=25,"overweight",Healthcare!$C982&gt;=30,"obese")</f>
        <v>overweight</v>
      </c>
      <c r="E982" s="5">
        <v>11.3</v>
      </c>
      <c r="F982" s="5" t="str" cm="1">
        <f t="array" ref="F982">_xlfn.IFS(Healthcare!$E982&lt;5.7,"normal",Healthcare!$E982&lt;=6.4,"prediabetes",Healthcare!$E982&gt;=6.5,"diabetes")</f>
        <v>diabetes</v>
      </c>
      <c r="G982" s="5" t="s">
        <v>19</v>
      </c>
      <c r="H982" s="5" t="s">
        <v>19</v>
      </c>
      <c r="I982" s="5" t="s">
        <v>19</v>
      </c>
      <c r="J982" s="5">
        <v>0</v>
      </c>
      <c r="K982" s="5" t="s">
        <v>19</v>
      </c>
      <c r="L982" s="5" t="str">
        <f>VLOOKUP(Healthcare!$A982,hospital_details,2,0)</f>
        <v>26-Sep-1965</v>
      </c>
      <c r="M982" s="5">
        <f t="shared" ref="M982:M1045" ca="1" si="5879">VLOOKUP(A982,hospital_details,3,0)</f>
        <v>61</v>
      </c>
      <c r="N982" s="5">
        <f t="shared" ref="N982:N1045" si="5880">VLOOKUP($A982,hospital_details,4,0)</f>
        <v>0</v>
      </c>
      <c r="O982" s="6">
        <f t="shared" ref="O982:O1045" si="5881">VLOOKUP($A982,hospital_details,5,0)</f>
        <v>11356.66</v>
      </c>
      <c r="P982" s="5" t="str">
        <f t="shared" ref="P982:P1045" si="5882">VLOOKUP($A982,hospital_details,6,0)</f>
        <v>tier - 3</v>
      </c>
      <c r="Q982" s="5" t="str">
        <f t="shared" ref="Q982:Q1045" si="5883">VLOOKUP($A982,hospital_details,7,0)</f>
        <v>tier - 3</v>
      </c>
      <c r="R982" s="5" t="str">
        <f t="shared" ref="R982:R1045" si="5884">VLOOKUP($A982,hospital_details,8,0)</f>
        <v>R1012</v>
      </c>
    </row>
    <row r="983" spans="1:18" ht="14.4" customHeight="1" x14ac:dyDescent="0.3">
      <c r="A983" s="7" t="s">
        <v>1003</v>
      </c>
      <c r="B983" s="7" t="str">
        <f>VLOOKUP($A983,[1]!Customer_Names[#Data],3,0)</f>
        <v xml:space="preserve">  Garrett</v>
      </c>
      <c r="C983" s="7">
        <v>31.54</v>
      </c>
      <c r="D983" s="7" t="str" cm="1">
        <f t="array" ref="D983">_xlfn.IFS(Healthcare!$C983&lt;18.5,"under weight",Healthcare!$C983&lt;=24.9,"Normal Weight",Healthcare!$C983&gt;=25,"overweight",Healthcare!$C983&gt;=30,"obese")</f>
        <v>overweight</v>
      </c>
      <c r="E983" s="7">
        <v>6.72</v>
      </c>
      <c r="F983" s="7" t="str" cm="1">
        <f t="array" ref="F983">_xlfn.IFS(Healthcare!$E983&lt;5.7,"normal",Healthcare!$E983&lt;=6.4,"prediabetes",Healthcare!$E983&gt;=6.5,"diabetes")</f>
        <v>diabetes</v>
      </c>
      <c r="G983" s="7" t="s">
        <v>19</v>
      </c>
      <c r="H983" s="7" t="s">
        <v>19</v>
      </c>
      <c r="I983" s="7" t="s">
        <v>19</v>
      </c>
      <c r="J983" s="7">
        <v>0</v>
      </c>
      <c r="K983" s="7" t="s">
        <v>19</v>
      </c>
      <c r="L983" s="7" t="str">
        <f>VLOOKUP(Healthcare!$A983,hospital_details,2,0)</f>
        <v>29-Nov-1965</v>
      </c>
      <c r="M983" s="7">
        <f t="shared" ref="M983:M1046" ca="1" si="5885">VLOOKUP(A983,hospital_details,3,0)</f>
        <v>60</v>
      </c>
      <c r="N983" s="7">
        <f t="shared" ref="N983:N1046" si="5886">VLOOKUP($A983,hospital_details,4,0)</f>
        <v>0</v>
      </c>
      <c r="O983" s="8">
        <f t="shared" ref="O983:O1046" si="5887">VLOOKUP($A983,hospital_details,5,0)</f>
        <v>11353.23</v>
      </c>
      <c r="P983" s="7" t="str">
        <f t="shared" ref="P983:P1046" si="5888">VLOOKUP($A983,hospital_details,6,0)</f>
        <v>tier - 3</v>
      </c>
      <c r="Q983" s="7" t="str">
        <f t="shared" ref="Q983:Q1046" si="5889">VLOOKUP($A983,hospital_details,7,0)</f>
        <v>tier - 1</v>
      </c>
      <c r="R983" s="7" t="str">
        <f t="shared" ref="R983:R1046" si="5890">VLOOKUP($A983,hospital_details,8,0)</f>
        <v>R1012</v>
      </c>
    </row>
    <row r="984" spans="1:18" ht="14.4" customHeight="1" x14ac:dyDescent="0.3">
      <c r="A984" s="5" t="s">
        <v>1004</v>
      </c>
      <c r="B984" s="5" t="str">
        <f>VLOOKUP($A984,[1]!Customer_Names[#Data],3,0)</f>
        <v xml:space="preserve">  Andrew</v>
      </c>
      <c r="C984" s="5">
        <v>23.3</v>
      </c>
      <c r="D984" s="5" t="str" cm="1">
        <f t="array" ref="D984">_xlfn.IFS(Healthcare!$C984&lt;18.5,"under weight",Healthcare!$C984&lt;=24.9,"Normal Weight",Healthcare!$C984&gt;=25,"overweight",Healthcare!$C984&gt;=30,"obese")</f>
        <v>Normal Weight</v>
      </c>
      <c r="E984" s="5">
        <v>5.36</v>
      </c>
      <c r="F984" s="5" t="str" cm="1">
        <f t="array" ref="F984">_xlfn.IFS(Healthcare!$E984&lt;5.7,"normal",Healthcare!$E984&lt;=6.4,"prediabetes",Healthcare!$E984&gt;=6.5,"diabetes")</f>
        <v>normal</v>
      </c>
      <c r="G984" s="5" t="s">
        <v>20</v>
      </c>
      <c r="H984" s="5" t="s">
        <v>19</v>
      </c>
      <c r="I984" s="5" t="s">
        <v>19</v>
      </c>
      <c r="J984" s="5">
        <v>1</v>
      </c>
      <c r="K984" s="5" t="s">
        <v>19</v>
      </c>
      <c r="L984" s="5" t="str">
        <f>VLOOKUP(Healthcare!$A984,hospital_details,2,0)</f>
        <v>12-Jul-1964</v>
      </c>
      <c r="M984" s="5">
        <f t="shared" ref="M984:M1047" ca="1" si="5891">VLOOKUP(A984,hospital_details,3,0)</f>
        <v>62</v>
      </c>
      <c r="N984" s="5">
        <f t="shared" ref="N984:N1047" si="5892">VLOOKUP($A984,hospital_details,4,0)</f>
        <v>0</v>
      </c>
      <c r="O984" s="6">
        <f t="shared" ref="O984:O1047" si="5893">VLOOKUP($A984,hospital_details,5,0)</f>
        <v>11345.52</v>
      </c>
      <c r="P984" s="5" t="str">
        <f t="shared" ref="P984:P1047" si="5894">VLOOKUP($A984,hospital_details,6,0)</f>
        <v>tier - 3</v>
      </c>
      <c r="Q984" s="5" t="str">
        <f t="shared" ref="Q984:Q1047" si="5895">VLOOKUP($A984,hospital_details,7,0)</f>
        <v>tier - 3</v>
      </c>
      <c r="R984" s="5" t="str">
        <f t="shared" ref="R984:R1047" si="5896">VLOOKUP($A984,hospital_details,8,0)</f>
        <v>R1011</v>
      </c>
    </row>
    <row r="985" spans="1:18" ht="14.4" customHeight="1" x14ac:dyDescent="0.3">
      <c r="A985" s="7" t="s">
        <v>1005</v>
      </c>
      <c r="B985" s="7" t="str">
        <f>VLOOKUP($A985,[1]!Customer_Names[#Data],3,0)</f>
        <v xml:space="preserve">  Annabelle M</v>
      </c>
      <c r="C985" s="7">
        <v>27.75</v>
      </c>
      <c r="D985" s="7" t="str" cm="1">
        <f t="array" ref="D985">_xlfn.IFS(Healthcare!$C985&lt;18.5,"under weight",Healthcare!$C985&lt;=24.9,"Normal Weight",Healthcare!$C985&gt;=25,"overweight",Healthcare!$C985&gt;=30,"obese")</f>
        <v>overweight</v>
      </c>
      <c r="E985" s="7">
        <v>9.8800000000000008</v>
      </c>
      <c r="F985" s="7" t="str" cm="1">
        <f t="array" ref="F985">_xlfn.IFS(Healthcare!$E985&lt;5.7,"normal",Healthcare!$E985&lt;=6.4,"prediabetes",Healthcare!$E985&gt;=6.5,"diabetes")</f>
        <v>diabetes</v>
      </c>
      <c r="G985" s="7" t="s">
        <v>19</v>
      </c>
      <c r="H985" s="7" t="s">
        <v>19</v>
      </c>
      <c r="I985" s="7" t="s">
        <v>19</v>
      </c>
      <c r="J985" s="7">
        <v>0</v>
      </c>
      <c r="K985" s="7" t="s">
        <v>19</v>
      </c>
      <c r="L985" s="7" t="str">
        <f>VLOOKUP(Healthcare!$A985,hospital_details,2,0)</f>
        <v>2-Nov-1968</v>
      </c>
      <c r="M985" s="7">
        <f t="shared" ref="M985:M1048" ca="1" si="5897">VLOOKUP(A985,hospital_details,3,0)</f>
        <v>57</v>
      </c>
      <c r="N985" s="7">
        <f t="shared" ref="N985:N1048" si="5898">VLOOKUP($A985,hospital_details,4,0)</f>
        <v>0</v>
      </c>
      <c r="O985" s="8">
        <f t="shared" ref="O985:O1048" si="5899">VLOOKUP($A985,hospital_details,5,0)</f>
        <v>11344.32</v>
      </c>
      <c r="P985" s="7" t="str">
        <f t="shared" ref="P985:P1048" si="5900">VLOOKUP($A985,hospital_details,6,0)</f>
        <v>tier - 3</v>
      </c>
      <c r="Q985" s="7" t="str">
        <f t="shared" ref="Q985:Q1048" si="5901">VLOOKUP($A985,hospital_details,7,0)</f>
        <v>tier - 2</v>
      </c>
      <c r="R985" s="7" t="str">
        <f t="shared" ref="R985:R1048" si="5902">VLOOKUP($A985,hospital_details,8,0)</f>
        <v>R1025</v>
      </c>
    </row>
    <row r="986" spans="1:18" ht="14.4" customHeight="1" x14ac:dyDescent="0.3">
      <c r="A986" s="5" t="s">
        <v>1006</v>
      </c>
      <c r="B986" s="5" t="str">
        <f>VLOOKUP($A986,[1]!Customer_Names[#Data],3,0)</f>
        <v xml:space="preserve">  Daniel T</v>
      </c>
      <c r="C986" s="5">
        <v>42.46</v>
      </c>
      <c r="D986" s="5" t="str" cm="1">
        <f t="array" ref="D986">_xlfn.IFS(Healthcare!$C986&lt;18.5,"under weight",Healthcare!$C986&lt;=24.9,"Normal Weight",Healthcare!$C986&gt;=25,"overweight",Healthcare!$C986&gt;=30,"obese")</f>
        <v>overweight</v>
      </c>
      <c r="E986" s="5">
        <v>4.1100000000000003</v>
      </c>
      <c r="F986" s="5" t="str" cm="1">
        <f t="array" ref="F986">_xlfn.IFS(Healthcare!$E986&lt;5.7,"normal",Healthcare!$E986&lt;=6.4,"prediabetes",Healthcare!$E986&gt;=6.5,"diabetes")</f>
        <v>normal</v>
      </c>
      <c r="G986" s="5" t="s">
        <v>19</v>
      </c>
      <c r="H986" s="5" t="s">
        <v>19</v>
      </c>
      <c r="I986" s="5" t="s">
        <v>19</v>
      </c>
      <c r="J986" s="5">
        <v>0</v>
      </c>
      <c r="K986" s="5" t="s">
        <v>19</v>
      </c>
      <c r="L986" s="5" t="str">
        <f>VLOOKUP(Healthcare!$A986,hospital_details,2,0)</f>
        <v>19-Aug-1989</v>
      </c>
      <c r="M986" s="5">
        <f t="shared" ref="M986:M1049" ca="1" si="5903">VLOOKUP(A986,hospital_details,3,0)</f>
        <v>37</v>
      </c>
      <c r="N986" s="5">
        <f t="shared" ref="N986:N1049" si="5904">VLOOKUP($A986,hospital_details,4,0)</f>
        <v>1</v>
      </c>
      <c r="O986" s="6">
        <f t="shared" ref="O986:O1049" si="5905">VLOOKUP($A986,hospital_details,5,0)</f>
        <v>11326.71</v>
      </c>
      <c r="P986" s="5" t="str">
        <f t="shared" ref="P986:P1049" si="5906">VLOOKUP($A986,hospital_details,6,0)</f>
        <v>tier - 3</v>
      </c>
      <c r="Q986" s="5" t="str">
        <f t="shared" ref="Q986:Q1049" si="5907">VLOOKUP($A986,hospital_details,7,0)</f>
        <v>tier - 3</v>
      </c>
      <c r="R986" s="5" t="str">
        <f t="shared" ref="R986:R1049" si="5908">VLOOKUP($A986,hospital_details,8,0)</f>
        <v>R1013</v>
      </c>
    </row>
    <row r="987" spans="1:18" ht="14.4" customHeight="1" x14ac:dyDescent="0.3">
      <c r="A987" s="7" t="s">
        <v>1007</v>
      </c>
      <c r="B987" s="7" t="str">
        <f>VLOOKUP($A987,[1]!Customer_Names[#Data],3,0)</f>
        <v xml:space="preserve">  Deanne</v>
      </c>
      <c r="C987" s="7">
        <v>54.47</v>
      </c>
      <c r="D987" s="7" t="str" cm="1">
        <f t="array" ref="D987">_xlfn.IFS(Healthcare!$C987&lt;18.5,"under weight",Healthcare!$C987&lt;=24.9,"Normal Weight",Healthcare!$C987&gt;=25,"overweight",Healthcare!$C987&gt;=30,"obese")</f>
        <v>overweight</v>
      </c>
      <c r="E987" s="7">
        <v>7.48</v>
      </c>
      <c r="F987" s="7" t="str" cm="1">
        <f t="array" ref="F987">_xlfn.IFS(Healthcare!$E987&lt;5.7,"normal",Healthcare!$E987&lt;=6.4,"prediabetes",Healthcare!$E987&gt;=6.5,"diabetes")</f>
        <v>diabetes</v>
      </c>
      <c r="G987" s="7" t="s">
        <v>19</v>
      </c>
      <c r="H987" s="7" t="s">
        <v>19</v>
      </c>
      <c r="I987" s="7" t="s">
        <v>19</v>
      </c>
      <c r="J987" s="7">
        <v>0</v>
      </c>
      <c r="K987" s="7" t="s">
        <v>19</v>
      </c>
      <c r="L987" s="7" t="str">
        <f>VLOOKUP(Healthcare!$A987,hospital_details,2,0)</f>
        <v>20-Sep-2002</v>
      </c>
      <c r="M987" s="7">
        <f t="shared" ref="M987:M1050" ca="1" si="5909">VLOOKUP(A987,hospital_details,3,0)</f>
        <v>24</v>
      </c>
      <c r="N987" s="7">
        <f t="shared" ref="N987:N1050" si="5910">VLOOKUP($A987,hospital_details,4,0)</f>
        <v>0</v>
      </c>
      <c r="O987" s="8">
        <f t="shared" ref="O987:O1050" si="5911">VLOOKUP($A987,hospital_details,5,0)</f>
        <v>11321.49</v>
      </c>
      <c r="P987" s="7" t="str">
        <f t="shared" ref="P987:P1050" si="5912">VLOOKUP($A987,hospital_details,6,0)</f>
        <v>tier - 3</v>
      </c>
      <c r="Q987" s="7" t="str">
        <f t="shared" ref="Q987:Q1050" si="5913">VLOOKUP($A987,hospital_details,7,0)</f>
        <v>tier - 3</v>
      </c>
      <c r="R987" s="7" t="str">
        <f t="shared" ref="R987:R1050" si="5914">VLOOKUP($A987,hospital_details,8,0)</f>
        <v>R1012</v>
      </c>
    </row>
    <row r="988" spans="1:18" ht="14.4" customHeight="1" x14ac:dyDescent="0.3">
      <c r="A988" s="5" t="s">
        <v>1008</v>
      </c>
      <c r="B988" s="5" t="str">
        <f>VLOOKUP($A988,[1]!Customer_Names[#Data],3,0)</f>
        <v xml:space="preserve">  Carrie</v>
      </c>
      <c r="C988" s="5">
        <v>24.93</v>
      </c>
      <c r="D988" s="5" t="str" cm="1">
        <f t="array" ref="D988">_xlfn.IFS(Healthcare!$C2&lt;18.5,"under weight",Healthcare!$C2&lt;=24.9,"Normal Weight",Healthcare!$C2&gt;=25,"overweight",Healthcare!$C2&gt;=30,"obese")</f>
        <v>overweight</v>
      </c>
      <c r="E988" s="5">
        <v>9.18</v>
      </c>
      <c r="F988" s="5" t="str" cm="1">
        <f t="array" ref="F988">_xlfn.IFS(Healthcare!$E988&lt;5.7,"normal",Healthcare!$E988&lt;=6.4,"prediabetes",Healthcare!$E988&gt;=6.5,"diabetes")</f>
        <v>diabetes</v>
      </c>
      <c r="G988" s="5" t="s">
        <v>20</v>
      </c>
      <c r="H988" s="5" t="s">
        <v>19</v>
      </c>
      <c r="I988" s="5" t="s">
        <v>29</v>
      </c>
      <c r="J988" s="5">
        <v>1</v>
      </c>
      <c r="K988" s="5" t="s">
        <v>19</v>
      </c>
      <c r="L988" s="5" t="str">
        <f>VLOOKUP(Healthcare!$A988,hospital_details,2,0)</f>
        <v>11-Jul-1963</v>
      </c>
      <c r="M988" s="5">
        <f t="shared" ref="M988:M1051" ca="1" si="5915">VLOOKUP(A988,hospital_details,3,0)</f>
        <v>63</v>
      </c>
      <c r="N988" s="5">
        <f t="shared" ref="N988:N1051" si="5916">VLOOKUP($A988,hospital_details,4,0)</f>
        <v>0</v>
      </c>
      <c r="O988" s="6">
        <f t="shared" ref="O988:O1051" si="5917">VLOOKUP($A988,hospital_details,5,0)</f>
        <v>11319.12</v>
      </c>
      <c r="P988" s="5" t="str">
        <f t="shared" ref="P988:P1051" si="5918">VLOOKUP($A988,hospital_details,6,0)</f>
        <v>tier - 3</v>
      </c>
      <c r="Q988" s="5" t="str">
        <f t="shared" ref="Q988:Q1051" si="5919">VLOOKUP($A988,hospital_details,7,0)</f>
        <v>tier - 1</v>
      </c>
      <c r="R988" s="5" t="str">
        <f t="shared" ref="R988:R1051" si="5920">VLOOKUP($A988,hospital_details,8,0)</f>
        <v>R1012</v>
      </c>
    </row>
    <row r="989" spans="1:18" ht="14.4" customHeight="1" x14ac:dyDescent="0.3">
      <c r="A989" s="7" t="s">
        <v>1009</v>
      </c>
      <c r="B989" s="7" t="str">
        <f>VLOOKUP($A989,[1]!Customer_Names[#Data],3,0)</f>
        <v xml:space="preserve">  Suzanne</v>
      </c>
      <c r="C989" s="7">
        <v>48.12</v>
      </c>
      <c r="D989" s="7" t="str" cm="1">
        <f t="array" ref="D989">_xlfn.IFS(Healthcare!$C989&lt;18.5,"under weight",Healthcare!$C989&lt;=24.9,"Normal Weight",Healthcare!$C989&gt;=25,"overweight",Healthcare!$C989&gt;=30,"obese")</f>
        <v>overweight</v>
      </c>
      <c r="E989" s="7">
        <v>4.51</v>
      </c>
      <c r="F989" s="7" t="str" cm="1">
        <f t="array" ref="F989">_xlfn.IFS(Healthcare!$E989&lt;5.7,"normal",Healthcare!$E989&lt;=6.4,"prediabetes",Healthcare!$E989&gt;=6.5,"diabetes")</f>
        <v>normal</v>
      </c>
      <c r="G989" s="7" t="s">
        <v>20</v>
      </c>
      <c r="H989" s="7" t="s">
        <v>19</v>
      </c>
      <c r="I989" s="7" t="s">
        <v>19</v>
      </c>
      <c r="J989" s="7">
        <v>1</v>
      </c>
      <c r="K989" s="7" t="s">
        <v>19</v>
      </c>
      <c r="L989" s="7" t="str">
        <f>VLOOKUP(Healthcare!$A989,hospital_details,2,0)</f>
        <v>10-Dec-1995</v>
      </c>
      <c r="M989" s="7">
        <f t="shared" ref="M989:M1052" ca="1" si="5921">VLOOKUP(A989,hospital_details,3,0)</f>
        <v>30</v>
      </c>
      <c r="N989" s="7">
        <f t="shared" ref="N989:N1052" si="5922">VLOOKUP($A989,hospital_details,4,0)</f>
        <v>0</v>
      </c>
      <c r="O989" s="8">
        <f t="shared" ref="O989:O1052" si="5923">VLOOKUP($A989,hospital_details,5,0)</f>
        <v>11318.57</v>
      </c>
      <c r="P989" s="7" t="str">
        <f t="shared" ref="P989:P1052" si="5924">VLOOKUP($A989,hospital_details,6,0)</f>
        <v>tier - 3</v>
      </c>
      <c r="Q989" s="7" t="str">
        <f t="shared" ref="Q989:Q1052" si="5925">VLOOKUP($A989,hospital_details,7,0)</f>
        <v>tier - 2</v>
      </c>
      <c r="R989" s="7" t="str">
        <f t="shared" ref="R989:R1052" si="5926">VLOOKUP($A989,hospital_details,8,0)</f>
        <v>R1026</v>
      </c>
    </row>
    <row r="990" spans="1:18" ht="14.4" customHeight="1" x14ac:dyDescent="0.3">
      <c r="A990" s="5" t="s">
        <v>1010</v>
      </c>
      <c r="B990" s="5" t="str">
        <f>VLOOKUP($A990,[1]!Customer_Names[#Data],3,0)</f>
        <v xml:space="preserve">  Jasmine P</v>
      </c>
      <c r="C990" s="5">
        <v>24.91</v>
      </c>
      <c r="D990" s="5" t="str" cm="1">
        <f t="array" ref="D990">_xlfn.IFS(Healthcare!$C4&lt;18.5,"under weight",Healthcare!$C4&lt;=24.9,"Normal Weight",Healthcare!$C4&gt;=25,"overweight",Healthcare!$C4&gt;=30,"obese")</f>
        <v>overweight</v>
      </c>
      <c r="E990" s="5">
        <v>7.33</v>
      </c>
      <c r="F990" s="5" t="str" cm="1">
        <f t="array" ref="F990">_xlfn.IFS(Healthcare!$E990&lt;5.7,"normal",Healthcare!$E990&lt;=6.4,"prediabetes",Healthcare!$E990&gt;=6.5,"diabetes")</f>
        <v>diabetes</v>
      </c>
      <c r="G990" s="5" t="s">
        <v>20</v>
      </c>
      <c r="H990" s="5" t="s">
        <v>19</v>
      </c>
      <c r="I990" s="5" t="s">
        <v>29</v>
      </c>
      <c r="J990" s="5">
        <v>1</v>
      </c>
      <c r="K990" s="5" t="s">
        <v>19</v>
      </c>
      <c r="L990" s="5" t="str">
        <f>VLOOKUP(Healthcare!$A990,hospital_details,2,0)</f>
        <v>22-Nov-1963</v>
      </c>
      <c r="M990" s="5">
        <f t="shared" ref="M990:M1053" ca="1" si="5927">VLOOKUP(A990,hospital_details,3,0)</f>
        <v>62</v>
      </c>
      <c r="N990" s="5">
        <f t="shared" ref="N990:N1053" si="5928">VLOOKUP($A990,hospital_details,4,0)</f>
        <v>0</v>
      </c>
      <c r="O990" s="6">
        <f t="shared" ref="O990:O1053" si="5929">VLOOKUP($A990,hospital_details,5,0)</f>
        <v>11312.33</v>
      </c>
      <c r="P990" s="5" t="str">
        <f t="shared" ref="P990:P1053" si="5930">VLOOKUP($A990,hospital_details,6,0)</f>
        <v>tier - 3</v>
      </c>
      <c r="Q990" s="5" t="str">
        <f t="shared" ref="Q990:Q1053" si="5931">VLOOKUP($A990,hospital_details,7,0)</f>
        <v>tier - 3</v>
      </c>
      <c r="R990" s="5" t="str">
        <f t="shared" ref="R990:R1053" si="5932">VLOOKUP($A990,hospital_details,8,0)</f>
        <v>R1012</v>
      </c>
    </row>
    <row r="991" spans="1:18" ht="14.4" customHeight="1" x14ac:dyDescent="0.3">
      <c r="A991" s="7" t="s">
        <v>1011</v>
      </c>
      <c r="B991" s="7" t="str">
        <f>VLOOKUP($A991,[1]!Customer_Names[#Data],3,0)</f>
        <v xml:space="preserve">  Jennifer</v>
      </c>
      <c r="C991" s="7">
        <v>27.645</v>
      </c>
      <c r="D991" s="7" t="str" cm="1">
        <f t="array" ref="D991">_xlfn.IFS(Healthcare!$C991&lt;18.5,"under weight",Healthcare!$C991&lt;=24.9,"Normal Weight",Healthcare!$C991&gt;=25,"overweight",Healthcare!$C991&gt;=30,"obese")</f>
        <v>overweight</v>
      </c>
      <c r="E991" s="7">
        <v>10.56</v>
      </c>
      <c r="F991" s="7" t="str" cm="1">
        <f t="array" ref="F991">_xlfn.IFS(Healthcare!$E991&lt;5.7,"normal",Healthcare!$E991&lt;=6.4,"prediabetes",Healthcare!$E991&gt;=6.5,"diabetes")</f>
        <v>diabetes</v>
      </c>
      <c r="G991" s="7" t="s">
        <v>19</v>
      </c>
      <c r="H991" s="7" t="s">
        <v>19</v>
      </c>
      <c r="I991" s="7" t="s">
        <v>19</v>
      </c>
      <c r="J991" s="7">
        <v>0</v>
      </c>
      <c r="K991" s="7" t="s">
        <v>19</v>
      </c>
      <c r="L991" s="7" t="str">
        <f>VLOOKUP(Healthcare!$A991,hospital_details,2,0)</f>
        <v>6-Oct-1968</v>
      </c>
      <c r="M991" s="7">
        <f t="shared" ref="M991:M1054" ca="1" si="5933">VLOOKUP(A991,hospital_details,3,0)</f>
        <v>58</v>
      </c>
      <c r="N991" s="7">
        <f t="shared" ref="N991:N1054" si="5934">VLOOKUP($A991,hospital_details,4,0)</f>
        <v>1</v>
      </c>
      <c r="O991" s="8">
        <f t="shared" ref="O991:O1054" si="5935">VLOOKUP($A991,hospital_details,5,0)</f>
        <v>11305.93</v>
      </c>
      <c r="P991" s="7" t="str">
        <f t="shared" ref="P991:P1054" si="5936">VLOOKUP($A991,hospital_details,6,0)</f>
        <v>tier - 3</v>
      </c>
      <c r="Q991" s="7" t="str">
        <f t="shared" ref="Q991:Q1054" si="5937">VLOOKUP($A991,hospital_details,7,0)</f>
        <v>tier - 1</v>
      </c>
      <c r="R991" s="7" t="str">
        <f t="shared" ref="R991:R1054" si="5938">VLOOKUP($A991,hospital_details,8,0)</f>
        <v>R1012</v>
      </c>
    </row>
    <row r="992" spans="1:18" ht="14.4" customHeight="1" x14ac:dyDescent="0.3">
      <c r="A992" s="5" t="s">
        <v>1012</v>
      </c>
      <c r="B992" s="5" t="str">
        <f>VLOOKUP($A992,[1]!Customer_Names[#Data],3,0)</f>
        <v xml:space="preserve">  Tracie</v>
      </c>
      <c r="C992" s="5">
        <v>33.700000000000003</v>
      </c>
      <c r="D992" s="5" t="str" cm="1">
        <f t="array" ref="D992">_xlfn.IFS(Healthcare!$C992&lt;18.5,"under weight",Healthcare!$C992&lt;=24.9,"Normal Weight",Healthcare!$C992&gt;=25,"overweight",Healthcare!$C992&gt;=30,"obese")</f>
        <v>overweight</v>
      </c>
      <c r="E992" s="5">
        <v>4.01</v>
      </c>
      <c r="F992" s="5" t="str" cm="1">
        <f t="array" ref="F992">_xlfn.IFS(Healthcare!$E992&lt;5.7,"normal",Healthcare!$E992&lt;=6.4,"prediabetes",Healthcare!$E992&gt;=6.5,"diabetes")</f>
        <v>normal</v>
      </c>
      <c r="G992" s="5" t="s">
        <v>19</v>
      </c>
      <c r="H992" s="5" t="s">
        <v>19</v>
      </c>
      <c r="I992" s="5" t="s">
        <v>19</v>
      </c>
      <c r="J992" s="5">
        <v>2</v>
      </c>
      <c r="K992" s="5" t="s">
        <v>19</v>
      </c>
      <c r="L992" s="5" t="str">
        <f>VLOOKUP(Healthcare!$A992,hospital_details,2,0)</f>
        <v>25-Sep-1972</v>
      </c>
      <c r="M992" s="5">
        <f t="shared" ref="M992:M1055" ca="1" si="5939">VLOOKUP(A992,hospital_details,3,0)</f>
        <v>54</v>
      </c>
      <c r="N992" s="5">
        <f t="shared" ref="N992:N1055" si="5940">VLOOKUP($A992,hospital_details,4,0)</f>
        <v>4</v>
      </c>
      <c r="O992" s="6">
        <f t="shared" ref="O992:O1055" si="5941">VLOOKUP($A992,hospital_details,5,0)</f>
        <v>11299.34</v>
      </c>
      <c r="P992" s="5" t="str">
        <f t="shared" ref="P992:P1055" si="5942">VLOOKUP($A992,hospital_details,6,0)</f>
        <v>tier - 3</v>
      </c>
      <c r="Q992" s="5" t="str">
        <f t="shared" ref="Q992:Q1055" si="5943">VLOOKUP($A992,hospital_details,7,0)</f>
        <v>tier - 2</v>
      </c>
      <c r="R992" s="5" t="str">
        <f t="shared" ref="R992:R1055" si="5944">VLOOKUP($A992,hospital_details,8,0)</f>
        <v>R1011</v>
      </c>
    </row>
    <row r="993" spans="1:18" ht="14.4" customHeight="1" x14ac:dyDescent="0.3">
      <c r="A993" s="7" t="s">
        <v>1013</v>
      </c>
      <c r="B993" s="7" t="str">
        <f>VLOOKUP($A993,[1]!Customer_Names[#Data],3,0)</f>
        <v xml:space="preserve">  Tristan D</v>
      </c>
      <c r="C993" s="7">
        <v>38.93</v>
      </c>
      <c r="D993" s="7" t="str" cm="1">
        <f t="array" ref="D993">_xlfn.IFS(Healthcare!$C993&lt;18.5,"under weight",Healthcare!$C993&lt;=24.9,"Normal Weight",Healthcare!$C993&gt;=25,"overweight",Healthcare!$C993&gt;=30,"obese")</f>
        <v>overweight</v>
      </c>
      <c r="E993" s="7">
        <v>5.64</v>
      </c>
      <c r="F993" s="7" t="str" cm="1">
        <f t="array" ref="F993">_xlfn.IFS(Healthcare!$E993&lt;5.7,"normal",Healthcare!$E993&lt;=6.4,"prediabetes",Healthcare!$E993&gt;=6.5,"diabetes")</f>
        <v>normal</v>
      </c>
      <c r="G993" s="7" t="s">
        <v>20</v>
      </c>
      <c r="H993" s="7" t="s">
        <v>19</v>
      </c>
      <c r="I993" s="7" t="s">
        <v>19</v>
      </c>
      <c r="J993" s="7">
        <v>1</v>
      </c>
      <c r="K993" s="7" t="s">
        <v>19</v>
      </c>
      <c r="L993" s="7" t="str">
        <f>VLOOKUP(Healthcare!$A993,hospital_details,2,0)</f>
        <v>14-Nov-1988</v>
      </c>
      <c r="M993" s="7">
        <f t="shared" ref="M993:M1056" ca="1" si="5945">VLOOKUP(A993,hospital_details,3,0)</f>
        <v>37</v>
      </c>
      <c r="N993" s="7">
        <f t="shared" ref="N993:N1056" si="5946">VLOOKUP($A993,hospital_details,4,0)</f>
        <v>3</v>
      </c>
      <c r="O993" s="8">
        <f t="shared" ref="O993:O1056" si="5947">VLOOKUP($A993,hospital_details,5,0)</f>
        <v>11294.57</v>
      </c>
      <c r="P993" s="7" t="str">
        <f t="shared" ref="P993:P1056" si="5948">VLOOKUP($A993,hospital_details,6,0)</f>
        <v>tier - 3</v>
      </c>
      <c r="Q993" s="7" t="str">
        <f t="shared" ref="Q993:Q1056" si="5949">VLOOKUP($A993,hospital_details,7,0)</f>
        <v>tier - 1</v>
      </c>
      <c r="R993" s="7" t="str">
        <f t="shared" ref="R993:R1056" si="5950">VLOOKUP($A993,hospital_details,8,0)</f>
        <v>R1022</v>
      </c>
    </row>
    <row r="994" spans="1:18" ht="14.4" customHeight="1" x14ac:dyDescent="0.3">
      <c r="A994" s="5" t="s">
        <v>1014</v>
      </c>
      <c r="B994" s="5" t="str">
        <f>VLOOKUP($A994,[1]!Customer_Names[#Data],3,0)</f>
        <v xml:space="preserve">  Peiweng</v>
      </c>
      <c r="C994" s="5">
        <v>32.774999999999999</v>
      </c>
      <c r="D994" s="5" t="str" cm="1">
        <f t="array" ref="D994">_xlfn.IFS(Healthcare!$C994&lt;18.5,"under weight",Healthcare!$C994&lt;=24.9,"Normal Weight",Healthcare!$C994&gt;=25,"overweight",Healthcare!$C994&gt;=30,"obese")</f>
        <v>overweight</v>
      </c>
      <c r="E994" s="5">
        <v>8.02</v>
      </c>
      <c r="F994" s="5" t="str" cm="1">
        <f t="array" ref="F994">_xlfn.IFS(Healthcare!$E994&lt;5.7,"normal",Healthcare!$E994&lt;=6.4,"prediabetes",Healthcare!$E994&gt;=6.5,"diabetes")</f>
        <v>diabetes</v>
      </c>
      <c r="G994" s="5" t="s">
        <v>20</v>
      </c>
      <c r="H994" s="5" t="s">
        <v>19</v>
      </c>
      <c r="I994" s="5" t="s">
        <v>19</v>
      </c>
      <c r="J994" s="5">
        <v>2</v>
      </c>
      <c r="K994" s="5" t="s">
        <v>19</v>
      </c>
      <c r="L994" s="5" t="str">
        <f>VLOOKUP(Healthcare!$A994,hospital_details,2,0)</f>
        <v>22-Jun-1970</v>
      </c>
      <c r="M994" s="5">
        <f t="shared" ref="M994:M1057" ca="1" si="5951">VLOOKUP(A994,hospital_details,3,0)</f>
        <v>56</v>
      </c>
      <c r="N994" s="5">
        <f t="shared" ref="N994:N1057" si="5952">VLOOKUP($A994,hospital_details,4,0)</f>
        <v>3</v>
      </c>
      <c r="O994" s="6">
        <f t="shared" ref="O994:O1057" si="5953">VLOOKUP($A994,hospital_details,5,0)</f>
        <v>11289.11</v>
      </c>
      <c r="P994" s="5" t="str">
        <f t="shared" ref="P994:P1057" si="5954">VLOOKUP($A994,hospital_details,6,0)</f>
        <v>tier - 3</v>
      </c>
      <c r="Q994" s="5" t="str">
        <f t="shared" ref="Q994:Q1057" si="5955">VLOOKUP($A994,hospital_details,7,0)</f>
        <v>tier - 1</v>
      </c>
      <c r="R994" s="5" t="str">
        <f t="shared" ref="R994:R1057" si="5956">VLOOKUP($A994,hospital_details,8,0)</f>
        <v>R1012</v>
      </c>
    </row>
    <row r="995" spans="1:18" ht="14.4" customHeight="1" x14ac:dyDescent="0.3">
      <c r="A995" s="7" t="s">
        <v>1015</v>
      </c>
      <c r="B995" s="7" t="str">
        <f>VLOOKUP($A995,[1]!Customer_Names[#Data],3,0)</f>
        <v xml:space="preserve">  Theresa M</v>
      </c>
      <c r="C995" s="7">
        <v>29.83</v>
      </c>
      <c r="D995" s="7" t="str" cm="1">
        <f t="array" ref="D995">_xlfn.IFS(Healthcare!$C995&lt;18.5,"under weight",Healthcare!$C995&lt;=24.9,"Normal Weight",Healthcare!$C995&gt;=25,"overweight",Healthcare!$C995&gt;=30,"obese")</f>
        <v>overweight</v>
      </c>
      <c r="E995" s="7">
        <v>7.2</v>
      </c>
      <c r="F995" s="7" t="str" cm="1">
        <f t="array" ref="F995">_xlfn.IFS(Healthcare!$E995&lt;5.7,"normal",Healthcare!$E995&lt;=6.4,"prediabetes",Healthcare!$E995&gt;=6.5,"diabetes")</f>
        <v>diabetes</v>
      </c>
      <c r="G995" s="7" t="s">
        <v>20</v>
      </c>
      <c r="H995" s="7" t="s">
        <v>19</v>
      </c>
      <c r="I995" s="7" t="s">
        <v>19</v>
      </c>
      <c r="J995" s="7">
        <v>0</v>
      </c>
      <c r="K995" s="7" t="s">
        <v>19</v>
      </c>
      <c r="L995" s="7" t="str">
        <f>VLOOKUP(Healthcare!$A995,hospital_details,2,0)</f>
        <v>14-Jun-1967</v>
      </c>
      <c r="M995" s="7">
        <f t="shared" ref="M995:M1058" ca="1" si="5957">VLOOKUP(A995,hospital_details,3,0)</f>
        <v>59</v>
      </c>
      <c r="N995" s="7">
        <f t="shared" ref="N995:N1058" si="5958">VLOOKUP($A995,hospital_details,4,0)</f>
        <v>0</v>
      </c>
      <c r="O995" s="8">
        <f t="shared" ref="O995:O1058" si="5959">VLOOKUP($A995,hospital_details,5,0)</f>
        <v>11286.54</v>
      </c>
      <c r="P995" s="7" t="str">
        <f t="shared" ref="P995:P1058" si="5960">VLOOKUP($A995,hospital_details,6,0)</f>
        <v>tier - 3</v>
      </c>
      <c r="Q995" s="7" t="str">
        <f t="shared" ref="Q995:Q1058" si="5961">VLOOKUP($A995,hospital_details,7,0)</f>
        <v>tier - 3</v>
      </c>
      <c r="R995" s="7" t="str">
        <f t="shared" ref="R995:R1058" si="5962">VLOOKUP($A995,hospital_details,8,0)</f>
        <v>R1024</v>
      </c>
    </row>
    <row r="996" spans="1:18" ht="14.4" customHeight="1" x14ac:dyDescent="0.3">
      <c r="A996" s="5" t="s">
        <v>1016</v>
      </c>
      <c r="B996" s="5" t="str">
        <f>VLOOKUP($A996,[1]!Customer_Names[#Data],3,0)</f>
        <v xml:space="preserve">  Daniel J</v>
      </c>
      <c r="C996" s="5">
        <v>28.31</v>
      </c>
      <c r="D996" s="5" t="str" cm="1">
        <f t="array" ref="D996">_xlfn.IFS(Healthcare!$C996&lt;18.5,"under weight",Healthcare!$C996&lt;=24.9,"Normal Weight",Healthcare!$C996&gt;=25,"overweight",Healthcare!$C996&gt;=30,"obese")</f>
        <v>overweight</v>
      </c>
      <c r="E996" s="5">
        <v>4.55</v>
      </c>
      <c r="F996" s="5" t="str" cm="1">
        <f t="array" ref="F996">_xlfn.IFS(Healthcare!$E996&lt;5.7,"normal",Healthcare!$E996&lt;=6.4,"prediabetes",Healthcare!$E996&gt;=6.5,"diabetes")</f>
        <v>normal</v>
      </c>
      <c r="G996" s="5" t="s">
        <v>19</v>
      </c>
      <c r="H996" s="5" t="s">
        <v>20</v>
      </c>
      <c r="I996" s="5" t="s">
        <v>19</v>
      </c>
      <c r="J996" s="5">
        <v>1</v>
      </c>
      <c r="K996" s="5" t="s">
        <v>19</v>
      </c>
      <c r="L996" s="5" t="str">
        <f>VLOOKUP(Healthcare!$A996,hospital_details,2,0)</f>
        <v>4-Oct-2004</v>
      </c>
      <c r="M996" s="5">
        <f t="shared" ref="M996:M1059" ca="1" si="5963">VLOOKUP(A996,hospital_details,3,0)</f>
        <v>22</v>
      </c>
      <c r="N996" s="5">
        <f t="shared" ref="N996:N1059" si="5964">VLOOKUP($A996,hospital_details,4,0)</f>
        <v>1</v>
      </c>
      <c r="O996" s="6">
        <f t="shared" ref="O996:O1059" si="5965">VLOOKUP($A996,hospital_details,5,0)</f>
        <v>11272.33</v>
      </c>
      <c r="P996" s="5" t="str">
        <f t="shared" ref="P996:P1059" si="5966">VLOOKUP($A996,hospital_details,6,0)</f>
        <v>tier - 3</v>
      </c>
      <c r="Q996" s="5" t="str">
        <f t="shared" ref="Q996:Q1059" si="5967">VLOOKUP($A996,hospital_details,7,0)</f>
        <v>tier - 2</v>
      </c>
      <c r="R996" s="5" t="str">
        <f t="shared" ref="R996:R1059" si="5968">VLOOKUP($A996,hospital_details,8,0)</f>
        <v>R1019</v>
      </c>
    </row>
    <row r="997" spans="1:18" ht="14.4" customHeight="1" x14ac:dyDescent="0.3">
      <c r="A997" s="7" t="s">
        <v>1017</v>
      </c>
      <c r="B997" s="7" t="str">
        <f>VLOOKUP($A997,[1]!Customer_Names[#Data],3,0)</f>
        <v xml:space="preserve">  Courtney M</v>
      </c>
      <c r="C997" s="7">
        <v>29.79</v>
      </c>
      <c r="D997" s="7" t="str" cm="1">
        <f t="array" ref="D997">_xlfn.IFS(Healthcare!$C997&lt;18.5,"under weight",Healthcare!$C997&lt;=24.9,"Normal Weight",Healthcare!$C997&gt;=25,"overweight",Healthcare!$C997&gt;=30,"obese")</f>
        <v>overweight</v>
      </c>
      <c r="E997" s="7">
        <v>9.0299999999999994</v>
      </c>
      <c r="F997" s="7" t="str" cm="1">
        <f t="array" ref="F997">_xlfn.IFS(Healthcare!$E997&lt;5.7,"normal",Healthcare!$E997&lt;=6.4,"prediabetes",Healthcare!$E997&gt;=6.5,"diabetes")</f>
        <v>diabetes</v>
      </c>
      <c r="G997" s="7" t="s">
        <v>19</v>
      </c>
      <c r="H997" s="7" t="s">
        <v>19</v>
      </c>
      <c r="I997" s="7" t="s">
        <v>19</v>
      </c>
      <c r="J997" s="7">
        <v>0</v>
      </c>
      <c r="K997" s="7" t="s">
        <v>19</v>
      </c>
      <c r="L997" s="7" t="str">
        <f>VLOOKUP(Healthcare!$A997,hospital_details,2,0)</f>
        <v>26-Dec-1971</v>
      </c>
      <c r="M997" s="7">
        <f t="shared" ref="M997:M1060" ca="1" si="5969">VLOOKUP(A997,hospital_details,3,0)</f>
        <v>54</v>
      </c>
      <c r="N997" s="7">
        <f t="shared" ref="N997:N1060" si="5970">VLOOKUP($A997,hospital_details,4,0)</f>
        <v>0</v>
      </c>
      <c r="O997" s="8">
        <f t="shared" ref="O997:O1060" si="5971">VLOOKUP($A997,hospital_details,5,0)</f>
        <v>11265.71</v>
      </c>
      <c r="P997" s="7" t="str">
        <f t="shared" ref="P997:P1060" si="5972">VLOOKUP($A997,hospital_details,6,0)</f>
        <v>tier - 3</v>
      </c>
      <c r="Q997" s="7" t="str">
        <f t="shared" ref="Q997:Q1060" si="5973">VLOOKUP($A997,hospital_details,7,0)</f>
        <v>tier - 1</v>
      </c>
      <c r="R997" s="7" t="str">
        <f t="shared" ref="R997:R1060" si="5974">VLOOKUP($A997,hospital_details,8,0)</f>
        <v>R1025</v>
      </c>
    </row>
    <row r="998" spans="1:18" ht="14.4" customHeight="1" x14ac:dyDescent="0.3">
      <c r="A998" s="5" t="s">
        <v>1018</v>
      </c>
      <c r="B998" s="5" t="str">
        <f>VLOOKUP($A998,[1]!Customer_Names[#Data],3,0)</f>
        <v xml:space="preserve">  Jose A</v>
      </c>
      <c r="C998" s="5">
        <v>36.6</v>
      </c>
      <c r="D998" s="5" t="str" cm="1">
        <f t="array" ref="D998">_xlfn.IFS(Healthcare!$C998&lt;18.5,"under weight",Healthcare!$C998&lt;=24.9,"Normal Weight",Healthcare!$C998&gt;=25,"overweight",Healthcare!$C998&gt;=30,"obese")</f>
        <v>overweight</v>
      </c>
      <c r="E998" s="5">
        <v>5.2</v>
      </c>
      <c r="F998" s="5" t="str" cm="1">
        <f t="array" ref="F998">_xlfn.IFS(Healthcare!$E998&lt;5.7,"normal",Healthcare!$E998&lt;=6.4,"prediabetes",Healthcare!$E998&gt;=6.5,"diabetes")</f>
        <v>normal</v>
      </c>
      <c r="G998" s="5" t="s">
        <v>20</v>
      </c>
      <c r="H998" s="5" t="s">
        <v>19</v>
      </c>
      <c r="I998" s="5" t="s">
        <v>29</v>
      </c>
      <c r="J998" s="5">
        <v>1</v>
      </c>
      <c r="K998" s="5" t="s">
        <v>19</v>
      </c>
      <c r="L998" s="5" t="str">
        <f>VLOOKUP(Healthcare!$A998,hospital_details,2,0)</f>
        <v>11-Oct-1969</v>
      </c>
      <c r="M998" s="5">
        <f t="shared" ref="M998:M1061" ca="1" si="5975">VLOOKUP(A998,hospital_details,3,0)</f>
        <v>57</v>
      </c>
      <c r="N998" s="5">
        <f t="shared" ref="N998:N1061" si="5976">VLOOKUP($A998,hospital_details,4,0)</f>
        <v>3</v>
      </c>
      <c r="O998" s="6">
        <f t="shared" ref="O998:O1061" si="5977">VLOOKUP($A998,hospital_details,5,0)</f>
        <v>11264.54</v>
      </c>
      <c r="P998" s="5" t="str">
        <f t="shared" ref="P998:P1061" si="5978">VLOOKUP($A998,hospital_details,6,0)</f>
        <v>tier - 3</v>
      </c>
      <c r="Q998" s="5" t="str">
        <f t="shared" ref="Q998:Q1061" si="5979">VLOOKUP($A998,hospital_details,7,0)</f>
        <v>tier - 2</v>
      </c>
      <c r="R998" s="5" t="str">
        <f t="shared" ref="R998:R1061" si="5980">VLOOKUP($A998,hospital_details,8,0)</f>
        <v>R1011</v>
      </c>
    </row>
    <row r="999" spans="1:18" ht="14.4" customHeight="1" x14ac:dyDescent="0.3">
      <c r="A999" s="7" t="s">
        <v>1019</v>
      </c>
      <c r="B999" s="7" t="str">
        <f>VLOOKUP($A999,[1]!Customer_Names[#Data],3,0)</f>
        <v xml:space="preserve">  Lauren</v>
      </c>
      <c r="C999" s="7">
        <v>35.93</v>
      </c>
      <c r="D999" s="7" t="str" cm="1">
        <f t="array" ref="D999">_xlfn.IFS(Healthcare!$C999&lt;18.5,"under weight",Healthcare!$C999&lt;=24.9,"Normal Weight",Healthcare!$C999&gt;=25,"overweight",Healthcare!$C999&gt;=30,"obese")</f>
        <v>overweight</v>
      </c>
      <c r="E999" s="7">
        <v>8.3000000000000007</v>
      </c>
      <c r="F999" s="7" t="str" cm="1">
        <f t="array" ref="F999">_xlfn.IFS(Healthcare!$E999&lt;5.7,"normal",Healthcare!$E999&lt;=6.4,"prediabetes",Healthcare!$E999&gt;=6.5,"diabetes")</f>
        <v>diabetes</v>
      </c>
      <c r="G999" s="7" t="s">
        <v>20</v>
      </c>
      <c r="H999" s="7" t="s">
        <v>19</v>
      </c>
      <c r="I999" s="7" t="s">
        <v>19</v>
      </c>
      <c r="J999" s="7">
        <v>0</v>
      </c>
      <c r="K999" s="7" t="s">
        <v>19</v>
      </c>
      <c r="L999" s="7" t="str">
        <f>VLOOKUP(Healthcare!$A999,hospital_details,2,0)</f>
        <v>2-Oct-1981</v>
      </c>
      <c r="M999" s="7">
        <f t="shared" ref="M999:M1062" ca="1" si="5981">VLOOKUP(A999,hospital_details,3,0)</f>
        <v>45</v>
      </c>
      <c r="N999" s="7">
        <f t="shared" ref="N999:N1062" si="5982">VLOOKUP($A999,hospital_details,4,0)</f>
        <v>1</v>
      </c>
      <c r="O999" s="8">
        <f t="shared" ref="O999:O1062" si="5983">VLOOKUP($A999,hospital_details,5,0)</f>
        <v>11255.29</v>
      </c>
      <c r="P999" s="7" t="str">
        <f t="shared" ref="P999:P1062" si="5984">VLOOKUP($A999,hospital_details,6,0)</f>
        <v>tier - 3</v>
      </c>
      <c r="Q999" s="7" t="str">
        <f t="shared" ref="Q999:Q1062" si="5985">VLOOKUP($A999,hospital_details,7,0)</f>
        <v>tier - 1</v>
      </c>
      <c r="R999" s="7" t="str">
        <f t="shared" ref="R999:R1062" si="5986">VLOOKUP($A999,hospital_details,8,0)</f>
        <v>R1026</v>
      </c>
    </row>
    <row r="1000" spans="1:18" ht="14.4" customHeight="1" x14ac:dyDescent="0.3">
      <c r="A1000" s="5" t="s">
        <v>1020</v>
      </c>
      <c r="B1000" s="5" t="str">
        <f>VLOOKUP($A1000,[1]!Customer_Names[#Data],3,0)</f>
        <v xml:space="preserve">  Jonathon M</v>
      </c>
      <c r="C1000" s="5">
        <v>28.6</v>
      </c>
      <c r="D1000" s="5" t="str" cm="1">
        <f t="array" ref="D1000">_xlfn.IFS(Healthcare!$C1000&lt;18.5,"under weight",Healthcare!$C1000&lt;=24.9,"Normal Weight",Healthcare!$C1000&gt;=25,"overweight",Healthcare!$C1000&gt;=30,"obese")</f>
        <v>overweight</v>
      </c>
      <c r="E1000" s="5">
        <v>5.56</v>
      </c>
      <c r="F1000" s="5" t="str" cm="1">
        <f t="array" ref="F1000">_xlfn.IFS(Healthcare!$E1000&lt;5.7,"normal",Healthcare!$E1000&lt;=6.4,"prediabetes",Healthcare!$E1000&gt;=6.5,"diabetes")</f>
        <v>normal</v>
      </c>
      <c r="G1000" s="5" t="s">
        <v>20</v>
      </c>
      <c r="H1000" s="5" t="s">
        <v>19</v>
      </c>
      <c r="I1000" s="5" t="s">
        <v>29</v>
      </c>
      <c r="J1000" s="5">
        <v>1</v>
      </c>
      <c r="K1000" s="5" t="s">
        <v>19</v>
      </c>
      <c r="L1000" s="5" t="str">
        <f>VLOOKUP(Healthcare!$A1000,hospital_details,2,0)</f>
        <v>20-Aug-1969</v>
      </c>
      <c r="M1000" s="5">
        <f t="shared" ref="M1000:M1063" ca="1" si="5987">VLOOKUP(A1000,hospital_details,3,0)</f>
        <v>57</v>
      </c>
      <c r="N1000" s="5">
        <f t="shared" ref="N1000:N1063" si="5988">VLOOKUP($A1000,hospital_details,4,0)</f>
        <v>3</v>
      </c>
      <c r="O1000" s="6">
        <f t="shared" ref="O1000:O1063" si="5989">VLOOKUP($A1000,hospital_details,5,0)</f>
        <v>11253.42</v>
      </c>
      <c r="P1000" s="5" t="str">
        <f t="shared" ref="P1000:P1063" si="5990">VLOOKUP($A1000,hospital_details,6,0)</f>
        <v>tier - 3</v>
      </c>
      <c r="Q1000" s="5" t="str">
        <f t="shared" ref="Q1000:Q1063" si="5991">VLOOKUP($A1000,hospital_details,7,0)</f>
        <v>tier - 1</v>
      </c>
      <c r="R1000" s="5" t="str">
        <f t="shared" ref="R1000:R1063" si="5992">VLOOKUP($A1000,hospital_details,8,0)</f>
        <v>R1011</v>
      </c>
    </row>
    <row r="1001" spans="1:18" ht="14.4" customHeight="1" x14ac:dyDescent="0.3">
      <c r="A1001" s="7" t="s">
        <v>1021</v>
      </c>
      <c r="B1001" s="7" t="str">
        <f>VLOOKUP($A1001,[1]!Customer_Names[#Data],3,0)</f>
        <v xml:space="preserve">  Stephanie A</v>
      </c>
      <c r="C1001" s="7">
        <v>39.17</v>
      </c>
      <c r="D1001" s="7" t="str" cm="1">
        <f t="array" ref="D1001">_xlfn.IFS(Healthcare!$C1001&lt;18.5,"under weight",Healthcare!$C1001&lt;=24.9,"Normal Weight",Healthcare!$C1001&gt;=25,"overweight",Healthcare!$C1001&gt;=30,"obese")</f>
        <v>overweight</v>
      </c>
      <c r="E1001" s="7">
        <v>4.1500000000000004</v>
      </c>
      <c r="F1001" s="7" t="str" cm="1">
        <f t="array" ref="F1001">_xlfn.IFS(Healthcare!$E1001&lt;5.7,"normal",Healthcare!$E1001&lt;=6.4,"prediabetes",Healthcare!$E1001&gt;=6.5,"diabetes")</f>
        <v>normal</v>
      </c>
      <c r="G1001" s="7" t="s">
        <v>19</v>
      </c>
      <c r="H1001" s="7" t="s">
        <v>19</v>
      </c>
      <c r="I1001" s="7" t="s">
        <v>19</v>
      </c>
      <c r="J1001" s="7">
        <v>0</v>
      </c>
      <c r="K1001" s="7" t="s">
        <v>19</v>
      </c>
      <c r="L1001" s="7" t="str">
        <f>VLOOKUP(Healthcare!$A1001,hospital_details,2,0)</f>
        <v>17-Dec-1989</v>
      </c>
      <c r="M1001" s="7">
        <f t="shared" ref="M1001:M1064" ca="1" si="5993">VLOOKUP(A1001,hospital_details,3,0)</f>
        <v>36</v>
      </c>
      <c r="N1001" s="7">
        <f t="shared" ref="N1001:N1064" si="5994">VLOOKUP($A1001,hospital_details,4,0)</f>
        <v>3</v>
      </c>
      <c r="O1001" s="8">
        <f t="shared" ref="O1001:O1064" si="5995">VLOOKUP($A1001,hospital_details,5,0)</f>
        <v>11250.43</v>
      </c>
      <c r="P1001" s="7" t="str">
        <f t="shared" ref="P1001:P1064" si="5996">VLOOKUP($A1001,hospital_details,6,0)</f>
        <v>tier - 3</v>
      </c>
      <c r="Q1001" s="7" t="str">
        <f t="shared" ref="Q1001:Q1064" si="5997">VLOOKUP($A1001,hospital_details,7,0)</f>
        <v>tier - 2</v>
      </c>
      <c r="R1001" s="7" t="str">
        <f t="shared" ref="R1001:R1064" si="5998">VLOOKUP($A1001,hospital_details,8,0)</f>
        <v>R1026</v>
      </c>
    </row>
    <row r="1002" spans="1:18" ht="14.4" customHeight="1" x14ac:dyDescent="0.3">
      <c r="A1002" s="5" t="s">
        <v>1022</v>
      </c>
      <c r="B1002" s="5" t="str">
        <f>VLOOKUP($A1002,[1]!Customer_Names[#Data],3,0)</f>
        <v xml:space="preserve">  Patrick</v>
      </c>
      <c r="C1002" s="5">
        <v>26.41</v>
      </c>
      <c r="D1002" s="5" t="str" cm="1">
        <f t="array" ref="D1002">_xlfn.IFS(Healthcare!$C1002&lt;18.5,"under weight",Healthcare!$C1002&lt;=24.9,"Normal Weight",Healthcare!$C1002&gt;=25,"overweight",Healthcare!$C1002&gt;=30,"obese")</f>
        <v>overweight</v>
      </c>
      <c r="E1002" s="5">
        <v>5.99</v>
      </c>
      <c r="F1002" s="5" t="str" cm="1">
        <f t="array" ref="F1002">_xlfn.IFS(Healthcare!$E1002&lt;5.7,"normal",Healthcare!$E1002&lt;=6.4,"prediabetes",Healthcare!$E1002&gt;=6.5,"diabetes")</f>
        <v>prediabetes</v>
      </c>
      <c r="G1002" s="5" t="s">
        <v>20</v>
      </c>
      <c r="H1002" s="5" t="s">
        <v>19</v>
      </c>
      <c r="I1002" s="5" t="s">
        <v>29</v>
      </c>
      <c r="J1002" s="5">
        <v>1</v>
      </c>
      <c r="K1002" s="5" t="s">
        <v>19</v>
      </c>
      <c r="L1002" s="5" t="str">
        <f>VLOOKUP(Healthcare!$A1002,hospital_details,2,0)</f>
        <v>30-Dec-1969</v>
      </c>
      <c r="M1002" s="5">
        <f t="shared" ref="M1002:M1065" ca="1" si="5999">VLOOKUP(A1002,hospital_details,3,0)</f>
        <v>56</v>
      </c>
      <c r="N1002" s="5">
        <f t="shared" ref="N1002:N1065" si="6000">VLOOKUP($A1002,hospital_details,4,0)</f>
        <v>2</v>
      </c>
      <c r="O1002" s="6">
        <f t="shared" ref="O1002:O1065" si="6001">VLOOKUP($A1002,hospital_details,5,0)</f>
        <v>11244.38</v>
      </c>
      <c r="P1002" s="5" t="str">
        <f t="shared" ref="P1002:P1065" si="6002">VLOOKUP($A1002,hospital_details,6,0)</f>
        <v>tier - 3</v>
      </c>
      <c r="Q1002" s="5" t="str">
        <f t="shared" ref="Q1002:Q1065" si="6003">VLOOKUP($A1002,hospital_details,7,0)</f>
        <v>tier - 1</v>
      </c>
      <c r="R1002" s="5" t="str">
        <f t="shared" ref="R1002:R1065" si="6004">VLOOKUP($A1002,hospital_details,8,0)</f>
        <v>R1016</v>
      </c>
    </row>
    <row r="1003" spans="1:18" ht="14.4" customHeight="1" x14ac:dyDescent="0.3">
      <c r="A1003" s="7" t="s">
        <v>1023</v>
      </c>
      <c r="B1003" s="7" t="str">
        <f>VLOOKUP($A1003,[1]!Customer_Names[#Data],3,0)</f>
        <v xml:space="preserve">  Krista</v>
      </c>
      <c r="C1003" s="7">
        <v>30.63</v>
      </c>
      <c r="D1003" s="7" t="str" cm="1">
        <f t="array" ref="D1003">_xlfn.IFS(Healthcare!$C1003&lt;18.5,"under weight",Healthcare!$C1003&lt;=24.9,"Normal Weight",Healthcare!$C1003&gt;=25,"overweight",Healthcare!$C1003&gt;=30,"obese")</f>
        <v>overweight</v>
      </c>
      <c r="E1003" s="7">
        <v>5.8</v>
      </c>
      <c r="F1003" s="7" t="str" cm="1">
        <f t="array" ref="F1003">_xlfn.IFS(Healthcare!$E1003&lt;5.7,"normal",Healthcare!$E1003&lt;=6.4,"prediabetes",Healthcare!$E1003&gt;=6.5,"diabetes")</f>
        <v>prediabetes</v>
      </c>
      <c r="G1003" s="7" t="s">
        <v>20</v>
      </c>
      <c r="H1003" s="7" t="s">
        <v>19</v>
      </c>
      <c r="I1003" s="7" t="s">
        <v>19</v>
      </c>
      <c r="J1003" s="7">
        <v>0</v>
      </c>
      <c r="K1003" s="7" t="s">
        <v>19</v>
      </c>
      <c r="L1003" s="7" t="str">
        <f>VLOOKUP(Healthcare!$A1003,hospital_details,2,0)</f>
        <v>28-Jun-1976</v>
      </c>
      <c r="M1003" s="7">
        <f t="shared" ref="M1003:M1066" ca="1" si="6005">VLOOKUP(A1003,hospital_details,3,0)</f>
        <v>50</v>
      </c>
      <c r="N1003" s="7">
        <f t="shared" ref="N1003:N1066" si="6006">VLOOKUP($A1003,hospital_details,4,0)</f>
        <v>2</v>
      </c>
      <c r="O1003" s="8">
        <f t="shared" ref="O1003:O1066" si="6007">VLOOKUP($A1003,hospital_details,5,0)</f>
        <v>11217.35</v>
      </c>
      <c r="P1003" s="7" t="str">
        <f t="shared" ref="P1003:P1066" si="6008">VLOOKUP($A1003,hospital_details,6,0)</f>
        <v>tier - 3</v>
      </c>
      <c r="Q1003" s="7" t="str">
        <f t="shared" ref="Q1003:Q1066" si="6009">VLOOKUP($A1003,hospital_details,7,0)</f>
        <v>tier - 2</v>
      </c>
      <c r="R1003" s="7" t="str">
        <f t="shared" ref="R1003:R1066" si="6010">VLOOKUP($A1003,hospital_details,8,0)</f>
        <v>R1025</v>
      </c>
    </row>
    <row r="1004" spans="1:18" ht="14.4" customHeight="1" x14ac:dyDescent="0.3">
      <c r="A1004" s="5" t="s">
        <v>1024</v>
      </c>
      <c r="B1004" s="5" t="str">
        <f>VLOOKUP($A1004,[1]!Customer_Names[#Data],3,0)</f>
        <v xml:space="preserve">  Jenessa</v>
      </c>
      <c r="C1004" s="5">
        <v>31.73</v>
      </c>
      <c r="D1004" s="5" t="str" cm="1">
        <f t="array" ref="D1004">_xlfn.IFS(Healthcare!$C1004&lt;18.5,"under weight",Healthcare!$C1004&lt;=24.9,"Normal Weight",Healthcare!$C1004&gt;=25,"overweight",Healthcare!$C1004&gt;=30,"obese")</f>
        <v>overweight</v>
      </c>
      <c r="E1004" s="5">
        <v>7.32</v>
      </c>
      <c r="F1004" s="5" t="str" cm="1">
        <f t="array" ref="F1004">_xlfn.IFS(Healthcare!$E1004&lt;5.7,"normal",Healthcare!$E1004&lt;=6.4,"prediabetes",Healthcare!$E1004&gt;=6.5,"diabetes")</f>
        <v>diabetes</v>
      </c>
      <c r="G1004" s="5" t="s">
        <v>20</v>
      </c>
      <c r="H1004" s="5" t="s">
        <v>19</v>
      </c>
      <c r="I1004" s="5" t="s">
        <v>19</v>
      </c>
      <c r="J1004" s="5">
        <v>2</v>
      </c>
      <c r="K1004" s="5" t="s">
        <v>19</v>
      </c>
      <c r="L1004" s="5" t="str">
        <f>VLOOKUP(Healthcare!$A1004,hospital_details,2,0)</f>
        <v>14-Jun-1970</v>
      </c>
      <c r="M1004" s="5">
        <f t="shared" ref="M1004:M1067" ca="1" si="6011">VLOOKUP(A1004,hospital_details,3,0)</f>
        <v>56</v>
      </c>
      <c r="N1004" s="5">
        <f t="shared" ref="N1004:N1067" si="6012">VLOOKUP($A1004,hospital_details,4,0)</f>
        <v>2</v>
      </c>
      <c r="O1004" s="6">
        <f t="shared" ref="O1004:O1067" si="6013">VLOOKUP($A1004,hospital_details,5,0)</f>
        <v>11187.66</v>
      </c>
      <c r="P1004" s="5" t="str">
        <f t="shared" ref="P1004:P1067" si="6014">VLOOKUP($A1004,hospital_details,6,0)</f>
        <v>tier - 3</v>
      </c>
      <c r="Q1004" s="5" t="str">
        <f t="shared" ref="Q1004:Q1067" si="6015">VLOOKUP($A1004,hospital_details,7,0)</f>
        <v>tier - 2</v>
      </c>
      <c r="R1004" s="5" t="str">
        <f t="shared" ref="R1004:R1067" si="6016">VLOOKUP($A1004,hospital_details,8,0)</f>
        <v>R1012</v>
      </c>
    </row>
    <row r="1005" spans="1:18" ht="14.4" customHeight="1" x14ac:dyDescent="0.3">
      <c r="A1005" s="7" t="s">
        <v>1025</v>
      </c>
      <c r="B1005" s="7" t="str">
        <f>VLOOKUP($A1005,[1]!Customer_Names[#Data],3,0)</f>
        <v xml:space="preserve">  Ryan M</v>
      </c>
      <c r="C1005" s="7">
        <v>30.7</v>
      </c>
      <c r="D1005" s="7" t="str" cm="1">
        <f t="array" ref="D1005">_xlfn.IFS(Healthcare!$C1005&lt;18.5,"under weight",Healthcare!$C1005&lt;=24.9,"Normal Weight",Healthcare!$C1005&gt;=25,"overweight",Healthcare!$C1005&gt;=30,"obese")</f>
        <v>overweight</v>
      </c>
      <c r="E1005" s="7">
        <v>5.16</v>
      </c>
      <c r="F1005" s="7" t="str" cm="1">
        <f t="array" ref="F1005">_xlfn.IFS(Healthcare!$E1005&lt;5.7,"normal",Healthcare!$E1005&lt;=6.4,"prediabetes",Healthcare!$E1005&gt;=6.5,"diabetes")</f>
        <v>normal</v>
      </c>
      <c r="G1005" s="7" t="s">
        <v>19</v>
      </c>
      <c r="H1005" s="7" t="s">
        <v>19</v>
      </c>
      <c r="I1005" s="7" t="s">
        <v>19</v>
      </c>
      <c r="J1005" s="7">
        <v>2</v>
      </c>
      <c r="K1005" s="7" t="s">
        <v>19</v>
      </c>
      <c r="L1005" s="7" t="str">
        <f>VLOOKUP(Healthcare!$A1005,hospital_details,2,0)</f>
        <v>3-Sep-1972</v>
      </c>
      <c r="M1005" s="7">
        <f t="shared" ref="M1005:M1068" ca="1" si="6017">VLOOKUP(A1005,hospital_details,3,0)</f>
        <v>54</v>
      </c>
      <c r="N1005" s="7">
        <f t="shared" ref="N1005:N1068" si="6018">VLOOKUP($A1005,hospital_details,4,0)</f>
        <v>0</v>
      </c>
      <c r="O1005" s="8">
        <f t="shared" ref="O1005:O1068" si="6019">VLOOKUP($A1005,hospital_details,5,0)</f>
        <v>11186.2</v>
      </c>
      <c r="P1005" s="7" t="str">
        <f t="shared" ref="P1005:P1068" si="6020">VLOOKUP($A1005,hospital_details,6,0)</f>
        <v>tier - 3</v>
      </c>
      <c r="Q1005" s="7" t="str">
        <f t="shared" ref="Q1005:Q1068" si="6021">VLOOKUP($A1005,hospital_details,7,0)</f>
        <v>tier - 2</v>
      </c>
      <c r="R1005" s="7" t="str">
        <f t="shared" ref="R1005:R1068" si="6022">VLOOKUP($A1005,hospital_details,8,0)</f>
        <v>R1021</v>
      </c>
    </row>
    <row r="1006" spans="1:18" ht="14.4" customHeight="1" x14ac:dyDescent="0.3">
      <c r="A1006" s="5" t="s">
        <v>1026</v>
      </c>
      <c r="B1006" s="5" t="str">
        <f>VLOOKUP($A1006,[1]!Customer_Names[#Data],3,0)</f>
        <v xml:space="preserve">  Thomas</v>
      </c>
      <c r="C1006" s="5">
        <v>25.934999999999999</v>
      </c>
      <c r="D1006" s="5" t="str" cm="1">
        <f t="array" ref="D1006">_xlfn.IFS(Healthcare!$C1006&lt;18.5,"under weight",Healthcare!$C1006&lt;=24.9,"Normal Weight",Healthcare!$C1006&gt;=25,"overweight",Healthcare!$C1006&gt;=30,"obese")</f>
        <v>overweight</v>
      </c>
      <c r="E1006" s="5">
        <v>5.96</v>
      </c>
      <c r="F1006" s="5" t="str" cm="1">
        <f t="array" ref="F1006">_xlfn.IFS(Healthcare!$E1006&lt;5.7,"normal",Healthcare!$E1006&lt;=6.4,"prediabetes",Healthcare!$E1006&gt;=6.5,"diabetes")</f>
        <v>prediabetes</v>
      </c>
      <c r="G1006" s="5" t="s">
        <v>20</v>
      </c>
      <c r="H1006" s="5" t="s">
        <v>19</v>
      </c>
      <c r="I1006" s="5" t="s">
        <v>19</v>
      </c>
      <c r="J1006" s="5">
        <v>2</v>
      </c>
      <c r="K1006" s="5" t="s">
        <v>19</v>
      </c>
      <c r="L1006" s="5" t="str">
        <f>VLOOKUP(Healthcare!$A1006,hospital_details,2,0)</f>
        <v>6-Aug-1966</v>
      </c>
      <c r="M1006" s="5">
        <f t="shared" ref="M1006:M1069" ca="1" si="6023">VLOOKUP(A1006,hospital_details,3,0)</f>
        <v>60</v>
      </c>
      <c r="N1006" s="5">
        <f t="shared" ref="N1006:N1069" si="6024">VLOOKUP($A1006,hospital_details,4,0)</f>
        <v>0</v>
      </c>
      <c r="O1006" s="6">
        <f t="shared" ref="O1006:O1069" si="6025">VLOOKUP($A1006,hospital_details,5,0)</f>
        <v>11165.42</v>
      </c>
      <c r="P1006" s="5" t="str">
        <f t="shared" ref="P1006:P1069" si="6026">VLOOKUP($A1006,hospital_details,6,0)</f>
        <v>tier - 3</v>
      </c>
      <c r="Q1006" s="5" t="str">
        <f t="shared" ref="Q1006:Q1069" si="6027">VLOOKUP($A1006,hospital_details,7,0)</f>
        <v>tier - 1</v>
      </c>
      <c r="R1006" s="5" t="str">
        <f t="shared" ref="R1006:R1069" si="6028">VLOOKUP($A1006,hospital_details,8,0)</f>
        <v>R1016</v>
      </c>
    </row>
    <row r="1007" spans="1:18" ht="14.4" customHeight="1" x14ac:dyDescent="0.3">
      <c r="A1007" s="7" t="s">
        <v>1027</v>
      </c>
      <c r="B1007" s="7" t="str">
        <f>VLOOKUP($A1007,[1]!Customer_Names[#Data],3,0)</f>
        <v xml:space="preserve">  Amanda N</v>
      </c>
      <c r="C1007" s="7">
        <v>35.9</v>
      </c>
      <c r="D1007" s="7" t="str" cm="1">
        <f t="array" ref="D1007">_xlfn.IFS(Healthcare!$C1007&lt;18.5,"under weight",Healthcare!$C1007&lt;=24.9,"Normal Weight",Healthcare!$C1007&gt;=25,"overweight",Healthcare!$C1007&gt;=30,"obese")</f>
        <v>overweight</v>
      </c>
      <c r="E1007" s="7">
        <v>4.8499999999999996</v>
      </c>
      <c r="F1007" s="7" t="str" cm="1">
        <f t="array" ref="F1007">_xlfn.IFS(Healthcare!$E1007&lt;5.7,"normal",Healthcare!$E1007&lt;=6.4,"prediabetes",Healthcare!$E1007&gt;=6.5,"diabetes")</f>
        <v>normal</v>
      </c>
      <c r="G1007" s="7" t="s">
        <v>20</v>
      </c>
      <c r="H1007" s="7" t="s">
        <v>19</v>
      </c>
      <c r="I1007" s="7" t="s">
        <v>29</v>
      </c>
      <c r="J1007" s="7">
        <v>1</v>
      </c>
      <c r="K1007" s="7" t="s">
        <v>19</v>
      </c>
      <c r="L1007" s="7" t="str">
        <f>VLOOKUP(Healthcare!$A1007,hospital_details,2,0)</f>
        <v>25-Jun-1969</v>
      </c>
      <c r="M1007" s="7">
        <f t="shared" ref="M1007:M1070" ca="1" si="6029">VLOOKUP(A1007,hospital_details,3,0)</f>
        <v>57</v>
      </c>
      <c r="N1007" s="7">
        <f t="shared" ref="N1007:N1070" si="6030">VLOOKUP($A1007,hospital_details,4,0)</f>
        <v>2</v>
      </c>
      <c r="O1007" s="8">
        <f t="shared" ref="O1007:O1070" si="6031">VLOOKUP($A1007,hospital_details,5,0)</f>
        <v>11163.57</v>
      </c>
      <c r="P1007" s="7" t="str">
        <f t="shared" ref="P1007:P1070" si="6032">VLOOKUP($A1007,hospital_details,6,0)</f>
        <v>tier - 3</v>
      </c>
      <c r="Q1007" s="7" t="str">
        <f t="shared" ref="Q1007:Q1070" si="6033">VLOOKUP($A1007,hospital_details,7,0)</f>
        <v>tier - 2</v>
      </c>
      <c r="R1007" s="7" t="str">
        <f t="shared" ref="R1007:R1070" si="6034">VLOOKUP($A1007,hospital_details,8,0)</f>
        <v>R1011</v>
      </c>
    </row>
    <row r="1008" spans="1:18" ht="14.4" customHeight="1" x14ac:dyDescent="0.3">
      <c r="A1008" s="5" t="s">
        <v>1028</v>
      </c>
      <c r="B1008" s="5" t="str">
        <f>VLOOKUP($A1008,[1]!Customer_Names[#Data],3,0)</f>
        <v xml:space="preserve">  Teresa P</v>
      </c>
      <c r="C1008" s="5">
        <v>26.7</v>
      </c>
      <c r="D1008" s="5" t="str" cm="1">
        <f t="array" ref="D1008">_xlfn.IFS(Healthcare!$C1008&lt;18.5,"under weight",Healthcare!$C1008&lt;=24.9,"Normal Weight",Healthcare!$C1008&gt;=25,"overweight",Healthcare!$C1008&gt;=30,"obese")</f>
        <v>overweight</v>
      </c>
      <c r="E1008" s="5">
        <v>5.09</v>
      </c>
      <c r="F1008" s="5" t="str" cm="1">
        <f t="array" ref="F1008">_xlfn.IFS(Healthcare!$E1008&lt;5.7,"normal",Healthcare!$E1008&lt;=6.4,"prediabetes",Healthcare!$E1008&gt;=6.5,"diabetes")</f>
        <v>normal</v>
      </c>
      <c r="G1008" s="5" t="s">
        <v>20</v>
      </c>
      <c r="H1008" s="5" t="s">
        <v>19</v>
      </c>
      <c r="I1008" s="5" t="s">
        <v>29</v>
      </c>
      <c r="J1008" s="5">
        <v>1</v>
      </c>
      <c r="K1008" s="5" t="s">
        <v>19</v>
      </c>
      <c r="L1008" s="5" t="str">
        <f>VLOOKUP(Healthcare!$A1008,hospital_details,2,0)</f>
        <v>30-Nov-1969</v>
      </c>
      <c r="M1008" s="5">
        <f t="shared" ref="M1008:M1071" ca="1" si="6035">VLOOKUP(A1008,hospital_details,3,0)</f>
        <v>56</v>
      </c>
      <c r="N1008" s="5">
        <f t="shared" ref="N1008:N1071" si="6036">VLOOKUP($A1008,hospital_details,4,0)</f>
        <v>2</v>
      </c>
      <c r="O1008" s="6">
        <f t="shared" ref="O1008:O1071" si="6037">VLOOKUP($A1008,hospital_details,5,0)</f>
        <v>11150.78</v>
      </c>
      <c r="P1008" s="5" t="str">
        <f t="shared" ref="P1008:P1071" si="6038">VLOOKUP($A1008,hospital_details,6,0)</f>
        <v>tier - 3</v>
      </c>
      <c r="Q1008" s="5" t="str">
        <f t="shared" ref="Q1008:Q1071" si="6039">VLOOKUP($A1008,hospital_details,7,0)</f>
        <v>tier - 2</v>
      </c>
      <c r="R1008" s="5" t="str">
        <f t="shared" ref="R1008:R1071" si="6040">VLOOKUP($A1008,hospital_details,8,0)</f>
        <v>R1011</v>
      </c>
    </row>
    <row r="1009" spans="1:18" ht="14.4" customHeight="1" x14ac:dyDescent="0.3">
      <c r="A1009" s="7" t="s">
        <v>1029</v>
      </c>
      <c r="B1009" s="7" t="str">
        <f>VLOOKUP($A1009,[1]!Customer_Names[#Data],3,0)</f>
        <v xml:space="preserve">  Dorian</v>
      </c>
      <c r="C1009" s="7">
        <v>33.71</v>
      </c>
      <c r="D1009" s="7" t="str" cm="1">
        <f t="array" ref="D1009">_xlfn.IFS(Healthcare!$C1009&lt;18.5,"under weight",Healthcare!$C1009&lt;=24.9,"Normal Weight",Healthcare!$C1009&gt;=25,"overweight",Healthcare!$C1009&gt;=30,"obese")</f>
        <v>overweight</v>
      </c>
      <c r="E1009" s="7">
        <v>4.9400000000000004</v>
      </c>
      <c r="F1009" s="7" t="str" cm="1">
        <f t="array" ref="F1009">_xlfn.IFS(Healthcare!$E1009&lt;5.7,"normal",Healthcare!$E1009&lt;=6.4,"prediabetes",Healthcare!$E1009&gt;=6.5,"diabetes")</f>
        <v>normal</v>
      </c>
      <c r="G1009" s="7" t="s">
        <v>19</v>
      </c>
      <c r="H1009" s="7" t="s">
        <v>19</v>
      </c>
      <c r="I1009" s="7" t="s">
        <v>19</v>
      </c>
      <c r="J1009" s="7">
        <v>0</v>
      </c>
      <c r="K1009" s="7" t="s">
        <v>19</v>
      </c>
      <c r="L1009" s="7" t="str">
        <f>VLOOKUP(Healthcare!$A1009,hospital_details,2,0)</f>
        <v>20-Aug-1980</v>
      </c>
      <c r="M1009" s="7">
        <f t="shared" ref="M1009:M1072" ca="1" si="6041">VLOOKUP(A1009,hospital_details,3,0)</f>
        <v>46</v>
      </c>
      <c r="N1009" s="7">
        <f t="shared" ref="N1009:N1072" si="6042">VLOOKUP($A1009,hospital_details,4,0)</f>
        <v>2</v>
      </c>
      <c r="O1009" s="8">
        <f t="shared" ref="O1009:O1072" si="6043">VLOOKUP($A1009,hospital_details,5,0)</f>
        <v>11103.33</v>
      </c>
      <c r="P1009" s="7" t="str">
        <f t="shared" ref="P1009:P1072" si="6044">VLOOKUP($A1009,hospital_details,6,0)</f>
        <v>tier - 3</v>
      </c>
      <c r="Q1009" s="7" t="str">
        <f t="shared" ref="Q1009:Q1072" si="6045">VLOOKUP($A1009,hospital_details,7,0)</f>
        <v>tier - 1</v>
      </c>
      <c r="R1009" s="7" t="str">
        <f t="shared" ref="R1009:R1072" si="6046">VLOOKUP($A1009,hospital_details,8,0)</f>
        <v>R1021</v>
      </c>
    </row>
    <row r="1010" spans="1:18" ht="14.4" customHeight="1" x14ac:dyDescent="0.3">
      <c r="A1010" s="5" t="s">
        <v>1030</v>
      </c>
      <c r="B1010" s="5" t="str">
        <f>VLOOKUP($A1010,[1]!Customer_Names[#Data],3,0)</f>
        <v xml:space="preserve">  Amy</v>
      </c>
      <c r="C1010" s="5">
        <v>41.91</v>
      </c>
      <c r="D1010" s="5" t="str" cm="1">
        <f t="array" ref="D1010">_xlfn.IFS(Healthcare!$C1010&lt;18.5,"under weight",Healthcare!$C1010&lt;=24.9,"Normal Weight",Healthcare!$C1010&gt;=25,"overweight",Healthcare!$C1010&gt;=30,"obese")</f>
        <v>overweight</v>
      </c>
      <c r="E1010" s="5">
        <v>4.92</v>
      </c>
      <c r="F1010" s="5" t="str" cm="1">
        <f t="array" ref="F1010">_xlfn.IFS(Healthcare!$E1010&lt;5.7,"normal",Healthcare!$E1010&lt;=6.4,"prediabetes",Healthcare!$E1010&gt;=6.5,"diabetes")</f>
        <v>normal</v>
      </c>
      <c r="G1010" s="5" t="s">
        <v>20</v>
      </c>
      <c r="H1010" s="5" t="s">
        <v>19</v>
      </c>
      <c r="I1010" s="5" t="s">
        <v>19</v>
      </c>
      <c r="J1010" s="5">
        <v>2</v>
      </c>
      <c r="K1010" s="5" t="s">
        <v>19</v>
      </c>
      <c r="L1010" s="5" t="str">
        <f>VLOOKUP(Healthcare!$A1010,hospital_details,2,0)</f>
        <v>5-Jul-1966</v>
      </c>
      <c r="M1010" s="5">
        <f t="shared" ref="M1010:M1073" ca="1" si="6047">VLOOKUP(A1010,hospital_details,3,0)</f>
        <v>60</v>
      </c>
      <c r="N1010" s="5">
        <f t="shared" ref="N1010:N1073" si="6048">VLOOKUP($A1010,hospital_details,4,0)</f>
        <v>0</v>
      </c>
      <c r="O1010" s="6">
        <f t="shared" ref="O1010:O1073" si="6049">VLOOKUP($A1010,hospital_details,5,0)</f>
        <v>11093.62</v>
      </c>
      <c r="P1010" s="5" t="str">
        <f t="shared" ref="P1010:P1073" si="6050">VLOOKUP($A1010,hospital_details,6,0)</f>
        <v>tier - 3</v>
      </c>
      <c r="Q1010" s="5" t="str">
        <f t="shared" ref="Q1010:Q1073" si="6051">VLOOKUP($A1010,hospital_details,7,0)</f>
        <v>tier - 1</v>
      </c>
      <c r="R1010" s="5" t="str">
        <f t="shared" ref="R1010:R1073" si="6052">VLOOKUP($A1010,hospital_details,8,0)</f>
        <v>R1013</v>
      </c>
    </row>
    <row r="1011" spans="1:18" ht="14.4" customHeight="1" x14ac:dyDescent="0.3">
      <c r="A1011" s="7" t="s">
        <v>1031</v>
      </c>
      <c r="B1011" s="7" t="str">
        <f>VLOOKUP($A1011,[1]!Customer_Names[#Data],3,0)</f>
        <v xml:space="preserve">  Aberu</v>
      </c>
      <c r="C1011" s="7">
        <v>39.82</v>
      </c>
      <c r="D1011" s="7" t="str" cm="1">
        <f t="array" ref="D1011">_xlfn.IFS(Healthcare!$C1011&lt;18.5,"under weight",Healthcare!$C1011&lt;=24.9,"Normal Weight",Healthcare!$C1011&gt;=25,"overweight",Healthcare!$C1011&gt;=30,"obese")</f>
        <v>overweight</v>
      </c>
      <c r="E1011" s="7">
        <v>6.05</v>
      </c>
      <c r="F1011" s="7" t="str" cm="1">
        <f t="array" ref="F1011">_xlfn.IFS(Healthcare!$E1011&lt;5.7,"normal",Healthcare!$E1011&lt;=6.4,"prediabetes",Healthcare!$E1011&gt;=6.5,"diabetes")</f>
        <v>prediabetes</v>
      </c>
      <c r="G1011" s="7" t="s">
        <v>20</v>
      </c>
      <c r="H1011" s="7" t="s">
        <v>19</v>
      </c>
      <c r="I1011" s="7" t="s">
        <v>19</v>
      </c>
      <c r="J1011" s="7">
        <v>2</v>
      </c>
      <c r="K1011" s="7" t="s">
        <v>19</v>
      </c>
      <c r="L1011" s="7" t="str">
        <f>VLOOKUP(Healthcare!$A1011,hospital_details,2,0)</f>
        <v>9-Sep-1966</v>
      </c>
      <c r="M1011" s="7">
        <f t="shared" ref="M1011:M1074" ca="1" si="6053">VLOOKUP(A1011,hospital_details,3,0)</f>
        <v>60</v>
      </c>
      <c r="N1011" s="7">
        <f t="shared" ref="N1011:N1074" si="6054">VLOOKUP($A1011,hospital_details,4,0)</f>
        <v>0</v>
      </c>
      <c r="O1011" s="8">
        <f t="shared" ref="O1011:O1074" si="6055">VLOOKUP($A1011,hospital_details,5,0)</f>
        <v>11090.72</v>
      </c>
      <c r="P1011" s="7" t="str">
        <f t="shared" ref="P1011:P1074" si="6056">VLOOKUP($A1011,hospital_details,6,0)</f>
        <v>tier - 3</v>
      </c>
      <c r="Q1011" s="7" t="str">
        <f t="shared" ref="Q1011:Q1074" si="6057">VLOOKUP($A1011,hospital_details,7,0)</f>
        <v>tier - 1</v>
      </c>
      <c r="R1011" s="7" t="str">
        <f t="shared" ref="R1011:R1074" si="6058">VLOOKUP($A1011,hospital_details,8,0)</f>
        <v>R1013</v>
      </c>
    </row>
    <row r="1012" spans="1:18" ht="14.4" customHeight="1" x14ac:dyDescent="0.3">
      <c r="A1012" s="5" t="s">
        <v>1032</v>
      </c>
      <c r="B1012" s="5" t="str">
        <f>VLOOKUP($A1012,[1]!Customer_Names[#Data],3,0)</f>
        <v xml:space="preserve">  Ashley</v>
      </c>
      <c r="C1012" s="5">
        <v>28.12</v>
      </c>
      <c r="D1012" s="5" t="str" cm="1">
        <f t="array" ref="D1012">_xlfn.IFS(Healthcare!$C1012&lt;18.5,"under weight",Healthcare!$C1012&lt;=24.9,"Normal Weight",Healthcare!$C1012&gt;=25,"overweight",Healthcare!$C1012&gt;=30,"obese")</f>
        <v>overweight</v>
      </c>
      <c r="E1012" s="5">
        <v>4.67</v>
      </c>
      <c r="F1012" s="5" t="str" cm="1">
        <f t="array" ref="F1012">_xlfn.IFS(Healthcare!$E1012&lt;5.7,"normal",Healthcare!$E1012&lt;=6.4,"prediabetes",Healthcare!$E1012&gt;=6.5,"diabetes")</f>
        <v>normal</v>
      </c>
      <c r="G1012" s="5" t="s">
        <v>19</v>
      </c>
      <c r="H1012" s="5" t="s">
        <v>19</v>
      </c>
      <c r="I1012" s="5" t="s">
        <v>19</v>
      </c>
      <c r="J1012" s="5">
        <v>2</v>
      </c>
      <c r="K1012" s="5" t="s">
        <v>19</v>
      </c>
      <c r="L1012" s="5" t="str">
        <f>VLOOKUP(Healthcare!$A1012,hospital_details,2,0)</f>
        <v>7-Oct-1972</v>
      </c>
      <c r="M1012" s="5">
        <f t="shared" ref="M1012:M1075" ca="1" si="6059">VLOOKUP(A1012,hospital_details,3,0)</f>
        <v>54</v>
      </c>
      <c r="N1012" s="5">
        <f t="shared" ref="N1012:N1075" si="6060">VLOOKUP($A1012,hospital_details,4,0)</f>
        <v>3</v>
      </c>
      <c r="O1012" s="6">
        <f t="shared" ref="O1012:O1075" si="6061">VLOOKUP($A1012,hospital_details,5,0)</f>
        <v>11085.59</v>
      </c>
      <c r="P1012" s="5" t="str">
        <f t="shared" ref="P1012:P1075" si="6062">VLOOKUP($A1012,hospital_details,6,0)</f>
        <v>tier - 3</v>
      </c>
      <c r="Q1012" s="5" t="str">
        <f t="shared" ref="Q1012:Q1075" si="6063">VLOOKUP($A1012,hospital_details,7,0)</f>
        <v>tier - 2</v>
      </c>
      <c r="R1012" s="5" t="str">
        <f t="shared" ref="R1012:R1075" si="6064">VLOOKUP($A1012,hospital_details,8,0)</f>
        <v>R1012</v>
      </c>
    </row>
    <row r="1013" spans="1:18" ht="14.4" customHeight="1" x14ac:dyDescent="0.3">
      <c r="A1013" s="7" t="s">
        <v>1033</v>
      </c>
      <c r="B1013" s="7" t="str">
        <f>VLOOKUP($A1013,[1]!Customer_Names[#Data],3,0)</f>
        <v xml:space="preserve">  Anna E</v>
      </c>
      <c r="C1013" s="7">
        <v>26.98</v>
      </c>
      <c r="D1013" s="7" t="str" cm="1">
        <f t="array" ref="D1013">_xlfn.IFS(Healthcare!$C1013&lt;18.5,"under weight",Healthcare!$C1013&lt;=24.9,"Normal Weight",Healthcare!$C1013&gt;=25,"overweight",Healthcare!$C1013&gt;=30,"obese")</f>
        <v>overweight</v>
      </c>
      <c r="E1013" s="7">
        <v>9.81</v>
      </c>
      <c r="F1013" s="7" t="str" cm="1">
        <f t="array" ref="F1013">_xlfn.IFS(Healthcare!$E1013&lt;5.7,"normal",Healthcare!$E1013&lt;=6.4,"prediabetes",Healthcare!$E1013&gt;=6.5,"diabetes")</f>
        <v>diabetes</v>
      </c>
      <c r="G1013" s="7" t="s">
        <v>20</v>
      </c>
      <c r="H1013" s="7" t="s">
        <v>19</v>
      </c>
      <c r="I1013" s="7" t="s">
        <v>19</v>
      </c>
      <c r="J1013" s="7">
        <v>0</v>
      </c>
      <c r="K1013" s="7" t="s">
        <v>19</v>
      </c>
      <c r="L1013" s="7" t="str">
        <f>VLOOKUP(Healthcare!$A1013,hospital_details,2,0)</f>
        <v>4-Sep-1967</v>
      </c>
      <c r="M1013" s="7">
        <f t="shared" ref="M1013:M1076" ca="1" si="6065">VLOOKUP(A1013,hospital_details,3,0)</f>
        <v>59</v>
      </c>
      <c r="N1013" s="7">
        <f t="shared" ref="N1013:N1076" si="6066">VLOOKUP($A1013,hospital_details,4,0)</f>
        <v>0</v>
      </c>
      <c r="O1013" s="8">
        <f t="shared" ref="O1013:O1076" si="6067">VLOOKUP($A1013,hospital_details,5,0)</f>
        <v>11082.58</v>
      </c>
      <c r="P1013" s="7" t="str">
        <f t="shared" ref="P1013:P1076" si="6068">VLOOKUP($A1013,hospital_details,6,0)</f>
        <v>tier - 3</v>
      </c>
      <c r="Q1013" s="7" t="str">
        <f t="shared" ref="Q1013:Q1076" si="6069">VLOOKUP($A1013,hospital_details,7,0)</f>
        <v>tier - 2</v>
      </c>
      <c r="R1013" s="7" t="str">
        <f t="shared" ref="R1013:R1076" si="6070">VLOOKUP($A1013,hospital_details,8,0)</f>
        <v>R1012</v>
      </c>
    </row>
    <row r="1014" spans="1:18" ht="14.4" customHeight="1" x14ac:dyDescent="0.3">
      <c r="A1014" s="5" t="s">
        <v>1034</v>
      </c>
      <c r="B1014" s="5" t="str">
        <f>VLOOKUP($A1014,[1]!Customer_Names[#Data],3,0)</f>
        <v xml:space="preserve">  Tania K</v>
      </c>
      <c r="C1014" s="5">
        <v>27.2</v>
      </c>
      <c r="D1014" s="5" t="str" cm="1">
        <f t="array" ref="D1014">_xlfn.IFS(Healthcare!$C1014&lt;18.5,"under weight",Healthcare!$C1014&lt;=24.9,"Normal Weight",Healthcare!$C1014&gt;=25,"overweight",Healthcare!$C1014&gt;=30,"obese")</f>
        <v>overweight</v>
      </c>
      <c r="E1014" s="5">
        <v>6.06</v>
      </c>
      <c r="F1014" s="5" t="str" cm="1">
        <f t="array" ref="F1014">_xlfn.IFS(Healthcare!$E1014&lt;5.7,"normal",Healthcare!$E1014&lt;=6.4,"prediabetes",Healthcare!$E1014&gt;=6.5,"diabetes")</f>
        <v>prediabetes</v>
      </c>
      <c r="G1014" s="5" t="s">
        <v>20</v>
      </c>
      <c r="H1014" s="5" t="s">
        <v>19</v>
      </c>
      <c r="I1014" s="5" t="s">
        <v>19</v>
      </c>
      <c r="J1014" s="5">
        <v>2</v>
      </c>
      <c r="K1014" s="5" t="s">
        <v>19</v>
      </c>
      <c r="L1014" s="5" t="str">
        <f>VLOOKUP(Healthcare!$A1014,hospital_details,2,0)</f>
        <v>20-Nov-1966</v>
      </c>
      <c r="M1014" s="5">
        <f t="shared" ref="M1014:M1077" ca="1" si="6071">VLOOKUP(A1014,hospital_details,3,0)</f>
        <v>59</v>
      </c>
      <c r="N1014" s="5">
        <f t="shared" ref="N1014:N1077" si="6072">VLOOKUP($A1014,hospital_details,4,0)</f>
        <v>0</v>
      </c>
      <c r="O1014" s="6">
        <f t="shared" ref="O1014:O1077" si="6073">VLOOKUP($A1014,hospital_details,5,0)</f>
        <v>11073.18</v>
      </c>
      <c r="P1014" s="5" t="str">
        <f t="shared" ref="P1014:P1077" si="6074">VLOOKUP($A1014,hospital_details,6,0)</f>
        <v>tier - 3</v>
      </c>
      <c r="Q1014" s="5" t="str">
        <f t="shared" ref="Q1014:Q1077" si="6075">VLOOKUP($A1014,hospital_details,7,0)</f>
        <v>tier - 3</v>
      </c>
      <c r="R1014" s="5" t="str">
        <f t="shared" ref="R1014:R1077" si="6076">VLOOKUP($A1014,hospital_details,8,0)</f>
        <v>R1011</v>
      </c>
    </row>
    <row r="1015" spans="1:18" ht="14.4" customHeight="1" x14ac:dyDescent="0.3">
      <c r="A1015" s="7" t="s">
        <v>1035</v>
      </c>
      <c r="B1015" s="7" t="str">
        <f>VLOOKUP($A1015,[1]!Customer_Names[#Data],3,0)</f>
        <v xml:space="preserve">  Ashley E</v>
      </c>
      <c r="C1015" s="7">
        <v>25.3</v>
      </c>
      <c r="D1015" s="7" t="str" cm="1">
        <f t="array" ref="D1015">_xlfn.IFS(Healthcare!$C1015&lt;18.5,"under weight",Healthcare!$C1015&lt;=24.9,"Normal Weight",Healthcare!$C1015&gt;=25,"overweight",Healthcare!$C1015&gt;=30,"obese")</f>
        <v>overweight</v>
      </c>
      <c r="E1015" s="7">
        <v>5.19</v>
      </c>
      <c r="F1015" s="7" t="str" cm="1">
        <f t="array" ref="F1015">_xlfn.IFS(Healthcare!$E1015&lt;5.7,"normal",Healthcare!$E1015&lt;=6.4,"prediabetes",Healthcare!$E1015&gt;=6.5,"diabetes")</f>
        <v>normal</v>
      </c>
      <c r="G1015" s="7" t="s">
        <v>20</v>
      </c>
      <c r="H1015" s="7" t="s">
        <v>19</v>
      </c>
      <c r="I1015" s="7" t="s">
        <v>19</v>
      </c>
      <c r="J1015" s="7">
        <v>2</v>
      </c>
      <c r="K1015" s="7" t="s">
        <v>19</v>
      </c>
      <c r="L1015" s="7" t="str">
        <f>VLOOKUP(Healthcare!$A1015,hospital_details,2,0)</f>
        <v>7-Nov-1966</v>
      </c>
      <c r="M1015" s="7">
        <f t="shared" ref="M1015:M1078" ca="1" si="6077">VLOOKUP(A1015,hospital_details,3,0)</f>
        <v>59</v>
      </c>
      <c r="N1015" s="7">
        <f t="shared" ref="N1015:N1078" si="6078">VLOOKUP($A1015,hospital_details,4,0)</f>
        <v>0</v>
      </c>
      <c r="O1015" s="8">
        <f t="shared" ref="O1015:O1078" si="6079">VLOOKUP($A1015,hospital_details,5,0)</f>
        <v>11070.54</v>
      </c>
      <c r="P1015" s="7" t="str">
        <f t="shared" ref="P1015:P1078" si="6080">VLOOKUP($A1015,hospital_details,6,0)</f>
        <v>tier - 3</v>
      </c>
      <c r="Q1015" s="7" t="str">
        <f t="shared" ref="Q1015:Q1078" si="6081">VLOOKUP($A1015,hospital_details,7,0)</f>
        <v>tier - 3</v>
      </c>
      <c r="R1015" s="7" t="str">
        <f t="shared" ref="R1015:R1078" si="6082">VLOOKUP($A1015,hospital_details,8,0)</f>
        <v>R1011</v>
      </c>
    </row>
    <row r="1016" spans="1:18" ht="14.4" customHeight="1" x14ac:dyDescent="0.3">
      <c r="A1016" s="5" t="s">
        <v>1036</v>
      </c>
      <c r="B1016" s="5" t="str">
        <f>VLOOKUP($A1016,[1]!Customer_Names[#Data],3,0)</f>
        <v xml:space="preserve">  Aleksandra</v>
      </c>
      <c r="C1016" s="5">
        <v>30.25</v>
      </c>
      <c r="D1016" s="5" t="str" cm="1">
        <f t="array" ref="D1016">_xlfn.IFS(Healthcare!$C1016&lt;18.5,"under weight",Healthcare!$C1016&lt;=24.9,"Normal Weight",Healthcare!$C1016&gt;=25,"overweight",Healthcare!$C1016&gt;=30,"obese")</f>
        <v>overweight</v>
      </c>
      <c r="E1016" s="5">
        <v>10.16</v>
      </c>
      <c r="F1016" s="5" t="str" cm="1">
        <f t="array" ref="F1016">_xlfn.IFS(Healthcare!$E1016&lt;5.7,"normal",Healthcare!$E1016&lt;=6.4,"prediabetes",Healthcare!$E1016&gt;=6.5,"diabetes")</f>
        <v>diabetes</v>
      </c>
      <c r="G1016" s="5" t="s">
        <v>19</v>
      </c>
      <c r="H1016" s="5" t="s">
        <v>19</v>
      </c>
      <c r="I1016" s="5" t="s">
        <v>19</v>
      </c>
      <c r="J1016" s="5">
        <v>0</v>
      </c>
      <c r="K1016" s="5" t="s">
        <v>19</v>
      </c>
      <c r="L1016" s="5" t="str">
        <f>VLOOKUP(Healthcare!$A1016,hospital_details,2,0)</f>
        <v>9-Nov-1971</v>
      </c>
      <c r="M1016" s="5">
        <f t="shared" ref="M1016:M1079" ca="1" si="6083">VLOOKUP(A1016,hospital_details,3,0)</f>
        <v>54</v>
      </c>
      <c r="N1016" s="5">
        <f t="shared" ref="N1016:N1079" si="6084">VLOOKUP($A1016,hospital_details,4,0)</f>
        <v>0</v>
      </c>
      <c r="O1016" s="6">
        <f t="shared" ref="O1016:O1079" si="6085">VLOOKUP($A1016,hospital_details,5,0)</f>
        <v>11068.77</v>
      </c>
      <c r="P1016" s="5" t="str">
        <f t="shared" ref="P1016:P1079" si="6086">VLOOKUP($A1016,hospital_details,6,0)</f>
        <v>tier - 3</v>
      </c>
      <c r="Q1016" s="5" t="str">
        <f t="shared" ref="Q1016:Q1079" si="6087">VLOOKUP($A1016,hospital_details,7,0)</f>
        <v>tier - 2</v>
      </c>
      <c r="R1016" s="5" t="str">
        <f t="shared" ref="R1016:R1079" si="6088">VLOOKUP($A1016,hospital_details,8,0)</f>
        <v>R1012</v>
      </c>
    </row>
    <row r="1017" spans="1:18" ht="14.4" customHeight="1" x14ac:dyDescent="0.3">
      <c r="A1017" s="7" t="s">
        <v>1037</v>
      </c>
      <c r="B1017" s="7" t="str">
        <f>VLOOKUP($A1017,[1]!Customer_Names[#Data],3,0)</f>
        <v xml:space="preserve">  Valery L</v>
      </c>
      <c r="C1017" s="7">
        <v>54</v>
      </c>
      <c r="D1017" s="7" t="str" cm="1">
        <f t="array" ref="D1017">_xlfn.IFS(Healthcare!$C1017&lt;18.5,"under weight",Healthcare!$C1017&lt;=24.9,"Normal Weight",Healthcare!$C1017&gt;=25,"overweight",Healthcare!$C1017&gt;=30,"obese")</f>
        <v>overweight</v>
      </c>
      <c r="E1017" s="7">
        <v>4.68</v>
      </c>
      <c r="F1017" s="7" t="str" cm="1">
        <f t="array" ref="F1017">_xlfn.IFS(Healthcare!$E1017&lt;5.7,"normal",Healthcare!$E1017&lt;=6.4,"prediabetes",Healthcare!$E1017&gt;=6.5,"diabetes")</f>
        <v>normal</v>
      </c>
      <c r="G1017" s="7" t="s">
        <v>20</v>
      </c>
      <c r="H1017" s="7" t="s">
        <v>20</v>
      </c>
      <c r="I1017" s="7" t="s">
        <v>19</v>
      </c>
      <c r="J1017" s="7">
        <v>2</v>
      </c>
      <c r="K1017" s="7" t="s">
        <v>19</v>
      </c>
      <c r="L1017" s="7" t="str">
        <f>VLOOKUP(Healthcare!$A1017,hospital_details,2,0)</f>
        <v>18-Sep-2000</v>
      </c>
      <c r="M1017" s="7">
        <f t="shared" ref="M1017:M1080" ca="1" si="6089">VLOOKUP(A1017,hospital_details,3,0)</f>
        <v>26</v>
      </c>
      <c r="N1017" s="7">
        <f t="shared" ref="N1017:N1080" si="6090">VLOOKUP($A1017,hospital_details,4,0)</f>
        <v>0</v>
      </c>
      <c r="O1017" s="8">
        <f t="shared" ref="O1017:O1080" si="6091">VLOOKUP($A1017,hospital_details,5,0)</f>
        <v>11068.7</v>
      </c>
      <c r="P1017" s="7" t="str">
        <f t="shared" ref="P1017:P1080" si="6092">VLOOKUP($A1017,hospital_details,6,0)</f>
        <v>tier - 3</v>
      </c>
      <c r="Q1017" s="7" t="str">
        <f t="shared" ref="Q1017:Q1080" si="6093">VLOOKUP($A1017,hospital_details,7,0)</f>
        <v>tier - 1</v>
      </c>
      <c r="R1017" s="7" t="str">
        <f t="shared" ref="R1017:R1080" si="6094">VLOOKUP($A1017,hospital_details,8,0)</f>
        <v>R1011</v>
      </c>
    </row>
    <row r="1018" spans="1:18" ht="14.4" customHeight="1" x14ac:dyDescent="0.3">
      <c r="A1018" s="5" t="s">
        <v>1038</v>
      </c>
      <c r="B1018" s="5" t="str">
        <f>VLOOKUP($A1018,[1]!Customer_Names[#Data],3,0)</f>
        <v xml:space="preserve">  Joanna G</v>
      </c>
      <c r="C1018" s="5">
        <v>51.86</v>
      </c>
      <c r="D1018" s="5" t="str" cm="1">
        <f t="array" ref="D1018">_xlfn.IFS(Healthcare!$C1018&lt;18.5,"under weight",Healthcare!$C1018&lt;=24.9,"Normal Weight",Healthcare!$C1018&gt;=25,"overweight",Healthcare!$C1018&gt;=30,"obese")</f>
        <v>overweight</v>
      </c>
      <c r="E1018" s="5">
        <v>5.32</v>
      </c>
      <c r="F1018" s="5" t="str" cm="1">
        <f t="array" ref="F1018">_xlfn.IFS(Healthcare!$E1018&lt;5.7,"normal",Healthcare!$E1018&lt;=6.4,"prediabetes",Healthcare!$E1018&gt;=6.5,"diabetes")</f>
        <v>normal</v>
      </c>
      <c r="G1018" s="5" t="s">
        <v>20</v>
      </c>
      <c r="H1018" s="5" t="s">
        <v>19</v>
      </c>
      <c r="I1018" s="5" t="s">
        <v>19</v>
      </c>
      <c r="J1018" s="5">
        <v>0</v>
      </c>
      <c r="K1018" s="5" t="s">
        <v>19</v>
      </c>
      <c r="L1018" s="5" t="str">
        <f>VLOOKUP(Healthcare!$A1018,hospital_details,2,0)</f>
        <v>17-Dec-2001</v>
      </c>
      <c r="M1018" s="5">
        <f t="shared" ref="M1018:M1081" ca="1" si="6095">VLOOKUP(A1018,hospital_details,3,0)</f>
        <v>24</v>
      </c>
      <c r="N1018" s="5">
        <f t="shared" ref="N1018:N1081" si="6096">VLOOKUP($A1018,hospital_details,4,0)</f>
        <v>0</v>
      </c>
      <c r="O1018" s="6">
        <f t="shared" ref="O1018:O1081" si="6097">VLOOKUP($A1018,hospital_details,5,0)</f>
        <v>11046.02</v>
      </c>
      <c r="P1018" s="5" t="str">
        <f t="shared" ref="P1018:P1081" si="6098">VLOOKUP($A1018,hospital_details,6,0)</f>
        <v>tier - 3</v>
      </c>
      <c r="Q1018" s="5" t="str">
        <f t="shared" ref="Q1018:Q1081" si="6099">VLOOKUP($A1018,hospital_details,7,0)</f>
        <v>tier - 1</v>
      </c>
      <c r="R1018" s="5" t="str">
        <f t="shared" ref="R1018:R1081" si="6100">VLOOKUP($A1018,hospital_details,8,0)</f>
        <v>R1026</v>
      </c>
    </row>
    <row r="1019" spans="1:18" ht="14.4" customHeight="1" x14ac:dyDescent="0.3">
      <c r="A1019" s="7" t="s">
        <v>1039</v>
      </c>
      <c r="B1019" s="7" t="str">
        <f>VLOOKUP($A1019,[1]!Customer_Names[#Data],3,0)</f>
        <v xml:space="preserve">  Stefanie F</v>
      </c>
      <c r="C1019" s="7">
        <v>31.39</v>
      </c>
      <c r="D1019" s="7" t="str" cm="1">
        <f t="array" ref="D1019">_xlfn.IFS(Healthcare!$C1019&lt;18.5,"under weight",Healthcare!$C1019&lt;=24.9,"Normal Weight",Healthcare!$C1019&gt;=25,"overweight",Healthcare!$C1019&gt;=30,"obese")</f>
        <v>overweight</v>
      </c>
      <c r="E1019" s="7">
        <v>6.99</v>
      </c>
      <c r="F1019" s="7" t="str" cm="1">
        <f t="array" ref="F1019">_xlfn.IFS(Healthcare!$E1019&lt;5.7,"normal",Healthcare!$E1019&lt;=6.4,"prediabetes",Healthcare!$E1019&gt;=6.5,"diabetes")</f>
        <v>diabetes</v>
      </c>
      <c r="G1019" s="7" t="s">
        <v>19</v>
      </c>
      <c r="H1019" s="7" t="s">
        <v>19</v>
      </c>
      <c r="I1019" s="7" t="s">
        <v>19</v>
      </c>
      <c r="J1019" s="7">
        <v>0</v>
      </c>
      <c r="K1019" s="7" t="s">
        <v>19</v>
      </c>
      <c r="L1019" s="7" t="str">
        <f>VLOOKUP(Healthcare!$A1019,hospital_details,2,0)</f>
        <v>30-Aug-1974</v>
      </c>
      <c r="M1019" s="7">
        <f t="shared" ref="M1019:M1082" ca="1" si="6101">VLOOKUP(A1019,hospital_details,3,0)</f>
        <v>52</v>
      </c>
      <c r="N1019" s="7">
        <f t="shared" ref="N1019:N1082" si="6102">VLOOKUP($A1019,hospital_details,4,0)</f>
        <v>0</v>
      </c>
      <c r="O1019" s="8">
        <f t="shared" ref="O1019:O1082" si="6103">VLOOKUP($A1019,hospital_details,5,0)</f>
        <v>11037.85</v>
      </c>
      <c r="P1019" s="7" t="str">
        <f t="shared" ref="P1019:P1082" si="6104">VLOOKUP($A1019,hospital_details,6,0)</f>
        <v>tier - 3</v>
      </c>
      <c r="Q1019" s="7" t="str">
        <f t="shared" ref="Q1019:Q1082" si="6105">VLOOKUP($A1019,hospital_details,7,0)</f>
        <v>tier - 2</v>
      </c>
      <c r="R1019" s="7" t="str">
        <f t="shared" ref="R1019:R1082" si="6106">VLOOKUP($A1019,hospital_details,8,0)</f>
        <v>R1025</v>
      </c>
    </row>
    <row r="1020" spans="1:18" ht="14.4" customHeight="1" x14ac:dyDescent="0.3">
      <c r="A1020" s="5" t="s">
        <v>1040</v>
      </c>
      <c r="B1020" s="5" t="str">
        <f>VLOOKUP($A1020,[1]!Customer_Names[#Data],3,0)</f>
        <v xml:space="preserve">  Stephen</v>
      </c>
      <c r="C1020" s="5">
        <v>39.97</v>
      </c>
      <c r="D1020" s="5" t="str" cm="1">
        <f t="array" ref="D1020">_xlfn.IFS(Healthcare!$C1020&lt;18.5,"under weight",Healthcare!$C1020&lt;=24.9,"Normal Weight",Healthcare!$C1020&gt;=25,"overweight",Healthcare!$C1020&gt;=30,"obese")</f>
        <v>overweight</v>
      </c>
      <c r="E1020" s="5">
        <v>5.55</v>
      </c>
      <c r="F1020" s="5" t="str" cm="1">
        <f t="array" ref="F1020">_xlfn.IFS(Healthcare!$E1020&lt;5.7,"normal",Healthcare!$E1020&lt;=6.4,"prediabetes",Healthcare!$E1020&gt;=6.5,"diabetes")</f>
        <v>normal</v>
      </c>
      <c r="G1020" s="5" t="s">
        <v>19</v>
      </c>
      <c r="H1020" s="5" t="s">
        <v>19</v>
      </c>
      <c r="I1020" s="5" t="s">
        <v>19</v>
      </c>
      <c r="J1020" s="5">
        <v>0</v>
      </c>
      <c r="K1020" s="5" t="s">
        <v>19</v>
      </c>
      <c r="L1020" s="5" t="str">
        <f>VLOOKUP(Healthcare!$A1020,hospital_details,2,0)</f>
        <v>25-Oct-1989</v>
      </c>
      <c r="M1020" s="5">
        <f t="shared" ref="M1020:M1083" ca="1" si="6107">VLOOKUP(A1020,hospital_details,3,0)</f>
        <v>36</v>
      </c>
      <c r="N1020" s="5">
        <f t="shared" ref="N1020:N1083" si="6108">VLOOKUP($A1020,hospital_details,4,0)</f>
        <v>3</v>
      </c>
      <c r="O1020" s="6">
        <f t="shared" ref="O1020:O1083" si="6109">VLOOKUP($A1020,hospital_details,5,0)</f>
        <v>11037.51</v>
      </c>
      <c r="P1020" s="5" t="str">
        <f t="shared" ref="P1020:P1083" si="6110">VLOOKUP($A1020,hospital_details,6,0)</f>
        <v>tier - 3</v>
      </c>
      <c r="Q1020" s="5" t="str">
        <f t="shared" ref="Q1020:Q1083" si="6111">VLOOKUP($A1020,hospital_details,7,0)</f>
        <v>tier - 1</v>
      </c>
      <c r="R1020" s="5" t="str">
        <f t="shared" ref="R1020:R1083" si="6112">VLOOKUP($A1020,hospital_details,8,0)</f>
        <v>R1012</v>
      </c>
    </row>
    <row r="1021" spans="1:18" ht="14.4" customHeight="1" x14ac:dyDescent="0.3">
      <c r="A1021" s="7" t="s">
        <v>1041</v>
      </c>
      <c r="B1021" s="7" t="str">
        <f>VLOOKUP($A1021,[1]!Customer_Names[#Data],3,0)</f>
        <v xml:space="preserve">  Liza J</v>
      </c>
      <c r="C1021" s="7">
        <v>41.23</v>
      </c>
      <c r="D1021" s="7" t="str" cm="1">
        <f t="array" ref="D1021">_xlfn.IFS(Healthcare!$C1021&lt;18.5,"under weight",Healthcare!$C1021&lt;=24.9,"Normal Weight",Healthcare!$C1021&gt;=25,"overweight",Healthcare!$C1021&gt;=30,"obese")</f>
        <v>overweight</v>
      </c>
      <c r="E1021" s="7">
        <v>6.94</v>
      </c>
      <c r="F1021" s="7" t="str" cm="1">
        <f t="array" ref="F1021">_xlfn.IFS(Healthcare!$E1021&lt;5.7,"normal",Healthcare!$E1021&lt;=6.4,"prediabetes",Healthcare!$E1021&gt;=6.5,"diabetes")</f>
        <v>diabetes</v>
      </c>
      <c r="G1021" s="7" t="s">
        <v>19</v>
      </c>
      <c r="H1021" s="7" t="s">
        <v>19</v>
      </c>
      <c r="I1021" s="7" t="s">
        <v>19</v>
      </c>
      <c r="J1021" s="7">
        <v>0</v>
      </c>
      <c r="K1021" s="7" t="s">
        <v>19</v>
      </c>
      <c r="L1021" s="7" t="str">
        <f>VLOOKUP(Healthcare!$A1021,hospital_details,2,0)</f>
        <v>10-Dec-1974</v>
      </c>
      <c r="M1021" s="7">
        <f t="shared" ref="M1021:M1084" ca="1" si="6113">VLOOKUP(A1021,hospital_details,3,0)</f>
        <v>51</v>
      </c>
      <c r="N1021" s="7">
        <f t="shared" ref="N1021:N1084" si="6114">VLOOKUP($A1021,hospital_details,4,0)</f>
        <v>4</v>
      </c>
      <c r="O1021" s="8">
        <f t="shared" ref="O1021:O1084" si="6115">VLOOKUP($A1021,hospital_details,5,0)</f>
        <v>11033.66</v>
      </c>
      <c r="P1021" s="7" t="str">
        <f t="shared" ref="P1021:P1084" si="6116">VLOOKUP($A1021,hospital_details,6,0)</f>
        <v>tier - 3</v>
      </c>
      <c r="Q1021" s="7" t="str">
        <f t="shared" ref="Q1021:Q1084" si="6117">VLOOKUP($A1021,hospital_details,7,0)</f>
        <v>tier - 3</v>
      </c>
      <c r="R1021" s="7" t="str">
        <f t="shared" ref="R1021:R1084" si="6118">VLOOKUP($A1021,hospital_details,8,0)</f>
        <v>R1012</v>
      </c>
    </row>
    <row r="1022" spans="1:18" ht="14.4" customHeight="1" x14ac:dyDescent="0.3">
      <c r="A1022" s="5" t="s">
        <v>1042</v>
      </c>
      <c r="B1022" s="5" t="str">
        <f>VLOOKUP($A1022,[1]!Customer_Names[#Data],3,0)</f>
        <v xml:space="preserve">  Ian M</v>
      </c>
      <c r="C1022" s="5">
        <v>49.45</v>
      </c>
      <c r="D1022" s="5" t="str" cm="1">
        <f t="array" ref="D1022">_xlfn.IFS(Healthcare!$C1022&lt;18.5,"under weight",Healthcare!$C1022&lt;=24.9,"Normal Weight",Healthcare!$C1022&gt;=25,"overweight",Healthcare!$C1022&gt;=30,"obese")</f>
        <v>overweight</v>
      </c>
      <c r="E1022" s="5">
        <v>4.2</v>
      </c>
      <c r="F1022" s="5" t="str" cm="1">
        <f t="array" ref="F1022">_xlfn.IFS(Healthcare!$E1022&lt;5.7,"normal",Healthcare!$E1022&lt;=6.4,"prediabetes",Healthcare!$E1022&gt;=6.5,"diabetes")</f>
        <v>normal</v>
      </c>
      <c r="G1022" s="5" t="s">
        <v>20</v>
      </c>
      <c r="H1022" s="5" t="s">
        <v>19</v>
      </c>
      <c r="I1022" s="5" t="s">
        <v>19</v>
      </c>
      <c r="J1022" s="5">
        <v>0</v>
      </c>
      <c r="K1022" s="5" t="s">
        <v>19</v>
      </c>
      <c r="L1022" s="5" t="str">
        <f>VLOOKUP(Healthcare!$A1022,hospital_details,2,0)</f>
        <v>21-Jul-1996</v>
      </c>
      <c r="M1022" s="5">
        <f t="shared" ref="M1022:M1085" ca="1" si="6119">VLOOKUP(A1022,hospital_details,3,0)</f>
        <v>30</v>
      </c>
      <c r="N1022" s="5">
        <f t="shared" ref="N1022:N1085" si="6120">VLOOKUP($A1022,hospital_details,4,0)</f>
        <v>0</v>
      </c>
      <c r="O1022" s="6">
        <f t="shared" ref="O1022:O1085" si="6121">VLOOKUP($A1022,hospital_details,5,0)</f>
        <v>11028.56</v>
      </c>
      <c r="P1022" s="5" t="str">
        <f t="shared" ref="P1022:P1085" si="6122">VLOOKUP($A1022,hospital_details,6,0)</f>
        <v>tier - 3</v>
      </c>
      <c r="Q1022" s="5" t="str">
        <f t="shared" ref="Q1022:Q1085" si="6123">VLOOKUP($A1022,hospital_details,7,0)</f>
        <v>tier - 3</v>
      </c>
      <c r="R1022" s="5" t="str">
        <f t="shared" ref="R1022:R1085" si="6124">VLOOKUP($A1022,hospital_details,8,0)</f>
        <v>R1012</v>
      </c>
    </row>
    <row r="1023" spans="1:18" ht="14.4" customHeight="1" x14ac:dyDescent="0.3">
      <c r="A1023" s="7" t="s">
        <v>1043</v>
      </c>
      <c r="B1023" s="7" t="str">
        <f>VLOOKUP($A1023,[1]!Customer_Names[#Data],3,0)</f>
        <v xml:space="preserve">  Claudia L</v>
      </c>
      <c r="C1023" s="7">
        <v>41.04</v>
      </c>
      <c r="D1023" s="7" t="str" cm="1">
        <f t="array" ref="D1023">_xlfn.IFS(Healthcare!$C1023&lt;18.5,"under weight",Healthcare!$C1023&lt;=24.9,"Normal Weight",Healthcare!$C1023&gt;=25,"overweight",Healthcare!$C1023&gt;=30,"obese")</f>
        <v>overweight</v>
      </c>
      <c r="E1023" s="7">
        <v>5.59</v>
      </c>
      <c r="F1023" s="7" t="str" cm="1">
        <f t="array" ref="F1023">_xlfn.IFS(Healthcare!$E1023&lt;5.7,"normal",Healthcare!$E1023&lt;=6.4,"prediabetes",Healthcare!$E1023&gt;=6.5,"diabetes")</f>
        <v>normal</v>
      </c>
      <c r="G1023" s="7" t="s">
        <v>19</v>
      </c>
      <c r="H1023" s="7" t="s">
        <v>19</v>
      </c>
      <c r="I1023" s="7" t="s">
        <v>19</v>
      </c>
      <c r="J1023" s="7">
        <v>0</v>
      </c>
      <c r="K1023" s="7" t="s">
        <v>19</v>
      </c>
      <c r="L1023" s="7" t="str">
        <f>VLOOKUP(Healthcare!$A1023,hospital_details,2,0)</f>
        <v>26-Jun-1991</v>
      </c>
      <c r="M1023" s="7">
        <f t="shared" ref="M1023:M1086" ca="1" si="6125">VLOOKUP(A1023,hospital_details,3,0)</f>
        <v>35</v>
      </c>
      <c r="N1023" s="7">
        <f t="shared" ref="N1023:N1086" si="6126">VLOOKUP($A1023,hospital_details,4,0)</f>
        <v>3</v>
      </c>
      <c r="O1023" s="8">
        <f t="shared" ref="O1023:O1086" si="6127">VLOOKUP($A1023,hospital_details,5,0)</f>
        <v>11018.05</v>
      </c>
      <c r="P1023" s="7" t="str">
        <f t="shared" ref="P1023:P1086" si="6128">VLOOKUP($A1023,hospital_details,6,0)</f>
        <v>tier - 3</v>
      </c>
      <c r="Q1023" s="7" t="str">
        <f t="shared" ref="Q1023:Q1086" si="6129">VLOOKUP($A1023,hospital_details,7,0)</f>
        <v>tier - 2</v>
      </c>
      <c r="R1023" s="7" t="str">
        <f t="shared" ref="R1023:R1086" si="6130">VLOOKUP($A1023,hospital_details,8,0)</f>
        <v>R1012</v>
      </c>
    </row>
    <row r="1024" spans="1:18" ht="14.4" customHeight="1" x14ac:dyDescent="0.3">
      <c r="A1024" s="5" t="s">
        <v>1044</v>
      </c>
      <c r="B1024" s="5" t="str">
        <f>VLOOKUP($A1024,[1]!Customer_Names[#Data],3,0)</f>
        <v xml:space="preserve">  Jessica M</v>
      </c>
      <c r="C1024" s="5">
        <v>27.93</v>
      </c>
      <c r="D1024" s="5" t="str" cm="1">
        <f t="array" ref="D1024">_xlfn.IFS(Healthcare!$C1024&lt;18.5,"under weight",Healthcare!$C1024&lt;=24.9,"Normal Weight",Healthcare!$C1024&gt;=25,"overweight",Healthcare!$C1024&gt;=30,"obese")</f>
        <v>overweight</v>
      </c>
      <c r="E1024" s="5">
        <v>9.9600000000000009</v>
      </c>
      <c r="F1024" s="5" t="str" cm="1">
        <f t="array" ref="F1024">_xlfn.IFS(Healthcare!$E1024&lt;5.7,"normal",Healthcare!$E1024&lt;=6.4,"prediabetes",Healthcare!$E1024&gt;=6.5,"diabetes")</f>
        <v>diabetes</v>
      </c>
      <c r="G1024" s="5" t="s">
        <v>19</v>
      </c>
      <c r="H1024" s="5" t="s">
        <v>19</v>
      </c>
      <c r="I1024" s="5" t="s">
        <v>19</v>
      </c>
      <c r="J1024" s="5">
        <v>0</v>
      </c>
      <c r="K1024" s="5" t="s">
        <v>19</v>
      </c>
      <c r="L1024" s="5" t="str">
        <f>VLOOKUP(Healthcare!$A1024,hospital_details,2,0)</f>
        <v>15-Dec-1974</v>
      </c>
      <c r="M1024" s="5">
        <f t="shared" ref="M1024:M1087" ca="1" si="6131">VLOOKUP(A1024,hospital_details,3,0)</f>
        <v>51</v>
      </c>
      <c r="N1024" s="5">
        <f t="shared" ref="N1024:N1087" si="6132">VLOOKUP($A1024,hospital_details,4,0)</f>
        <v>4</v>
      </c>
      <c r="O1024" s="6">
        <f t="shared" ref="O1024:O1087" si="6133">VLOOKUP($A1024,hospital_details,5,0)</f>
        <v>11015.17</v>
      </c>
      <c r="P1024" s="5" t="str">
        <f t="shared" ref="P1024:P1087" si="6134">VLOOKUP($A1024,hospital_details,6,0)</f>
        <v>tier - 3</v>
      </c>
      <c r="Q1024" s="5" t="str">
        <f t="shared" ref="Q1024:Q1087" si="6135">VLOOKUP($A1024,hospital_details,7,0)</f>
        <v>tier - 1</v>
      </c>
      <c r="R1024" s="5" t="str">
        <f t="shared" ref="R1024:R1087" si="6136">VLOOKUP($A1024,hospital_details,8,0)</f>
        <v>R1012</v>
      </c>
    </row>
    <row r="1025" spans="1:18" ht="14.4" customHeight="1" x14ac:dyDescent="0.3">
      <c r="A1025" s="7" t="s">
        <v>1045</v>
      </c>
      <c r="B1025" s="7" t="str">
        <f>VLOOKUP($A1025,[1]!Customer_Names[#Data],3,0)</f>
        <v xml:space="preserve">  Billy Jr</v>
      </c>
      <c r="C1025" s="7">
        <v>21.01</v>
      </c>
      <c r="D1025" s="7" t="str" cm="1">
        <f t="array" ref="D1025">_xlfn.IFS(Healthcare!$C1025&lt;18.5,"under weight",Healthcare!$C1025&lt;=24.9,"Normal Weight",Healthcare!$C1025&gt;=25,"overweight",Healthcare!$C1025&gt;=30,"obese")</f>
        <v>Normal Weight</v>
      </c>
      <c r="E1025" s="7">
        <v>7.37</v>
      </c>
      <c r="F1025" s="7" t="str" cm="1">
        <f t="array" ref="F1025">_xlfn.IFS(Healthcare!$E1025&lt;5.7,"normal",Healthcare!$E1025&lt;=6.4,"prediabetes",Healthcare!$E1025&gt;=6.5,"diabetes")</f>
        <v>diabetes</v>
      </c>
      <c r="G1025" s="7" t="s">
        <v>19</v>
      </c>
      <c r="H1025" s="7" t="s">
        <v>19</v>
      </c>
      <c r="I1025" s="7" t="s">
        <v>19</v>
      </c>
      <c r="J1025" s="7">
        <v>0</v>
      </c>
      <c r="K1025" s="7" t="s">
        <v>19</v>
      </c>
      <c r="L1025" s="7" t="str">
        <f>VLOOKUP(Healthcare!$A1025,hospital_details,2,0)</f>
        <v>24-Oct-1968</v>
      </c>
      <c r="M1025" s="7">
        <f t="shared" ref="M1025:M1088" ca="1" si="6137">VLOOKUP(A1025,hospital_details,3,0)</f>
        <v>57</v>
      </c>
      <c r="N1025" s="7">
        <f t="shared" ref="N1025:N1088" si="6138">VLOOKUP($A1025,hospital_details,4,0)</f>
        <v>2</v>
      </c>
      <c r="O1025" s="8">
        <f t="shared" ref="O1025:O1088" si="6139">VLOOKUP($A1025,hospital_details,5,0)</f>
        <v>11013.71</v>
      </c>
      <c r="P1025" s="7" t="str">
        <f t="shared" ref="P1025:P1088" si="6140">VLOOKUP($A1025,hospital_details,6,0)</f>
        <v>tier - 3</v>
      </c>
      <c r="Q1025" s="7" t="str">
        <f t="shared" ref="Q1025:Q1088" si="6141">VLOOKUP($A1025,hospital_details,7,0)</f>
        <v>tier - 1</v>
      </c>
      <c r="R1025" s="7" t="str">
        <f t="shared" ref="R1025:R1088" si="6142">VLOOKUP($A1025,hospital_details,8,0)</f>
        <v>R1013</v>
      </c>
    </row>
    <row r="1026" spans="1:18" ht="14.4" customHeight="1" x14ac:dyDescent="0.3">
      <c r="A1026" s="5" t="s">
        <v>1046</v>
      </c>
      <c r="B1026" s="5" t="str">
        <f>VLOOKUP($A1026,[1]!Customer_Names[#Data],3,0)</f>
        <v xml:space="preserve">  David</v>
      </c>
      <c r="C1026" s="5">
        <v>52.37</v>
      </c>
      <c r="D1026" s="5" t="str" cm="1">
        <f t="array" ref="D1026">_xlfn.IFS(Healthcare!$C1026&lt;18.5,"under weight",Healthcare!$C1026&lt;=24.9,"Normal Weight",Healthcare!$C1026&gt;=25,"overweight",Healthcare!$C1026&gt;=30,"obese")</f>
        <v>overweight</v>
      </c>
      <c r="E1026" s="5">
        <v>5.0599999999999996</v>
      </c>
      <c r="F1026" s="5" t="str" cm="1">
        <f t="array" ref="F1026">_xlfn.IFS(Healthcare!$E1026&lt;5.7,"normal",Healthcare!$E1026&lt;=6.4,"prediabetes",Healthcare!$E1026&gt;=6.5,"diabetes")</f>
        <v>normal</v>
      </c>
      <c r="G1026" s="5" t="s">
        <v>20</v>
      </c>
      <c r="H1026" s="5" t="s">
        <v>20</v>
      </c>
      <c r="I1026" s="5" t="s">
        <v>19</v>
      </c>
      <c r="J1026" s="5">
        <v>2</v>
      </c>
      <c r="K1026" s="5" t="s">
        <v>19</v>
      </c>
      <c r="L1026" s="5" t="str">
        <f>VLOOKUP(Healthcare!$A1026,hospital_details,2,0)</f>
        <v>17-Sep-2000</v>
      </c>
      <c r="M1026" s="5">
        <f t="shared" ref="M1026:M1089" ca="1" si="6143">VLOOKUP(A1026,hospital_details,3,0)</f>
        <v>26</v>
      </c>
      <c r="N1026" s="5">
        <f t="shared" ref="N1026:N1089" si="6144">VLOOKUP($A1026,hospital_details,4,0)</f>
        <v>0</v>
      </c>
      <c r="O1026" s="6">
        <f t="shared" ref="O1026:O1089" si="6145">VLOOKUP($A1026,hospital_details,5,0)</f>
        <v>10991.58</v>
      </c>
      <c r="P1026" s="5" t="str">
        <f t="shared" ref="P1026:P1089" si="6146">VLOOKUP($A1026,hospital_details,6,0)</f>
        <v>tier - 3</v>
      </c>
      <c r="Q1026" s="5" t="str">
        <f t="shared" ref="Q1026:Q1089" si="6147">VLOOKUP($A1026,hospital_details,7,0)</f>
        <v>tier - 3</v>
      </c>
      <c r="R1026" s="5" t="str">
        <f t="shared" ref="R1026:R1089" si="6148">VLOOKUP($A1026,hospital_details,8,0)</f>
        <v>R1012</v>
      </c>
    </row>
    <row r="1027" spans="1:18" ht="14.4" customHeight="1" x14ac:dyDescent="0.3">
      <c r="A1027" s="7" t="s">
        <v>1047</v>
      </c>
      <c r="B1027" s="7" t="str">
        <f>VLOOKUP($A1027,[1]!Customer_Names[#Data],3,0)</f>
        <v xml:space="preserve">  Tim</v>
      </c>
      <c r="C1027" s="7">
        <v>40.369999999999997</v>
      </c>
      <c r="D1027" s="7" t="str" cm="1">
        <f t="array" ref="D1027">_xlfn.IFS(Healthcare!$C1027&lt;18.5,"under weight",Healthcare!$C1027&lt;=24.9,"Normal Weight",Healthcare!$C1027&gt;=25,"overweight",Healthcare!$C1027&gt;=30,"obese")</f>
        <v>overweight</v>
      </c>
      <c r="E1027" s="7">
        <v>8.2100000000000009</v>
      </c>
      <c r="F1027" s="7" t="str" cm="1">
        <f t="array" ref="F1027">_xlfn.IFS(Healthcare!$E1027&lt;5.7,"normal",Healthcare!$E1027&lt;=6.4,"prediabetes",Healthcare!$E1027&gt;=6.5,"diabetes")</f>
        <v>diabetes</v>
      </c>
      <c r="G1027" s="7" t="s">
        <v>19</v>
      </c>
      <c r="H1027" s="7" t="s">
        <v>19</v>
      </c>
      <c r="I1027" s="7" t="s">
        <v>19</v>
      </c>
      <c r="J1027" s="7">
        <v>0</v>
      </c>
      <c r="K1027" s="7" t="s">
        <v>19</v>
      </c>
      <c r="L1027" s="7" t="str">
        <f>VLOOKUP(Healthcare!$A1027,hospital_details,2,0)</f>
        <v>18-Dec-1965</v>
      </c>
      <c r="M1027" s="7">
        <f t="shared" ref="M1027:M1090" ca="1" si="6149">VLOOKUP(A1027,hospital_details,3,0)</f>
        <v>60</v>
      </c>
      <c r="N1027" s="7">
        <f t="shared" ref="N1027:N1090" si="6150">VLOOKUP($A1027,hospital_details,4,0)</f>
        <v>0</v>
      </c>
      <c r="O1027" s="8">
        <f t="shared" ref="O1027:O1090" si="6151">VLOOKUP($A1027,hospital_details,5,0)</f>
        <v>10982.5</v>
      </c>
      <c r="P1027" s="7" t="str">
        <f t="shared" ref="P1027:P1090" si="6152">VLOOKUP($A1027,hospital_details,6,0)</f>
        <v>tier - 3</v>
      </c>
      <c r="Q1027" s="7" t="str">
        <f t="shared" ref="Q1027:Q1090" si="6153">VLOOKUP($A1027,hospital_details,7,0)</f>
        <v>tier - 3</v>
      </c>
      <c r="R1027" s="7" t="str">
        <f t="shared" ref="R1027:R1090" si="6154">VLOOKUP($A1027,hospital_details,8,0)</f>
        <v>R1013</v>
      </c>
    </row>
    <row r="1028" spans="1:18" ht="14.4" customHeight="1" x14ac:dyDescent="0.3">
      <c r="A1028" s="5" t="s">
        <v>1048</v>
      </c>
      <c r="B1028" s="5" t="str">
        <f>VLOOKUP($A1028,[1]!Customer_Names[#Data],3,0)</f>
        <v xml:space="preserve">  Emma M</v>
      </c>
      <c r="C1028" s="5">
        <v>41.47</v>
      </c>
      <c r="D1028" s="5" t="str" cm="1">
        <f t="array" ref="D1028">_xlfn.IFS(Healthcare!$C1028&lt;18.5,"under weight",Healthcare!$C1028&lt;=24.9,"Normal Weight",Healthcare!$C1028&gt;=25,"overweight",Healthcare!$C1028&gt;=30,"obese")</f>
        <v>overweight</v>
      </c>
      <c r="E1028" s="5">
        <v>10.34</v>
      </c>
      <c r="F1028" s="5" t="str" cm="1">
        <f t="array" ref="F1028">_xlfn.IFS(Healthcare!$E1028&lt;5.7,"normal",Healthcare!$E1028&lt;=6.4,"prediabetes",Healthcare!$E1028&gt;=6.5,"diabetes")</f>
        <v>diabetes</v>
      </c>
      <c r="G1028" s="5" t="s">
        <v>19</v>
      </c>
      <c r="H1028" s="5" t="s">
        <v>19</v>
      </c>
      <c r="I1028" s="5" t="s">
        <v>19</v>
      </c>
      <c r="J1028" s="5">
        <v>2</v>
      </c>
      <c r="K1028" s="5" t="s">
        <v>19</v>
      </c>
      <c r="L1028" s="5" t="str">
        <f>VLOOKUP(Healthcare!$A1028,hospital_details,2,0)</f>
        <v>21-Oct-1973</v>
      </c>
      <c r="M1028" s="5">
        <f t="shared" ref="M1028:M1091" ca="1" si="6155">VLOOKUP(A1028,hospital_details,3,0)</f>
        <v>52</v>
      </c>
      <c r="N1028" s="5">
        <f t="shared" ref="N1028:N1091" si="6156">VLOOKUP($A1028,hospital_details,4,0)</f>
        <v>4</v>
      </c>
      <c r="O1028" s="6">
        <f t="shared" ref="O1028:O1091" si="6157">VLOOKUP($A1028,hospital_details,5,0)</f>
        <v>10977.21</v>
      </c>
      <c r="P1028" s="5" t="str">
        <f t="shared" ref="P1028:P1091" si="6158">VLOOKUP($A1028,hospital_details,6,0)</f>
        <v>tier - 3</v>
      </c>
      <c r="Q1028" s="5" t="str">
        <f t="shared" ref="Q1028:Q1091" si="6159">VLOOKUP($A1028,hospital_details,7,0)</f>
        <v>tier - 1</v>
      </c>
      <c r="R1028" s="5" t="str">
        <f t="shared" ref="R1028:R1091" si="6160">VLOOKUP($A1028,hospital_details,8,0)</f>
        <v>R1013</v>
      </c>
    </row>
    <row r="1029" spans="1:18" ht="14.4" customHeight="1" x14ac:dyDescent="0.3">
      <c r="A1029" s="7" t="s">
        <v>1049</v>
      </c>
      <c r="B1029" s="7" t="str">
        <f>VLOOKUP($A1029,[1]!Customer_Names[#Data],3,0)</f>
        <v xml:space="preserve">  Tim</v>
      </c>
      <c r="C1029" s="7">
        <v>33.725000000000001</v>
      </c>
      <c r="D1029" s="7" t="str" cm="1">
        <f t="array" ref="D1029">_xlfn.IFS(Healthcare!$C1029&lt;18.5,"under weight",Healthcare!$C1029&lt;=24.9,"Normal Weight",Healthcare!$C1029&gt;=25,"overweight",Healthcare!$C1029&gt;=30,"obese")</f>
        <v>overweight</v>
      </c>
      <c r="E1029" s="7">
        <v>5.51</v>
      </c>
      <c r="F1029" s="7" t="str" cm="1">
        <f t="array" ref="F1029">_xlfn.IFS(Healthcare!$E1029&lt;5.7,"normal",Healthcare!$E1029&lt;=6.4,"prediabetes",Healthcare!$E1029&gt;=6.5,"diabetes")</f>
        <v>normal</v>
      </c>
      <c r="G1029" s="7" t="s">
        <v>20</v>
      </c>
      <c r="H1029" s="7" t="s">
        <v>19</v>
      </c>
      <c r="I1029" s="7" t="s">
        <v>19</v>
      </c>
      <c r="J1029" s="7">
        <v>2</v>
      </c>
      <c r="K1029" s="7" t="s">
        <v>19</v>
      </c>
      <c r="L1029" s="7" t="str">
        <f>VLOOKUP(Healthcare!$A1029,hospital_details,2,0)</f>
        <v>9-Jul-1966</v>
      </c>
      <c r="M1029" s="7">
        <f t="shared" ref="M1029:M1092" ca="1" si="6161">VLOOKUP(A1029,hospital_details,3,0)</f>
        <v>60</v>
      </c>
      <c r="N1029" s="7">
        <f t="shared" ref="N1029:N1092" si="6162">VLOOKUP($A1029,hospital_details,4,0)</f>
        <v>0</v>
      </c>
      <c r="O1029" s="8">
        <f t="shared" ref="O1029:O1092" si="6163">VLOOKUP($A1029,hospital_details,5,0)</f>
        <v>10976.25</v>
      </c>
      <c r="P1029" s="7" t="str">
        <f t="shared" ref="P1029:P1092" si="6164">VLOOKUP($A1029,hospital_details,6,0)</f>
        <v>tier - 3</v>
      </c>
      <c r="Q1029" s="7" t="str">
        <f t="shared" ref="Q1029:Q1092" si="6165">VLOOKUP($A1029,hospital_details,7,0)</f>
        <v>tier - 2</v>
      </c>
      <c r="R1029" s="7" t="str">
        <f t="shared" ref="R1029:R1092" si="6166">VLOOKUP($A1029,hospital_details,8,0)</f>
        <v>R1012</v>
      </c>
    </row>
    <row r="1030" spans="1:18" ht="14.4" customHeight="1" x14ac:dyDescent="0.3">
      <c r="A1030" s="5" t="s">
        <v>1050</v>
      </c>
      <c r="B1030" s="5" t="str">
        <f>VLOOKUP($A1030,[1]!Customer_Names[#Data],3,0)</f>
        <v xml:space="preserve">  Patrick</v>
      </c>
      <c r="C1030" s="5">
        <v>28.1</v>
      </c>
      <c r="D1030" s="5" t="str" cm="1">
        <f t="array" ref="D1030">_xlfn.IFS(Healthcare!$C1030&lt;18.5,"under weight",Healthcare!$C1030&lt;=24.9,"Normal Weight",Healthcare!$C1030&gt;=25,"overweight",Healthcare!$C1030&gt;=30,"obese")</f>
        <v>overweight</v>
      </c>
      <c r="E1030" s="5">
        <v>11.2</v>
      </c>
      <c r="F1030" s="5" t="str" cm="1">
        <f t="array" ref="F1030">_xlfn.IFS(Healthcare!$E1030&lt;5.7,"normal",Healthcare!$E1030&lt;=6.4,"prediabetes",Healthcare!$E1030&gt;=6.5,"diabetes")</f>
        <v>diabetes</v>
      </c>
      <c r="G1030" s="5" t="s">
        <v>19</v>
      </c>
      <c r="H1030" s="5" t="s">
        <v>19</v>
      </c>
      <c r="I1030" s="5" t="s">
        <v>19</v>
      </c>
      <c r="J1030" s="5">
        <v>0</v>
      </c>
      <c r="K1030" s="5" t="s">
        <v>19</v>
      </c>
      <c r="L1030" s="5" t="str">
        <f>VLOOKUP(Healthcare!$A1030,hospital_details,2,0)</f>
        <v>19-Jun-1965</v>
      </c>
      <c r="M1030" s="5">
        <f t="shared" ref="M1030:M1093" ca="1" si="6167">VLOOKUP(A1030,hospital_details,3,0)</f>
        <v>61</v>
      </c>
      <c r="N1030" s="5">
        <f t="shared" ref="N1030:N1093" si="6168">VLOOKUP($A1030,hospital_details,4,0)</f>
        <v>0</v>
      </c>
      <c r="O1030" s="6">
        <f t="shared" ref="O1030:O1093" si="6169">VLOOKUP($A1030,hospital_details,5,0)</f>
        <v>10965.45</v>
      </c>
      <c r="P1030" s="5" t="str">
        <f t="shared" ref="P1030:P1093" si="6170">VLOOKUP($A1030,hospital_details,6,0)</f>
        <v>tier - 3</v>
      </c>
      <c r="Q1030" s="5" t="str">
        <f t="shared" ref="Q1030:Q1093" si="6171">VLOOKUP($A1030,hospital_details,7,0)</f>
        <v>tier - 2</v>
      </c>
      <c r="R1030" s="5" t="str">
        <f t="shared" ref="R1030:R1093" si="6172">VLOOKUP($A1030,hospital_details,8,0)</f>
        <v>R1011</v>
      </c>
    </row>
    <row r="1031" spans="1:18" ht="14.4" customHeight="1" x14ac:dyDescent="0.3">
      <c r="A1031" s="7" t="s">
        <v>1051</v>
      </c>
      <c r="B1031" s="7" t="str">
        <f>VLOOKUP($A1031,[1]!Customer_Names[#Data],3,0)</f>
        <v xml:space="preserve">  Bridget K</v>
      </c>
      <c r="C1031" s="7">
        <v>37.43</v>
      </c>
      <c r="D1031" s="7" t="str" cm="1">
        <f t="array" ref="D1031">_xlfn.IFS(Healthcare!$C1031&lt;18.5,"under weight",Healthcare!$C1031&lt;=24.9,"Normal Weight",Healthcare!$C1031&gt;=25,"overweight",Healthcare!$C1031&gt;=30,"obese")</f>
        <v>overweight</v>
      </c>
      <c r="E1031" s="7">
        <v>4.3499999999999996</v>
      </c>
      <c r="F1031" s="7" t="str" cm="1">
        <f t="array" ref="F1031">_xlfn.IFS(Healthcare!$E1031&lt;5.7,"normal",Healthcare!$E1031&lt;=6.4,"prediabetes",Healthcare!$E1031&gt;=6.5,"diabetes")</f>
        <v>normal</v>
      </c>
      <c r="G1031" s="7" t="s">
        <v>20</v>
      </c>
      <c r="H1031" s="7" t="s">
        <v>19</v>
      </c>
      <c r="I1031" s="7" t="s">
        <v>29</v>
      </c>
      <c r="J1031" s="7">
        <v>1</v>
      </c>
      <c r="K1031" s="7" t="s">
        <v>19</v>
      </c>
      <c r="L1031" s="7" t="str">
        <f>VLOOKUP(Healthcare!$A1031,hospital_details,2,0)</f>
        <v>14-Aug-1969</v>
      </c>
      <c r="M1031" s="7">
        <f t="shared" ref="M1031:M1094" ca="1" si="6173">VLOOKUP(A1031,hospital_details,3,0)</f>
        <v>57</v>
      </c>
      <c r="N1031" s="7">
        <f t="shared" ref="N1031:N1094" si="6174">VLOOKUP($A1031,hospital_details,4,0)</f>
        <v>1</v>
      </c>
      <c r="O1031" s="8">
        <f t="shared" ref="O1031:O1094" si="6175">VLOOKUP($A1031,hospital_details,5,0)</f>
        <v>10959.69</v>
      </c>
      <c r="P1031" s="7" t="str">
        <f t="shared" ref="P1031:P1094" si="6176">VLOOKUP($A1031,hospital_details,6,0)</f>
        <v>tier - 3</v>
      </c>
      <c r="Q1031" s="7" t="str">
        <f t="shared" ref="Q1031:Q1094" si="6177">VLOOKUP($A1031,hospital_details,7,0)</f>
        <v>tier - 3</v>
      </c>
      <c r="R1031" s="7" t="str">
        <f t="shared" ref="R1031:R1094" si="6178">VLOOKUP($A1031,hospital_details,8,0)</f>
        <v>R1012</v>
      </c>
    </row>
    <row r="1032" spans="1:18" ht="14.4" customHeight="1" x14ac:dyDescent="0.3">
      <c r="A1032" s="5" t="s">
        <v>1052</v>
      </c>
      <c r="B1032" s="5" t="str">
        <f>VLOOKUP($A1032,[1]!Customer_Names[#Data],3,0)</f>
        <v xml:space="preserve">  Gabriel</v>
      </c>
      <c r="C1032" s="5">
        <v>23.7</v>
      </c>
      <c r="D1032" s="5" t="str" cm="1">
        <f t="array" ref="D1032">_xlfn.IFS(Healthcare!$C1032&lt;18.5,"under weight",Healthcare!$C1032&lt;=24.9,"Normal Weight",Healthcare!$C1032&gt;=25,"overweight",Healthcare!$C1032&gt;=30,"obese")</f>
        <v>Normal Weight</v>
      </c>
      <c r="E1032" s="5">
        <v>10.45</v>
      </c>
      <c r="F1032" s="5" t="str" cm="1">
        <f t="array" ref="F1032">_xlfn.IFS(Healthcare!$E1032&lt;5.7,"normal",Healthcare!$E1032&lt;=6.4,"prediabetes",Healthcare!$E1032&gt;=6.5,"diabetes")</f>
        <v>diabetes</v>
      </c>
      <c r="G1032" s="5" t="s">
        <v>19</v>
      </c>
      <c r="H1032" s="5" t="s">
        <v>19</v>
      </c>
      <c r="I1032" s="5" t="s">
        <v>19</v>
      </c>
      <c r="J1032" s="5">
        <v>0</v>
      </c>
      <c r="K1032" s="5" t="s">
        <v>19</v>
      </c>
      <c r="L1032" s="5" t="str">
        <f>VLOOKUP(Healthcare!$A1032,hospital_details,2,0)</f>
        <v>4-Dec-1965</v>
      </c>
      <c r="M1032" s="5">
        <f t="shared" ref="M1032:M1095" ca="1" si="6179">VLOOKUP(A1032,hospital_details,3,0)</f>
        <v>60</v>
      </c>
      <c r="N1032" s="5">
        <f t="shared" ref="N1032:N1095" si="6180">VLOOKUP($A1032,hospital_details,4,0)</f>
        <v>0</v>
      </c>
      <c r="O1032" s="6">
        <f t="shared" ref="O1032:O1095" si="6181">VLOOKUP($A1032,hospital_details,5,0)</f>
        <v>10959.33</v>
      </c>
      <c r="P1032" s="5" t="str">
        <f t="shared" ref="P1032:P1095" si="6182">VLOOKUP($A1032,hospital_details,6,0)</f>
        <v>tier - 3</v>
      </c>
      <c r="Q1032" s="5" t="str">
        <f t="shared" ref="Q1032:Q1095" si="6183">VLOOKUP($A1032,hospital_details,7,0)</f>
        <v>tier - 3</v>
      </c>
      <c r="R1032" s="5" t="str">
        <f t="shared" ref="R1032:R1095" si="6184">VLOOKUP($A1032,hospital_details,8,0)</f>
        <v>R1011</v>
      </c>
    </row>
    <row r="1033" spans="1:18" ht="14.4" customHeight="1" x14ac:dyDescent="0.3">
      <c r="A1033" s="7" t="s">
        <v>1053</v>
      </c>
      <c r="B1033" s="7" t="str">
        <f>VLOOKUP($A1033,[1]!Customer_Names[#Data],3,0)</f>
        <v xml:space="preserve">  Natasha</v>
      </c>
      <c r="C1033" s="7">
        <v>24.795000000000002</v>
      </c>
      <c r="D1033" s="7" t="str" cm="1">
        <f t="array" ref="D1033">_xlfn.IFS(Healthcare!$C1033&lt;18.5,"under weight",Healthcare!$C1033&lt;=24.9,"Normal Weight",Healthcare!$C1033&gt;=25,"overweight",Healthcare!$C1033&gt;=30,"obese")</f>
        <v>Normal Weight</v>
      </c>
      <c r="E1033" s="7">
        <v>4.07</v>
      </c>
      <c r="F1033" s="7" t="str" cm="1">
        <f t="array" ref="F1033">_xlfn.IFS(Healthcare!$E1033&lt;5.7,"normal",Healthcare!$E1033&lt;=6.4,"prediabetes",Healthcare!$E1033&gt;=6.5,"diabetes")</f>
        <v>normal</v>
      </c>
      <c r="G1033" s="7" t="s">
        <v>20</v>
      </c>
      <c r="H1033" s="7" t="s">
        <v>19</v>
      </c>
      <c r="I1033" s="7" t="s">
        <v>29</v>
      </c>
      <c r="J1033" s="7">
        <v>1</v>
      </c>
      <c r="K1033" s="7" t="s">
        <v>19</v>
      </c>
      <c r="L1033" s="7" t="str">
        <f>VLOOKUP(Healthcare!$A1033,hospital_details,2,0)</f>
        <v>10-Nov-1969</v>
      </c>
      <c r="M1033" s="7">
        <f t="shared" ref="M1033:M1096" ca="1" si="6185">VLOOKUP(A1033,hospital_details,3,0)</f>
        <v>56</v>
      </c>
      <c r="N1033" s="7">
        <f t="shared" ref="N1033:N1096" si="6186">VLOOKUP($A1033,hospital_details,4,0)</f>
        <v>1</v>
      </c>
      <c r="O1033" s="8">
        <f t="shared" ref="O1033:O1096" si="6187">VLOOKUP($A1033,hospital_details,5,0)</f>
        <v>10942.13</v>
      </c>
      <c r="P1033" s="7" t="str">
        <f t="shared" ref="P1033:P1096" si="6188">VLOOKUP($A1033,hospital_details,6,0)</f>
        <v>tier - 3</v>
      </c>
      <c r="Q1033" s="7" t="str">
        <f t="shared" ref="Q1033:Q1096" si="6189">VLOOKUP($A1033,hospital_details,7,0)</f>
        <v>tier - 3</v>
      </c>
      <c r="R1033" s="7" t="str">
        <f t="shared" ref="R1033:R1096" si="6190">VLOOKUP($A1033,hospital_details,8,0)</f>
        <v>R1012</v>
      </c>
    </row>
    <row r="1034" spans="1:18" ht="14.4" customHeight="1" x14ac:dyDescent="0.3">
      <c r="A1034" s="5" t="s">
        <v>1054</v>
      </c>
      <c r="B1034" s="5" t="str">
        <f>VLOOKUP($A1034,[1]!Customer_Names[#Data],3,0)</f>
        <v xml:space="preserve">  Abby A</v>
      </c>
      <c r="C1034" s="5">
        <v>31.9</v>
      </c>
      <c r="D1034" s="5" t="str" cm="1">
        <f t="array" ref="D1034">_xlfn.IFS(Healthcare!$C1034&lt;18.5,"under weight",Healthcare!$C1034&lt;=24.9,"Normal Weight",Healthcare!$C1034&gt;=25,"overweight",Healthcare!$C1034&gt;=30,"obese")</f>
        <v>overweight</v>
      </c>
      <c r="E1034" s="5">
        <v>8.34</v>
      </c>
      <c r="F1034" s="5" t="str" cm="1">
        <f t="array" ref="F1034">_xlfn.IFS(Healthcare!$E1034&lt;5.7,"normal",Healthcare!$E1034&lt;=6.4,"prediabetes",Healthcare!$E1034&gt;=6.5,"diabetes")</f>
        <v>diabetes</v>
      </c>
      <c r="G1034" s="5" t="s">
        <v>19</v>
      </c>
      <c r="H1034" s="5" t="s">
        <v>19</v>
      </c>
      <c r="I1034" s="5" t="s">
        <v>19</v>
      </c>
      <c r="J1034" s="5">
        <v>0</v>
      </c>
      <c r="K1034" s="5" t="s">
        <v>19</v>
      </c>
      <c r="L1034" s="5" t="str">
        <f>VLOOKUP(Healthcare!$A1034,hospital_details,2,0)</f>
        <v>12-Nov-1968</v>
      </c>
      <c r="M1034" s="5">
        <f t="shared" ref="M1034:M1097" ca="1" si="6191">VLOOKUP(A1034,hospital_details,3,0)</f>
        <v>57</v>
      </c>
      <c r="N1034" s="5">
        <f t="shared" ref="N1034:N1097" si="6192">VLOOKUP($A1034,hospital_details,4,0)</f>
        <v>1</v>
      </c>
      <c r="O1034" s="6">
        <f t="shared" ref="O1034:O1097" si="6193">VLOOKUP($A1034,hospital_details,5,0)</f>
        <v>10928.85</v>
      </c>
      <c r="P1034" s="5" t="str">
        <f t="shared" ref="P1034:P1097" si="6194">VLOOKUP($A1034,hospital_details,6,0)</f>
        <v>tier - 3</v>
      </c>
      <c r="Q1034" s="5" t="str">
        <f t="shared" ref="Q1034:Q1097" si="6195">VLOOKUP($A1034,hospital_details,7,0)</f>
        <v>tier - 3</v>
      </c>
      <c r="R1034" s="5" t="str">
        <f t="shared" ref="R1034:R1097" si="6196">VLOOKUP($A1034,hospital_details,8,0)</f>
        <v>R1013</v>
      </c>
    </row>
    <row r="1035" spans="1:18" ht="14.4" customHeight="1" x14ac:dyDescent="0.3">
      <c r="A1035" s="7" t="s">
        <v>1055</v>
      </c>
      <c r="B1035" s="7" t="str">
        <f>VLOOKUP($A1035,[1]!Customer_Names[#Data],3,0)</f>
        <v xml:space="preserve">  Michelle</v>
      </c>
      <c r="C1035" s="7">
        <v>32.68</v>
      </c>
      <c r="D1035" s="7" t="str" cm="1">
        <f t="array" ref="D1035">_xlfn.IFS(Healthcare!$C1035&lt;18.5,"under weight",Healthcare!$C1035&lt;=24.9,"Normal Weight",Healthcare!$C1035&gt;=25,"overweight",Healthcare!$C1035&gt;=30,"obese")</f>
        <v>overweight</v>
      </c>
      <c r="E1035" s="7">
        <v>7.41</v>
      </c>
      <c r="F1035" s="7" t="str" cm="1">
        <f t="array" ref="F1035">_xlfn.IFS(Healthcare!$E1035&lt;5.7,"normal",Healthcare!$E1035&lt;=6.4,"prediabetes",Healthcare!$E1035&gt;=6.5,"diabetes")</f>
        <v>diabetes</v>
      </c>
      <c r="G1035" s="7" t="s">
        <v>19</v>
      </c>
      <c r="H1035" s="7" t="s">
        <v>19</v>
      </c>
      <c r="I1035" s="7" t="s">
        <v>19</v>
      </c>
      <c r="J1035" s="7">
        <v>0</v>
      </c>
      <c r="K1035" s="7" t="s">
        <v>19</v>
      </c>
      <c r="L1035" s="7" t="str">
        <f>VLOOKUP(Healthcare!$A1035,hospital_details,2,0)</f>
        <v>13-Nov-1968</v>
      </c>
      <c r="M1035" s="7">
        <f t="shared" ref="M1035:M1098" ca="1" si="6197">VLOOKUP(A1035,hospital_details,3,0)</f>
        <v>57</v>
      </c>
      <c r="N1035" s="7">
        <f t="shared" ref="N1035:N1098" si="6198">VLOOKUP($A1035,hospital_details,4,0)</f>
        <v>0</v>
      </c>
      <c r="O1035" s="8">
        <f t="shared" ref="O1035:O1098" si="6199">VLOOKUP($A1035,hospital_details,5,0)</f>
        <v>10923.93</v>
      </c>
      <c r="P1035" s="7" t="str">
        <f t="shared" ref="P1035:P1098" si="6200">VLOOKUP($A1035,hospital_details,6,0)</f>
        <v>tier - 3</v>
      </c>
      <c r="Q1035" s="7" t="str">
        <f t="shared" ref="Q1035:Q1098" si="6201">VLOOKUP($A1035,hospital_details,7,0)</f>
        <v>tier - 1</v>
      </c>
      <c r="R1035" s="7" t="str">
        <f t="shared" ref="R1035:R1098" si="6202">VLOOKUP($A1035,hospital_details,8,0)</f>
        <v>R1024</v>
      </c>
    </row>
    <row r="1036" spans="1:18" ht="14.4" customHeight="1" x14ac:dyDescent="0.3">
      <c r="A1036" s="5" t="s">
        <v>1056</v>
      </c>
      <c r="B1036" s="5" t="str">
        <f>VLOOKUP($A1036,[1]!Customer_Names[#Data],3,0)</f>
        <v xml:space="preserve">  Mckendree</v>
      </c>
      <c r="C1036" s="5">
        <v>47.13</v>
      </c>
      <c r="D1036" s="5" t="str" cm="1">
        <f t="array" ref="D1036">_xlfn.IFS(Healthcare!$C1036&lt;18.5,"under weight",Healthcare!$C1036&lt;=24.9,"Normal Weight",Healthcare!$C1036&gt;=25,"overweight",Healthcare!$C1036&gt;=30,"obese")</f>
        <v>overweight</v>
      </c>
      <c r="E1036" s="5">
        <v>4.3099999999999996</v>
      </c>
      <c r="F1036" s="5" t="str" cm="1">
        <f t="array" ref="F1036">_xlfn.IFS(Healthcare!$E1036&lt;5.7,"normal",Healthcare!$E1036&lt;=6.4,"prediabetes",Healthcare!$E1036&gt;=6.5,"diabetes")</f>
        <v>normal</v>
      </c>
      <c r="G1036" s="5" t="s">
        <v>19</v>
      </c>
      <c r="H1036" s="5" t="s">
        <v>19</v>
      </c>
      <c r="I1036" s="5" t="s">
        <v>19</v>
      </c>
      <c r="J1036" s="5">
        <v>0</v>
      </c>
      <c r="K1036" s="5" t="s">
        <v>19</v>
      </c>
      <c r="L1036" s="5" t="str">
        <f>VLOOKUP(Healthcare!$A1036,hospital_details,2,0)</f>
        <v>6-Sep-1994</v>
      </c>
      <c r="M1036" s="5">
        <f t="shared" ref="M1036:M1099" ca="1" si="6203">VLOOKUP(A1036,hospital_details,3,0)</f>
        <v>32</v>
      </c>
      <c r="N1036" s="5">
        <f t="shared" ref="N1036:N1099" si="6204">VLOOKUP($A1036,hospital_details,4,0)</f>
        <v>0</v>
      </c>
      <c r="O1036" s="6">
        <f t="shared" ref="O1036:O1099" si="6205">VLOOKUP($A1036,hospital_details,5,0)</f>
        <v>10886.66</v>
      </c>
      <c r="P1036" s="5" t="str">
        <f t="shared" ref="P1036:P1099" si="6206">VLOOKUP($A1036,hospital_details,6,0)</f>
        <v>tier - 3</v>
      </c>
      <c r="Q1036" s="5" t="str">
        <f t="shared" ref="Q1036:Q1099" si="6207">VLOOKUP($A1036,hospital_details,7,0)</f>
        <v>tier - 3</v>
      </c>
      <c r="R1036" s="5" t="str">
        <f t="shared" ref="R1036:R1099" si="6208">VLOOKUP($A1036,hospital_details,8,0)</f>
        <v>R1012</v>
      </c>
    </row>
    <row r="1037" spans="1:18" ht="14.4" customHeight="1" x14ac:dyDescent="0.3">
      <c r="A1037" s="7" t="s">
        <v>1057</v>
      </c>
      <c r="B1037" s="7" t="str">
        <f>VLOOKUP($A1037,[1]!Customer_Names[#Data],3,0)</f>
        <v xml:space="preserve">  Tara</v>
      </c>
      <c r="C1037" s="7">
        <v>36.67</v>
      </c>
      <c r="D1037" s="7" t="str" cm="1">
        <f t="array" ref="D1037">_xlfn.IFS(Healthcare!$C1037&lt;18.5,"under weight",Healthcare!$C1037&lt;=24.9,"Normal Weight",Healthcare!$C1037&gt;=25,"overweight",Healthcare!$C1037&gt;=30,"obese")</f>
        <v>overweight</v>
      </c>
      <c r="E1037" s="7">
        <v>10.83</v>
      </c>
      <c r="F1037" s="7" t="str" cm="1">
        <f t="array" ref="F1037">_xlfn.IFS(Healthcare!$E1037&lt;5.7,"normal",Healthcare!$E1037&lt;=6.4,"prediabetes",Healthcare!$E1037&gt;=6.5,"diabetes")</f>
        <v>diabetes</v>
      </c>
      <c r="G1037" s="7" t="s">
        <v>19</v>
      </c>
      <c r="H1037" s="7" t="s">
        <v>19</v>
      </c>
      <c r="I1037" s="7" t="s">
        <v>19</v>
      </c>
      <c r="J1037" s="7">
        <v>0</v>
      </c>
      <c r="K1037" s="7" t="s">
        <v>19</v>
      </c>
      <c r="L1037" s="7" t="str">
        <f>VLOOKUP(Healthcare!$A1037,hospital_details,2,0)</f>
        <v>20-Dec-1971</v>
      </c>
      <c r="M1037" s="7">
        <f t="shared" ref="M1037:M1100" ca="1" si="6209">VLOOKUP(A1037,hospital_details,3,0)</f>
        <v>54</v>
      </c>
      <c r="N1037" s="7">
        <f t="shared" ref="N1037:N1100" si="6210">VLOOKUP($A1037,hospital_details,4,0)</f>
        <v>2</v>
      </c>
      <c r="O1037" s="8">
        <f t="shared" ref="O1037:O1100" si="6211">VLOOKUP($A1037,hospital_details,5,0)</f>
        <v>10848.13</v>
      </c>
      <c r="P1037" s="7" t="str">
        <f t="shared" ref="P1037:P1100" si="6212">VLOOKUP($A1037,hospital_details,6,0)</f>
        <v>tier - 3</v>
      </c>
      <c r="Q1037" s="7" t="str">
        <f t="shared" ref="Q1037:Q1100" si="6213">VLOOKUP($A1037,hospital_details,7,0)</f>
        <v>tier - 3</v>
      </c>
      <c r="R1037" s="7" t="str">
        <f t="shared" ref="R1037:R1100" si="6214">VLOOKUP($A1037,hospital_details,8,0)</f>
        <v>R1012</v>
      </c>
    </row>
    <row r="1038" spans="1:18" ht="14.4" customHeight="1" x14ac:dyDescent="0.3">
      <c r="A1038" s="5" t="s">
        <v>1058</v>
      </c>
      <c r="B1038" s="5" t="str">
        <f>VLOOKUP($A1038,[1]!Customer_Names[#Data],3,0)</f>
        <v xml:space="preserve">  Daniel</v>
      </c>
      <c r="C1038" s="5">
        <v>33.630000000000003</v>
      </c>
      <c r="D1038" s="5" t="str" cm="1">
        <f t="array" ref="D1038">_xlfn.IFS(Healthcare!$C1038&lt;18.5,"under weight",Healthcare!$C1038&lt;=24.9,"Normal Weight",Healthcare!$C1038&gt;=25,"overweight",Healthcare!$C1038&gt;=30,"obese")</f>
        <v>overweight</v>
      </c>
      <c r="E1038" s="5">
        <v>11.31</v>
      </c>
      <c r="F1038" s="5" t="str" cm="1">
        <f t="array" ref="F1038">_xlfn.IFS(Healthcare!$E1038&lt;5.7,"normal",Healthcare!$E1038&lt;=6.4,"prediabetes",Healthcare!$E1038&gt;=6.5,"diabetes")</f>
        <v>diabetes</v>
      </c>
      <c r="G1038" s="5" t="s">
        <v>19</v>
      </c>
      <c r="H1038" s="5" t="s">
        <v>19</v>
      </c>
      <c r="I1038" s="5" t="s">
        <v>19</v>
      </c>
      <c r="J1038" s="5">
        <v>0</v>
      </c>
      <c r="K1038" s="5" t="s">
        <v>19</v>
      </c>
      <c r="L1038" s="5" t="str">
        <f>VLOOKUP(Healthcare!$A1038,hospital_details,2,0)</f>
        <v>28-Jul-1968</v>
      </c>
      <c r="M1038" s="5">
        <f t="shared" ref="M1038:M1101" ca="1" si="6215">VLOOKUP(A1038,hospital_details,3,0)</f>
        <v>58</v>
      </c>
      <c r="N1038" s="5">
        <f t="shared" ref="N1038:N1101" si="6216">VLOOKUP($A1038,hospital_details,4,0)</f>
        <v>1</v>
      </c>
      <c r="O1038" s="6">
        <f t="shared" ref="O1038:O1101" si="6217">VLOOKUP($A1038,hospital_details,5,0)</f>
        <v>10825.25</v>
      </c>
      <c r="P1038" s="5" t="str">
        <f t="shared" ref="P1038:P1101" si="6218">VLOOKUP($A1038,hospital_details,6,0)</f>
        <v>tier - 3</v>
      </c>
      <c r="Q1038" s="5" t="str">
        <f t="shared" ref="Q1038:Q1101" si="6219">VLOOKUP($A1038,hospital_details,7,0)</f>
        <v>tier - 3</v>
      </c>
      <c r="R1038" s="5" t="str">
        <f t="shared" ref="R1038:R1101" si="6220">VLOOKUP($A1038,hospital_details,8,0)</f>
        <v>R1012</v>
      </c>
    </row>
    <row r="1039" spans="1:18" ht="14.4" customHeight="1" x14ac:dyDescent="0.3">
      <c r="A1039" s="7" t="s">
        <v>1059</v>
      </c>
      <c r="B1039" s="7" t="str">
        <f>VLOOKUP($A1039,[1]!Customer_Names[#Data],3,0)</f>
        <v xml:space="preserve">  Joshua P</v>
      </c>
      <c r="C1039" s="7">
        <v>32.67</v>
      </c>
      <c r="D1039" s="7" t="str" cm="1">
        <f t="array" ref="D1039">_xlfn.IFS(Healthcare!$C1039&lt;18.5,"under weight",Healthcare!$C1039&lt;=24.9,"Normal Weight",Healthcare!$C1039&gt;=25,"overweight",Healthcare!$C1039&gt;=30,"obese")</f>
        <v>overweight</v>
      </c>
      <c r="E1039" s="7">
        <v>11.81</v>
      </c>
      <c r="F1039" s="7" t="str" cm="1">
        <f t="array" ref="F1039">_xlfn.IFS(Healthcare!$E1039&lt;5.7,"normal",Healthcare!$E1039&lt;=6.4,"prediabetes",Healthcare!$E1039&gt;=6.5,"diabetes")</f>
        <v>diabetes</v>
      </c>
      <c r="G1039" s="7" t="s">
        <v>20</v>
      </c>
      <c r="H1039" s="7" t="s">
        <v>19</v>
      </c>
      <c r="I1039" s="7" t="s">
        <v>19</v>
      </c>
      <c r="J1039" s="7">
        <v>0</v>
      </c>
      <c r="K1039" s="7" t="s">
        <v>19</v>
      </c>
      <c r="L1039" s="7" t="str">
        <f>VLOOKUP(Healthcare!$A1039,hospital_details,2,0)</f>
        <v>2-Oct-1967</v>
      </c>
      <c r="M1039" s="7">
        <f t="shared" ref="M1039:M1102" ca="1" si="6221">VLOOKUP(A1039,hospital_details,3,0)</f>
        <v>59</v>
      </c>
      <c r="N1039" s="7">
        <f t="shared" ref="N1039:N1102" si="6222">VLOOKUP($A1039,hospital_details,4,0)</f>
        <v>1</v>
      </c>
      <c r="O1039" s="8">
        <f t="shared" ref="O1039:O1102" si="6223">VLOOKUP($A1039,hospital_details,5,0)</f>
        <v>10807.49</v>
      </c>
      <c r="P1039" s="7" t="str">
        <f t="shared" ref="P1039:P1102" si="6224">VLOOKUP($A1039,hospital_details,6,0)</f>
        <v>tier - 3</v>
      </c>
      <c r="Q1039" s="7" t="str">
        <f t="shared" ref="Q1039:Q1102" si="6225">VLOOKUP($A1039,hospital_details,7,0)</f>
        <v>tier - 2</v>
      </c>
      <c r="R1039" s="7" t="str">
        <f t="shared" ref="R1039:R1102" si="6226">VLOOKUP($A1039,hospital_details,8,0)</f>
        <v>R1013</v>
      </c>
    </row>
    <row r="1040" spans="1:18" ht="14.4" customHeight="1" x14ac:dyDescent="0.3">
      <c r="A1040" s="5" t="s">
        <v>1060</v>
      </c>
      <c r="B1040" s="5" t="str">
        <f>VLOOKUP($A1040,[1]!Customer_Names[#Data],3,0)</f>
        <v xml:space="preserve">  Erin C</v>
      </c>
      <c r="C1040" s="5">
        <v>33.299999999999997</v>
      </c>
      <c r="D1040" s="5" t="str" cm="1">
        <f t="array" ref="D1040">_xlfn.IFS(Healthcare!$C1040&lt;18.5,"under weight",Healthcare!$C1040&lt;=24.9,"Normal Weight",Healthcare!$C1040&gt;=25,"overweight",Healthcare!$C1040&gt;=30,"obese")</f>
        <v>overweight</v>
      </c>
      <c r="E1040" s="5">
        <v>8.26</v>
      </c>
      <c r="F1040" s="5" t="str" cm="1">
        <f t="array" ref="F1040">_xlfn.IFS(Healthcare!$E1040&lt;5.7,"normal",Healthcare!$E1040&lt;=6.4,"prediabetes",Healthcare!$E1040&gt;=6.5,"diabetes")</f>
        <v>diabetes</v>
      </c>
      <c r="G1040" s="5" t="s">
        <v>20</v>
      </c>
      <c r="H1040" s="5" t="s">
        <v>19</v>
      </c>
      <c r="I1040" s="5" t="s">
        <v>19</v>
      </c>
      <c r="J1040" s="5">
        <v>2</v>
      </c>
      <c r="K1040" s="5" t="s">
        <v>19</v>
      </c>
      <c r="L1040" s="5" t="str">
        <f>VLOOKUP(Healthcare!$A1040,hospital_details,2,0)</f>
        <v>18-Dec-1970</v>
      </c>
      <c r="M1040" s="5">
        <f t="shared" ref="M1040:M1103" ca="1" si="6227">VLOOKUP(A1040,hospital_details,3,0)</f>
        <v>55</v>
      </c>
      <c r="N1040" s="5">
        <f t="shared" ref="N1040:N1103" si="6228">VLOOKUP($A1040,hospital_details,4,0)</f>
        <v>2</v>
      </c>
      <c r="O1040" s="6">
        <f t="shared" ref="O1040:O1103" si="6229">VLOOKUP($A1040,hospital_details,5,0)</f>
        <v>10806.84</v>
      </c>
      <c r="P1040" s="5" t="str">
        <f t="shared" ref="P1040:P1103" si="6230">VLOOKUP($A1040,hospital_details,6,0)</f>
        <v>tier - 3</v>
      </c>
      <c r="Q1040" s="5" t="str">
        <f t="shared" ref="Q1040:Q1103" si="6231">VLOOKUP($A1040,hospital_details,7,0)</f>
        <v>tier - 2</v>
      </c>
      <c r="R1040" s="5" t="str">
        <f t="shared" ref="R1040:R1103" si="6232">VLOOKUP($A1040,hospital_details,8,0)</f>
        <v>R1011</v>
      </c>
    </row>
    <row r="1041" spans="1:18" ht="14.4" customHeight="1" x14ac:dyDescent="0.3">
      <c r="A1041" s="7" t="s">
        <v>1061</v>
      </c>
      <c r="B1041" s="7" t="str">
        <f>VLOOKUP($A1041,[1]!Customer_Names[#Data],3,0)</f>
        <v xml:space="preserve">  Shure</v>
      </c>
      <c r="C1041" s="7">
        <v>30.78</v>
      </c>
      <c r="D1041" s="7" t="str" cm="1">
        <f t="array" ref="D1041">_xlfn.IFS(Healthcare!$C1041&lt;18.5,"under weight",Healthcare!$C1041&lt;=24.9,"Normal Weight",Healthcare!$C1041&gt;=25,"overweight",Healthcare!$C1041&gt;=30,"obese")</f>
        <v>overweight</v>
      </c>
      <c r="E1041" s="7">
        <v>10.74</v>
      </c>
      <c r="F1041" s="7" t="str" cm="1">
        <f t="array" ref="F1041">_xlfn.IFS(Healthcare!$E1041&lt;5.7,"normal",Healthcare!$E1041&lt;=6.4,"prediabetes",Healthcare!$E1041&gt;=6.5,"diabetes")</f>
        <v>diabetes</v>
      </c>
      <c r="G1041" s="7" t="s">
        <v>20</v>
      </c>
      <c r="H1041" s="7" t="s">
        <v>19</v>
      </c>
      <c r="I1041" s="7" t="s">
        <v>19</v>
      </c>
      <c r="J1041" s="7">
        <v>2</v>
      </c>
      <c r="K1041" s="7" t="s">
        <v>19</v>
      </c>
      <c r="L1041" s="7" t="str">
        <f>VLOOKUP(Healthcare!$A1041,hospital_details,2,0)</f>
        <v>28-Oct-1970</v>
      </c>
      <c r="M1041" s="7">
        <f t="shared" ref="M1041:M1104" ca="1" si="6233">VLOOKUP(A1041,hospital_details,3,0)</f>
        <v>55</v>
      </c>
      <c r="N1041" s="7">
        <f t="shared" ref="N1041:N1104" si="6234">VLOOKUP($A1041,hospital_details,4,0)</f>
        <v>1</v>
      </c>
      <c r="O1041" s="8">
        <f t="shared" ref="O1041:O1104" si="6235">VLOOKUP($A1041,hospital_details,5,0)</f>
        <v>10797.34</v>
      </c>
      <c r="P1041" s="7" t="str">
        <f t="shared" ref="P1041:P1104" si="6236">VLOOKUP($A1041,hospital_details,6,0)</f>
        <v>tier - 3</v>
      </c>
      <c r="Q1041" s="7" t="str">
        <f t="shared" ref="Q1041:Q1104" si="6237">VLOOKUP($A1041,hospital_details,7,0)</f>
        <v>tier - 2</v>
      </c>
      <c r="R1041" s="7" t="str">
        <f t="shared" ref="R1041:R1104" si="6238">VLOOKUP($A1041,hospital_details,8,0)</f>
        <v>R1023</v>
      </c>
    </row>
    <row r="1042" spans="1:18" ht="14.4" customHeight="1" x14ac:dyDescent="0.3">
      <c r="A1042" s="5" t="s">
        <v>1062</v>
      </c>
      <c r="B1042" s="5" t="str">
        <f>VLOOKUP($A1042,[1]!Customer_Names[#Data],3,0)</f>
        <v xml:space="preserve">  Richard</v>
      </c>
      <c r="C1042" s="5">
        <v>28.975000000000001</v>
      </c>
      <c r="D1042" s="5" t="str" cm="1">
        <f t="array" ref="D1042">_xlfn.IFS(Healthcare!$C1042&lt;18.5,"under weight",Healthcare!$C1042&lt;=24.9,"Normal Weight",Healthcare!$C1042&gt;=25,"overweight",Healthcare!$C1042&gt;=30,"obese")</f>
        <v>overweight</v>
      </c>
      <c r="E1042" s="5">
        <v>7.69</v>
      </c>
      <c r="F1042" s="5" t="str" cm="1">
        <f t="array" ref="F1042">_xlfn.IFS(Healthcare!$E1042&lt;5.7,"normal",Healthcare!$E1042&lt;=6.4,"prediabetes",Healthcare!$E1042&gt;=6.5,"diabetes")</f>
        <v>diabetes</v>
      </c>
      <c r="G1042" s="5" t="s">
        <v>20</v>
      </c>
      <c r="H1042" s="5" t="s">
        <v>19</v>
      </c>
      <c r="I1042" s="5" t="s">
        <v>19</v>
      </c>
      <c r="J1042" s="5">
        <v>0</v>
      </c>
      <c r="K1042" s="5" t="s">
        <v>19</v>
      </c>
      <c r="L1042" s="5" t="str">
        <f>VLOOKUP(Healthcare!$A1042,hospital_details,2,0)</f>
        <v>23-Oct-1967</v>
      </c>
      <c r="M1042" s="5">
        <f t="shared" ref="M1042:M1105" ca="1" si="6239">VLOOKUP(A1042,hospital_details,3,0)</f>
        <v>58</v>
      </c>
      <c r="N1042" s="5">
        <f t="shared" ref="N1042:N1105" si="6240">VLOOKUP($A1042,hospital_details,4,0)</f>
        <v>0</v>
      </c>
      <c r="O1042" s="6">
        <f t="shared" ref="O1042:O1105" si="6241">VLOOKUP($A1042,hospital_details,5,0)</f>
        <v>10796.35</v>
      </c>
      <c r="P1042" s="5" t="str">
        <f t="shared" ref="P1042:P1105" si="6242">VLOOKUP($A1042,hospital_details,6,0)</f>
        <v>tier - 3</v>
      </c>
      <c r="Q1042" s="5" t="str">
        <f t="shared" ref="Q1042:Q1105" si="6243">VLOOKUP($A1042,hospital_details,7,0)</f>
        <v>tier - 1</v>
      </c>
      <c r="R1042" s="5" t="str">
        <f t="shared" ref="R1042:R1105" si="6244">VLOOKUP($A1042,hospital_details,8,0)</f>
        <v>R1019</v>
      </c>
    </row>
    <row r="1043" spans="1:18" ht="14.4" customHeight="1" x14ac:dyDescent="0.3">
      <c r="A1043" s="7" t="s">
        <v>1063</v>
      </c>
      <c r="B1043" s="7" t="str">
        <f>VLOOKUP($A1043,[1]!Customer_Names[#Data],3,0)</f>
        <v xml:space="preserve">  Brenda</v>
      </c>
      <c r="C1043" s="7">
        <v>33.4</v>
      </c>
      <c r="D1043" s="7" t="str" cm="1">
        <f t="array" ref="D1043">_xlfn.IFS(Healthcare!$C1043&lt;18.5,"under weight",Healthcare!$C1043&lt;=24.9,"Normal Weight",Healthcare!$C1043&gt;=25,"overweight",Healthcare!$C1043&gt;=30,"obese")</f>
        <v>overweight</v>
      </c>
      <c r="E1043" s="7">
        <v>4.84</v>
      </c>
      <c r="F1043" s="7" t="str" cm="1">
        <f t="array" ref="F1043">_xlfn.IFS(Healthcare!$E1043&lt;5.7,"normal",Healthcare!$E1043&lt;=6.4,"prediabetes",Healthcare!$E1043&gt;=6.5,"diabetes")</f>
        <v>normal</v>
      </c>
      <c r="G1043" s="7" t="s">
        <v>19</v>
      </c>
      <c r="H1043" s="7" t="s">
        <v>19</v>
      </c>
      <c r="I1043" s="7" t="s">
        <v>19</v>
      </c>
      <c r="J1043" s="7">
        <v>0</v>
      </c>
      <c r="K1043" s="7" t="s">
        <v>19</v>
      </c>
      <c r="L1043" s="7" t="str">
        <f>VLOOKUP(Healthcare!$A1043,hospital_details,2,0)</f>
        <v>24-Dec-1999</v>
      </c>
      <c r="M1043" s="7">
        <f t="shared" ref="M1043:M1106" ca="1" si="6245">VLOOKUP(A1043,hospital_details,3,0)</f>
        <v>26</v>
      </c>
      <c r="N1043" s="7">
        <f t="shared" ref="N1043:N1106" si="6246">VLOOKUP($A1043,hospital_details,4,0)</f>
        <v>0</v>
      </c>
      <c r="O1043" s="8">
        <f t="shared" ref="O1043:O1106" si="6247">VLOOKUP($A1043,hospital_details,5,0)</f>
        <v>10795.94</v>
      </c>
      <c r="P1043" s="7" t="str">
        <f t="shared" ref="P1043:P1106" si="6248">VLOOKUP($A1043,hospital_details,6,0)</f>
        <v>tier - 3</v>
      </c>
      <c r="Q1043" s="7" t="str">
        <f t="shared" ref="Q1043:Q1106" si="6249">VLOOKUP($A1043,hospital_details,7,0)</f>
        <v>tier - 1</v>
      </c>
      <c r="R1043" s="7" t="str">
        <f t="shared" ref="R1043:R1106" si="6250">VLOOKUP($A1043,hospital_details,8,0)</f>
        <v>R1011</v>
      </c>
    </row>
    <row r="1044" spans="1:18" ht="14.4" customHeight="1" x14ac:dyDescent="0.3">
      <c r="A1044" s="5" t="s">
        <v>1064</v>
      </c>
      <c r="B1044" s="5" t="str">
        <f>VLOOKUP($A1044,[1]!Customer_Names[#Data],3,0)</f>
        <v xml:space="preserve">  Joseph M</v>
      </c>
      <c r="C1044" s="5">
        <v>21.5</v>
      </c>
      <c r="D1044" s="5" t="str" cm="1">
        <f t="array" ref="D1044">_xlfn.IFS(Healthcare!$C1044&lt;18.5,"under weight",Healthcare!$C1044&lt;=24.9,"Normal Weight",Healthcare!$C1044&gt;=25,"overweight",Healthcare!$C1044&gt;=30,"obese")</f>
        <v>Normal Weight</v>
      </c>
      <c r="E1044" s="5">
        <v>9.77</v>
      </c>
      <c r="F1044" s="5" t="str" cm="1">
        <f t="array" ref="F1044">_xlfn.IFS(Healthcare!$E1044&lt;5.7,"normal",Healthcare!$E1044&lt;=6.4,"prediabetes",Healthcare!$E1044&gt;=6.5,"diabetes")</f>
        <v>diabetes</v>
      </c>
      <c r="G1044" s="5" t="s">
        <v>20</v>
      </c>
      <c r="H1044" s="5" t="s">
        <v>19</v>
      </c>
      <c r="I1044" s="5" t="s">
        <v>19</v>
      </c>
      <c r="J1044" s="5">
        <v>0</v>
      </c>
      <c r="K1044" s="5" t="s">
        <v>19</v>
      </c>
      <c r="L1044" s="5" t="str">
        <f>VLOOKUP(Healthcare!$A1044,hospital_details,2,0)</f>
        <v>11-Nov-1967</v>
      </c>
      <c r="M1044" s="5">
        <f t="shared" ref="M1044:M1107" ca="1" si="6251">VLOOKUP(A1044,hospital_details,3,0)</f>
        <v>58</v>
      </c>
      <c r="N1044" s="5">
        <f t="shared" ref="N1044:N1107" si="6252">VLOOKUP($A1044,hospital_details,4,0)</f>
        <v>1</v>
      </c>
      <c r="O1044" s="6">
        <f t="shared" ref="O1044:O1107" si="6253">VLOOKUP($A1044,hospital_details,5,0)</f>
        <v>10791.96</v>
      </c>
      <c r="P1044" s="5" t="str">
        <f t="shared" ref="P1044:P1107" si="6254">VLOOKUP($A1044,hospital_details,6,0)</f>
        <v>tier - 3</v>
      </c>
      <c r="Q1044" s="5" t="str">
        <f t="shared" ref="Q1044:Q1107" si="6255">VLOOKUP($A1044,hospital_details,7,0)</f>
        <v>tier - 2</v>
      </c>
      <c r="R1044" s="5" t="str">
        <f t="shared" ref="R1044:R1107" si="6256">VLOOKUP($A1044,hospital_details,8,0)</f>
        <v>R1011</v>
      </c>
    </row>
    <row r="1045" spans="1:18" ht="14.4" customHeight="1" x14ac:dyDescent="0.3">
      <c r="A1045" s="7" t="s">
        <v>1065</v>
      </c>
      <c r="B1045" s="7" t="str">
        <f>VLOOKUP($A1045,[1]!Customer_Names[#Data],3,0)</f>
        <v xml:space="preserve">  Stephen J</v>
      </c>
      <c r="C1045" s="7">
        <v>38.14</v>
      </c>
      <c r="D1045" s="7" t="str" cm="1">
        <f t="array" ref="D1045">_xlfn.IFS(Healthcare!$C1045&lt;18.5,"under weight",Healthcare!$C1045&lt;=24.9,"Normal Weight",Healthcare!$C1045&gt;=25,"overweight",Healthcare!$C1045&gt;=30,"obese")</f>
        <v>overweight</v>
      </c>
      <c r="E1045" s="7">
        <v>5.84</v>
      </c>
      <c r="F1045" s="7" t="str" cm="1">
        <f t="array" ref="F1045">_xlfn.IFS(Healthcare!$E1045&lt;5.7,"normal",Healthcare!$E1045&lt;=6.4,"prediabetes",Healthcare!$E1045&gt;=6.5,"diabetes")</f>
        <v>prediabetes</v>
      </c>
      <c r="G1045" s="7" t="s">
        <v>19</v>
      </c>
      <c r="H1045" s="7" t="s">
        <v>19</v>
      </c>
      <c r="I1045" s="7" t="s">
        <v>19</v>
      </c>
      <c r="J1045" s="7">
        <v>0</v>
      </c>
      <c r="K1045" s="7" t="s">
        <v>19</v>
      </c>
      <c r="L1045" s="7" t="str">
        <f>VLOOKUP(Healthcare!$A1045,hospital_details,2,0)</f>
        <v>25-Nov-1989</v>
      </c>
      <c r="M1045" s="7">
        <f t="shared" ref="M1045:M1108" ca="1" si="6257">VLOOKUP(A1045,hospital_details,3,0)</f>
        <v>36</v>
      </c>
      <c r="N1045" s="7">
        <f t="shared" ref="N1045:N1108" si="6258">VLOOKUP($A1045,hospital_details,4,0)</f>
        <v>3</v>
      </c>
      <c r="O1045" s="8">
        <f t="shared" ref="O1045:O1108" si="6259">VLOOKUP($A1045,hospital_details,5,0)</f>
        <v>10769.75</v>
      </c>
      <c r="P1045" s="7" t="str">
        <f t="shared" ref="P1045:P1108" si="6260">VLOOKUP($A1045,hospital_details,6,0)</f>
        <v>tier - 3</v>
      </c>
      <c r="Q1045" s="7" t="str">
        <f t="shared" ref="Q1045:Q1108" si="6261">VLOOKUP($A1045,hospital_details,7,0)</f>
        <v>tier - 2</v>
      </c>
      <c r="R1045" s="7" t="str">
        <f t="shared" ref="R1045:R1108" si="6262">VLOOKUP($A1045,hospital_details,8,0)</f>
        <v>R1022</v>
      </c>
    </row>
    <row r="1046" spans="1:18" ht="14.4" customHeight="1" x14ac:dyDescent="0.3">
      <c r="A1046" s="5" t="s">
        <v>1066</v>
      </c>
      <c r="B1046" s="5" t="str">
        <f>VLOOKUP($A1046,[1]!Customer_Names[#Data],3,0)</f>
        <v xml:space="preserve">  Kathya</v>
      </c>
      <c r="C1046" s="5">
        <v>35.42</v>
      </c>
      <c r="D1046" s="5" t="str" cm="1">
        <f t="array" ref="D1046">_xlfn.IFS(Healthcare!$C1046&lt;18.5,"under weight",Healthcare!$C1046&lt;=24.9,"Normal Weight",Healthcare!$C1046&gt;=25,"overweight",Healthcare!$C1046&gt;=30,"obese")</f>
        <v>overweight</v>
      </c>
      <c r="E1046" s="5">
        <v>8.6999999999999993</v>
      </c>
      <c r="F1046" s="5" t="str" cm="1">
        <f t="array" ref="F1046">_xlfn.IFS(Healthcare!$E1046&lt;5.7,"normal",Healthcare!$E1046&lt;=6.4,"prediabetes",Healthcare!$E1046&gt;=6.5,"diabetes")</f>
        <v>diabetes</v>
      </c>
      <c r="G1046" s="5" t="s">
        <v>20</v>
      </c>
      <c r="H1046" s="5" t="s">
        <v>19</v>
      </c>
      <c r="I1046" s="5" t="s">
        <v>19</v>
      </c>
      <c r="J1046" s="5">
        <v>1</v>
      </c>
      <c r="K1046" s="5" t="s">
        <v>19</v>
      </c>
      <c r="L1046" s="5" t="str">
        <f>VLOOKUP(Healthcare!$A1046,hospital_details,2,0)</f>
        <v>29-Aug-1986</v>
      </c>
      <c r="M1046" s="5">
        <f t="shared" ref="M1046:M1109" ca="1" si="6263">VLOOKUP(A1046,hospital_details,3,0)</f>
        <v>40</v>
      </c>
      <c r="N1046" s="5">
        <f t="shared" ref="N1046:N1109" si="6264">VLOOKUP($A1046,hospital_details,4,0)</f>
        <v>3</v>
      </c>
      <c r="O1046" s="6">
        <f t="shared" ref="O1046:O1109" si="6265">VLOOKUP($A1046,hospital_details,5,0)</f>
        <v>10749.02</v>
      </c>
      <c r="P1046" s="5" t="str">
        <f t="shared" ref="P1046:P1109" si="6266">VLOOKUP($A1046,hospital_details,6,0)</f>
        <v>tier - 3</v>
      </c>
      <c r="Q1046" s="5" t="str">
        <f t="shared" ref="Q1046:Q1109" si="6267">VLOOKUP($A1046,hospital_details,7,0)</f>
        <v>tier - 1</v>
      </c>
      <c r="R1046" s="5" t="str">
        <f t="shared" ref="R1046:R1109" si="6268">VLOOKUP($A1046,hospital_details,8,0)</f>
        <v>R1026</v>
      </c>
    </row>
    <row r="1047" spans="1:18" ht="14.4" customHeight="1" x14ac:dyDescent="0.3">
      <c r="A1047" s="7" t="s">
        <v>1067</v>
      </c>
      <c r="B1047" s="7" t="str">
        <f>VLOOKUP($A1047,[1]!Customer_Names[#Data],3,0)</f>
        <v xml:space="preserve">  Wesley</v>
      </c>
      <c r="C1047" s="7">
        <v>35.625</v>
      </c>
      <c r="D1047" s="7" t="str" cm="1">
        <f t="array" ref="D1047">_xlfn.IFS(Healthcare!$C1047&lt;18.5,"under weight",Healthcare!$C1047&lt;=24.9,"Normal Weight",Healthcare!$C1047&gt;=25,"overweight",Healthcare!$C1047&gt;=30,"obese")</f>
        <v>overweight</v>
      </c>
      <c r="E1047" s="7">
        <v>10.79</v>
      </c>
      <c r="F1047" s="7" t="str" cm="1">
        <f t="array" ref="F1047">_xlfn.IFS(Healthcare!$E1047&lt;5.7,"normal",Healthcare!$E1047&lt;=6.4,"prediabetes",Healthcare!$E1047&gt;=6.5,"diabetes")</f>
        <v>diabetes</v>
      </c>
      <c r="G1047" s="7" t="s">
        <v>19</v>
      </c>
      <c r="H1047" s="7" t="s">
        <v>19</v>
      </c>
      <c r="I1047" s="7" t="s">
        <v>19</v>
      </c>
      <c r="J1047" s="7">
        <v>0</v>
      </c>
      <c r="K1047" s="7" t="s">
        <v>19</v>
      </c>
      <c r="L1047" s="7" t="str">
        <f>VLOOKUP(Healthcare!$A1047,hospital_details,2,0)</f>
        <v>9-Dec-1974</v>
      </c>
      <c r="M1047" s="7">
        <f t="shared" ref="M1047:M1110" ca="1" si="6269">VLOOKUP(A1047,hospital_details,3,0)</f>
        <v>51</v>
      </c>
      <c r="N1047" s="7">
        <f t="shared" ref="N1047:N1110" si="6270">VLOOKUP($A1047,hospital_details,4,0)</f>
        <v>4</v>
      </c>
      <c r="O1047" s="8">
        <f t="shared" ref="O1047:O1110" si="6271">VLOOKUP($A1047,hospital_details,5,0)</f>
        <v>10736.87</v>
      </c>
      <c r="P1047" s="7" t="str">
        <f t="shared" ref="P1047:P1110" si="6272">VLOOKUP($A1047,hospital_details,6,0)</f>
        <v>tier - 3</v>
      </c>
      <c r="Q1047" s="7" t="str">
        <f t="shared" ref="Q1047:Q1110" si="6273">VLOOKUP($A1047,hospital_details,7,0)</f>
        <v>tier - 1</v>
      </c>
      <c r="R1047" s="7" t="str">
        <f t="shared" ref="R1047:R1110" si="6274">VLOOKUP($A1047,hospital_details,8,0)</f>
        <v>R1016</v>
      </c>
    </row>
    <row r="1048" spans="1:18" ht="14.4" customHeight="1" x14ac:dyDescent="0.3">
      <c r="A1048" s="5" t="s">
        <v>1068</v>
      </c>
      <c r="B1048" s="5" t="str">
        <f>VLOOKUP($A1048,[1]!Customer_Names[#Data],3,0)</f>
        <v xml:space="preserve">  Tim</v>
      </c>
      <c r="C1048" s="5">
        <v>45.51</v>
      </c>
      <c r="D1048" s="5" t="str" cm="1">
        <f t="array" ref="D1048">_xlfn.IFS(Healthcare!$C1048&lt;18.5,"under weight",Healthcare!$C1048&lt;=24.9,"Normal Weight",Healthcare!$C1048&gt;=25,"overweight",Healthcare!$C1048&gt;=30,"obese")</f>
        <v>overweight</v>
      </c>
      <c r="E1048" s="5">
        <v>4.32</v>
      </c>
      <c r="F1048" s="5" t="str" cm="1">
        <f t="array" ref="F1048">_xlfn.IFS(Healthcare!$E1048&lt;5.7,"normal",Healthcare!$E1048&lt;=6.4,"prediabetes",Healthcare!$E1048&gt;=6.5,"diabetes")</f>
        <v>normal</v>
      </c>
      <c r="G1048" s="5" t="s">
        <v>19</v>
      </c>
      <c r="H1048" s="5" t="s">
        <v>19</v>
      </c>
      <c r="I1048" s="5" t="s">
        <v>19</v>
      </c>
      <c r="J1048" s="5">
        <v>1</v>
      </c>
      <c r="K1048" s="5" t="s">
        <v>19</v>
      </c>
      <c r="L1048" s="5" t="str">
        <f>VLOOKUP(Healthcare!$A1048,hospital_details,2,0)</f>
        <v>25-Jun-1992</v>
      </c>
      <c r="M1048" s="5">
        <f t="shared" ref="M1048:M1111" ca="1" si="6275">VLOOKUP(A1048,hospital_details,3,0)</f>
        <v>34</v>
      </c>
      <c r="N1048" s="5">
        <f t="shared" ref="N1048:N1111" si="6276">VLOOKUP($A1048,hospital_details,4,0)</f>
        <v>0</v>
      </c>
      <c r="O1048" s="6">
        <f t="shared" ref="O1048:O1111" si="6277">VLOOKUP($A1048,hospital_details,5,0)</f>
        <v>10719.57</v>
      </c>
      <c r="P1048" s="5" t="str">
        <f t="shared" ref="P1048:P1111" si="6278">VLOOKUP($A1048,hospital_details,6,0)</f>
        <v>tier - 3</v>
      </c>
      <c r="Q1048" s="5" t="str">
        <f t="shared" ref="Q1048:Q1111" si="6279">VLOOKUP($A1048,hospital_details,7,0)</f>
        <v>tier - 1</v>
      </c>
      <c r="R1048" s="5" t="str">
        <f t="shared" ref="R1048:R1111" si="6280">VLOOKUP($A1048,hospital_details,8,0)</f>
        <v>R1012</v>
      </c>
    </row>
    <row r="1049" spans="1:18" ht="14.4" customHeight="1" x14ac:dyDescent="0.3">
      <c r="A1049" s="7" t="s">
        <v>1069</v>
      </c>
      <c r="B1049" s="7" t="str">
        <f>VLOOKUP($A1049,[1]!Customer_Names[#Data],3,0)</f>
        <v xml:space="preserve">  Jamie L</v>
      </c>
      <c r="C1049" s="7">
        <v>37.1</v>
      </c>
      <c r="D1049" s="7" t="str" cm="1">
        <f t="array" ref="D1049">_xlfn.IFS(Healthcare!$C1049&lt;18.5,"under weight",Healthcare!$C1049&lt;=24.9,"Normal Weight",Healthcare!$C1049&gt;=25,"overweight",Healthcare!$C1049&gt;=30,"obese")</f>
        <v>overweight</v>
      </c>
      <c r="E1049" s="7">
        <v>7.19</v>
      </c>
      <c r="F1049" s="7" t="str" cm="1">
        <f t="array" ref="F1049">_xlfn.IFS(Healthcare!$E1049&lt;5.7,"normal",Healthcare!$E1049&lt;=6.4,"prediabetes",Healthcare!$E1049&gt;=6.5,"diabetes")</f>
        <v>diabetes</v>
      </c>
      <c r="G1049" s="7" t="s">
        <v>20</v>
      </c>
      <c r="H1049" s="7" t="s">
        <v>19</v>
      </c>
      <c r="I1049" s="7" t="s">
        <v>19</v>
      </c>
      <c r="J1049" s="7">
        <v>0</v>
      </c>
      <c r="K1049" s="7" t="s">
        <v>19</v>
      </c>
      <c r="L1049" s="7" t="str">
        <f>VLOOKUP(Healthcare!$A1049,hospital_details,2,0)</f>
        <v>5-Oct-1967</v>
      </c>
      <c r="M1049" s="7">
        <f t="shared" ref="M1049:M1112" ca="1" si="6281">VLOOKUP(A1049,hospital_details,3,0)</f>
        <v>59</v>
      </c>
      <c r="N1049" s="7">
        <f t="shared" ref="N1049:N1112" si="6282">VLOOKUP($A1049,hospital_details,4,0)</f>
        <v>0</v>
      </c>
      <c r="O1049" s="8">
        <f t="shared" ref="O1049:O1112" si="6283">VLOOKUP($A1049,hospital_details,5,0)</f>
        <v>10713.64</v>
      </c>
      <c r="P1049" s="7" t="str">
        <f t="shared" ref="P1049:P1112" si="6284">VLOOKUP($A1049,hospital_details,6,0)</f>
        <v>tier - 3</v>
      </c>
      <c r="Q1049" s="7" t="str">
        <f t="shared" ref="Q1049:Q1112" si="6285">VLOOKUP($A1049,hospital_details,7,0)</f>
        <v>tier - 3</v>
      </c>
      <c r="R1049" s="7" t="str">
        <f t="shared" ref="R1049:R1112" si="6286">VLOOKUP($A1049,hospital_details,8,0)</f>
        <v>R1011</v>
      </c>
    </row>
    <row r="1050" spans="1:18" ht="14.4" customHeight="1" x14ac:dyDescent="0.3">
      <c r="A1050" s="5" t="s">
        <v>1070</v>
      </c>
      <c r="B1050" s="5" t="str">
        <f>VLOOKUP($A1050,[1]!Customer_Names[#Data],3,0)</f>
        <v xml:space="preserve">  Alexandra</v>
      </c>
      <c r="C1050" s="5">
        <v>30.5</v>
      </c>
      <c r="D1050" s="5" t="str" cm="1">
        <f t="array" ref="D1050">_xlfn.IFS(Healthcare!$C1050&lt;18.5,"under weight",Healthcare!$C1050&lt;=24.9,"Normal Weight",Healthcare!$C1050&gt;=25,"overweight",Healthcare!$C1050&gt;=30,"obese")</f>
        <v>overweight</v>
      </c>
      <c r="E1050" s="5">
        <v>11.94</v>
      </c>
      <c r="F1050" s="5" t="str" cm="1">
        <f t="array" ref="F1050">_xlfn.IFS(Healthcare!$E1050&lt;5.7,"normal",Healthcare!$E1050&lt;=6.4,"prediabetes",Healthcare!$E1050&gt;=6.5,"diabetes")</f>
        <v>diabetes</v>
      </c>
      <c r="G1050" s="5" t="s">
        <v>20</v>
      </c>
      <c r="H1050" s="5" t="s">
        <v>19</v>
      </c>
      <c r="I1050" s="5" t="s">
        <v>19</v>
      </c>
      <c r="J1050" s="5">
        <v>0</v>
      </c>
      <c r="K1050" s="5" t="s">
        <v>19</v>
      </c>
      <c r="L1050" s="5" t="str">
        <f>VLOOKUP(Healthcare!$A1050,hospital_details,2,0)</f>
        <v>30-Jul-1967</v>
      </c>
      <c r="M1050" s="5">
        <f t="shared" ref="M1050:M1113" ca="1" si="6287">VLOOKUP(A1050,hospital_details,3,0)</f>
        <v>59</v>
      </c>
      <c r="N1050" s="5">
        <f t="shared" ref="N1050:N1113" si="6288">VLOOKUP($A1050,hospital_details,4,0)</f>
        <v>0</v>
      </c>
      <c r="O1050" s="6">
        <f t="shared" ref="O1050:O1113" si="6289">VLOOKUP($A1050,hospital_details,5,0)</f>
        <v>10704.47</v>
      </c>
      <c r="P1050" s="5" t="str">
        <f t="shared" ref="P1050:P1113" si="6290">VLOOKUP($A1050,hospital_details,6,0)</f>
        <v>tier - 3</v>
      </c>
      <c r="Q1050" s="5" t="str">
        <f t="shared" ref="Q1050:Q1113" si="6291">VLOOKUP($A1050,hospital_details,7,0)</f>
        <v>tier - 2</v>
      </c>
      <c r="R1050" s="5" t="str">
        <f t="shared" ref="R1050:R1113" si="6292">VLOOKUP($A1050,hospital_details,8,0)</f>
        <v>R1011</v>
      </c>
    </row>
    <row r="1051" spans="1:18" ht="14.4" customHeight="1" x14ac:dyDescent="0.3">
      <c r="A1051" s="7" t="s">
        <v>1071</v>
      </c>
      <c r="B1051" s="7" t="str">
        <f>VLOOKUP($A1051,[1]!Customer_Names[#Data],3,0)</f>
        <v xml:space="preserve">  Tiffany</v>
      </c>
      <c r="C1051" s="7">
        <v>28.16</v>
      </c>
      <c r="D1051" s="7" t="str" cm="1">
        <f t="array" ref="D1051">_xlfn.IFS(Healthcare!$C1051&lt;18.5,"under weight",Healthcare!$C1051&lt;=24.9,"Normal Weight",Healthcare!$C1051&gt;=25,"overweight",Healthcare!$C1051&gt;=30,"obese")</f>
        <v>overweight</v>
      </c>
      <c r="E1051" s="7">
        <v>5.56</v>
      </c>
      <c r="F1051" s="7" t="str" cm="1">
        <f t="array" ref="F1051">_xlfn.IFS(Healthcare!$E1051&lt;5.7,"normal",Healthcare!$E1051&lt;=6.4,"prediabetes",Healthcare!$E1051&gt;=6.5,"diabetes")</f>
        <v>normal</v>
      </c>
      <c r="G1051" s="7" t="s">
        <v>19</v>
      </c>
      <c r="H1051" s="7" t="s">
        <v>19</v>
      </c>
      <c r="I1051" s="7" t="s">
        <v>19</v>
      </c>
      <c r="J1051" s="7">
        <v>2</v>
      </c>
      <c r="K1051" s="7" t="s">
        <v>19</v>
      </c>
      <c r="L1051" s="7" t="str">
        <f>VLOOKUP(Healthcare!$A1051,hospital_details,2,0)</f>
        <v>24-Oct-1972</v>
      </c>
      <c r="M1051" s="7">
        <f t="shared" ref="M1051:M1114" ca="1" si="6293">VLOOKUP(A1051,hospital_details,3,0)</f>
        <v>53</v>
      </c>
      <c r="N1051" s="7">
        <f t="shared" ref="N1051:N1114" si="6294">VLOOKUP($A1051,hospital_details,4,0)</f>
        <v>3</v>
      </c>
      <c r="O1051" s="8">
        <f t="shared" ref="O1051:O1114" si="6295">VLOOKUP($A1051,hospital_details,5,0)</f>
        <v>10702.64</v>
      </c>
      <c r="P1051" s="7" t="str">
        <f t="shared" ref="P1051:P1114" si="6296">VLOOKUP($A1051,hospital_details,6,0)</f>
        <v>tier - 3</v>
      </c>
      <c r="Q1051" s="7" t="str">
        <f t="shared" ref="Q1051:Q1114" si="6297">VLOOKUP($A1051,hospital_details,7,0)</f>
        <v>tier - 3</v>
      </c>
      <c r="R1051" s="7" t="str">
        <f t="shared" ref="R1051:R1114" si="6298">VLOOKUP($A1051,hospital_details,8,0)</f>
        <v>R1013</v>
      </c>
    </row>
    <row r="1052" spans="1:18" ht="14.4" customHeight="1" x14ac:dyDescent="0.3">
      <c r="A1052" s="5" t="s">
        <v>1072</v>
      </c>
      <c r="B1052" s="5" t="str">
        <f>VLOOKUP($A1052,[1]!Customer_Names[#Data],3,0)</f>
        <v xml:space="preserve">  Rebecca J</v>
      </c>
      <c r="C1052" s="5">
        <v>29.1</v>
      </c>
      <c r="D1052" s="5" t="str" cm="1">
        <f t="array" ref="D1052">_xlfn.IFS(Healthcare!$C1052&lt;18.5,"under weight",Healthcare!$C1052&lt;=24.9,"Normal Weight",Healthcare!$C1052&gt;=25,"overweight",Healthcare!$C1052&gt;=30,"obese")</f>
        <v>overweight</v>
      </c>
      <c r="E1052" s="5">
        <v>5.64</v>
      </c>
      <c r="F1052" s="5" t="str" cm="1">
        <f t="array" ref="F1052">_xlfn.IFS(Healthcare!$E1052&lt;5.7,"normal",Healthcare!$E1052&lt;=6.4,"prediabetes",Healthcare!$E1052&gt;=6.5,"diabetes")</f>
        <v>normal</v>
      </c>
      <c r="G1052" s="5" t="s">
        <v>20</v>
      </c>
      <c r="H1052" s="5" t="s">
        <v>19</v>
      </c>
      <c r="I1052" s="5" t="s">
        <v>19</v>
      </c>
      <c r="J1052" s="5">
        <v>0</v>
      </c>
      <c r="K1052" s="5" t="s">
        <v>19</v>
      </c>
      <c r="L1052" s="5" t="str">
        <f>VLOOKUP(Healthcare!$A1052,hospital_details,2,0)</f>
        <v>30-Sep-1976</v>
      </c>
      <c r="M1052" s="5">
        <f t="shared" ref="M1052:M1115" ca="1" si="6299">VLOOKUP(A1052,hospital_details,3,0)</f>
        <v>50</v>
      </c>
      <c r="N1052" s="5">
        <f t="shared" ref="N1052:N1115" si="6300">VLOOKUP($A1052,hospital_details,4,0)</f>
        <v>2</v>
      </c>
      <c r="O1052" s="6">
        <f t="shared" ref="O1052:O1115" si="6301">VLOOKUP($A1052,hospital_details,5,0)</f>
        <v>10698.38</v>
      </c>
      <c r="P1052" s="5" t="str">
        <f t="shared" ref="P1052:P1115" si="6302">VLOOKUP($A1052,hospital_details,6,0)</f>
        <v>tier - 3</v>
      </c>
      <c r="Q1052" s="5" t="str">
        <f t="shared" ref="Q1052:Q1115" si="6303">VLOOKUP($A1052,hospital_details,7,0)</f>
        <v>tier - 1</v>
      </c>
      <c r="R1052" s="5" t="str">
        <f t="shared" ref="R1052:R1115" si="6304">VLOOKUP($A1052,hospital_details,8,0)</f>
        <v>R1025</v>
      </c>
    </row>
    <row r="1053" spans="1:18" ht="14.4" customHeight="1" x14ac:dyDescent="0.3">
      <c r="A1053" s="7" t="s">
        <v>1073</v>
      </c>
      <c r="B1053" s="7" t="str">
        <f>VLOOKUP($A1053,[1]!Customer_Names[#Data],3,0)</f>
        <v xml:space="preserve">  Austin T</v>
      </c>
      <c r="C1053" s="7">
        <v>30.22</v>
      </c>
      <c r="D1053" s="7" t="str" cm="1">
        <f t="array" ref="D1053">_xlfn.IFS(Healthcare!$C1053&lt;18.5,"under weight",Healthcare!$C1053&lt;=24.9,"Normal Weight",Healthcare!$C1053&gt;=25,"overweight",Healthcare!$C1053&gt;=30,"obese")</f>
        <v>overweight</v>
      </c>
      <c r="E1053" s="7">
        <v>4.6500000000000004</v>
      </c>
      <c r="F1053" s="7" t="str" cm="1">
        <f t="array" ref="F1053">_xlfn.IFS(Healthcare!$E1053&lt;5.7,"normal",Healthcare!$E1053&lt;=6.4,"prediabetes",Healthcare!$E1053&gt;=6.5,"diabetes")</f>
        <v>normal</v>
      </c>
      <c r="G1053" s="7" t="s">
        <v>19</v>
      </c>
      <c r="H1053" s="7" t="s">
        <v>19</v>
      </c>
      <c r="I1053" s="7" t="s">
        <v>19</v>
      </c>
      <c r="J1053" s="7">
        <v>0</v>
      </c>
      <c r="K1053" s="7" t="s">
        <v>19</v>
      </c>
      <c r="L1053" s="7" t="str">
        <f>VLOOKUP(Healthcare!$A1053,hospital_details,2,0)</f>
        <v>2-Aug-1977</v>
      </c>
      <c r="M1053" s="7">
        <f t="shared" ref="M1053:M1116" ca="1" si="6305">VLOOKUP(A1053,hospital_details,3,0)</f>
        <v>49</v>
      </c>
      <c r="N1053" s="7">
        <f t="shared" ref="N1053:N1116" si="6306">VLOOKUP($A1053,hospital_details,4,0)</f>
        <v>2</v>
      </c>
      <c r="O1053" s="8">
        <f t="shared" ref="O1053:O1116" si="6307">VLOOKUP($A1053,hospital_details,5,0)</f>
        <v>10690.11</v>
      </c>
      <c r="P1053" s="7" t="str">
        <f t="shared" ref="P1053:P1116" si="6308">VLOOKUP($A1053,hospital_details,6,0)</f>
        <v>tier - 3</v>
      </c>
      <c r="Q1053" s="7" t="str">
        <f t="shared" ref="Q1053:Q1116" si="6309">VLOOKUP($A1053,hospital_details,7,0)</f>
        <v>tier - 2</v>
      </c>
      <c r="R1053" s="7" t="str">
        <f t="shared" ref="R1053:R1116" si="6310">VLOOKUP($A1053,hospital_details,8,0)</f>
        <v>R1021</v>
      </c>
    </row>
    <row r="1054" spans="1:18" ht="14.4" customHeight="1" x14ac:dyDescent="0.3">
      <c r="A1054" s="5" t="s">
        <v>1074</v>
      </c>
      <c r="B1054" s="5" t="str">
        <f>VLOOKUP($A1054,[1]!Customer_Names[#Data],3,0)</f>
        <v xml:space="preserve">  Jamie T</v>
      </c>
      <c r="C1054" s="5">
        <v>24.29</v>
      </c>
      <c r="D1054" s="5" t="str" cm="1">
        <f t="array" ref="D1054">_xlfn.IFS(Healthcare!$C1054&lt;18.5,"under weight",Healthcare!$C1054&lt;=24.9,"Normal Weight",Healthcare!$C1054&gt;=25,"overweight",Healthcare!$C1054&gt;=30,"obese")</f>
        <v>Normal Weight</v>
      </c>
      <c r="E1054" s="5">
        <v>9.0500000000000007</v>
      </c>
      <c r="F1054" s="5" t="str" cm="1">
        <f t="array" ref="F1054">_xlfn.IFS(Healthcare!$E1054&lt;5.7,"normal",Healthcare!$E1054&lt;=6.4,"prediabetes",Healthcare!$E1054&gt;=6.5,"diabetes")</f>
        <v>diabetes</v>
      </c>
      <c r="G1054" s="5" t="s">
        <v>19</v>
      </c>
      <c r="H1054" s="5" t="s">
        <v>19</v>
      </c>
      <c r="I1054" s="5" t="s">
        <v>19</v>
      </c>
      <c r="J1054" s="5">
        <v>0</v>
      </c>
      <c r="K1054" s="5" t="s">
        <v>19</v>
      </c>
      <c r="L1054" s="5" t="str">
        <f>VLOOKUP(Healthcare!$A1054,hospital_details,2,0)</f>
        <v>7-Sep-1962</v>
      </c>
      <c r="M1054" s="5">
        <f t="shared" ref="M1054:M1117" ca="1" si="6311">VLOOKUP(A1054,hospital_details,3,0)</f>
        <v>64</v>
      </c>
      <c r="N1054" s="5">
        <f t="shared" ref="N1054:N1117" si="6312">VLOOKUP($A1054,hospital_details,4,0)</f>
        <v>0</v>
      </c>
      <c r="O1054" s="6">
        <f t="shared" ref="O1054:O1117" si="6313">VLOOKUP($A1054,hospital_details,5,0)</f>
        <v>10676.83</v>
      </c>
      <c r="P1054" s="5" t="str">
        <f t="shared" ref="P1054:P1117" si="6314">VLOOKUP($A1054,hospital_details,6,0)</f>
        <v>tier - 3</v>
      </c>
      <c r="Q1054" s="5" t="str">
        <f t="shared" ref="Q1054:Q1117" si="6315">VLOOKUP($A1054,hospital_details,7,0)</f>
        <v>tier - 3</v>
      </c>
      <c r="R1054" s="5" t="str">
        <f t="shared" ref="R1054:R1117" si="6316">VLOOKUP($A1054,hospital_details,8,0)</f>
        <v>R1013</v>
      </c>
    </row>
    <row r="1055" spans="1:18" ht="14.4" customHeight="1" x14ac:dyDescent="0.3">
      <c r="A1055" s="7" t="s">
        <v>1075</v>
      </c>
      <c r="B1055" s="7" t="str">
        <f>VLOOKUP($A1055,[1]!Customer_Names[#Data],3,0)</f>
        <v xml:space="preserve">  Matthew T</v>
      </c>
      <c r="C1055" s="7">
        <v>29.39</v>
      </c>
      <c r="D1055" s="7" t="str" cm="1">
        <f t="array" ref="D1055">_xlfn.IFS(Healthcare!$C1055&lt;18.5,"under weight",Healthcare!$C1055&lt;=24.9,"Normal Weight",Healthcare!$C1055&gt;=25,"overweight",Healthcare!$C1055&gt;=30,"obese")</f>
        <v>overweight</v>
      </c>
      <c r="E1055" s="7">
        <v>4.5199999999999996</v>
      </c>
      <c r="F1055" s="7" t="str" cm="1">
        <f t="array" ref="F1055">_xlfn.IFS(Healthcare!$E1055&lt;5.7,"normal",Healthcare!$E1055&lt;=6.4,"prediabetes",Healthcare!$E1055&gt;=6.5,"diabetes")</f>
        <v>normal</v>
      </c>
      <c r="G1055" s="7" t="s">
        <v>20</v>
      </c>
      <c r="H1055" s="7" t="s">
        <v>19</v>
      </c>
      <c r="I1055" s="7" t="s">
        <v>19</v>
      </c>
      <c r="J1055" s="7">
        <v>0</v>
      </c>
      <c r="K1055" s="7" t="s">
        <v>19</v>
      </c>
      <c r="L1055" s="7" t="str">
        <f>VLOOKUP(Healthcare!$A1055,hospital_details,2,0)</f>
        <v>22-Nov-1976</v>
      </c>
      <c r="M1055" s="7">
        <f t="shared" ref="M1055:M1118" ca="1" si="6317">VLOOKUP(A1055,hospital_details,3,0)</f>
        <v>49</v>
      </c>
      <c r="N1055" s="7">
        <f t="shared" ref="N1055:N1118" si="6318">VLOOKUP($A1055,hospital_details,4,0)</f>
        <v>2</v>
      </c>
      <c r="O1055" s="8">
        <f t="shared" ref="O1055:O1118" si="6319">VLOOKUP($A1055,hospital_details,5,0)</f>
        <v>10665.44</v>
      </c>
      <c r="P1055" s="7" t="str">
        <f t="shared" ref="P1055:P1118" si="6320">VLOOKUP($A1055,hospital_details,6,0)</f>
        <v>tier - 3</v>
      </c>
      <c r="Q1055" s="7" t="str">
        <f t="shared" ref="Q1055:Q1118" si="6321">VLOOKUP($A1055,hospital_details,7,0)</f>
        <v>tier - 2</v>
      </c>
      <c r="R1055" s="7" t="str">
        <f t="shared" ref="R1055:R1118" si="6322">VLOOKUP($A1055,hospital_details,8,0)</f>
        <v>R1021</v>
      </c>
    </row>
    <row r="1056" spans="1:18" ht="14.4" customHeight="1" x14ac:dyDescent="0.3">
      <c r="A1056" s="5" t="s">
        <v>1076</v>
      </c>
      <c r="B1056" s="5" t="str">
        <f>VLOOKUP($A1056,[1]!Customer_Names[#Data],3,0)</f>
        <v xml:space="preserve">  Emily</v>
      </c>
      <c r="C1056" s="5">
        <v>25.66</v>
      </c>
      <c r="D1056" s="5" t="str" cm="1">
        <f t="array" ref="D1056">_xlfn.IFS(Healthcare!$C1056&lt;18.5,"under weight",Healthcare!$C1056&lt;=24.9,"Normal Weight",Healthcare!$C1056&gt;=25,"overweight",Healthcare!$C1056&gt;=30,"obese")</f>
        <v>overweight</v>
      </c>
      <c r="E1056" s="5">
        <v>4.62</v>
      </c>
      <c r="F1056" s="5" t="str" cm="1">
        <f t="array" ref="F1056">_xlfn.IFS(Healthcare!$E1056&lt;5.7,"normal",Healthcare!$E1056&lt;=6.4,"prediabetes",Healthcare!$E1056&gt;=6.5,"diabetes")</f>
        <v>normal</v>
      </c>
      <c r="G1056" s="5" t="s">
        <v>20</v>
      </c>
      <c r="H1056" s="5" t="s">
        <v>19</v>
      </c>
      <c r="I1056" s="5" t="s">
        <v>19</v>
      </c>
      <c r="J1056" s="5">
        <v>1</v>
      </c>
      <c r="K1056" s="5" t="s">
        <v>19</v>
      </c>
      <c r="L1056" s="5" t="str">
        <f>VLOOKUP(Healthcare!$A1056,hospital_details,2,0)</f>
        <v>8-Aug-1964</v>
      </c>
      <c r="M1056" s="5">
        <f t="shared" ref="M1056:M1119" ca="1" si="6323">VLOOKUP(A1056,hospital_details,3,0)</f>
        <v>62</v>
      </c>
      <c r="N1056" s="5">
        <f t="shared" ref="N1056:N1119" si="6324">VLOOKUP($A1056,hospital_details,4,0)</f>
        <v>0</v>
      </c>
      <c r="O1056" s="6">
        <f t="shared" ref="O1056:O1119" si="6325">VLOOKUP($A1056,hospital_details,5,0)</f>
        <v>10627.81</v>
      </c>
      <c r="P1056" s="5" t="str">
        <f t="shared" ref="P1056:P1119" si="6326">VLOOKUP($A1056,hospital_details,6,0)</f>
        <v>tier - 3</v>
      </c>
      <c r="Q1056" s="5" t="str">
        <f t="shared" ref="Q1056:Q1119" si="6327">VLOOKUP($A1056,hospital_details,7,0)</f>
        <v>tier - 3</v>
      </c>
      <c r="R1056" s="5" t="str">
        <f t="shared" ref="R1056:R1119" si="6328">VLOOKUP($A1056,hospital_details,8,0)</f>
        <v>R1013</v>
      </c>
    </row>
    <row r="1057" spans="1:18" ht="14.4" customHeight="1" x14ac:dyDescent="0.3">
      <c r="A1057" s="7" t="s">
        <v>1077</v>
      </c>
      <c r="B1057" s="7" t="str">
        <f>VLOOKUP($A1057,[1]!Customer_Names[#Data],3,0)</f>
        <v xml:space="preserve">  Gillian</v>
      </c>
      <c r="C1057" s="7">
        <v>39.11</v>
      </c>
      <c r="D1057" s="7" t="str" cm="1">
        <f t="array" ref="D1057">_xlfn.IFS(Healthcare!$C1057&lt;18.5,"under weight",Healthcare!$C1057&lt;=24.9,"Normal Weight",Healthcare!$C1057&gt;=25,"overweight",Healthcare!$C1057&gt;=30,"obese")</f>
        <v>overweight</v>
      </c>
      <c r="E1057" s="7">
        <v>5.87</v>
      </c>
      <c r="F1057" s="7" t="str" cm="1">
        <f t="array" ref="F1057">_xlfn.IFS(Healthcare!$E1057&lt;5.7,"normal",Healthcare!$E1057&lt;=6.4,"prediabetes",Healthcare!$E1057&gt;=6.5,"diabetes")</f>
        <v>prediabetes</v>
      </c>
      <c r="G1057" s="7" t="s">
        <v>19</v>
      </c>
      <c r="H1057" s="7" t="s">
        <v>19</v>
      </c>
      <c r="I1057" s="7" t="s">
        <v>19</v>
      </c>
      <c r="J1057" s="7">
        <v>0</v>
      </c>
      <c r="K1057" s="7" t="s">
        <v>19</v>
      </c>
      <c r="L1057" s="7" t="str">
        <f>VLOOKUP(Healthcare!$A1057,hospital_details,2,0)</f>
        <v>6-Jul-1990</v>
      </c>
      <c r="M1057" s="7">
        <f t="shared" ref="M1057:M1120" ca="1" si="6329">VLOOKUP(A1057,hospital_details,3,0)</f>
        <v>36</v>
      </c>
      <c r="N1057" s="7">
        <f t="shared" ref="N1057:N1120" si="6330">VLOOKUP($A1057,hospital_details,4,0)</f>
        <v>3</v>
      </c>
      <c r="O1057" s="8">
        <f t="shared" ref="O1057:O1120" si="6331">VLOOKUP($A1057,hospital_details,5,0)</f>
        <v>10620.26</v>
      </c>
      <c r="P1057" s="7" t="str">
        <f t="shared" ref="P1057:P1120" si="6332">VLOOKUP($A1057,hospital_details,6,0)</f>
        <v>tier - 3</v>
      </c>
      <c r="Q1057" s="7" t="str">
        <f t="shared" ref="Q1057:Q1120" si="6333">VLOOKUP($A1057,hospital_details,7,0)</f>
        <v>tier - 3</v>
      </c>
      <c r="R1057" s="7" t="str">
        <f t="shared" ref="R1057:R1120" si="6334">VLOOKUP($A1057,hospital_details,8,0)</f>
        <v>R1012</v>
      </c>
    </row>
    <row r="1058" spans="1:18" ht="14.4" customHeight="1" x14ac:dyDescent="0.3">
      <c r="A1058" s="5" t="s">
        <v>1078</v>
      </c>
      <c r="B1058" s="5" t="str">
        <f>VLOOKUP($A1058,[1]!Customer_Names[#Data],3,0)</f>
        <v xml:space="preserve">  Brenn E</v>
      </c>
      <c r="C1058" s="5">
        <v>43.78</v>
      </c>
      <c r="D1058" s="5" t="str" cm="1">
        <f t="array" ref="D1058">_xlfn.IFS(Healthcare!$C1058&lt;18.5,"under weight",Healthcare!$C1058&lt;=24.9,"Normal Weight",Healthcare!$C1058&gt;=25,"overweight",Healthcare!$C1058&gt;=30,"obese")</f>
        <v>overweight</v>
      </c>
      <c r="E1058" s="5">
        <v>5.71</v>
      </c>
      <c r="F1058" s="5" t="str" cm="1">
        <f t="array" ref="F1058">_xlfn.IFS(Healthcare!$E1058&lt;5.7,"normal",Healthcare!$E1058&lt;=6.4,"prediabetes",Healthcare!$E1058&gt;=6.5,"diabetes")</f>
        <v>prediabetes</v>
      </c>
      <c r="G1058" s="5" t="s">
        <v>19</v>
      </c>
      <c r="H1058" s="5" t="s">
        <v>19</v>
      </c>
      <c r="I1058" s="5" t="s">
        <v>19</v>
      </c>
      <c r="J1058" s="5">
        <v>1</v>
      </c>
      <c r="K1058" s="5" t="s">
        <v>19</v>
      </c>
      <c r="L1058" s="5" t="str">
        <f>VLOOKUP(Healthcare!$A1058,hospital_details,2,0)</f>
        <v>23-Jul-1992</v>
      </c>
      <c r="M1058" s="5">
        <f t="shared" ref="M1058:M1121" ca="1" si="6335">VLOOKUP(A1058,hospital_details,3,0)</f>
        <v>34</v>
      </c>
      <c r="N1058" s="5">
        <f t="shared" ref="N1058:N1121" si="6336">VLOOKUP($A1058,hospital_details,4,0)</f>
        <v>0</v>
      </c>
      <c r="O1058" s="6">
        <f t="shared" ref="O1058:O1121" si="6337">VLOOKUP($A1058,hospital_details,5,0)</f>
        <v>10617.04</v>
      </c>
      <c r="P1058" s="5" t="str">
        <f t="shared" ref="P1058:P1121" si="6338">VLOOKUP($A1058,hospital_details,6,0)</f>
        <v>tier - 3</v>
      </c>
      <c r="Q1058" s="5" t="str">
        <f t="shared" ref="Q1058:Q1121" si="6339">VLOOKUP($A1058,hospital_details,7,0)</f>
        <v>tier - 3</v>
      </c>
      <c r="R1058" s="5" t="str">
        <f t="shared" ref="R1058:R1121" si="6340">VLOOKUP($A1058,hospital_details,8,0)</f>
        <v>R1026</v>
      </c>
    </row>
    <row r="1059" spans="1:18" ht="14.4" customHeight="1" x14ac:dyDescent="0.3">
      <c r="A1059" s="7" t="s">
        <v>1079</v>
      </c>
      <c r="B1059" s="7" t="str">
        <f>VLOOKUP($A1059,[1]!Customer_Names[#Data],3,0)</f>
        <v xml:space="preserve">  Lisa M</v>
      </c>
      <c r="C1059" s="7">
        <v>24.35</v>
      </c>
      <c r="D1059" s="7" t="str" cm="1">
        <f t="array" ref="D1059">_xlfn.IFS(Healthcare!$C1059&lt;18.5,"under weight",Healthcare!$C1059&lt;=24.9,"Normal Weight",Healthcare!$C1059&gt;=25,"overweight",Healthcare!$C1059&gt;=30,"obese")</f>
        <v>Normal Weight</v>
      </c>
      <c r="E1059" s="7">
        <v>9.08</v>
      </c>
      <c r="F1059" s="7" t="str" cm="1">
        <f t="array" ref="F1059">_xlfn.IFS(Healthcare!$E1059&lt;5.7,"normal",Healthcare!$E1059&lt;=6.4,"prediabetes",Healthcare!$E1059&gt;=6.5,"diabetes")</f>
        <v>diabetes</v>
      </c>
      <c r="G1059" s="7" t="s">
        <v>19</v>
      </c>
      <c r="H1059" s="7" t="s">
        <v>19</v>
      </c>
      <c r="I1059" s="7" t="s">
        <v>19</v>
      </c>
      <c r="J1059" s="7">
        <v>0</v>
      </c>
      <c r="K1059" s="7" t="s">
        <v>19</v>
      </c>
      <c r="L1059" s="7" t="str">
        <f>VLOOKUP(Healthcare!$A1059,hospital_details,2,0)</f>
        <v>27-Jun-1965</v>
      </c>
      <c r="M1059" s="7">
        <f t="shared" ref="M1059:M1122" ca="1" si="6341">VLOOKUP(A1059,hospital_details,3,0)</f>
        <v>61</v>
      </c>
      <c r="N1059" s="7">
        <f t="shared" ref="N1059:N1122" si="6342">VLOOKUP($A1059,hospital_details,4,0)</f>
        <v>0</v>
      </c>
      <c r="O1059" s="8">
        <f t="shared" ref="O1059:O1122" si="6343">VLOOKUP($A1059,hospital_details,5,0)</f>
        <v>10608.67</v>
      </c>
      <c r="P1059" s="7" t="str">
        <f t="shared" ref="P1059:P1122" si="6344">VLOOKUP($A1059,hospital_details,6,0)</f>
        <v>tier - 3</v>
      </c>
      <c r="Q1059" s="7" t="str">
        <f t="shared" ref="Q1059:Q1122" si="6345">VLOOKUP($A1059,hospital_details,7,0)</f>
        <v>tier - 3</v>
      </c>
      <c r="R1059" s="7" t="str">
        <f t="shared" ref="R1059:R1122" si="6346">VLOOKUP($A1059,hospital_details,8,0)</f>
        <v>R1012</v>
      </c>
    </row>
    <row r="1060" spans="1:18" ht="14.4" customHeight="1" x14ac:dyDescent="0.3">
      <c r="A1060" s="5" t="s">
        <v>1080</v>
      </c>
      <c r="B1060" s="5" t="str">
        <f>VLOOKUP($A1060,[1]!Customer_Names[#Data],3,0)</f>
        <v xml:space="preserve">  Matt</v>
      </c>
      <c r="C1060" s="5">
        <v>40.299999999999997</v>
      </c>
      <c r="D1060" s="5" t="str" cm="1">
        <f t="array" ref="D1060">_xlfn.IFS(Healthcare!$C1060&lt;18.5,"under weight",Healthcare!$C1060&lt;=24.9,"Normal Weight",Healthcare!$C1060&gt;=25,"overweight",Healthcare!$C1060&gt;=30,"obese")</f>
        <v>overweight</v>
      </c>
      <c r="E1060" s="5">
        <v>5.3</v>
      </c>
      <c r="F1060" s="5" t="str" cm="1">
        <f t="array" ref="F1060">_xlfn.IFS(Healthcare!$E1060&lt;5.7,"normal",Healthcare!$E1060&lt;=6.4,"prediabetes",Healthcare!$E1060&gt;=6.5,"diabetes")</f>
        <v>normal</v>
      </c>
      <c r="G1060" s="5" t="s">
        <v>20</v>
      </c>
      <c r="H1060" s="5" t="s">
        <v>19</v>
      </c>
      <c r="I1060" s="5" t="s">
        <v>19</v>
      </c>
      <c r="J1060" s="5">
        <v>2</v>
      </c>
      <c r="K1060" s="5" t="s">
        <v>19</v>
      </c>
      <c r="L1060" s="5" t="str">
        <f>VLOOKUP(Healthcare!$A1060,hospital_details,2,0)</f>
        <v>2-Jul-1966</v>
      </c>
      <c r="M1060" s="5">
        <f t="shared" ref="M1060:M1123" ca="1" si="6347">VLOOKUP(A1060,hospital_details,3,0)</f>
        <v>60</v>
      </c>
      <c r="N1060" s="5">
        <f t="shared" ref="N1060:N1123" si="6348">VLOOKUP($A1060,hospital_details,4,0)</f>
        <v>0</v>
      </c>
      <c r="O1060" s="6">
        <f t="shared" ref="O1060:O1123" si="6349">VLOOKUP($A1060,hospital_details,5,0)</f>
        <v>10602.39</v>
      </c>
      <c r="P1060" s="5" t="str">
        <f t="shared" ref="P1060:P1123" si="6350">VLOOKUP($A1060,hospital_details,6,0)</f>
        <v>tier - 3</v>
      </c>
      <c r="Q1060" s="5" t="str">
        <f t="shared" ref="Q1060:Q1123" si="6351">VLOOKUP($A1060,hospital_details,7,0)</f>
        <v>tier - 3</v>
      </c>
      <c r="R1060" s="5" t="str">
        <f t="shared" ref="R1060:R1123" si="6352">VLOOKUP($A1060,hospital_details,8,0)</f>
        <v>R1011</v>
      </c>
    </row>
    <row r="1061" spans="1:18" ht="14.4" customHeight="1" x14ac:dyDescent="0.3">
      <c r="A1061" s="7" t="s">
        <v>1081</v>
      </c>
      <c r="B1061" s="7" t="str">
        <f>VLOOKUP($A1061,[1]!Customer_Names[#Data],3,0)</f>
        <v xml:space="preserve">  Thomas A</v>
      </c>
      <c r="C1061" s="7">
        <v>32.774999999999999</v>
      </c>
      <c r="D1061" s="7" t="str" cm="1">
        <f t="array" ref="D1061">_xlfn.IFS(Healthcare!$C1061&lt;18.5,"under weight",Healthcare!$C1061&lt;=24.9,"Normal Weight",Healthcare!$C1061&gt;=25,"overweight",Healthcare!$C1061&gt;=30,"obese")</f>
        <v>overweight</v>
      </c>
      <c r="E1061" s="7">
        <v>11.76</v>
      </c>
      <c r="F1061" s="7" t="str" cm="1">
        <f t="array" ref="F1061">_xlfn.IFS(Healthcare!$E1061&lt;5.7,"normal",Healthcare!$E1061&lt;=6.4,"prediabetes",Healthcare!$E1061&gt;=6.5,"diabetes")</f>
        <v>diabetes</v>
      </c>
      <c r="G1061" s="7" t="s">
        <v>20</v>
      </c>
      <c r="H1061" s="7" t="s">
        <v>19</v>
      </c>
      <c r="I1061" s="7" t="s">
        <v>19</v>
      </c>
      <c r="J1061" s="7">
        <v>0</v>
      </c>
      <c r="K1061" s="7" t="s">
        <v>19</v>
      </c>
      <c r="L1061" s="7" t="str">
        <f>VLOOKUP(Healthcare!$A1061,hospital_details,2,0)</f>
        <v>23-Jun-1967</v>
      </c>
      <c r="M1061" s="7">
        <f t="shared" ref="M1061:M1124" ca="1" si="6353">VLOOKUP(A1061,hospital_details,3,0)</f>
        <v>59</v>
      </c>
      <c r="N1061" s="7">
        <f t="shared" ref="N1061:N1124" si="6354">VLOOKUP($A1061,hospital_details,4,0)</f>
        <v>0</v>
      </c>
      <c r="O1061" s="8">
        <f t="shared" ref="O1061:O1124" si="6355">VLOOKUP($A1061,hospital_details,5,0)</f>
        <v>10601.63</v>
      </c>
      <c r="P1061" s="7" t="str">
        <f t="shared" ref="P1061:P1124" si="6356">VLOOKUP($A1061,hospital_details,6,0)</f>
        <v>tier - 3</v>
      </c>
      <c r="Q1061" s="7" t="str">
        <f t="shared" ref="Q1061:Q1124" si="6357">VLOOKUP($A1061,hospital_details,7,0)</f>
        <v>tier - 2</v>
      </c>
      <c r="R1061" s="7" t="str">
        <f t="shared" ref="R1061:R1124" si="6358">VLOOKUP($A1061,hospital_details,8,0)</f>
        <v>R1012</v>
      </c>
    </row>
    <row r="1062" spans="1:18" ht="14.4" customHeight="1" x14ac:dyDescent="0.3">
      <c r="A1062" s="5" t="s">
        <v>1082</v>
      </c>
      <c r="B1062" s="5" t="str">
        <f>VLOOKUP($A1062,[1]!Customer_Names[#Data],3,0)</f>
        <v xml:space="preserve">  Kevin J</v>
      </c>
      <c r="C1062" s="5">
        <v>39.6</v>
      </c>
      <c r="D1062" s="5" t="str" cm="1">
        <f t="array" ref="D1062">_xlfn.IFS(Healthcare!$C1062&lt;18.5,"under weight",Healthcare!$C1062&lt;=24.9,"Normal Weight",Healthcare!$C1062&gt;=25,"overweight",Healthcare!$C1062&gt;=30,"obese")</f>
        <v>overweight</v>
      </c>
      <c r="E1062" s="5">
        <v>5.1100000000000003</v>
      </c>
      <c r="F1062" s="5" t="str" cm="1">
        <f t="array" ref="F1062">_xlfn.IFS(Healthcare!$E1062&lt;5.7,"normal",Healthcare!$E1062&lt;=6.4,"prediabetes",Healthcare!$E1062&gt;=6.5,"diabetes")</f>
        <v>normal</v>
      </c>
      <c r="G1062" s="5" t="s">
        <v>20</v>
      </c>
      <c r="H1062" s="5" t="s">
        <v>19</v>
      </c>
      <c r="I1062" s="5" t="s">
        <v>19</v>
      </c>
      <c r="J1062" s="5">
        <v>2</v>
      </c>
      <c r="K1062" s="5" t="s">
        <v>19</v>
      </c>
      <c r="L1062" s="5" t="str">
        <f>VLOOKUP(Healthcare!$A1062,hospital_details,2,0)</f>
        <v>20-Jul-1966</v>
      </c>
      <c r="M1062" s="5">
        <f t="shared" ref="M1062:M1125" ca="1" si="6359">VLOOKUP(A1062,hospital_details,3,0)</f>
        <v>60</v>
      </c>
      <c r="N1062" s="5">
        <f t="shared" ref="N1062:N1125" si="6360">VLOOKUP($A1062,hospital_details,4,0)</f>
        <v>0</v>
      </c>
      <c r="O1062" s="6">
        <f t="shared" ref="O1062:O1125" si="6361">VLOOKUP($A1062,hospital_details,5,0)</f>
        <v>10601.41</v>
      </c>
      <c r="P1062" s="5" t="str">
        <f t="shared" ref="P1062:P1125" si="6362">VLOOKUP($A1062,hospital_details,6,0)</f>
        <v>tier - 3</v>
      </c>
      <c r="Q1062" s="5" t="str">
        <f t="shared" ref="Q1062:Q1125" si="6363">VLOOKUP($A1062,hospital_details,7,0)</f>
        <v>tier - 2</v>
      </c>
      <c r="R1062" s="5" t="str">
        <f t="shared" ref="R1062:R1125" si="6364">VLOOKUP($A1062,hospital_details,8,0)</f>
        <v>R1011</v>
      </c>
    </row>
    <row r="1063" spans="1:18" ht="14.4" customHeight="1" x14ac:dyDescent="0.3">
      <c r="A1063" s="7" t="s">
        <v>1083</v>
      </c>
      <c r="B1063" s="7" t="str">
        <f>VLOOKUP($A1063,[1]!Customer_Names[#Data],3,0)</f>
        <v xml:space="preserve">  William H</v>
      </c>
      <c r="C1063" s="7">
        <v>30.97</v>
      </c>
      <c r="D1063" s="7" t="str" cm="1">
        <f t="array" ref="D1063">_xlfn.IFS(Healthcare!$C1063&lt;18.5,"under weight",Healthcare!$C1063&lt;=24.9,"Normal Weight",Healthcare!$C1063&gt;=25,"overweight",Healthcare!$C1063&gt;=30,"obese")</f>
        <v>overweight</v>
      </c>
      <c r="E1063" s="7">
        <v>5.54</v>
      </c>
      <c r="F1063" s="7" t="str" cm="1">
        <f t="array" ref="F1063">_xlfn.IFS(Healthcare!$E1063&lt;5.7,"normal",Healthcare!$E1063&lt;=6.4,"prediabetes",Healthcare!$E1063&gt;=6.5,"diabetes")</f>
        <v>normal</v>
      </c>
      <c r="G1063" s="7" t="s">
        <v>19</v>
      </c>
      <c r="H1063" s="7" t="s">
        <v>19</v>
      </c>
      <c r="I1063" s="7" t="s">
        <v>19</v>
      </c>
      <c r="J1063" s="7">
        <v>2</v>
      </c>
      <c r="K1063" s="7" t="s">
        <v>19</v>
      </c>
      <c r="L1063" s="7" t="str">
        <f>VLOOKUP(Healthcare!$A1063,hospital_details,2,0)</f>
        <v>14-Dec-1972</v>
      </c>
      <c r="M1063" s="7">
        <f t="shared" ref="M1063:M1126" ca="1" si="6365">VLOOKUP(A1063,hospital_details,3,0)</f>
        <v>53</v>
      </c>
      <c r="N1063" s="7">
        <f t="shared" ref="N1063:N1126" si="6366">VLOOKUP($A1063,hospital_details,4,0)</f>
        <v>3</v>
      </c>
      <c r="O1063" s="8">
        <f t="shared" ref="O1063:O1126" si="6367">VLOOKUP($A1063,hospital_details,5,0)</f>
        <v>10600.55</v>
      </c>
      <c r="P1063" s="7" t="str">
        <f t="shared" ref="P1063:P1126" si="6368">VLOOKUP($A1063,hospital_details,6,0)</f>
        <v>tier - 3</v>
      </c>
      <c r="Q1063" s="7" t="str">
        <f t="shared" ref="Q1063:Q1126" si="6369">VLOOKUP($A1063,hospital_details,7,0)</f>
        <v>tier - 1</v>
      </c>
      <c r="R1063" s="7" t="str">
        <f t="shared" ref="R1063:R1126" si="6370">VLOOKUP($A1063,hospital_details,8,0)</f>
        <v>R1012</v>
      </c>
    </row>
    <row r="1064" spans="1:18" ht="14.4" customHeight="1" x14ac:dyDescent="0.3">
      <c r="A1064" s="5" t="s">
        <v>1084</v>
      </c>
      <c r="B1064" s="5" t="str">
        <f>VLOOKUP($A1064,[1]!Customer_Names[#Data],3,0)</f>
        <v xml:space="preserve">  Gal</v>
      </c>
      <c r="C1064" s="5">
        <v>27.645</v>
      </c>
      <c r="D1064" s="5" t="str" cm="1">
        <f t="array" ref="D1064">_xlfn.IFS(Healthcare!$C1064&lt;18.5,"under weight",Healthcare!$C1064&lt;=24.9,"Normal Weight",Healthcare!$C1064&gt;=25,"overweight",Healthcare!$C1064&gt;=30,"obese")</f>
        <v>overweight</v>
      </c>
      <c r="E1064" s="5">
        <v>8.8699999999999992</v>
      </c>
      <c r="F1064" s="5" t="str" cm="1">
        <f t="array" ref="F1064">_xlfn.IFS(Healthcare!$E1064&lt;5.7,"normal",Healthcare!$E1064&lt;=6.4,"prediabetes",Healthcare!$E1064&gt;=6.5,"diabetes")</f>
        <v>diabetes</v>
      </c>
      <c r="G1064" s="5" t="s">
        <v>20</v>
      </c>
      <c r="H1064" s="5" t="s">
        <v>19</v>
      </c>
      <c r="I1064" s="5" t="s">
        <v>19</v>
      </c>
      <c r="J1064" s="5">
        <v>0</v>
      </c>
      <c r="K1064" s="5" t="s">
        <v>19</v>
      </c>
      <c r="L1064" s="5" t="str">
        <f>VLOOKUP(Healthcare!$A1064,hospital_details,2,0)</f>
        <v>29-Nov-1967</v>
      </c>
      <c r="M1064" s="5">
        <f t="shared" ref="M1064:M1127" ca="1" si="6371">VLOOKUP(A1064,hospital_details,3,0)</f>
        <v>58</v>
      </c>
      <c r="N1064" s="5">
        <f t="shared" ref="N1064:N1127" si="6372">VLOOKUP($A1064,hospital_details,4,0)</f>
        <v>0</v>
      </c>
      <c r="O1064" s="6">
        <f t="shared" ref="O1064:O1127" si="6373">VLOOKUP($A1064,hospital_details,5,0)</f>
        <v>10594.5</v>
      </c>
      <c r="P1064" s="5" t="str">
        <f t="shared" ref="P1064:P1127" si="6374">VLOOKUP($A1064,hospital_details,6,0)</f>
        <v>tier - 3</v>
      </c>
      <c r="Q1064" s="5" t="str">
        <f t="shared" ref="Q1064:Q1127" si="6375">VLOOKUP($A1064,hospital_details,7,0)</f>
        <v>tier - 1</v>
      </c>
      <c r="R1064" s="5" t="str">
        <f t="shared" ref="R1064:R1127" si="6376">VLOOKUP($A1064,hospital_details,8,0)</f>
        <v>R1012</v>
      </c>
    </row>
    <row r="1065" spans="1:18" ht="14.4" customHeight="1" x14ac:dyDescent="0.3">
      <c r="A1065" s="7" t="s">
        <v>1085</v>
      </c>
      <c r="B1065" s="7" t="str">
        <f>VLOOKUP($A1065,[1]!Customer_Names[#Data],3,0)</f>
        <v xml:space="preserve">  Anton</v>
      </c>
      <c r="C1065" s="7">
        <v>34.43</v>
      </c>
      <c r="D1065" s="7" t="str" cm="1">
        <f t="array" ref="D1065">_xlfn.IFS(Healthcare!$C1065&lt;18.5,"under weight",Healthcare!$C1065&lt;=24.9,"Normal Weight",Healthcare!$C1065&gt;=25,"overweight",Healthcare!$C1065&gt;=30,"obese")</f>
        <v>overweight</v>
      </c>
      <c r="E1065" s="7">
        <v>5.96</v>
      </c>
      <c r="F1065" s="7" t="str" cm="1">
        <f t="array" ref="F1065">_xlfn.IFS(Healthcare!$E1065&lt;5.7,"normal",Healthcare!$E1065&lt;=6.4,"prediabetes",Healthcare!$E1065&gt;=6.5,"diabetes")</f>
        <v>prediabetes</v>
      </c>
      <c r="G1065" s="7" t="s">
        <v>20</v>
      </c>
      <c r="H1065" s="7" t="s">
        <v>19</v>
      </c>
      <c r="I1065" s="7" t="s">
        <v>19</v>
      </c>
      <c r="J1065" s="7">
        <v>2</v>
      </c>
      <c r="K1065" s="7" t="s">
        <v>19</v>
      </c>
      <c r="L1065" s="7" t="str">
        <f>VLOOKUP(Healthcare!$A1065,hospital_details,2,0)</f>
        <v>3-Nov-1966</v>
      </c>
      <c r="M1065" s="7">
        <f t="shared" ref="M1065:M1128" ca="1" si="6377">VLOOKUP(A1065,hospital_details,3,0)</f>
        <v>59</v>
      </c>
      <c r="N1065" s="7">
        <f t="shared" ref="N1065:N1128" si="6378">VLOOKUP($A1065,hospital_details,4,0)</f>
        <v>0</v>
      </c>
      <c r="O1065" s="8">
        <f t="shared" ref="O1065:O1128" si="6379">VLOOKUP($A1065,hospital_details,5,0)</f>
        <v>10594.23</v>
      </c>
      <c r="P1065" s="7" t="str">
        <f t="shared" ref="P1065:P1128" si="6380">VLOOKUP($A1065,hospital_details,6,0)</f>
        <v>tier - 3</v>
      </c>
      <c r="Q1065" s="7" t="str">
        <f t="shared" ref="Q1065:Q1128" si="6381">VLOOKUP($A1065,hospital_details,7,0)</f>
        <v>tier - 3</v>
      </c>
      <c r="R1065" s="7" t="str">
        <f t="shared" ref="R1065:R1128" si="6382">VLOOKUP($A1065,hospital_details,8,0)</f>
        <v>R1013</v>
      </c>
    </row>
    <row r="1066" spans="1:18" ht="14.4" customHeight="1" x14ac:dyDescent="0.3">
      <c r="A1066" s="5" t="s">
        <v>1086</v>
      </c>
      <c r="B1066" s="5" t="str">
        <f>VLOOKUP($A1066,[1]!Customer_Names[#Data],3,0)</f>
        <v xml:space="preserve">  Yazmin</v>
      </c>
      <c r="C1066" s="5">
        <v>39.6</v>
      </c>
      <c r="D1066" s="5" t="str" cm="1">
        <f t="array" ref="D1066">_xlfn.IFS(Healthcare!$C1066&lt;18.5,"under weight",Healthcare!$C1066&lt;=24.9,"Normal Weight",Healthcare!$C1066&gt;=25,"overweight",Healthcare!$C1066&gt;=30,"obese")</f>
        <v>overweight</v>
      </c>
      <c r="E1066" s="5">
        <v>4.4400000000000004</v>
      </c>
      <c r="F1066" s="5" t="str" cm="1">
        <f t="array" ref="F1066">_xlfn.IFS(Healthcare!$E1066&lt;5.7,"normal",Healthcare!$E1066&lt;=6.4,"prediabetes",Healthcare!$E1066&gt;=6.5,"diabetes")</f>
        <v>normal</v>
      </c>
      <c r="G1066" s="5" t="s">
        <v>20</v>
      </c>
      <c r="H1066" s="5" t="s">
        <v>19</v>
      </c>
      <c r="I1066" s="5" t="s">
        <v>29</v>
      </c>
      <c r="J1066" s="5">
        <v>1</v>
      </c>
      <c r="K1066" s="5" t="s">
        <v>19</v>
      </c>
      <c r="L1066" s="5" t="str">
        <f>VLOOKUP(Healthcare!$A1066,hospital_details,2,0)</f>
        <v>25-Dec-1969</v>
      </c>
      <c r="M1066" s="5">
        <f t="shared" ref="M1066:M1129" ca="1" si="6383">VLOOKUP(A1066,hospital_details,3,0)</f>
        <v>56</v>
      </c>
      <c r="N1066" s="5">
        <f t="shared" ref="N1066:N1129" si="6384">VLOOKUP($A1066,hospital_details,4,0)</f>
        <v>1</v>
      </c>
      <c r="O1066" s="6">
        <f t="shared" ref="O1066:O1129" si="6385">VLOOKUP($A1066,hospital_details,5,0)</f>
        <v>10579.71</v>
      </c>
      <c r="P1066" s="5" t="str">
        <f t="shared" ref="P1066:P1129" si="6386">VLOOKUP($A1066,hospital_details,6,0)</f>
        <v>tier - 3</v>
      </c>
      <c r="Q1066" s="5" t="str">
        <f t="shared" ref="Q1066:Q1129" si="6387">VLOOKUP($A1066,hospital_details,7,0)</f>
        <v>tier - 3</v>
      </c>
      <c r="R1066" s="5" t="str">
        <f t="shared" ref="R1066:R1129" si="6388">VLOOKUP($A1066,hospital_details,8,0)</f>
        <v>R1013</v>
      </c>
    </row>
    <row r="1067" spans="1:18" ht="14.4" customHeight="1" x14ac:dyDescent="0.3">
      <c r="A1067" s="7" t="s">
        <v>1087</v>
      </c>
      <c r="B1067" s="7" t="str">
        <f>VLOOKUP($A1067,[1]!Customer_Names[#Data],3,0)</f>
        <v xml:space="preserve">  Florian</v>
      </c>
      <c r="C1067" s="7">
        <v>22.1</v>
      </c>
      <c r="D1067" s="7" t="str" cm="1">
        <f t="array" ref="D1067">_xlfn.IFS(Healthcare!$C1067&lt;18.5,"under weight",Healthcare!$C1067&lt;=24.9,"Normal Weight",Healthcare!$C1067&gt;=25,"overweight",Healthcare!$C1067&gt;=30,"obese")</f>
        <v>Normal Weight</v>
      </c>
      <c r="E1067" s="7">
        <v>4.6500000000000004</v>
      </c>
      <c r="F1067" s="7" t="str" cm="1">
        <f t="array" ref="F1067">_xlfn.IFS(Healthcare!$E1067&lt;5.7,"normal",Healthcare!$E1067&lt;=6.4,"prediabetes",Healthcare!$E1067&gt;=6.5,"diabetes")</f>
        <v>normal</v>
      </c>
      <c r="G1067" s="7" t="s">
        <v>20</v>
      </c>
      <c r="H1067" s="7" t="s">
        <v>19</v>
      </c>
      <c r="I1067" s="7" t="s">
        <v>19</v>
      </c>
      <c r="J1067" s="7">
        <v>2</v>
      </c>
      <c r="K1067" s="7" t="s">
        <v>19</v>
      </c>
      <c r="L1067" s="7" t="str">
        <f>VLOOKUP(Healthcare!$A1067,hospital_details,2,0)</f>
        <v>11-Dec-1966</v>
      </c>
      <c r="M1067" s="7">
        <f t="shared" ref="M1067:M1130" ca="1" si="6389">VLOOKUP(A1067,hospital_details,3,0)</f>
        <v>59</v>
      </c>
      <c r="N1067" s="7">
        <f t="shared" ref="N1067:N1130" si="6390">VLOOKUP($A1067,hospital_details,4,0)</f>
        <v>0</v>
      </c>
      <c r="O1067" s="8">
        <f t="shared" ref="O1067:O1130" si="6391">VLOOKUP($A1067,hospital_details,5,0)</f>
        <v>10577.09</v>
      </c>
      <c r="P1067" s="7" t="str">
        <f t="shared" ref="P1067:P1130" si="6392">VLOOKUP($A1067,hospital_details,6,0)</f>
        <v>tier - 3</v>
      </c>
      <c r="Q1067" s="7" t="str">
        <f t="shared" ref="Q1067:Q1130" si="6393">VLOOKUP($A1067,hospital_details,7,0)</f>
        <v>tier - 3</v>
      </c>
      <c r="R1067" s="7" t="str">
        <f t="shared" ref="R1067:R1130" si="6394">VLOOKUP($A1067,hospital_details,8,0)</f>
        <v>R1011</v>
      </c>
    </row>
    <row r="1068" spans="1:18" ht="14.4" customHeight="1" x14ac:dyDescent="0.3">
      <c r="A1068" s="5" t="s">
        <v>1088</v>
      </c>
      <c r="B1068" s="5" t="str">
        <f>VLOOKUP($A1068,[1]!Customer_Names[#Data],3,0)</f>
        <v xml:space="preserve">  Karen L</v>
      </c>
      <c r="C1068" s="5">
        <v>33.25</v>
      </c>
      <c r="D1068" s="5" t="str" cm="1">
        <f t="array" ref="D1068">_xlfn.IFS(Healthcare!$C1068&lt;18.5,"under weight",Healthcare!$C1068&lt;=24.9,"Normal Weight",Healthcare!$C1068&gt;=25,"overweight",Healthcare!$C1068&gt;=30,"obese")</f>
        <v>overweight</v>
      </c>
      <c r="E1068" s="5">
        <v>5.64</v>
      </c>
      <c r="F1068" s="5" t="str" cm="1">
        <f t="array" ref="F1068">_xlfn.IFS(Healthcare!$E1068&lt;5.7,"normal",Healthcare!$E1068&lt;=6.4,"prediabetes",Healthcare!$E1068&gt;=6.5,"diabetes")</f>
        <v>normal</v>
      </c>
      <c r="G1068" s="5" t="s">
        <v>20</v>
      </c>
      <c r="H1068" s="5" t="s">
        <v>19</v>
      </c>
      <c r="I1068" s="5" t="s">
        <v>29</v>
      </c>
      <c r="J1068" s="5">
        <v>1</v>
      </c>
      <c r="K1068" s="5" t="s">
        <v>19</v>
      </c>
      <c r="L1068" s="5" t="str">
        <f>VLOOKUP(Healthcare!$A1068,hospital_details,2,0)</f>
        <v>17-Jul-1969</v>
      </c>
      <c r="M1068" s="5">
        <f t="shared" ref="M1068:M1131" ca="1" si="6395">VLOOKUP(A1068,hospital_details,3,0)</f>
        <v>57</v>
      </c>
      <c r="N1068" s="5">
        <f t="shared" ref="N1068:N1131" si="6396">VLOOKUP($A1068,hospital_details,4,0)</f>
        <v>0</v>
      </c>
      <c r="O1068" s="6">
        <f t="shared" ref="O1068:O1131" si="6397">VLOOKUP($A1068,hospital_details,5,0)</f>
        <v>10564.88</v>
      </c>
      <c r="P1068" s="5" t="str">
        <f t="shared" ref="P1068:P1131" si="6398">VLOOKUP($A1068,hospital_details,6,0)</f>
        <v>tier - 3</v>
      </c>
      <c r="Q1068" s="5" t="str">
        <f t="shared" ref="Q1068:Q1131" si="6399">VLOOKUP($A1068,hospital_details,7,0)</f>
        <v>tier - 1</v>
      </c>
      <c r="R1068" s="5" t="str">
        <f t="shared" ref="R1068:R1131" si="6400">VLOOKUP($A1068,hospital_details,8,0)</f>
        <v>R1024</v>
      </c>
    </row>
    <row r="1069" spans="1:18" ht="14.4" customHeight="1" x14ac:dyDescent="0.3">
      <c r="A1069" s="7" t="s">
        <v>1089</v>
      </c>
      <c r="B1069" s="7" t="str">
        <f>VLOOKUP($A1069,[1]!Customer_Names[#Data],3,0)</f>
        <v xml:space="preserve">  Scott</v>
      </c>
      <c r="C1069" s="7">
        <v>33.33</v>
      </c>
      <c r="D1069" s="7" t="str" cm="1">
        <f t="array" ref="D1069">_xlfn.IFS(Healthcare!$C1069&lt;18.5,"under weight",Healthcare!$C1069&lt;=24.9,"Normal Weight",Healthcare!$C1069&gt;=25,"overweight",Healthcare!$C1069&gt;=30,"obese")</f>
        <v>overweight</v>
      </c>
      <c r="E1069" s="7">
        <v>10.19</v>
      </c>
      <c r="F1069" s="7" t="str" cm="1">
        <f t="array" ref="F1069">_xlfn.IFS(Healthcare!$E1069&lt;5.7,"normal",Healthcare!$E1069&lt;=6.4,"prediabetes",Healthcare!$E1069&gt;=6.5,"diabetes")</f>
        <v>diabetes</v>
      </c>
      <c r="G1069" s="7" t="s">
        <v>19</v>
      </c>
      <c r="H1069" s="7" t="s">
        <v>19</v>
      </c>
      <c r="I1069" s="7" t="s">
        <v>19</v>
      </c>
      <c r="J1069" s="7">
        <v>0</v>
      </c>
      <c r="K1069" s="7" t="s">
        <v>19</v>
      </c>
      <c r="L1069" s="7" t="str">
        <f>VLOOKUP(Healthcare!$A1069,hospital_details,2,0)</f>
        <v>29-Jun-1971</v>
      </c>
      <c r="M1069" s="7">
        <f t="shared" ref="M1069:M1132" ca="1" si="6401">VLOOKUP(A1069,hospital_details,3,0)</f>
        <v>55</v>
      </c>
      <c r="N1069" s="7">
        <f t="shared" ref="N1069:N1132" si="6402">VLOOKUP($A1069,hospital_details,4,0)</f>
        <v>3</v>
      </c>
      <c r="O1069" s="8">
        <f t="shared" ref="O1069:O1132" si="6403">VLOOKUP($A1069,hospital_details,5,0)</f>
        <v>10560.49</v>
      </c>
      <c r="P1069" s="7" t="str">
        <f t="shared" ref="P1069:P1132" si="6404">VLOOKUP($A1069,hospital_details,6,0)</f>
        <v>tier - 3</v>
      </c>
      <c r="Q1069" s="7" t="str">
        <f t="shared" ref="Q1069:Q1132" si="6405">VLOOKUP($A1069,hospital_details,7,0)</f>
        <v>tier - 2</v>
      </c>
      <c r="R1069" s="7" t="str">
        <f t="shared" ref="R1069:R1132" si="6406">VLOOKUP($A1069,hospital_details,8,0)</f>
        <v>R1013</v>
      </c>
    </row>
    <row r="1070" spans="1:18" ht="14.4" customHeight="1" x14ac:dyDescent="0.3">
      <c r="A1070" s="5" t="s">
        <v>1090</v>
      </c>
      <c r="B1070" s="5" t="str">
        <f>VLOOKUP($A1070,[1]!Customer_Names[#Data],3,0)</f>
        <v xml:space="preserve">  Claire</v>
      </c>
      <c r="C1070" s="5">
        <v>30.5</v>
      </c>
      <c r="D1070" s="5" t="str" cm="1">
        <f t="array" ref="D1070">_xlfn.IFS(Healthcare!$C1070&lt;18.5,"under weight",Healthcare!$C1070&lt;=24.9,"Normal Weight",Healthcare!$C1070&gt;=25,"overweight",Healthcare!$C1070&gt;=30,"obese")</f>
        <v>overweight</v>
      </c>
      <c r="E1070" s="5">
        <v>10.79</v>
      </c>
      <c r="F1070" s="5" t="str" cm="1">
        <f t="array" ref="F1070">_xlfn.IFS(Healthcare!$E1070&lt;5.7,"normal",Healthcare!$E1070&lt;=6.4,"prediabetes",Healthcare!$E1070&gt;=6.5,"diabetes")</f>
        <v>diabetes</v>
      </c>
      <c r="G1070" s="5" t="s">
        <v>19</v>
      </c>
      <c r="H1070" s="5" t="s">
        <v>19</v>
      </c>
      <c r="I1070" s="5" t="s">
        <v>19</v>
      </c>
      <c r="J1070" s="5">
        <v>0</v>
      </c>
      <c r="K1070" s="5" t="s">
        <v>19</v>
      </c>
      <c r="L1070" s="5" t="str">
        <f>VLOOKUP(Healthcare!$A1070,hospital_details,2,0)</f>
        <v>26-Sep-1971</v>
      </c>
      <c r="M1070" s="5">
        <f t="shared" ref="M1070:M1133" ca="1" si="6407">VLOOKUP(A1070,hospital_details,3,0)</f>
        <v>55</v>
      </c>
      <c r="N1070" s="5">
        <f t="shared" ref="N1070:N1133" si="6408">VLOOKUP($A1070,hospital_details,4,0)</f>
        <v>0</v>
      </c>
      <c r="O1070" s="6">
        <f t="shared" ref="O1070:O1133" si="6409">VLOOKUP($A1070,hospital_details,5,0)</f>
        <v>10546.48</v>
      </c>
      <c r="P1070" s="5" t="str">
        <f t="shared" ref="P1070:P1133" si="6410">VLOOKUP($A1070,hospital_details,6,0)</f>
        <v>tier - 3</v>
      </c>
      <c r="Q1070" s="5" t="str">
        <f t="shared" ref="Q1070:Q1133" si="6411">VLOOKUP($A1070,hospital_details,7,0)</f>
        <v>tier - 3</v>
      </c>
      <c r="R1070" s="5" t="str">
        <f t="shared" ref="R1070:R1133" si="6412">VLOOKUP($A1070,hospital_details,8,0)</f>
        <v>R1011</v>
      </c>
    </row>
    <row r="1071" spans="1:18" ht="14.4" customHeight="1" x14ac:dyDescent="0.3">
      <c r="A1071" s="7" t="s">
        <v>1091</v>
      </c>
      <c r="B1071" s="7" t="str">
        <f>VLOOKUP($A1071,[1]!Customer_Names[#Data],3,0)</f>
        <v xml:space="preserve">  Lynn M</v>
      </c>
      <c r="C1071" s="7">
        <v>30.3</v>
      </c>
      <c r="D1071" s="7" t="str" cm="1">
        <f t="array" ref="D1071">_xlfn.IFS(Healthcare!$C1071&lt;18.5,"under weight",Healthcare!$C1071&lt;=24.9,"Normal Weight",Healthcare!$C1071&gt;=25,"overweight",Healthcare!$C1071&gt;=30,"obese")</f>
        <v>overweight</v>
      </c>
      <c r="E1071" s="7">
        <v>4.24</v>
      </c>
      <c r="F1071" s="7" t="str" cm="1">
        <f t="array" ref="F1071">_xlfn.IFS(Healthcare!$E1071&lt;5.7,"normal",Healthcare!$E1071&lt;=6.4,"prediabetes",Healthcare!$E1071&gt;=6.5,"diabetes")</f>
        <v>normal</v>
      </c>
      <c r="G1071" s="7" t="s">
        <v>19</v>
      </c>
      <c r="H1071" s="7" t="s">
        <v>19</v>
      </c>
      <c r="I1071" s="7" t="s">
        <v>19</v>
      </c>
      <c r="J1071" s="7">
        <v>0</v>
      </c>
      <c r="K1071" s="7" t="s">
        <v>19</v>
      </c>
      <c r="L1071" s="7" t="str">
        <f>VLOOKUP(Healthcare!$A1071,hospital_details,2,0)</f>
        <v>25-Oct-1977</v>
      </c>
      <c r="M1071" s="7">
        <f t="shared" ref="M1071:M1134" ca="1" si="6413">VLOOKUP(A1071,hospital_details,3,0)</f>
        <v>48</v>
      </c>
      <c r="N1071" s="7">
        <f t="shared" ref="N1071:N1134" si="6414">VLOOKUP($A1071,hospital_details,4,0)</f>
        <v>2</v>
      </c>
      <c r="O1071" s="8">
        <f t="shared" ref="O1071:O1134" si="6415">VLOOKUP($A1071,hospital_details,5,0)</f>
        <v>10495.6</v>
      </c>
      <c r="P1071" s="7" t="str">
        <f t="shared" ref="P1071:P1134" si="6416">VLOOKUP($A1071,hospital_details,6,0)</f>
        <v>tier - 3</v>
      </c>
      <c r="Q1071" s="7" t="str">
        <f t="shared" ref="Q1071:Q1134" si="6417">VLOOKUP($A1071,hospital_details,7,0)</f>
        <v>tier - 1</v>
      </c>
      <c r="R1071" s="7" t="str">
        <f t="shared" ref="R1071:R1134" si="6418">VLOOKUP($A1071,hospital_details,8,0)</f>
        <v>R1012</v>
      </c>
    </row>
    <row r="1072" spans="1:18" ht="14.4" customHeight="1" x14ac:dyDescent="0.3">
      <c r="A1072" s="5" t="s">
        <v>1092</v>
      </c>
      <c r="B1072" s="5" t="str">
        <f>VLOOKUP($A1072,[1]!Customer_Names[#Data],3,0)</f>
        <v xml:space="preserve">  Sharon</v>
      </c>
      <c r="C1072" s="5">
        <v>26.22</v>
      </c>
      <c r="D1072" s="5" t="str" cm="1">
        <f t="array" ref="D1072">_xlfn.IFS(Healthcare!$C1072&lt;18.5,"under weight",Healthcare!$C1072&lt;=24.9,"Normal Weight",Healthcare!$C1072&gt;=25,"overweight",Healthcare!$C1072&gt;=30,"obese")</f>
        <v>overweight</v>
      </c>
      <c r="E1072" s="5">
        <v>5.83</v>
      </c>
      <c r="F1072" s="5" t="str" cm="1">
        <f t="array" ref="F1072">_xlfn.IFS(Healthcare!$E1072&lt;5.7,"normal",Healthcare!$E1072&lt;=6.4,"prediabetes",Healthcare!$E1072&gt;=6.5,"diabetes")</f>
        <v>prediabetes</v>
      </c>
      <c r="G1072" s="5" t="s">
        <v>19</v>
      </c>
      <c r="H1072" s="5" t="s">
        <v>19</v>
      </c>
      <c r="I1072" s="5" t="s">
        <v>19</v>
      </c>
      <c r="J1072" s="5">
        <v>2</v>
      </c>
      <c r="K1072" s="5" t="s">
        <v>19</v>
      </c>
      <c r="L1072" s="5" t="str">
        <f>VLOOKUP(Healthcare!$A1072,hospital_details,2,0)</f>
        <v>19-Oct-1972</v>
      </c>
      <c r="M1072" s="5">
        <f t="shared" ref="M1072:M1135" ca="1" si="6419">VLOOKUP(A1072,hospital_details,3,0)</f>
        <v>53</v>
      </c>
      <c r="N1072" s="5">
        <f t="shared" ref="N1072:N1135" si="6420">VLOOKUP($A1072,hospital_details,4,0)</f>
        <v>2</v>
      </c>
      <c r="O1072" s="6">
        <f t="shared" ref="O1072:O1135" si="6421">VLOOKUP($A1072,hospital_details,5,0)</f>
        <v>10493.95</v>
      </c>
      <c r="P1072" s="5" t="str">
        <f t="shared" ref="P1072:P1135" si="6422">VLOOKUP($A1072,hospital_details,6,0)</f>
        <v>tier - 3</v>
      </c>
      <c r="Q1072" s="5" t="str">
        <f t="shared" ref="Q1072:Q1135" si="6423">VLOOKUP($A1072,hospital_details,7,0)</f>
        <v>tier - 1</v>
      </c>
      <c r="R1072" s="5" t="str">
        <f t="shared" ref="R1072:R1135" si="6424">VLOOKUP($A1072,hospital_details,8,0)</f>
        <v>R1012</v>
      </c>
    </row>
    <row r="1073" spans="1:18" ht="14.4" customHeight="1" x14ac:dyDescent="0.3">
      <c r="A1073" s="7" t="s">
        <v>1093</v>
      </c>
      <c r="B1073" s="7" t="str">
        <f>VLOOKUP($A1073,[1]!Customer_Names[#Data],3,0)</f>
        <v xml:space="preserve">  Candice</v>
      </c>
      <c r="C1073" s="7">
        <v>29.99</v>
      </c>
      <c r="D1073" s="7" t="str" cm="1">
        <f t="array" ref="D1073">_xlfn.IFS(Healthcare!$C1073&lt;18.5,"under weight",Healthcare!$C1073&lt;=24.9,"Normal Weight",Healthcare!$C1073&gt;=25,"overweight",Healthcare!$C1073&gt;=30,"obese")</f>
        <v>overweight</v>
      </c>
      <c r="E1073" s="7">
        <v>11.85</v>
      </c>
      <c r="F1073" s="7" t="str" cm="1">
        <f t="array" ref="F1073">_xlfn.IFS(Healthcare!$E1073&lt;5.7,"normal",Healthcare!$E1073&lt;=6.4,"prediabetes",Healthcare!$E1073&gt;=6.5,"diabetes")</f>
        <v>diabetes</v>
      </c>
      <c r="G1073" s="7" t="s">
        <v>19</v>
      </c>
      <c r="H1073" s="7" t="s">
        <v>19</v>
      </c>
      <c r="I1073" s="7" t="s">
        <v>19</v>
      </c>
      <c r="J1073" s="7">
        <v>0</v>
      </c>
      <c r="K1073" s="7" t="s">
        <v>19</v>
      </c>
      <c r="L1073" s="7" t="str">
        <f>VLOOKUP(Healthcare!$A1073,hospital_details,2,0)</f>
        <v>21-Aug-1978</v>
      </c>
      <c r="M1073" s="7">
        <f t="shared" ref="M1073:M1136" ca="1" si="6425">VLOOKUP(A1073,hospital_details,3,0)</f>
        <v>48</v>
      </c>
      <c r="N1073" s="7">
        <f t="shared" ref="N1073:N1136" si="6426">VLOOKUP($A1073,hospital_details,4,0)</f>
        <v>2</v>
      </c>
      <c r="O1073" s="8">
        <f t="shared" ref="O1073:O1136" si="6427">VLOOKUP($A1073,hospital_details,5,0)</f>
        <v>10486.55</v>
      </c>
      <c r="P1073" s="7" t="str">
        <f t="shared" ref="P1073:P1136" si="6428">VLOOKUP($A1073,hospital_details,6,0)</f>
        <v>tier - 3</v>
      </c>
      <c r="Q1073" s="7" t="str">
        <f t="shared" ref="Q1073:Q1136" si="6429">VLOOKUP($A1073,hospital_details,7,0)</f>
        <v>tier - 3</v>
      </c>
      <c r="R1073" s="7" t="str">
        <f t="shared" ref="R1073:R1136" si="6430">VLOOKUP($A1073,hospital_details,8,0)</f>
        <v>R1025</v>
      </c>
    </row>
    <row r="1074" spans="1:18" ht="14.4" customHeight="1" x14ac:dyDescent="0.3">
      <c r="A1074" s="5" t="s">
        <v>1094</v>
      </c>
      <c r="B1074" s="5" t="str">
        <f>VLOOKUP($A1074,[1]!Customer_Names[#Data],3,0)</f>
        <v xml:space="preserve">  Jennifer D</v>
      </c>
      <c r="C1074" s="5">
        <v>36.380000000000003</v>
      </c>
      <c r="D1074" s="5" t="str" cm="1">
        <f t="array" ref="D1074">_xlfn.IFS(Healthcare!$C1074&lt;18.5,"under weight",Healthcare!$C1074&lt;=24.9,"Normal Weight",Healthcare!$C1074&gt;=25,"overweight",Healthcare!$C1074&gt;=30,"obese")</f>
        <v>overweight</v>
      </c>
      <c r="E1074" s="5">
        <v>5.98</v>
      </c>
      <c r="F1074" s="5" t="str" cm="1">
        <f t="array" ref="F1074">_xlfn.IFS(Healthcare!$E1074&lt;5.7,"normal",Healthcare!$E1074&lt;=6.4,"prediabetes",Healthcare!$E1074&gt;=6.5,"diabetes")</f>
        <v>prediabetes</v>
      </c>
      <c r="G1074" s="5" t="s">
        <v>19</v>
      </c>
      <c r="H1074" s="5" t="s">
        <v>19</v>
      </c>
      <c r="I1074" s="5" t="s">
        <v>19</v>
      </c>
      <c r="J1074" s="5">
        <v>1</v>
      </c>
      <c r="K1074" s="5" t="s">
        <v>19</v>
      </c>
      <c r="L1074" s="5" t="str">
        <f>VLOOKUP(Healthcare!$A1074,hospital_details,2,0)</f>
        <v>28-Jun-1987</v>
      </c>
      <c r="M1074" s="5">
        <f t="shared" ref="M1074:M1137" ca="1" si="6431">VLOOKUP(A1074,hospital_details,3,0)</f>
        <v>39</v>
      </c>
      <c r="N1074" s="5">
        <f t="shared" ref="N1074:N1137" si="6432">VLOOKUP($A1074,hospital_details,4,0)</f>
        <v>3</v>
      </c>
      <c r="O1074" s="6">
        <f t="shared" ref="O1074:O1137" si="6433">VLOOKUP($A1074,hospital_details,5,0)</f>
        <v>10464.83</v>
      </c>
      <c r="P1074" s="5" t="str">
        <f t="shared" ref="P1074:P1137" si="6434">VLOOKUP($A1074,hospital_details,6,0)</f>
        <v>tier - 3</v>
      </c>
      <c r="Q1074" s="5" t="str">
        <f t="shared" ref="Q1074:Q1137" si="6435">VLOOKUP($A1074,hospital_details,7,0)</f>
        <v>tier - 1</v>
      </c>
      <c r="R1074" s="5" t="str">
        <f t="shared" ref="R1074:R1137" si="6436">VLOOKUP($A1074,hospital_details,8,0)</f>
        <v>R1012</v>
      </c>
    </row>
    <row r="1075" spans="1:18" ht="14.4" customHeight="1" x14ac:dyDescent="0.3">
      <c r="A1075" s="7" t="s">
        <v>1095</v>
      </c>
      <c r="B1075" s="7" t="str">
        <f>VLOOKUP($A1075,[1]!Customer_Names[#Data],3,0)</f>
        <v xml:space="preserve">  Eric</v>
      </c>
      <c r="C1075" s="7">
        <v>31.16</v>
      </c>
      <c r="D1075" s="7" t="str" cm="1">
        <f t="array" ref="D1075">_xlfn.IFS(Healthcare!$C1075&lt;18.5,"under weight",Healthcare!$C1075&lt;=24.9,"Normal Weight",Healthcare!$C1075&gt;=25,"overweight",Healthcare!$C1075&gt;=30,"obese")</f>
        <v>overweight</v>
      </c>
      <c r="E1075" s="7">
        <v>4.26</v>
      </c>
      <c r="F1075" s="7" t="str" cm="1">
        <f t="array" ref="F1075">_xlfn.IFS(Healthcare!$E1075&lt;5.7,"normal",Healthcare!$E1075&lt;=6.4,"prediabetes",Healthcare!$E1075&gt;=6.5,"diabetes")</f>
        <v>normal</v>
      </c>
      <c r="G1075" s="7" t="s">
        <v>20</v>
      </c>
      <c r="H1075" s="7" t="s">
        <v>19</v>
      </c>
      <c r="I1075" s="7" t="s">
        <v>29</v>
      </c>
      <c r="J1075" s="7">
        <v>1</v>
      </c>
      <c r="K1075" s="7" t="s">
        <v>19</v>
      </c>
      <c r="L1075" s="7" t="str">
        <f>VLOOKUP(Healthcare!$A1075,hospital_details,2,0)</f>
        <v>22-Sep-1969</v>
      </c>
      <c r="M1075" s="7">
        <f t="shared" ref="M1075:M1138" ca="1" si="6437">VLOOKUP(A1075,hospital_details,3,0)</f>
        <v>57</v>
      </c>
      <c r="N1075" s="7">
        <f t="shared" ref="N1075:N1138" si="6438">VLOOKUP($A1075,hospital_details,4,0)</f>
        <v>1</v>
      </c>
      <c r="O1075" s="8">
        <f t="shared" ref="O1075:O1138" si="6439">VLOOKUP($A1075,hospital_details,5,0)</f>
        <v>10461.98</v>
      </c>
      <c r="P1075" s="7" t="str">
        <f t="shared" ref="P1075:P1138" si="6440">VLOOKUP($A1075,hospital_details,6,0)</f>
        <v>tier - 3</v>
      </c>
      <c r="Q1075" s="7" t="str">
        <f t="shared" ref="Q1075:Q1138" si="6441">VLOOKUP($A1075,hospital_details,7,0)</f>
        <v>tier - 1</v>
      </c>
      <c r="R1075" s="7" t="str">
        <f t="shared" ref="R1075:R1138" si="6442">VLOOKUP($A1075,hospital_details,8,0)</f>
        <v>R1012</v>
      </c>
    </row>
    <row r="1076" spans="1:18" ht="14.4" customHeight="1" x14ac:dyDescent="0.3">
      <c r="A1076" s="5" t="s">
        <v>1096</v>
      </c>
      <c r="B1076" s="5" t="str">
        <f>VLOOKUP($A1076,[1]!Customer_Names[#Data],3,0)</f>
        <v xml:space="preserve">  Bryan</v>
      </c>
      <c r="C1076" s="5">
        <v>25.55</v>
      </c>
      <c r="D1076" s="5" t="str" cm="1">
        <f t="array" ref="D1076">_xlfn.IFS(Healthcare!$C1076&lt;18.5,"under weight",Healthcare!$C1076&lt;=24.9,"Normal Weight",Healthcare!$C1076&gt;=25,"overweight",Healthcare!$C1076&gt;=30,"obese")</f>
        <v>overweight</v>
      </c>
      <c r="E1076" s="5">
        <v>4.96</v>
      </c>
      <c r="F1076" s="5" t="str" cm="1">
        <f t="array" ref="F1076">_xlfn.IFS(Healthcare!$E1076&lt;5.7,"normal",Healthcare!$E1076&lt;=6.4,"prediabetes",Healthcare!$E1076&gt;=6.5,"diabetes")</f>
        <v>normal</v>
      </c>
      <c r="G1076" s="5" t="s">
        <v>20</v>
      </c>
      <c r="H1076" s="5" t="s">
        <v>19</v>
      </c>
      <c r="I1076" s="5" t="s">
        <v>19</v>
      </c>
      <c r="J1076" s="5">
        <v>1</v>
      </c>
      <c r="K1076" s="5" t="s">
        <v>19</v>
      </c>
      <c r="L1076" s="5" t="str">
        <f>VLOOKUP(Healthcare!$A1076,hospital_details,2,0)</f>
        <v>27-Jul-1964</v>
      </c>
      <c r="M1076" s="5">
        <f t="shared" ref="M1076:M1139" ca="1" si="6443">VLOOKUP(A1076,hospital_details,3,0)</f>
        <v>62</v>
      </c>
      <c r="N1076" s="5">
        <f t="shared" ref="N1076:N1139" si="6444">VLOOKUP($A1076,hospital_details,4,0)</f>
        <v>0</v>
      </c>
      <c r="O1076" s="6">
        <f t="shared" ref="O1076:O1139" si="6445">VLOOKUP($A1076,hospital_details,5,0)</f>
        <v>10459.19</v>
      </c>
      <c r="P1076" s="5" t="str">
        <f t="shared" ref="P1076:P1139" si="6446">VLOOKUP($A1076,hospital_details,6,0)</f>
        <v>tier - 3</v>
      </c>
      <c r="Q1076" s="5" t="str">
        <f t="shared" ref="Q1076:Q1139" si="6447">VLOOKUP($A1076,hospital_details,7,0)</f>
        <v>tier - 1</v>
      </c>
      <c r="R1076" s="5" t="str">
        <f t="shared" ref="R1076:R1139" si="6448">VLOOKUP($A1076,hospital_details,8,0)</f>
        <v>R1013</v>
      </c>
    </row>
    <row r="1077" spans="1:18" ht="14.4" customHeight="1" x14ac:dyDescent="0.3">
      <c r="A1077" s="7" t="s">
        <v>1097</v>
      </c>
      <c r="B1077" s="7" t="str">
        <f>VLOOKUP($A1077,[1]!Customer_Names[#Data],3,0)</f>
        <v xml:space="preserve">  Devon R</v>
      </c>
      <c r="C1077" s="7">
        <v>28.77</v>
      </c>
      <c r="D1077" s="7" t="str" cm="1">
        <f t="array" ref="D1077">_xlfn.IFS(Healthcare!$C1077&lt;18.5,"under weight",Healthcare!$C1077&lt;=24.9,"Normal Weight",Healthcare!$C1077&gt;=25,"overweight",Healthcare!$C1077&gt;=30,"obese")</f>
        <v>overweight</v>
      </c>
      <c r="E1077" s="7">
        <v>4</v>
      </c>
      <c r="F1077" s="7" t="str" cm="1">
        <f t="array" ref="F1077">_xlfn.IFS(Healthcare!$E1077&lt;5.7,"normal",Healthcare!$E1077&lt;=6.4,"prediabetes",Healthcare!$E1077&gt;=6.5,"diabetes")</f>
        <v>normal</v>
      </c>
      <c r="G1077" s="7" t="s">
        <v>20</v>
      </c>
      <c r="H1077" s="7" t="s">
        <v>19</v>
      </c>
      <c r="I1077" s="7" t="s">
        <v>19</v>
      </c>
      <c r="J1077" s="7">
        <v>0</v>
      </c>
      <c r="K1077" s="7" t="s">
        <v>19</v>
      </c>
      <c r="L1077" s="7" t="str">
        <f>VLOOKUP(Healthcare!$A1077,hospital_details,2,0)</f>
        <v>3-Aug-1976</v>
      </c>
      <c r="M1077" s="7">
        <f t="shared" ref="M1077:M1140" ca="1" si="6449">VLOOKUP(A1077,hospital_details,3,0)</f>
        <v>50</v>
      </c>
      <c r="N1077" s="7">
        <f t="shared" ref="N1077:N1140" si="6450">VLOOKUP($A1077,hospital_details,4,0)</f>
        <v>2</v>
      </c>
      <c r="O1077" s="8">
        <f t="shared" ref="O1077:O1140" si="6451">VLOOKUP($A1077,hospital_details,5,0)</f>
        <v>10455.14</v>
      </c>
      <c r="P1077" s="7" t="str">
        <f t="shared" ref="P1077:P1140" si="6452">VLOOKUP($A1077,hospital_details,6,0)</f>
        <v>tier - 3</v>
      </c>
      <c r="Q1077" s="7" t="str">
        <f t="shared" ref="Q1077:Q1140" si="6453">VLOOKUP($A1077,hospital_details,7,0)</f>
        <v>tier - 2</v>
      </c>
      <c r="R1077" s="7" t="str">
        <f t="shared" ref="R1077:R1140" si="6454">VLOOKUP($A1077,hospital_details,8,0)</f>
        <v>R1021</v>
      </c>
    </row>
    <row r="1078" spans="1:18" ht="14.4" customHeight="1" x14ac:dyDescent="0.3">
      <c r="A1078" s="5" t="s">
        <v>1098</v>
      </c>
      <c r="B1078" s="5" t="str">
        <f>VLOOKUP($A1078,[1]!Customer_Names[#Data],3,0)</f>
        <v xml:space="preserve">  Elena</v>
      </c>
      <c r="C1078" s="5">
        <v>23.14</v>
      </c>
      <c r="D1078" s="5" t="str" cm="1">
        <f t="array" ref="D1078">_xlfn.IFS(Healthcare!$C1078&lt;18.5,"under weight",Healthcare!$C1078&lt;=24.9,"Normal Weight",Healthcare!$C1078&gt;=25,"overweight",Healthcare!$C1078&gt;=30,"obese")</f>
        <v>Normal Weight</v>
      </c>
      <c r="E1078" s="5">
        <v>4.1500000000000004</v>
      </c>
      <c r="F1078" s="5" t="str" cm="1">
        <f t="array" ref="F1078">_xlfn.IFS(Healthcare!$E1078&lt;5.7,"normal",Healthcare!$E1078&lt;=6.4,"prediabetes",Healthcare!$E1078&gt;=6.5,"diabetes")</f>
        <v>normal</v>
      </c>
      <c r="G1078" s="5" t="s">
        <v>20</v>
      </c>
      <c r="H1078" s="5" t="s">
        <v>19</v>
      </c>
      <c r="I1078" s="5" t="s">
        <v>19</v>
      </c>
      <c r="J1078" s="5">
        <v>1</v>
      </c>
      <c r="K1078" s="5" t="s">
        <v>19</v>
      </c>
      <c r="L1078" s="5" t="str">
        <f>VLOOKUP(Healthcare!$A1078,hospital_details,2,0)</f>
        <v>14-Oct-1964</v>
      </c>
      <c r="M1078" s="5">
        <f t="shared" ref="M1078:M1141" ca="1" si="6455">VLOOKUP(A1078,hospital_details,3,0)</f>
        <v>62</v>
      </c>
      <c r="N1078" s="5">
        <f t="shared" ref="N1078:N1141" si="6456">VLOOKUP($A1078,hospital_details,4,0)</f>
        <v>0</v>
      </c>
      <c r="O1078" s="6">
        <f t="shared" ref="O1078:O1141" si="6457">VLOOKUP($A1078,hospital_details,5,0)</f>
        <v>10455.1</v>
      </c>
      <c r="P1078" s="5" t="str">
        <f t="shared" ref="P1078:P1141" si="6458">VLOOKUP($A1078,hospital_details,6,0)</f>
        <v>tier - 3</v>
      </c>
      <c r="Q1078" s="5" t="str">
        <f t="shared" ref="Q1078:Q1141" si="6459">VLOOKUP($A1078,hospital_details,7,0)</f>
        <v>tier - 1</v>
      </c>
      <c r="R1078" s="5" t="str">
        <f t="shared" ref="R1078:R1141" si="6460">VLOOKUP($A1078,hospital_details,8,0)</f>
        <v>R1012</v>
      </c>
    </row>
    <row r="1079" spans="1:18" ht="14.4" customHeight="1" x14ac:dyDescent="0.3">
      <c r="A1079" s="7" t="s">
        <v>1099</v>
      </c>
      <c r="B1079" s="7" t="str">
        <f>VLOOKUP($A1079,[1]!Customer_Names[#Data],3,0)</f>
        <v xml:space="preserve">  Chris</v>
      </c>
      <c r="C1079" s="7">
        <v>39.6</v>
      </c>
      <c r="D1079" s="7" t="str" cm="1">
        <f t="array" ref="D1079">_xlfn.IFS(Healthcare!$C1079&lt;18.5,"under weight",Healthcare!$C1079&lt;=24.9,"Normal Weight",Healthcare!$C1079&gt;=25,"overweight",Healthcare!$C1079&gt;=30,"obese")</f>
        <v>overweight</v>
      </c>
      <c r="E1079" s="7">
        <v>11.36</v>
      </c>
      <c r="F1079" s="7" t="str" cm="1">
        <f t="array" ref="F1079">_xlfn.IFS(Healthcare!$E1079&lt;5.7,"normal",Healthcare!$E1079&lt;=6.4,"prediabetes",Healthcare!$E1079&gt;=6.5,"diabetes")</f>
        <v>diabetes</v>
      </c>
      <c r="G1079" s="7" t="s">
        <v>19</v>
      </c>
      <c r="H1079" s="7" t="s">
        <v>19</v>
      </c>
      <c r="I1079" s="7" t="s">
        <v>19</v>
      </c>
      <c r="J1079" s="7">
        <v>0</v>
      </c>
      <c r="K1079" s="7" t="s">
        <v>19</v>
      </c>
      <c r="L1079" s="7" t="str">
        <f>VLOOKUP(Healthcare!$A1079,hospital_details,2,0)</f>
        <v>8-Nov-1968</v>
      </c>
      <c r="M1079" s="7">
        <f t="shared" ref="M1079:M1142" ca="1" si="6461">VLOOKUP(A1079,hospital_details,3,0)</f>
        <v>57</v>
      </c>
      <c r="N1079" s="7">
        <f t="shared" ref="N1079:N1142" si="6462">VLOOKUP($A1079,hospital_details,4,0)</f>
        <v>1</v>
      </c>
      <c r="O1079" s="8">
        <f t="shared" ref="O1079:O1142" si="6463">VLOOKUP($A1079,hospital_details,5,0)</f>
        <v>10450.549999999999</v>
      </c>
      <c r="P1079" s="7" t="str">
        <f t="shared" ref="P1079:P1142" si="6464">VLOOKUP($A1079,hospital_details,6,0)</f>
        <v>tier - 3</v>
      </c>
      <c r="Q1079" s="7" t="str">
        <f t="shared" ref="Q1079:Q1142" si="6465">VLOOKUP($A1079,hospital_details,7,0)</f>
        <v>tier - 1</v>
      </c>
      <c r="R1079" s="7" t="str">
        <f t="shared" ref="R1079:R1142" si="6466">VLOOKUP($A1079,hospital_details,8,0)</f>
        <v>R1011</v>
      </c>
    </row>
    <row r="1080" spans="1:18" ht="14.4" customHeight="1" x14ac:dyDescent="0.3">
      <c r="A1080" s="5" t="s">
        <v>1100</v>
      </c>
      <c r="B1080" s="5" t="str">
        <f>VLOOKUP($A1080,[1]!Customer_Names[#Data],3,0)</f>
        <v xml:space="preserve">  Bert</v>
      </c>
      <c r="C1080" s="5">
        <v>29.2</v>
      </c>
      <c r="D1080" s="5" t="str" cm="1">
        <f t="array" ref="D1080">_xlfn.IFS(Healthcare!$C1080&lt;18.5,"under weight",Healthcare!$C1080&lt;=24.9,"Normal Weight",Healthcare!$C1080&gt;=25,"overweight",Healthcare!$C1080&gt;=30,"obese")</f>
        <v>overweight</v>
      </c>
      <c r="E1080" s="5">
        <v>7.53</v>
      </c>
      <c r="F1080" s="5" t="str" cm="1">
        <f t="array" ref="F1080">_xlfn.IFS(Healthcare!$E1080&lt;5.7,"normal",Healthcare!$E1080&lt;=6.4,"prediabetes",Healthcare!$E1080&gt;=6.5,"diabetes")</f>
        <v>diabetes</v>
      </c>
      <c r="G1080" s="5" t="s">
        <v>19</v>
      </c>
      <c r="H1080" s="5" t="s">
        <v>19</v>
      </c>
      <c r="I1080" s="5" t="s">
        <v>19</v>
      </c>
      <c r="J1080" s="5">
        <v>0</v>
      </c>
      <c r="K1080" s="5" t="s">
        <v>19</v>
      </c>
      <c r="L1080" s="5" t="str">
        <f>VLOOKUP(Healthcare!$A1080,hospital_details,2,0)</f>
        <v>29-Aug-1968</v>
      </c>
      <c r="M1080" s="5">
        <f t="shared" ref="M1080:M1143" ca="1" si="6467">VLOOKUP(A1080,hospital_details,3,0)</f>
        <v>58</v>
      </c>
      <c r="N1080" s="5">
        <f t="shared" ref="N1080:N1143" si="6468">VLOOKUP($A1080,hospital_details,4,0)</f>
        <v>1</v>
      </c>
      <c r="O1080" s="6">
        <f t="shared" ref="O1080:O1143" si="6469">VLOOKUP($A1080,hospital_details,5,0)</f>
        <v>10436.1</v>
      </c>
      <c r="P1080" s="5" t="str">
        <f t="shared" ref="P1080:P1143" si="6470">VLOOKUP($A1080,hospital_details,6,0)</f>
        <v>tier - 3</v>
      </c>
      <c r="Q1080" s="5" t="str">
        <f t="shared" ref="Q1080:Q1143" si="6471">VLOOKUP($A1080,hospital_details,7,0)</f>
        <v>tier - 3</v>
      </c>
      <c r="R1080" s="5" t="str">
        <f t="shared" ref="R1080:R1143" si="6472">VLOOKUP($A1080,hospital_details,8,0)</f>
        <v>R1011</v>
      </c>
    </row>
    <row r="1081" spans="1:18" ht="14.4" customHeight="1" x14ac:dyDescent="0.3">
      <c r="A1081" s="7" t="s">
        <v>1101</v>
      </c>
      <c r="B1081" s="7" t="str">
        <f>VLOOKUP($A1081,[1]!Customer_Names[#Data],3,0)</f>
        <v xml:space="preserve">  John P</v>
      </c>
      <c r="C1081" s="7">
        <v>32.774999999999999</v>
      </c>
      <c r="D1081" s="7" t="str" cm="1">
        <f t="array" ref="D1081">_xlfn.IFS(Healthcare!$C1081&lt;18.5,"under weight",Healthcare!$C1081&lt;=24.9,"Normal Weight",Healthcare!$C1081&gt;=25,"overweight",Healthcare!$C1081&gt;=30,"obese")</f>
        <v>overweight</v>
      </c>
      <c r="E1081" s="7">
        <v>7.95</v>
      </c>
      <c r="F1081" s="7" t="str" cm="1">
        <f t="array" ref="F1081">_xlfn.IFS(Healthcare!$E1081&lt;5.7,"normal",Healthcare!$E1081&lt;=6.4,"prediabetes",Healthcare!$E1081&gt;=6.5,"diabetes")</f>
        <v>diabetes</v>
      </c>
      <c r="G1081" s="7" t="s">
        <v>19</v>
      </c>
      <c r="H1081" s="7" t="s">
        <v>19</v>
      </c>
      <c r="I1081" s="7" t="s">
        <v>19</v>
      </c>
      <c r="J1081" s="7">
        <v>0</v>
      </c>
      <c r="K1081" s="7" t="s">
        <v>19</v>
      </c>
      <c r="L1081" s="7" t="str">
        <f>VLOOKUP(Healthcare!$A1081,hospital_details,2,0)</f>
        <v>23-Aug-1968</v>
      </c>
      <c r="M1081" s="7">
        <f t="shared" ref="M1081:M1144" ca="1" si="6473">VLOOKUP(A1081,hospital_details,3,0)</f>
        <v>58</v>
      </c>
      <c r="N1081" s="7">
        <f t="shared" ref="N1081:N1144" si="6474">VLOOKUP($A1081,hospital_details,4,0)</f>
        <v>0</v>
      </c>
      <c r="O1081" s="8">
        <f t="shared" ref="O1081:O1144" si="6475">VLOOKUP($A1081,hospital_details,5,0)</f>
        <v>10435.07</v>
      </c>
      <c r="P1081" s="7" t="str">
        <f t="shared" ref="P1081:P1144" si="6476">VLOOKUP($A1081,hospital_details,6,0)</f>
        <v>tier - 3</v>
      </c>
      <c r="Q1081" s="7" t="str">
        <f t="shared" ref="Q1081:Q1144" si="6477">VLOOKUP($A1081,hospital_details,7,0)</f>
        <v>tier - 1</v>
      </c>
      <c r="R1081" s="7" t="str">
        <f t="shared" ref="R1081:R1144" si="6478">VLOOKUP($A1081,hospital_details,8,0)</f>
        <v>R1016</v>
      </c>
    </row>
    <row r="1082" spans="1:18" ht="14.4" customHeight="1" x14ac:dyDescent="0.3">
      <c r="A1082" s="5" t="s">
        <v>1102</v>
      </c>
      <c r="B1082" s="5" t="str">
        <f>VLOOKUP($A1082,[1]!Customer_Names[#Data],3,0)</f>
        <v xml:space="preserve">  Daniel P</v>
      </c>
      <c r="C1082" s="5">
        <v>24.035</v>
      </c>
      <c r="D1082" s="5" t="str" cm="1">
        <f t="array" ref="D1082">_xlfn.IFS(Healthcare!$C1082&lt;18.5,"under weight",Healthcare!$C1082&lt;=24.9,"Normal Weight",Healthcare!$C1082&gt;=25,"overweight",Healthcare!$C1082&gt;=30,"obese")</f>
        <v>Normal Weight</v>
      </c>
      <c r="E1082" s="5">
        <v>8.5</v>
      </c>
      <c r="F1082" s="5" t="str" cm="1">
        <f t="array" ref="F1082">_xlfn.IFS(Healthcare!$E1082&lt;5.7,"normal",Healthcare!$E1082&lt;=6.4,"prediabetes",Healthcare!$E1082&gt;=6.5,"diabetes")</f>
        <v>diabetes</v>
      </c>
      <c r="G1082" s="5" t="s">
        <v>19</v>
      </c>
      <c r="H1082" s="5" t="s">
        <v>19</v>
      </c>
      <c r="I1082" s="5" t="s">
        <v>19</v>
      </c>
      <c r="J1082" s="5">
        <v>0</v>
      </c>
      <c r="K1082" s="5" t="s">
        <v>19</v>
      </c>
      <c r="L1082" s="5" t="str">
        <f>VLOOKUP(Healthcare!$A1082,hospital_details,2,0)</f>
        <v>27-Dec-1968</v>
      </c>
      <c r="M1082" s="5">
        <f t="shared" ref="M1082:M1145" ca="1" si="6479">VLOOKUP(A1082,hospital_details,3,0)</f>
        <v>57</v>
      </c>
      <c r="N1082" s="5">
        <f t="shared" ref="N1082:N1145" si="6480">VLOOKUP($A1082,hospital_details,4,0)</f>
        <v>0</v>
      </c>
      <c r="O1082" s="6">
        <f t="shared" ref="O1082:O1145" si="6481">VLOOKUP($A1082,hospital_details,5,0)</f>
        <v>10422.92</v>
      </c>
      <c r="P1082" s="5" t="str">
        <f t="shared" ref="P1082:P1145" si="6482">VLOOKUP($A1082,hospital_details,6,0)</f>
        <v>tier - 3</v>
      </c>
      <c r="Q1082" s="5" t="str">
        <f t="shared" ref="Q1082:Q1145" si="6483">VLOOKUP($A1082,hospital_details,7,0)</f>
        <v>tier - 1</v>
      </c>
      <c r="R1082" s="5" t="str">
        <f t="shared" ref="R1082:R1145" si="6484">VLOOKUP($A1082,hospital_details,8,0)</f>
        <v>R1017</v>
      </c>
    </row>
    <row r="1083" spans="1:18" ht="14.4" customHeight="1" x14ac:dyDescent="0.3">
      <c r="A1083" s="7" t="s">
        <v>1103</v>
      </c>
      <c r="B1083" s="7" t="str">
        <f>VLOOKUP($A1083,[1]!Customer_Names[#Data],3,0)</f>
        <v xml:space="preserve">  Lisa K</v>
      </c>
      <c r="C1083" s="7">
        <v>30.55</v>
      </c>
      <c r="D1083" s="7" t="str" cm="1">
        <f t="array" ref="D1083">_xlfn.IFS(Healthcare!$C1083&lt;18.5,"under weight",Healthcare!$C1083&lt;=24.9,"Normal Weight",Healthcare!$C1083&gt;=25,"overweight",Healthcare!$C1083&gt;=30,"obese")</f>
        <v>overweight</v>
      </c>
      <c r="E1083" s="7">
        <v>5.89</v>
      </c>
      <c r="F1083" s="7" t="str" cm="1">
        <f t="array" ref="F1083">_xlfn.IFS(Healthcare!$E1083&lt;5.7,"normal",Healthcare!$E1083&lt;=6.4,"prediabetes",Healthcare!$E1083&gt;=6.5,"diabetes")</f>
        <v>prediabetes</v>
      </c>
      <c r="G1083" s="7" t="s">
        <v>19</v>
      </c>
      <c r="H1083" s="7" t="s">
        <v>19</v>
      </c>
      <c r="I1083" s="7" t="s">
        <v>29</v>
      </c>
      <c r="J1083" s="7">
        <v>1</v>
      </c>
      <c r="K1083" s="7" t="s">
        <v>19</v>
      </c>
      <c r="L1083" s="7" t="str">
        <f>VLOOKUP(Healthcare!$A1083,hospital_details,2,0)</f>
        <v>25-Nov-1979</v>
      </c>
      <c r="M1083" s="7">
        <f t="shared" ref="M1083:M1146" ca="1" si="6485">VLOOKUP(A1083,hospital_details,3,0)</f>
        <v>46</v>
      </c>
      <c r="N1083" s="7">
        <f t="shared" ref="N1083:N1146" si="6486">VLOOKUP($A1083,hospital_details,4,0)</f>
        <v>2</v>
      </c>
      <c r="O1083" s="8">
        <f t="shared" ref="O1083:O1146" si="6487">VLOOKUP($A1083,hospital_details,5,0)</f>
        <v>10419.65</v>
      </c>
      <c r="P1083" s="7" t="str">
        <f t="shared" ref="P1083:P1146" si="6488">VLOOKUP($A1083,hospital_details,6,0)</f>
        <v>tier - 3</v>
      </c>
      <c r="Q1083" s="7" t="str">
        <f t="shared" ref="Q1083:Q1146" si="6489">VLOOKUP($A1083,hospital_details,7,0)</f>
        <v>tier - 2</v>
      </c>
      <c r="R1083" s="7" t="str">
        <f t="shared" ref="R1083:R1146" si="6490">VLOOKUP($A1083,hospital_details,8,0)</f>
        <v>R1025</v>
      </c>
    </row>
    <row r="1084" spans="1:18" ht="14.4" customHeight="1" x14ac:dyDescent="0.3">
      <c r="A1084" s="5" t="s">
        <v>1104</v>
      </c>
      <c r="B1084" s="5" t="str">
        <f>VLOOKUP($A1084,[1]!Customer_Names[#Data],3,0)</f>
        <v xml:space="preserve">  Kristine</v>
      </c>
      <c r="C1084" s="5">
        <v>28.81</v>
      </c>
      <c r="D1084" s="5" t="str" cm="1">
        <f t="array" ref="D1084">_xlfn.IFS(Healthcare!$C1084&lt;18.5,"under weight",Healthcare!$C1084&lt;=24.9,"Normal Weight",Healthcare!$C1084&gt;=25,"overweight",Healthcare!$C1084&gt;=30,"obese")</f>
        <v>overweight</v>
      </c>
      <c r="E1084" s="5">
        <v>8.76</v>
      </c>
      <c r="F1084" s="5" t="str" cm="1">
        <f t="array" ref="F1084">_xlfn.IFS(Healthcare!$E1084&lt;5.7,"normal",Healthcare!$E1084&lt;=6.4,"prediabetes",Healthcare!$E1084&gt;=6.5,"diabetes")</f>
        <v>diabetes</v>
      </c>
      <c r="G1084" s="5" t="s">
        <v>19</v>
      </c>
      <c r="H1084" s="5" t="s">
        <v>19</v>
      </c>
      <c r="I1084" s="5" t="s">
        <v>19</v>
      </c>
      <c r="J1084" s="5">
        <v>2</v>
      </c>
      <c r="K1084" s="5" t="s">
        <v>19</v>
      </c>
      <c r="L1084" s="5" t="str">
        <f>VLOOKUP(Healthcare!$A1084,hospital_details,2,0)</f>
        <v>11-Oct-1973</v>
      </c>
      <c r="M1084" s="5">
        <f t="shared" ref="M1084:M1147" ca="1" si="6491">VLOOKUP(A1084,hospital_details,3,0)</f>
        <v>53</v>
      </c>
      <c r="N1084" s="5">
        <f t="shared" ref="N1084:N1147" si="6492">VLOOKUP($A1084,hospital_details,4,0)</f>
        <v>0</v>
      </c>
      <c r="O1084" s="6">
        <f t="shared" ref="O1084:O1147" si="6493">VLOOKUP($A1084,hospital_details,5,0)</f>
        <v>10419.59</v>
      </c>
      <c r="P1084" s="5" t="str">
        <f t="shared" ref="P1084:P1147" si="6494">VLOOKUP($A1084,hospital_details,6,0)</f>
        <v>tier - 3</v>
      </c>
      <c r="Q1084" s="5" t="str">
        <f t="shared" ref="Q1084:Q1147" si="6495">VLOOKUP($A1084,hospital_details,7,0)</f>
        <v>tier - 2</v>
      </c>
      <c r="R1084" s="5" t="str">
        <f t="shared" ref="R1084:R1147" si="6496">VLOOKUP($A1084,hospital_details,8,0)</f>
        <v>R1025</v>
      </c>
    </row>
    <row r="1085" spans="1:18" ht="14.4" customHeight="1" x14ac:dyDescent="0.3">
      <c r="A1085" s="7" t="s">
        <v>1105</v>
      </c>
      <c r="B1085" s="7" t="str">
        <f>VLOOKUP($A1085,[1]!Customer_Names[#Data],3,0)</f>
        <v xml:space="preserve">  Paul A</v>
      </c>
      <c r="C1085" s="7">
        <v>31.66</v>
      </c>
      <c r="D1085" s="7" t="str" cm="1">
        <f t="array" ref="D1085">_xlfn.IFS(Healthcare!$C1085&lt;18.5,"under weight",Healthcare!$C1085&lt;=24.9,"Normal Weight",Healthcare!$C1085&gt;=25,"overweight",Healthcare!$C1085&gt;=30,"obese")</f>
        <v>overweight</v>
      </c>
      <c r="E1085" s="7">
        <v>4.1100000000000003</v>
      </c>
      <c r="F1085" s="7" t="str" cm="1">
        <f t="array" ref="F1085">_xlfn.IFS(Healthcare!$E1085&lt;5.7,"normal",Healthcare!$E1085&lt;=6.4,"prediabetes",Healthcare!$E1085&gt;=6.5,"diabetes")</f>
        <v>normal</v>
      </c>
      <c r="G1085" s="7" t="s">
        <v>19</v>
      </c>
      <c r="H1085" s="7" t="s">
        <v>19</v>
      </c>
      <c r="I1085" s="7" t="s">
        <v>19</v>
      </c>
      <c r="J1085" s="7">
        <v>0</v>
      </c>
      <c r="K1085" s="7" t="s">
        <v>19</v>
      </c>
      <c r="L1085" s="7" t="str">
        <f>VLOOKUP(Healthcare!$A1085,hospital_details,2,0)</f>
        <v>24-Oct-1980</v>
      </c>
      <c r="M1085" s="7">
        <f t="shared" ref="M1085:M1148" ca="1" si="6497">VLOOKUP(A1085,hospital_details,3,0)</f>
        <v>45</v>
      </c>
      <c r="N1085" s="7">
        <f t="shared" ref="N1085:N1148" si="6498">VLOOKUP($A1085,hospital_details,4,0)</f>
        <v>2</v>
      </c>
      <c r="O1085" s="8">
        <f t="shared" ref="O1085:O1148" si="6499">VLOOKUP($A1085,hospital_details,5,0)</f>
        <v>10407.98</v>
      </c>
      <c r="P1085" s="7" t="str">
        <f t="shared" ref="P1085:P1148" si="6500">VLOOKUP($A1085,hospital_details,6,0)</f>
        <v>tier - 3</v>
      </c>
      <c r="Q1085" s="7" t="str">
        <f t="shared" ref="Q1085:Q1148" si="6501">VLOOKUP($A1085,hospital_details,7,0)</f>
        <v>tier - 1</v>
      </c>
      <c r="R1085" s="7" t="str">
        <f t="shared" ref="R1085:R1148" si="6502">VLOOKUP($A1085,hospital_details,8,0)</f>
        <v>R1021</v>
      </c>
    </row>
    <row r="1086" spans="1:18" ht="14.4" customHeight="1" x14ac:dyDescent="0.3">
      <c r="A1086" s="5" t="s">
        <v>1106</v>
      </c>
      <c r="B1086" s="5" t="str">
        <f>VLOOKUP($A1086,[1]!Customer_Names[#Data],3,0)</f>
        <v xml:space="preserve">  Bryan</v>
      </c>
      <c r="C1086" s="5">
        <v>28.215</v>
      </c>
      <c r="D1086" s="5" t="str" cm="1">
        <f t="array" ref="D1086">_xlfn.IFS(Healthcare!$C1086&lt;18.5,"under weight",Healthcare!$C1086&lt;=24.9,"Normal Weight",Healthcare!$C1086&gt;=25,"overweight",Healthcare!$C1086&gt;=30,"obese")</f>
        <v>overweight</v>
      </c>
      <c r="E1086" s="5">
        <v>7.56</v>
      </c>
      <c r="F1086" s="5" t="str" cm="1">
        <f t="array" ref="F1086">_xlfn.IFS(Healthcare!$E1086&lt;5.7,"normal",Healthcare!$E1086&lt;=6.4,"prediabetes",Healthcare!$E1086&gt;=6.5,"diabetes")</f>
        <v>diabetes</v>
      </c>
      <c r="G1086" s="5" t="s">
        <v>20</v>
      </c>
      <c r="H1086" s="5" t="s">
        <v>19</v>
      </c>
      <c r="I1086" s="5" t="s">
        <v>19</v>
      </c>
      <c r="J1086" s="5">
        <v>1</v>
      </c>
      <c r="K1086" s="5" t="s">
        <v>19</v>
      </c>
      <c r="L1086" s="5" t="str">
        <f>VLOOKUP(Healthcare!$A1086,hospital_details,2,0)</f>
        <v>5-Jun-1975</v>
      </c>
      <c r="M1086" s="5">
        <f t="shared" ref="M1086:M1149" ca="1" si="6503">VLOOKUP(A1086,hospital_details,3,0)</f>
        <v>51</v>
      </c>
      <c r="N1086" s="5">
        <f t="shared" ref="N1086:N1149" si="6504">VLOOKUP($A1086,hospital_details,4,0)</f>
        <v>4</v>
      </c>
      <c r="O1086" s="6">
        <f t="shared" ref="O1086:O1149" si="6505">VLOOKUP($A1086,hospital_details,5,0)</f>
        <v>10407.09</v>
      </c>
      <c r="P1086" s="5" t="str">
        <f t="shared" ref="P1086:P1149" si="6506">VLOOKUP($A1086,hospital_details,6,0)</f>
        <v>tier - 3</v>
      </c>
      <c r="Q1086" s="5" t="str">
        <f t="shared" ref="Q1086:Q1149" si="6507">VLOOKUP($A1086,hospital_details,7,0)</f>
        <v>tier - 1</v>
      </c>
      <c r="R1086" s="5" t="str">
        <f t="shared" ref="R1086:R1149" si="6508">VLOOKUP($A1086,hospital_details,8,0)</f>
        <v>R1015</v>
      </c>
    </row>
    <row r="1087" spans="1:18" ht="14.4" customHeight="1" x14ac:dyDescent="0.3">
      <c r="A1087" s="7" t="s">
        <v>1107</v>
      </c>
      <c r="B1087" s="7" t="str">
        <f>VLOOKUP($A1087,[1]!Customer_Names[#Data],3,0)</f>
        <v xml:space="preserve">  Chris</v>
      </c>
      <c r="C1087" s="7">
        <v>26.12</v>
      </c>
      <c r="D1087" s="7" t="str" cm="1">
        <f t="array" ref="D1087">_xlfn.IFS(Healthcare!$C1087&lt;18.5,"under weight",Healthcare!$C1087&lt;=24.9,"Normal Weight",Healthcare!$C1087&gt;=25,"overweight",Healthcare!$C1087&gt;=30,"obese")</f>
        <v>overweight</v>
      </c>
      <c r="E1087" s="7">
        <v>4.17</v>
      </c>
      <c r="F1087" s="7" t="str" cm="1">
        <f t="array" ref="F1087">_xlfn.IFS(Healthcare!$E1087&lt;5.7,"normal",Healthcare!$E1087&lt;=6.4,"prediabetes",Healthcare!$E1087&gt;=6.5,"diabetes")</f>
        <v>normal</v>
      </c>
      <c r="G1087" s="7" t="s">
        <v>20</v>
      </c>
      <c r="H1087" s="7" t="s">
        <v>19</v>
      </c>
      <c r="I1087" s="7" t="s">
        <v>29</v>
      </c>
      <c r="J1087" s="7">
        <v>1</v>
      </c>
      <c r="K1087" s="7" t="s">
        <v>19</v>
      </c>
      <c r="L1087" s="7" t="str">
        <f>VLOOKUP(Healthcare!$A1087,hospital_details,2,0)</f>
        <v>7-Jul-1969</v>
      </c>
      <c r="M1087" s="7">
        <f t="shared" ref="M1087:M1150" ca="1" si="6509">VLOOKUP(A1087,hospital_details,3,0)</f>
        <v>57</v>
      </c>
      <c r="N1087" s="7">
        <f t="shared" ref="N1087:N1150" si="6510">VLOOKUP($A1087,hospital_details,4,0)</f>
        <v>0</v>
      </c>
      <c r="O1087" s="8">
        <f t="shared" ref="O1087:O1150" si="6511">VLOOKUP($A1087,hospital_details,5,0)</f>
        <v>10403.27</v>
      </c>
      <c r="P1087" s="7" t="str">
        <f t="shared" ref="P1087:P1150" si="6512">VLOOKUP($A1087,hospital_details,6,0)</f>
        <v>tier - 3</v>
      </c>
      <c r="Q1087" s="7" t="str">
        <f t="shared" ref="Q1087:Q1150" si="6513">VLOOKUP($A1087,hospital_details,7,0)</f>
        <v>tier - 2</v>
      </c>
      <c r="R1087" s="7" t="str">
        <f t="shared" ref="R1087:R1150" si="6514">VLOOKUP($A1087,hospital_details,8,0)</f>
        <v>R1020</v>
      </c>
    </row>
    <row r="1088" spans="1:18" ht="14.4" customHeight="1" x14ac:dyDescent="0.3">
      <c r="A1088" s="5" t="s">
        <v>1108</v>
      </c>
      <c r="B1088" s="5" t="str">
        <f>VLOOKUP($A1088,[1]!Customer_Names[#Data],3,0)</f>
        <v xml:space="preserve">  Milah B</v>
      </c>
      <c r="C1088" s="5">
        <v>36.630000000000003</v>
      </c>
      <c r="D1088" s="5" t="str" cm="1">
        <f t="array" ref="D1088">_xlfn.IFS(Healthcare!$C1088&lt;18.5,"under weight",Healthcare!$C1088&lt;=24.9,"Normal Weight",Healthcare!$C1088&gt;=25,"overweight",Healthcare!$C1088&gt;=30,"obese")</f>
        <v>overweight</v>
      </c>
      <c r="E1088" s="5">
        <v>11.42</v>
      </c>
      <c r="F1088" s="5" t="str" cm="1">
        <f t="array" ref="F1088">_xlfn.IFS(Healthcare!$E1088&lt;5.7,"normal",Healthcare!$E1088&lt;=6.4,"prediabetes",Healthcare!$E1088&gt;=6.5,"diabetes")</f>
        <v>diabetes</v>
      </c>
      <c r="G1088" s="5" t="s">
        <v>19</v>
      </c>
      <c r="H1088" s="5" t="s">
        <v>19</v>
      </c>
      <c r="I1088" s="5" t="s">
        <v>19</v>
      </c>
      <c r="J1088" s="5">
        <v>2</v>
      </c>
      <c r="K1088" s="5" t="s">
        <v>19</v>
      </c>
      <c r="L1088" s="5" t="str">
        <f>VLOOKUP(Healthcare!$A1088,hospital_details,2,0)</f>
        <v>19-Sep-1973</v>
      </c>
      <c r="M1088" s="5">
        <f t="shared" ref="M1088:M1151" ca="1" si="6515">VLOOKUP(A1088,hospital_details,3,0)</f>
        <v>53</v>
      </c>
      <c r="N1088" s="5">
        <f t="shared" ref="N1088:N1151" si="6516">VLOOKUP($A1088,hospital_details,4,0)</f>
        <v>3</v>
      </c>
      <c r="O1088" s="6">
        <f t="shared" ref="O1088:O1151" si="6517">VLOOKUP($A1088,hospital_details,5,0)</f>
        <v>10381.48</v>
      </c>
      <c r="P1088" s="5" t="str">
        <f t="shared" ref="P1088:P1151" si="6518">VLOOKUP($A1088,hospital_details,6,0)</f>
        <v>tier - 3</v>
      </c>
      <c r="Q1088" s="5" t="str">
        <f t="shared" ref="Q1088:Q1151" si="6519">VLOOKUP($A1088,hospital_details,7,0)</f>
        <v>tier - 3</v>
      </c>
      <c r="R1088" s="5" t="str">
        <f t="shared" ref="R1088:R1151" si="6520">VLOOKUP($A1088,hospital_details,8,0)</f>
        <v>R1013</v>
      </c>
    </row>
    <row r="1089" spans="1:18" ht="14.4" customHeight="1" x14ac:dyDescent="0.3">
      <c r="A1089" s="7" t="s">
        <v>1109</v>
      </c>
      <c r="B1089" s="7" t="str">
        <f>VLOOKUP($A1089,[1]!Customer_Names[#Data],3,0)</f>
        <v xml:space="preserve">  Annette M</v>
      </c>
      <c r="C1089" s="7">
        <v>33.344999999999999</v>
      </c>
      <c r="D1089" s="7" t="str" cm="1">
        <f t="array" ref="D1089">_xlfn.IFS(Healthcare!$C1089&lt;18.5,"under weight",Healthcare!$C1089&lt;=24.9,"Normal Weight",Healthcare!$C1089&gt;=25,"overweight",Healthcare!$C1089&gt;=30,"obese")</f>
        <v>overweight</v>
      </c>
      <c r="E1089" s="7">
        <v>7.33</v>
      </c>
      <c r="F1089" s="7" t="str" cm="1">
        <f t="array" ref="F1089">_xlfn.IFS(Healthcare!$E1089&lt;5.7,"normal",Healthcare!$E1089&lt;=6.4,"prediabetes",Healthcare!$E1089&gt;=6.5,"diabetes")</f>
        <v>diabetes</v>
      </c>
      <c r="G1089" s="7" t="s">
        <v>19</v>
      </c>
      <c r="H1089" s="7" t="s">
        <v>19</v>
      </c>
      <c r="I1089" s="7" t="s">
        <v>19</v>
      </c>
      <c r="J1089" s="7">
        <v>2</v>
      </c>
      <c r="K1089" s="7" t="s">
        <v>19</v>
      </c>
      <c r="L1089" s="7" t="str">
        <f>VLOOKUP(Healthcare!$A1089,hospital_details,2,0)</f>
        <v>29-Sep-1973</v>
      </c>
      <c r="M1089" s="7">
        <f t="shared" ref="M1089:M1152" ca="1" si="6521">VLOOKUP(A1089,hospital_details,3,0)</f>
        <v>53</v>
      </c>
      <c r="N1089" s="7">
        <f t="shared" ref="N1089:N1152" si="6522">VLOOKUP($A1089,hospital_details,4,0)</f>
        <v>2</v>
      </c>
      <c r="O1089" s="8">
        <f t="shared" ref="O1089:O1152" si="6523">VLOOKUP($A1089,hospital_details,5,0)</f>
        <v>10370.91</v>
      </c>
      <c r="P1089" s="7" t="str">
        <f t="shared" ref="P1089:P1152" si="6524">VLOOKUP($A1089,hospital_details,6,0)</f>
        <v>tier - 3</v>
      </c>
      <c r="Q1089" s="7" t="str">
        <f t="shared" ref="Q1089:Q1152" si="6525">VLOOKUP($A1089,hospital_details,7,0)</f>
        <v>tier - 3</v>
      </c>
      <c r="R1089" s="7" t="str">
        <f t="shared" ref="R1089:R1152" si="6526">VLOOKUP($A1089,hospital_details,8,0)</f>
        <v>R1024</v>
      </c>
    </row>
    <row r="1090" spans="1:18" ht="14.4" customHeight="1" x14ac:dyDescent="0.3">
      <c r="A1090" s="5" t="s">
        <v>1110</v>
      </c>
      <c r="B1090" s="5" t="str">
        <f>VLOOKUP($A1090,[1]!Customer_Names[#Data],3,0)</f>
        <v xml:space="preserve">  Yoko</v>
      </c>
      <c r="C1090" s="5">
        <v>27.11</v>
      </c>
      <c r="D1090" s="5" t="str" cm="1">
        <f t="array" ref="D1090">_xlfn.IFS(Healthcare!$C1090&lt;18.5,"under weight",Healthcare!$C1090&lt;=24.9,"Normal Weight",Healthcare!$C1090&gt;=25,"overweight",Healthcare!$C1090&gt;=30,"obese")</f>
        <v>overweight</v>
      </c>
      <c r="E1090" s="5">
        <v>6.7</v>
      </c>
      <c r="F1090" s="5" t="str" cm="1">
        <f t="array" ref="F1090">_xlfn.IFS(Healthcare!$E1090&lt;5.7,"normal",Healthcare!$E1090&lt;=6.4,"prediabetes",Healthcare!$E1090&gt;=6.5,"diabetes")</f>
        <v>diabetes</v>
      </c>
      <c r="G1090" s="5" t="s">
        <v>19</v>
      </c>
      <c r="H1090" s="5" t="s">
        <v>19</v>
      </c>
      <c r="I1090" s="5" t="s">
        <v>19</v>
      </c>
      <c r="J1090" s="5">
        <v>0</v>
      </c>
      <c r="K1090" s="5" t="s">
        <v>19</v>
      </c>
      <c r="L1090" s="5" t="str">
        <f>VLOOKUP(Healthcare!$A1090,hospital_details,2,0)</f>
        <v>6-Sep-1971</v>
      </c>
      <c r="M1090" s="5">
        <f t="shared" ref="M1090:M1153" ca="1" si="6527">VLOOKUP(A1090,hospital_details,3,0)</f>
        <v>55</v>
      </c>
      <c r="N1090" s="5">
        <f t="shared" ref="N1090:N1153" si="6528">VLOOKUP($A1090,hospital_details,4,0)</f>
        <v>0</v>
      </c>
      <c r="O1090" s="6">
        <f t="shared" ref="O1090:O1153" si="6529">VLOOKUP($A1090,hospital_details,5,0)</f>
        <v>10356.67</v>
      </c>
      <c r="P1090" s="5" t="str">
        <f t="shared" ref="P1090:P1153" si="6530">VLOOKUP($A1090,hospital_details,6,0)</f>
        <v>tier - 3</v>
      </c>
      <c r="Q1090" s="5" t="str">
        <f t="shared" ref="Q1090:Q1153" si="6531">VLOOKUP($A1090,hospital_details,7,0)</f>
        <v>tier - 1</v>
      </c>
      <c r="R1090" s="5" t="str">
        <f t="shared" ref="R1090:R1153" si="6532">VLOOKUP($A1090,hospital_details,8,0)</f>
        <v>R1025</v>
      </c>
    </row>
    <row r="1091" spans="1:18" ht="14.4" customHeight="1" x14ac:dyDescent="0.3">
      <c r="A1091" s="7" t="s">
        <v>1111</v>
      </c>
      <c r="B1091" s="7" t="str">
        <f>VLOOKUP($A1091,[1]!Customer_Names[#Data],3,0)</f>
        <v xml:space="preserve">  Laura</v>
      </c>
      <c r="C1091" s="7">
        <v>26.6</v>
      </c>
      <c r="D1091" s="7" t="str" cm="1">
        <f t="array" ref="D1091">_xlfn.IFS(Healthcare!$C1091&lt;18.5,"under weight",Healthcare!$C1091&lt;=24.9,"Normal Weight",Healthcare!$C1091&gt;=25,"overweight",Healthcare!$C1091&gt;=30,"obese")</f>
        <v>overweight</v>
      </c>
      <c r="E1091" s="7">
        <v>5.27</v>
      </c>
      <c r="F1091" s="7" t="str" cm="1">
        <f t="array" ref="F1091">_xlfn.IFS(Healthcare!$E1091&lt;5.7,"normal",Healthcare!$E1091&lt;=6.4,"prediabetes",Healthcare!$E1091&gt;=6.5,"diabetes")</f>
        <v>normal</v>
      </c>
      <c r="G1091" s="7" t="s">
        <v>20</v>
      </c>
      <c r="H1091" s="7" t="s">
        <v>19</v>
      </c>
      <c r="I1091" s="7" t="s">
        <v>29</v>
      </c>
      <c r="J1091" s="7">
        <v>1</v>
      </c>
      <c r="K1091" s="7" t="s">
        <v>19</v>
      </c>
      <c r="L1091" s="7" t="str">
        <f>VLOOKUP(Healthcare!$A1091,hospital_details,2,0)</f>
        <v>17-Jun-1969</v>
      </c>
      <c r="M1091" s="7">
        <f t="shared" ref="M1091:M1154" ca="1" si="6533">VLOOKUP(A1091,hospital_details,3,0)</f>
        <v>57</v>
      </c>
      <c r="N1091" s="7">
        <f t="shared" ref="N1091:N1154" si="6534">VLOOKUP($A1091,hospital_details,4,0)</f>
        <v>0</v>
      </c>
      <c r="O1091" s="8">
        <f t="shared" ref="O1091:O1154" si="6535">VLOOKUP($A1091,hospital_details,5,0)</f>
        <v>10355.64</v>
      </c>
      <c r="P1091" s="7" t="str">
        <f t="shared" ref="P1091:P1154" si="6536">VLOOKUP($A1091,hospital_details,6,0)</f>
        <v>tier - 3</v>
      </c>
      <c r="Q1091" s="7" t="str">
        <f t="shared" ref="Q1091:Q1154" si="6537">VLOOKUP($A1091,hospital_details,7,0)</f>
        <v>tier - 1</v>
      </c>
      <c r="R1091" s="7" t="str">
        <f t="shared" ref="R1091:R1154" si="6538">VLOOKUP($A1091,hospital_details,8,0)</f>
        <v>R1012</v>
      </c>
    </row>
    <row r="1092" spans="1:18" ht="14.4" customHeight="1" x14ac:dyDescent="0.3">
      <c r="A1092" s="5" t="s">
        <v>1112</v>
      </c>
      <c r="B1092" s="5" t="str">
        <f>VLOOKUP($A1092,[1]!Customer_Names[#Data],3,0)</f>
        <v xml:space="preserve">  Tess A</v>
      </c>
      <c r="C1092" s="5">
        <v>30.41</v>
      </c>
      <c r="D1092" s="5" t="str" cm="1">
        <f t="array" ref="D1092">_xlfn.IFS(Healthcare!$C1092&lt;18.5,"under weight",Healthcare!$C1092&lt;=24.9,"Normal Weight",Healthcare!$C1092&gt;=25,"overweight",Healthcare!$C1092&gt;=30,"obese")</f>
        <v>overweight</v>
      </c>
      <c r="E1092" s="5">
        <v>7.72</v>
      </c>
      <c r="F1092" s="5" t="str" cm="1">
        <f t="array" ref="F1092">_xlfn.IFS(Healthcare!$E1092&lt;5.7,"normal",Healthcare!$E1092&lt;=6.4,"prediabetes",Healthcare!$E1092&gt;=6.5,"diabetes")</f>
        <v>diabetes</v>
      </c>
      <c r="G1092" s="5" t="s">
        <v>19</v>
      </c>
      <c r="H1092" s="5" t="s">
        <v>19</v>
      </c>
      <c r="I1092" s="5" t="s">
        <v>19</v>
      </c>
      <c r="J1092" s="5">
        <v>0</v>
      </c>
      <c r="K1092" s="5" t="s">
        <v>19</v>
      </c>
      <c r="L1092" s="5" t="str">
        <f>VLOOKUP(Healthcare!$A1092,hospital_details,2,0)</f>
        <v>29-Sep-1974</v>
      </c>
      <c r="M1092" s="5">
        <f t="shared" ref="M1092:M1155" ca="1" si="6539">VLOOKUP(A1092,hospital_details,3,0)</f>
        <v>52</v>
      </c>
      <c r="N1092" s="5">
        <f t="shared" ref="N1092:N1155" si="6540">VLOOKUP($A1092,hospital_details,4,0)</f>
        <v>0</v>
      </c>
      <c r="O1092" s="6">
        <f t="shared" ref="O1092:O1155" si="6541">VLOOKUP($A1092,hospital_details,5,0)</f>
        <v>10352.48</v>
      </c>
      <c r="P1092" s="5" t="str">
        <f t="shared" ref="P1092:P1155" si="6542">VLOOKUP($A1092,hospital_details,6,0)</f>
        <v>tier - 3</v>
      </c>
      <c r="Q1092" s="5" t="str">
        <f t="shared" ref="Q1092:Q1155" si="6543">VLOOKUP($A1092,hospital_details,7,0)</f>
        <v>tier - 1</v>
      </c>
      <c r="R1092" s="5" t="str">
        <f t="shared" ref="R1092:R1155" si="6544">VLOOKUP($A1092,hospital_details,8,0)</f>
        <v>R1012</v>
      </c>
    </row>
    <row r="1093" spans="1:18" ht="14.4" customHeight="1" x14ac:dyDescent="0.3">
      <c r="A1093" s="7" t="s">
        <v>1113</v>
      </c>
      <c r="B1093" s="7" t="str">
        <f>VLOOKUP($A1093,[1]!Customer_Names[#Data],3,0)</f>
        <v xml:space="preserve">  William G</v>
      </c>
      <c r="C1093" s="7">
        <v>28.98</v>
      </c>
      <c r="D1093" s="7" t="str" cm="1">
        <f t="array" ref="D1093">_xlfn.IFS(Healthcare!$C1093&lt;18.5,"under weight",Healthcare!$C1093&lt;=24.9,"Normal Weight",Healthcare!$C1093&gt;=25,"overweight",Healthcare!$C1093&gt;=30,"obese")</f>
        <v>overweight</v>
      </c>
      <c r="E1093" s="7">
        <v>8.68</v>
      </c>
      <c r="F1093" s="7" t="str" cm="1">
        <f t="array" ref="F1093">_xlfn.IFS(Healthcare!$E1093&lt;5.7,"normal",Healthcare!$E1093&lt;=6.4,"prediabetes",Healthcare!$E1093&gt;=6.5,"diabetes")</f>
        <v>diabetes</v>
      </c>
      <c r="G1093" s="7" t="s">
        <v>19</v>
      </c>
      <c r="H1093" s="7" t="s">
        <v>19</v>
      </c>
      <c r="I1093" s="7" t="s">
        <v>19</v>
      </c>
      <c r="J1093" s="7">
        <v>2</v>
      </c>
      <c r="K1093" s="7" t="s">
        <v>19</v>
      </c>
      <c r="L1093" s="7" t="str">
        <f>VLOOKUP(Healthcare!$A1093,hospital_details,2,0)</f>
        <v>8-Aug-1973</v>
      </c>
      <c r="M1093" s="7">
        <f t="shared" ref="M1093:M1156" ca="1" si="6545">VLOOKUP(A1093,hospital_details,3,0)</f>
        <v>53</v>
      </c>
      <c r="N1093" s="7">
        <f t="shared" ref="N1093:N1156" si="6546">VLOOKUP($A1093,hospital_details,4,0)</f>
        <v>0</v>
      </c>
      <c r="O1093" s="8">
        <f t="shared" ref="O1093:O1156" si="6547">VLOOKUP($A1093,hospital_details,5,0)</f>
        <v>10345.93</v>
      </c>
      <c r="P1093" s="7" t="str">
        <f t="shared" ref="P1093:P1156" si="6548">VLOOKUP($A1093,hospital_details,6,0)</f>
        <v>tier - 3</v>
      </c>
      <c r="Q1093" s="7" t="str">
        <f t="shared" ref="Q1093:Q1156" si="6549">VLOOKUP($A1093,hospital_details,7,0)</f>
        <v>tier - 2</v>
      </c>
      <c r="R1093" s="7" t="str">
        <f t="shared" ref="R1093:R1156" si="6550">VLOOKUP($A1093,hospital_details,8,0)</f>
        <v>R1021</v>
      </c>
    </row>
    <row r="1094" spans="1:18" ht="14.4" customHeight="1" x14ac:dyDescent="0.3">
      <c r="A1094" s="5" t="s">
        <v>1114</v>
      </c>
      <c r="B1094" s="5" t="str">
        <f>VLOOKUP($A1094,[1]!Customer_Names[#Data],3,0)</f>
        <v xml:space="preserve">  Paige</v>
      </c>
      <c r="C1094" s="5">
        <v>31.24</v>
      </c>
      <c r="D1094" s="5" t="str" cm="1">
        <f t="array" ref="D1094">_xlfn.IFS(Healthcare!$C1094&lt;18.5,"under weight",Healthcare!$C1094&lt;=24.9,"Normal Weight",Healthcare!$C1094&gt;=25,"overweight",Healthcare!$C1094&gt;=30,"obese")</f>
        <v>overweight</v>
      </c>
      <c r="E1094" s="5">
        <v>9.8000000000000007</v>
      </c>
      <c r="F1094" s="5" t="str" cm="1">
        <f t="array" ref="F1094">_xlfn.IFS(Healthcare!$E1094&lt;5.7,"normal",Healthcare!$E1094&lt;=6.4,"prediabetes",Healthcare!$E1094&gt;=6.5,"diabetes")</f>
        <v>diabetes</v>
      </c>
      <c r="G1094" s="5" t="s">
        <v>19</v>
      </c>
      <c r="H1094" s="5" t="s">
        <v>19</v>
      </c>
      <c r="I1094" s="5" t="s">
        <v>19</v>
      </c>
      <c r="J1094" s="5">
        <v>0</v>
      </c>
      <c r="K1094" s="5" t="s">
        <v>19</v>
      </c>
      <c r="L1094" s="5" t="str">
        <f>VLOOKUP(Healthcare!$A1094,hospital_details,2,0)</f>
        <v>19-Jul-1968</v>
      </c>
      <c r="M1094" s="5">
        <f t="shared" ref="M1094:M1157" ca="1" si="6551">VLOOKUP(A1094,hospital_details,3,0)</f>
        <v>58</v>
      </c>
      <c r="N1094" s="5">
        <f t="shared" ref="N1094:N1157" si="6552">VLOOKUP($A1094,hospital_details,4,0)</f>
        <v>0</v>
      </c>
      <c r="O1094" s="6">
        <f t="shared" ref="O1094:O1157" si="6553">VLOOKUP($A1094,hospital_details,5,0)</f>
        <v>10338.93</v>
      </c>
      <c r="P1094" s="5" t="str">
        <f t="shared" ref="P1094:P1157" si="6554">VLOOKUP($A1094,hospital_details,6,0)</f>
        <v>tier - 3</v>
      </c>
      <c r="Q1094" s="5" t="str">
        <f t="shared" ref="Q1094:Q1157" si="6555">VLOOKUP($A1094,hospital_details,7,0)</f>
        <v>tier - 1</v>
      </c>
      <c r="R1094" s="5" t="str">
        <f t="shared" ref="R1094:R1157" si="6556">VLOOKUP($A1094,hospital_details,8,0)</f>
        <v>R1013</v>
      </c>
    </row>
    <row r="1095" spans="1:18" ht="14.4" customHeight="1" x14ac:dyDescent="0.3">
      <c r="A1095" s="7" t="s">
        <v>1115</v>
      </c>
      <c r="B1095" s="7" t="str">
        <f>VLOOKUP($A1095,[1]!Customer_Names[#Data],3,0)</f>
        <v xml:space="preserve">  Matthew J</v>
      </c>
      <c r="C1095" s="7">
        <v>31.54</v>
      </c>
      <c r="D1095" s="7" t="str" cm="1">
        <f t="array" ref="D1095">_xlfn.IFS(Healthcare!$C1095&lt;18.5,"under weight",Healthcare!$C1095&lt;=24.9,"Normal Weight",Healthcare!$C1095&gt;=25,"overweight",Healthcare!$C1095&gt;=30,"obese")</f>
        <v>overweight</v>
      </c>
      <c r="E1095" s="7">
        <v>4.4400000000000004</v>
      </c>
      <c r="F1095" s="7" t="str" cm="1">
        <f t="array" ref="F1095">_xlfn.IFS(Healthcare!$E1095&lt;5.7,"normal",Healthcare!$E1095&lt;=6.4,"prediabetes",Healthcare!$E1095&gt;=6.5,"diabetes")</f>
        <v>normal</v>
      </c>
      <c r="G1095" s="7" t="s">
        <v>19</v>
      </c>
      <c r="H1095" s="7" t="s">
        <v>19</v>
      </c>
      <c r="I1095" s="7" t="s">
        <v>19</v>
      </c>
      <c r="J1095" s="7">
        <v>0</v>
      </c>
      <c r="K1095" s="7" t="s">
        <v>19</v>
      </c>
      <c r="L1095" s="7" t="str">
        <f>VLOOKUP(Healthcare!$A1095,hospital_details,2,0)</f>
        <v>21-Jul-1982</v>
      </c>
      <c r="M1095" s="7">
        <f t="shared" ref="M1095:M1158" ca="1" si="6557">VLOOKUP(A1095,hospital_details,3,0)</f>
        <v>44</v>
      </c>
      <c r="N1095" s="7">
        <f t="shared" ref="N1095:N1158" si="6558">VLOOKUP($A1095,hospital_details,4,0)</f>
        <v>3</v>
      </c>
      <c r="O1095" s="8">
        <f t="shared" ref="O1095:O1158" si="6559">VLOOKUP($A1095,hospital_details,5,0)</f>
        <v>10329.06</v>
      </c>
      <c r="P1095" s="7" t="str">
        <f t="shared" ref="P1095:P1158" si="6560">VLOOKUP($A1095,hospital_details,6,0)</f>
        <v>tier - 3</v>
      </c>
      <c r="Q1095" s="7" t="str">
        <f t="shared" ref="Q1095:Q1158" si="6561">VLOOKUP($A1095,hospital_details,7,0)</f>
        <v>tier - 1</v>
      </c>
      <c r="R1095" s="7" t="str">
        <f t="shared" ref="R1095:R1158" si="6562">VLOOKUP($A1095,hospital_details,8,0)</f>
        <v>R1021</v>
      </c>
    </row>
    <row r="1096" spans="1:18" ht="14.4" customHeight="1" x14ac:dyDescent="0.3">
      <c r="A1096" s="5" t="s">
        <v>1116</v>
      </c>
      <c r="B1096" s="5" t="str">
        <f>VLOOKUP($A1096,[1]!Customer_Names[#Data],3,0)</f>
        <v xml:space="preserve">  Matthew</v>
      </c>
      <c r="C1096" s="5">
        <v>38.6</v>
      </c>
      <c r="D1096" s="5" t="str" cm="1">
        <f t="array" ref="D1096">_xlfn.IFS(Healthcare!$C1096&lt;18.5,"under weight",Healthcare!$C1096&lt;=24.9,"Normal Weight",Healthcare!$C1096&gt;=25,"overweight",Healthcare!$C1096&gt;=30,"obese")</f>
        <v>overweight</v>
      </c>
      <c r="E1096" s="5">
        <v>7.19</v>
      </c>
      <c r="F1096" s="5" t="str" cm="1">
        <f t="array" ref="F1096">_xlfn.IFS(Healthcare!$E1096&lt;5.7,"normal",Healthcare!$E1096&lt;=6.4,"prediabetes",Healthcare!$E1096&gt;=6.5,"diabetes")</f>
        <v>diabetes</v>
      </c>
      <c r="G1096" s="5" t="s">
        <v>20</v>
      </c>
      <c r="H1096" s="5" t="s">
        <v>19</v>
      </c>
      <c r="I1096" s="5" t="s">
        <v>19</v>
      </c>
      <c r="J1096" s="5">
        <v>2</v>
      </c>
      <c r="K1096" s="5" t="s">
        <v>19</v>
      </c>
      <c r="L1096" s="5" t="str">
        <f>VLOOKUP(Healthcare!$A1096,hospital_details,2,0)</f>
        <v>1-Dec-1970</v>
      </c>
      <c r="M1096" s="5">
        <f t="shared" ref="M1096:M1159" ca="1" si="6563">VLOOKUP(A1096,hospital_details,3,0)</f>
        <v>55</v>
      </c>
      <c r="N1096" s="5">
        <f t="shared" ref="N1096:N1159" si="6564">VLOOKUP($A1096,hospital_details,4,0)</f>
        <v>2</v>
      </c>
      <c r="O1096" s="6">
        <f t="shared" ref="O1096:O1159" si="6565">VLOOKUP($A1096,hospital_details,5,0)</f>
        <v>10325.209999999999</v>
      </c>
      <c r="P1096" s="5" t="str">
        <f t="shared" ref="P1096:P1159" si="6566">VLOOKUP($A1096,hospital_details,6,0)</f>
        <v>tier - 3</v>
      </c>
      <c r="Q1096" s="5" t="str">
        <f t="shared" ref="Q1096:Q1159" si="6567">VLOOKUP($A1096,hospital_details,7,0)</f>
        <v>tier - 3</v>
      </c>
      <c r="R1096" s="5" t="str">
        <f t="shared" ref="R1096:R1159" si="6568">VLOOKUP($A1096,hospital_details,8,0)</f>
        <v>R1011</v>
      </c>
    </row>
    <row r="1097" spans="1:18" ht="14.4" customHeight="1" x14ac:dyDescent="0.3">
      <c r="A1097" s="7" t="s">
        <v>1117</v>
      </c>
      <c r="B1097" s="7" t="str">
        <f>VLOOKUP($A1097,[1]!Customer_Names[#Data],3,0)</f>
        <v xml:space="preserve">  Maria</v>
      </c>
      <c r="C1097" s="7">
        <v>37.950000000000003</v>
      </c>
      <c r="D1097" s="7" t="str" cm="1">
        <f t="array" ref="D1097">_xlfn.IFS(Healthcare!$C1097&lt;18.5,"under weight",Healthcare!$C1097&lt;=24.9,"Normal Weight",Healthcare!$C1097&gt;=25,"overweight",Healthcare!$C1097&gt;=30,"obese")</f>
        <v>overweight</v>
      </c>
      <c r="E1097" s="7">
        <v>6.06</v>
      </c>
      <c r="F1097" s="7" t="str" cm="1">
        <f t="array" ref="F1097">_xlfn.IFS(Healthcare!$E1097&lt;5.7,"normal",Healthcare!$E1097&lt;=6.4,"prediabetes",Healthcare!$E1097&gt;=6.5,"diabetes")</f>
        <v>prediabetes</v>
      </c>
      <c r="G1097" s="7" t="s">
        <v>19</v>
      </c>
      <c r="H1097" s="7" t="s">
        <v>19</v>
      </c>
      <c r="I1097" s="7" t="s">
        <v>19</v>
      </c>
      <c r="J1097" s="7">
        <v>0</v>
      </c>
      <c r="K1097" s="7" t="s">
        <v>19</v>
      </c>
      <c r="L1097" s="7" t="str">
        <f>VLOOKUP(Healthcare!$A1097,hospital_details,2,0)</f>
        <v>21-Aug-1991</v>
      </c>
      <c r="M1097" s="7">
        <f t="shared" ref="M1097:M1160" ca="1" si="6569">VLOOKUP(A1097,hospital_details,3,0)</f>
        <v>35</v>
      </c>
      <c r="N1097" s="7">
        <f t="shared" ref="N1097:N1160" si="6570">VLOOKUP($A1097,hospital_details,4,0)</f>
        <v>3</v>
      </c>
      <c r="O1097" s="8">
        <f t="shared" ref="O1097:O1160" si="6571">VLOOKUP($A1097,hospital_details,5,0)</f>
        <v>10322.9</v>
      </c>
      <c r="P1097" s="7" t="str">
        <f t="shared" ref="P1097:P1160" si="6572">VLOOKUP($A1097,hospital_details,6,0)</f>
        <v>tier - 3</v>
      </c>
      <c r="Q1097" s="7" t="str">
        <f t="shared" ref="Q1097:Q1160" si="6573">VLOOKUP($A1097,hospital_details,7,0)</f>
        <v>tier - 1</v>
      </c>
      <c r="R1097" s="7" t="str">
        <f t="shared" ref="R1097:R1160" si="6574">VLOOKUP($A1097,hospital_details,8,0)</f>
        <v>R1026</v>
      </c>
    </row>
    <row r="1098" spans="1:18" ht="14.4" customHeight="1" x14ac:dyDescent="0.3">
      <c r="A1098" s="5" t="s">
        <v>1118</v>
      </c>
      <c r="B1098" s="5" t="str">
        <f>VLOOKUP($A1098,[1]!Customer_Names[#Data],3,0)</f>
        <v xml:space="preserve">  Stephanie D</v>
      </c>
      <c r="C1098" s="5">
        <v>38.97</v>
      </c>
      <c r="D1098" s="5" t="str" cm="1">
        <f t="array" ref="D1098">_xlfn.IFS(Healthcare!$C1098&lt;18.5,"under weight",Healthcare!$C1098&lt;=24.9,"Normal Weight",Healthcare!$C1098&gt;=25,"overweight",Healthcare!$C1098&gt;=30,"obese")</f>
        <v>overweight</v>
      </c>
      <c r="E1098" s="5">
        <v>5.12</v>
      </c>
      <c r="F1098" s="5" t="str" cm="1">
        <f t="array" ref="F1098">_xlfn.IFS(Healthcare!$E1098&lt;5.7,"normal",Healthcare!$E1098&lt;=6.4,"prediabetes",Healthcare!$E1098&gt;=6.5,"diabetes")</f>
        <v>normal</v>
      </c>
      <c r="G1098" s="5" t="s">
        <v>19</v>
      </c>
      <c r="H1098" s="5" t="s">
        <v>19</v>
      </c>
      <c r="I1098" s="5" t="s">
        <v>19</v>
      </c>
      <c r="J1098" s="5">
        <v>0</v>
      </c>
      <c r="K1098" s="5" t="s">
        <v>19</v>
      </c>
      <c r="L1098" s="5" t="str">
        <f>VLOOKUP(Healthcare!$A1098,hospital_details,2,0)</f>
        <v>17-Nov-1991</v>
      </c>
      <c r="M1098" s="5">
        <f t="shared" ref="M1098:M1161" ca="1" si="6575">VLOOKUP(A1098,hospital_details,3,0)</f>
        <v>34</v>
      </c>
      <c r="N1098" s="5">
        <f t="shared" ref="N1098:N1161" si="6576">VLOOKUP($A1098,hospital_details,4,0)</f>
        <v>3</v>
      </c>
      <c r="O1098" s="6">
        <f t="shared" ref="O1098:O1161" si="6577">VLOOKUP($A1098,hospital_details,5,0)</f>
        <v>10315.91</v>
      </c>
      <c r="P1098" s="5" t="str">
        <f t="shared" ref="P1098:P1161" si="6578">VLOOKUP($A1098,hospital_details,6,0)</f>
        <v>tier - 3</v>
      </c>
      <c r="Q1098" s="5" t="str">
        <f t="shared" ref="Q1098:Q1161" si="6579">VLOOKUP($A1098,hospital_details,7,0)</f>
        <v>tier - 2</v>
      </c>
      <c r="R1098" s="5" t="str">
        <f t="shared" ref="R1098:R1161" si="6580">VLOOKUP($A1098,hospital_details,8,0)</f>
        <v>R1012</v>
      </c>
    </row>
    <row r="1099" spans="1:18" ht="14.4" customHeight="1" x14ac:dyDescent="0.3">
      <c r="A1099" s="7" t="s">
        <v>1119</v>
      </c>
      <c r="B1099" s="7" t="str">
        <f>VLOOKUP($A1099,[1]!Customer_Names[#Data],3,0)</f>
        <v xml:space="preserve">  Tiffany</v>
      </c>
      <c r="C1099" s="7">
        <v>21.2</v>
      </c>
      <c r="D1099" s="7" t="str" cm="1">
        <f t="array" ref="D1099">_xlfn.IFS(Healthcare!$C1099&lt;18.5,"under weight",Healthcare!$C1099&lt;=24.9,"Normal Weight",Healthcare!$C1099&gt;=25,"overweight",Healthcare!$C1099&gt;=30,"obese")</f>
        <v>Normal Weight</v>
      </c>
      <c r="E1099" s="7">
        <v>10.72</v>
      </c>
      <c r="F1099" s="7" t="str" cm="1">
        <f t="array" ref="F1099">_xlfn.IFS(Healthcare!$E1099&lt;5.7,"normal",Healthcare!$E1099&lt;=6.4,"prediabetes",Healthcare!$E1099&gt;=6.5,"diabetes")</f>
        <v>diabetes</v>
      </c>
      <c r="G1099" s="7" t="s">
        <v>19</v>
      </c>
      <c r="H1099" s="7" t="s">
        <v>19</v>
      </c>
      <c r="I1099" s="7" t="s">
        <v>19</v>
      </c>
      <c r="J1099" s="7">
        <v>0</v>
      </c>
      <c r="K1099" s="7" t="s">
        <v>19</v>
      </c>
      <c r="L1099" s="7" t="str">
        <f>VLOOKUP(Healthcare!$A1099,hospital_details,2,0)</f>
        <v>12-Jul-1962</v>
      </c>
      <c r="M1099" s="7">
        <f t="shared" ref="M1099:M1162" ca="1" si="6581">VLOOKUP(A1099,hospital_details,3,0)</f>
        <v>64</v>
      </c>
      <c r="N1099" s="7">
        <f t="shared" ref="N1099:N1162" si="6582">VLOOKUP($A1099,hospital_details,4,0)</f>
        <v>0</v>
      </c>
      <c r="O1099" s="8">
        <f t="shared" ref="O1099:O1162" si="6583">VLOOKUP($A1099,hospital_details,5,0)</f>
        <v>10310.780000000001</v>
      </c>
      <c r="P1099" s="7" t="str">
        <f t="shared" ref="P1099:P1162" si="6584">VLOOKUP($A1099,hospital_details,6,0)</f>
        <v>tier - 3</v>
      </c>
      <c r="Q1099" s="7" t="str">
        <f t="shared" ref="Q1099:Q1162" si="6585">VLOOKUP($A1099,hospital_details,7,0)</f>
        <v>tier - 3</v>
      </c>
      <c r="R1099" s="7" t="str">
        <f t="shared" ref="R1099:R1162" si="6586">VLOOKUP($A1099,hospital_details,8,0)</f>
        <v>R1012</v>
      </c>
    </row>
    <row r="1100" spans="1:18" ht="14.4" customHeight="1" x14ac:dyDescent="0.3">
      <c r="A1100" s="5" t="s">
        <v>1120</v>
      </c>
      <c r="B1100" s="5" t="str">
        <f>VLOOKUP($A1100,[1]!Customer_Names[#Data],3,0)</f>
        <v xml:space="preserve">  Sara M</v>
      </c>
      <c r="C1100" s="5">
        <v>23.96</v>
      </c>
      <c r="D1100" s="5" t="str" cm="1">
        <f t="array" ref="D1100">_xlfn.IFS(Healthcare!$C1100&lt;18.5,"under weight",Healthcare!$C1100&lt;=24.9,"Normal Weight",Healthcare!$C1100&gt;=25,"overweight",Healthcare!$C1100&gt;=30,"obese")</f>
        <v>Normal Weight</v>
      </c>
      <c r="E1100" s="5">
        <v>9.58</v>
      </c>
      <c r="F1100" s="5" t="str" cm="1">
        <f t="array" ref="F1100">_xlfn.IFS(Healthcare!$E1100&lt;5.7,"normal",Healthcare!$E1100&lt;=6.4,"prediabetes",Healthcare!$E1100&gt;=6.5,"diabetes")</f>
        <v>diabetes</v>
      </c>
      <c r="G1100" s="5" t="s">
        <v>20</v>
      </c>
      <c r="H1100" s="5" t="s">
        <v>19</v>
      </c>
      <c r="I1100" s="5" t="s">
        <v>29</v>
      </c>
      <c r="J1100" s="5">
        <v>1</v>
      </c>
      <c r="K1100" s="5" t="s">
        <v>19</v>
      </c>
      <c r="L1100" s="5" t="str">
        <f>VLOOKUP(Healthcare!$A1100,hospital_details,2,0)</f>
        <v>24-Sep-1963</v>
      </c>
      <c r="M1100" s="5">
        <f t="shared" ref="M1100:M1163" ca="1" si="6587">VLOOKUP(A1100,hospital_details,3,0)</f>
        <v>63</v>
      </c>
      <c r="N1100" s="5">
        <f t="shared" ref="N1100:N1163" si="6588">VLOOKUP($A1100,hospital_details,4,0)</f>
        <v>0</v>
      </c>
      <c r="O1100" s="6">
        <f t="shared" ref="O1100:O1163" si="6589">VLOOKUP($A1100,hospital_details,5,0)</f>
        <v>10308.040000000001</v>
      </c>
      <c r="P1100" s="5" t="str">
        <f t="shared" ref="P1100:P1163" si="6590">VLOOKUP($A1100,hospital_details,6,0)</f>
        <v>tier - 3</v>
      </c>
      <c r="Q1100" s="5" t="str">
        <f t="shared" ref="Q1100:Q1163" si="6591">VLOOKUP($A1100,hospital_details,7,0)</f>
        <v>tier - 1</v>
      </c>
      <c r="R1100" s="5" t="str">
        <f t="shared" ref="R1100:R1163" si="6592">VLOOKUP($A1100,hospital_details,8,0)</f>
        <v>R1013</v>
      </c>
    </row>
    <row r="1101" spans="1:18" ht="14.4" customHeight="1" x14ac:dyDescent="0.3">
      <c r="A1101" s="7" t="s">
        <v>1121</v>
      </c>
      <c r="B1101" s="7" t="str">
        <f>VLOOKUP($A1101,[1]!Customer_Names[#Data],3,0)</f>
        <v xml:space="preserve">  Scott A</v>
      </c>
      <c r="C1101" s="7">
        <v>35.93</v>
      </c>
      <c r="D1101" s="7" t="str" cm="1">
        <f t="array" ref="D1101">_xlfn.IFS(Healthcare!$C1101&lt;18.5,"under weight",Healthcare!$C1101&lt;=24.9,"Normal Weight",Healthcare!$C1101&gt;=25,"overweight",Healthcare!$C1101&gt;=30,"obese")</f>
        <v>overweight</v>
      </c>
      <c r="E1101" s="7">
        <v>6.4</v>
      </c>
      <c r="F1101" s="7" t="str" cm="1">
        <f t="array" ref="F1101">_xlfn.IFS(Healthcare!$E1101&lt;5.7,"normal",Healthcare!$E1101&lt;=6.4,"prediabetes",Healthcare!$E1101&gt;=6.5,"diabetes")</f>
        <v>prediabetes</v>
      </c>
      <c r="G1101" s="7" t="s">
        <v>20</v>
      </c>
      <c r="H1101" s="7" t="s">
        <v>19</v>
      </c>
      <c r="I1101" s="7" t="s">
        <v>19</v>
      </c>
      <c r="J1101" s="7">
        <v>1</v>
      </c>
      <c r="K1101" s="7" t="s">
        <v>19</v>
      </c>
      <c r="L1101" s="7" t="str">
        <f>VLOOKUP(Healthcare!$A1101,hospital_details,2,0)</f>
        <v>14-Sep-1988</v>
      </c>
      <c r="M1101" s="7">
        <f t="shared" ref="M1101:M1164" ca="1" si="6593">VLOOKUP(A1101,hospital_details,3,0)</f>
        <v>38</v>
      </c>
      <c r="N1101" s="7">
        <f t="shared" ref="N1101:N1164" si="6594">VLOOKUP($A1101,hospital_details,4,0)</f>
        <v>3</v>
      </c>
      <c r="O1101" s="8">
        <f t="shared" ref="O1101:O1164" si="6595">VLOOKUP($A1101,hospital_details,5,0)</f>
        <v>10276.99</v>
      </c>
      <c r="P1101" s="7" t="str">
        <f t="shared" ref="P1101:P1164" si="6596">VLOOKUP($A1101,hospital_details,6,0)</f>
        <v>tier - 3</v>
      </c>
      <c r="Q1101" s="7" t="str">
        <f t="shared" ref="Q1101:Q1164" si="6597">VLOOKUP($A1101,hospital_details,7,0)</f>
        <v>tier - 1</v>
      </c>
      <c r="R1101" s="7" t="str">
        <f t="shared" ref="R1101:R1164" si="6598">VLOOKUP($A1101,hospital_details,8,0)</f>
        <v>R1021</v>
      </c>
    </row>
    <row r="1102" spans="1:18" ht="14.4" customHeight="1" x14ac:dyDescent="0.3">
      <c r="A1102" s="5" t="s">
        <v>1122</v>
      </c>
      <c r="B1102" s="5" t="str">
        <f>VLOOKUP($A1102,[1]!Customer_Names[#Data],3,0)</f>
        <v xml:space="preserve">  Lauren</v>
      </c>
      <c r="C1102" s="5">
        <v>26.11</v>
      </c>
      <c r="D1102" s="5" t="str" cm="1">
        <f t="array" ref="D1102">_xlfn.IFS(Healthcare!$C1102&lt;18.5,"under weight",Healthcare!$C1102&lt;=24.9,"Normal Weight",Healthcare!$C1102&gt;=25,"overweight",Healthcare!$C1102&gt;=30,"obese")</f>
        <v>overweight</v>
      </c>
      <c r="E1102" s="5">
        <v>6.8</v>
      </c>
      <c r="F1102" s="5" t="str" cm="1">
        <f t="array" ref="F1102">_xlfn.IFS(Healthcare!$E1102&lt;5.7,"normal",Healthcare!$E1102&lt;=6.4,"prediabetes",Healthcare!$E1102&gt;=6.5,"diabetes")</f>
        <v>diabetes</v>
      </c>
      <c r="G1102" s="5" t="s">
        <v>20</v>
      </c>
      <c r="H1102" s="5" t="s">
        <v>19</v>
      </c>
      <c r="I1102" s="5" t="s">
        <v>19</v>
      </c>
      <c r="J1102" s="5">
        <v>2</v>
      </c>
      <c r="K1102" s="5" t="s">
        <v>19</v>
      </c>
      <c r="L1102" s="5" t="str">
        <f>VLOOKUP(Healthcare!$A1102,hospital_details,2,0)</f>
        <v>21-Jun-1970</v>
      </c>
      <c r="M1102" s="5">
        <f t="shared" ref="M1102:M1165" ca="1" si="6599">VLOOKUP(A1102,hospital_details,3,0)</f>
        <v>56</v>
      </c>
      <c r="N1102" s="5">
        <f t="shared" ref="N1102:N1165" si="6600">VLOOKUP($A1102,hospital_details,4,0)</f>
        <v>0</v>
      </c>
      <c r="O1102" s="6">
        <f t="shared" ref="O1102:O1165" si="6601">VLOOKUP($A1102,hospital_details,5,0)</f>
        <v>10274.33</v>
      </c>
      <c r="P1102" s="5" t="str">
        <f t="shared" ref="P1102:P1165" si="6602">VLOOKUP($A1102,hospital_details,6,0)</f>
        <v>tier - 3</v>
      </c>
      <c r="Q1102" s="5" t="str">
        <f t="shared" ref="Q1102:Q1165" si="6603">VLOOKUP($A1102,hospital_details,7,0)</f>
        <v>tier - 1</v>
      </c>
      <c r="R1102" s="5" t="str">
        <f t="shared" ref="R1102:R1165" si="6604">VLOOKUP($A1102,hospital_details,8,0)</f>
        <v>R1024</v>
      </c>
    </row>
    <row r="1103" spans="1:18" ht="14.4" customHeight="1" x14ac:dyDescent="0.3">
      <c r="A1103" s="7" t="s">
        <v>1123</v>
      </c>
      <c r="B1103" s="7" t="str">
        <f>VLOOKUP($A1103,[1]!Customer_Names[#Data],3,0)</f>
        <v xml:space="preserve">  Scott</v>
      </c>
      <c r="C1103" s="7">
        <v>32.299999999999997</v>
      </c>
      <c r="D1103" s="7" t="str" cm="1">
        <f t="array" ref="D1103">_xlfn.IFS(Healthcare!$C1103&lt;18.5,"under weight",Healthcare!$C1103&lt;=24.9,"Normal Weight",Healthcare!$C1103&gt;=25,"overweight",Healthcare!$C1103&gt;=30,"obese")</f>
        <v>overweight</v>
      </c>
      <c r="E1103" s="7">
        <v>9.48</v>
      </c>
      <c r="F1103" s="7" t="str" cm="1">
        <f t="array" ref="F1103">_xlfn.IFS(Healthcare!$E1103&lt;5.7,"normal",Healthcare!$E1103&lt;=6.4,"prediabetes",Healthcare!$E1103&gt;=6.5,"diabetes")</f>
        <v>diabetes</v>
      </c>
      <c r="G1103" s="7" t="s">
        <v>19</v>
      </c>
      <c r="H1103" s="7" t="s">
        <v>19</v>
      </c>
      <c r="I1103" s="7" t="s">
        <v>19</v>
      </c>
      <c r="J1103" s="7">
        <v>2</v>
      </c>
      <c r="K1103" s="7" t="s">
        <v>19</v>
      </c>
      <c r="L1103" s="7" t="str">
        <f>VLOOKUP(Healthcare!$A1103,hospital_details,2,0)</f>
        <v>27-Nov-1973</v>
      </c>
      <c r="M1103" s="7">
        <f t="shared" ref="M1103:M1166" ca="1" si="6605">VLOOKUP(A1103,hospital_details,3,0)</f>
        <v>52</v>
      </c>
      <c r="N1103" s="7">
        <f t="shared" ref="N1103:N1166" si="6606">VLOOKUP($A1103,hospital_details,4,0)</f>
        <v>3</v>
      </c>
      <c r="O1103" s="8">
        <f t="shared" ref="O1103:O1166" si="6607">VLOOKUP($A1103,hospital_details,5,0)</f>
        <v>10269.459999999999</v>
      </c>
      <c r="P1103" s="7" t="str">
        <f t="shared" ref="P1103:P1166" si="6608">VLOOKUP($A1103,hospital_details,6,0)</f>
        <v>tier - 3</v>
      </c>
      <c r="Q1103" s="7" t="str">
        <f t="shared" ref="Q1103:Q1166" si="6609">VLOOKUP($A1103,hospital_details,7,0)</f>
        <v>tier - 3</v>
      </c>
      <c r="R1103" s="7" t="str">
        <f t="shared" ref="R1103:R1166" si="6610">VLOOKUP($A1103,hospital_details,8,0)</f>
        <v>R1012</v>
      </c>
    </row>
    <row r="1104" spans="1:18" ht="14.4" customHeight="1" x14ac:dyDescent="0.3">
      <c r="A1104" s="5" t="s">
        <v>1124</v>
      </c>
      <c r="B1104" s="5" t="str">
        <f>VLOOKUP($A1104,[1]!Customer_Names[#Data],3,0)</f>
        <v xml:space="preserve">  Brian A</v>
      </c>
      <c r="C1104" s="5">
        <v>28.69</v>
      </c>
      <c r="D1104" s="5" t="str" cm="1">
        <f t="array" ref="D1104">_xlfn.IFS(Healthcare!$C1104&lt;18.5,"under weight",Healthcare!$C1104&lt;=24.9,"Normal Weight",Healthcare!$C1104&gt;=25,"overweight",Healthcare!$C1104&gt;=30,"obese")</f>
        <v>overweight</v>
      </c>
      <c r="E1104" s="5">
        <v>7.45</v>
      </c>
      <c r="F1104" s="5" t="str" cm="1">
        <f t="array" ref="F1104">_xlfn.IFS(Healthcare!$E1104&lt;5.7,"normal",Healthcare!$E1104&lt;=6.4,"prediabetes",Healthcare!$E1104&gt;=6.5,"diabetes")</f>
        <v>diabetes</v>
      </c>
      <c r="G1104" s="5" t="s">
        <v>19</v>
      </c>
      <c r="H1104" s="5" t="s">
        <v>19</v>
      </c>
      <c r="I1104" s="5" t="s">
        <v>19</v>
      </c>
      <c r="J1104" s="5">
        <v>2</v>
      </c>
      <c r="K1104" s="5" t="s">
        <v>19</v>
      </c>
      <c r="L1104" s="5" t="str">
        <f>VLOOKUP(Healthcare!$A1104,hospital_details,2,0)</f>
        <v>5-Sep-1973</v>
      </c>
      <c r="M1104" s="5">
        <f t="shared" ref="M1104:M1167" ca="1" si="6611">VLOOKUP(A1104,hospital_details,3,0)</f>
        <v>53</v>
      </c>
      <c r="N1104" s="5">
        <f t="shared" ref="N1104:N1167" si="6612">VLOOKUP($A1104,hospital_details,4,0)</f>
        <v>3</v>
      </c>
      <c r="O1104" s="6">
        <f t="shared" ref="O1104:O1167" si="6613">VLOOKUP($A1104,hospital_details,5,0)</f>
        <v>10264.44</v>
      </c>
      <c r="P1104" s="5" t="str">
        <f t="shared" ref="P1104:P1167" si="6614">VLOOKUP($A1104,hospital_details,6,0)</f>
        <v>tier - 3</v>
      </c>
      <c r="Q1104" s="5" t="str">
        <f t="shared" ref="Q1104:Q1167" si="6615">VLOOKUP($A1104,hospital_details,7,0)</f>
        <v>tier - 2</v>
      </c>
      <c r="R1104" s="5" t="str">
        <f t="shared" ref="R1104:R1167" si="6616">VLOOKUP($A1104,hospital_details,8,0)</f>
        <v>R1012</v>
      </c>
    </row>
    <row r="1105" spans="1:18" ht="14.4" customHeight="1" x14ac:dyDescent="0.3">
      <c r="A1105" s="7" t="s">
        <v>1125</v>
      </c>
      <c r="B1105" s="7" t="str">
        <f>VLOOKUP($A1105,[1]!Customer_Names[#Data],3,0)</f>
        <v xml:space="preserve">  Kaitlin R</v>
      </c>
      <c r="C1105" s="7">
        <v>31.28</v>
      </c>
      <c r="D1105" s="7" t="str" cm="1">
        <f t="array" ref="D1105">_xlfn.IFS(Healthcare!$C1105&lt;18.5,"under weight",Healthcare!$C1105&lt;=24.9,"Normal Weight",Healthcare!$C1105&gt;=25,"overweight",Healthcare!$C1105&gt;=30,"obese")</f>
        <v>overweight</v>
      </c>
      <c r="E1105" s="7">
        <v>6.94</v>
      </c>
      <c r="F1105" s="7" t="str" cm="1">
        <f t="array" ref="F1105">_xlfn.IFS(Healthcare!$E1105&lt;5.7,"normal",Healthcare!$E1105&lt;=6.4,"prediabetes",Healthcare!$E1105&gt;=6.5,"diabetes")</f>
        <v>diabetes</v>
      </c>
      <c r="G1105" s="7" t="s">
        <v>20</v>
      </c>
      <c r="H1105" s="7" t="s">
        <v>19</v>
      </c>
      <c r="I1105" s="7" t="s">
        <v>19</v>
      </c>
      <c r="J1105" s="7">
        <v>1</v>
      </c>
      <c r="K1105" s="7" t="s">
        <v>19</v>
      </c>
      <c r="L1105" s="7" t="str">
        <f>VLOOKUP(Healthcare!$A1105,hospital_details,2,0)</f>
        <v>15-Aug-1975</v>
      </c>
      <c r="M1105" s="7">
        <f t="shared" ref="M1105:M1168" ca="1" si="6617">VLOOKUP(A1105,hospital_details,3,0)</f>
        <v>51</v>
      </c>
      <c r="N1105" s="7">
        <f t="shared" ref="N1105:N1168" si="6618">VLOOKUP($A1105,hospital_details,4,0)</f>
        <v>1</v>
      </c>
      <c r="O1105" s="8">
        <f t="shared" ref="O1105:O1168" si="6619">VLOOKUP($A1105,hospital_details,5,0)</f>
        <v>10259.129999999999</v>
      </c>
      <c r="P1105" s="7" t="str">
        <f t="shared" ref="P1105:P1168" si="6620">VLOOKUP($A1105,hospital_details,6,0)</f>
        <v>tier - 3</v>
      </c>
      <c r="Q1105" s="7" t="str">
        <f t="shared" ref="Q1105:Q1168" si="6621">VLOOKUP($A1105,hospital_details,7,0)</f>
        <v>tier - 2</v>
      </c>
      <c r="R1105" s="7" t="str">
        <f t="shared" ref="R1105:R1168" si="6622">VLOOKUP($A1105,hospital_details,8,0)</f>
        <v>R1011</v>
      </c>
    </row>
    <row r="1106" spans="1:18" ht="14.4" customHeight="1" x14ac:dyDescent="0.3">
      <c r="A1106" s="5" t="s">
        <v>1126</v>
      </c>
      <c r="B1106" s="5" t="str">
        <f>VLOOKUP($A1106,[1]!Customer_Names[#Data],3,0)</f>
        <v xml:space="preserve">  Mohammad</v>
      </c>
      <c r="C1106" s="5">
        <v>30.21</v>
      </c>
      <c r="D1106" s="5" t="str" cm="1">
        <f t="array" ref="D1106">_xlfn.IFS(Healthcare!$C1106&lt;18.5,"under weight",Healthcare!$C1106&lt;=24.9,"Normal Weight",Healthcare!$C1106&gt;=25,"overweight",Healthcare!$C1106&gt;=30,"obese")</f>
        <v>overweight</v>
      </c>
      <c r="E1106" s="5">
        <v>7.83</v>
      </c>
      <c r="F1106" s="5" t="str" cm="1">
        <f t="array" ref="F1106">_xlfn.IFS(Healthcare!$E1106&lt;5.7,"normal",Healthcare!$E1106&lt;=6.4,"prediabetes",Healthcare!$E1106&gt;=6.5,"diabetes")</f>
        <v>diabetes</v>
      </c>
      <c r="G1106" s="5" t="s">
        <v>19</v>
      </c>
      <c r="H1106" s="5" t="s">
        <v>19</v>
      </c>
      <c r="I1106" s="5" t="s">
        <v>19</v>
      </c>
      <c r="J1106" s="5">
        <v>0</v>
      </c>
      <c r="K1106" s="5" t="s">
        <v>19</v>
      </c>
      <c r="L1106" s="5" t="str">
        <f>VLOOKUP(Healthcare!$A1106,hospital_details,2,0)</f>
        <v>23-Sep-1968</v>
      </c>
      <c r="M1106" s="5">
        <f t="shared" ref="M1106:M1169" ca="1" si="6623">VLOOKUP(A1106,hospital_details,3,0)</f>
        <v>58</v>
      </c>
      <c r="N1106" s="5">
        <f t="shared" ref="N1106:N1169" si="6624">VLOOKUP($A1106,hospital_details,4,0)</f>
        <v>0</v>
      </c>
      <c r="O1106" s="6">
        <f t="shared" ref="O1106:O1169" si="6625">VLOOKUP($A1106,hospital_details,5,0)</f>
        <v>10231.5</v>
      </c>
      <c r="P1106" s="5" t="str">
        <f t="shared" ref="P1106:P1169" si="6626">VLOOKUP($A1106,hospital_details,6,0)</f>
        <v>tier - 3</v>
      </c>
      <c r="Q1106" s="5" t="str">
        <f t="shared" ref="Q1106:Q1169" si="6627">VLOOKUP($A1106,hospital_details,7,0)</f>
        <v>tier - 1</v>
      </c>
      <c r="R1106" s="5" t="str">
        <f t="shared" ref="R1106:R1169" si="6628">VLOOKUP($A1106,hospital_details,8,0)</f>
        <v>R1012</v>
      </c>
    </row>
    <row r="1107" spans="1:18" ht="14.4" customHeight="1" x14ac:dyDescent="0.3">
      <c r="A1107" s="7" t="s">
        <v>1127</v>
      </c>
      <c r="B1107" s="7" t="str">
        <f>VLOOKUP($A1107,[1]!Customer_Names[#Data],3,0)</f>
        <v xml:space="preserve">  Charlie</v>
      </c>
      <c r="C1107" s="7">
        <v>38.28</v>
      </c>
      <c r="D1107" s="7" t="str" cm="1">
        <f t="array" ref="D1107">_xlfn.IFS(Healthcare!$C1107&lt;18.5,"under weight",Healthcare!$C1107&lt;=24.9,"Normal Weight",Healthcare!$C1107&gt;=25,"overweight",Healthcare!$C1107&gt;=30,"obese")</f>
        <v>overweight</v>
      </c>
      <c r="E1107" s="7">
        <v>10.17</v>
      </c>
      <c r="F1107" s="7" t="str" cm="1">
        <f t="array" ref="F1107">_xlfn.IFS(Healthcare!$E1107&lt;5.7,"normal",Healthcare!$E1107&lt;=6.4,"prediabetes",Healthcare!$E1107&gt;=6.5,"diabetes")</f>
        <v>diabetes</v>
      </c>
      <c r="G1107" s="7" t="s">
        <v>20</v>
      </c>
      <c r="H1107" s="7" t="s">
        <v>19</v>
      </c>
      <c r="I1107" s="7" t="s">
        <v>19</v>
      </c>
      <c r="J1107" s="7">
        <v>0</v>
      </c>
      <c r="K1107" s="7" t="s">
        <v>19</v>
      </c>
      <c r="L1107" s="7" t="str">
        <f>VLOOKUP(Healthcare!$A1107,hospital_details,2,0)</f>
        <v>28-Jun-1967</v>
      </c>
      <c r="M1107" s="7">
        <f t="shared" ref="M1107:M1170" ca="1" si="6629">VLOOKUP(A1107,hospital_details,3,0)</f>
        <v>59</v>
      </c>
      <c r="N1107" s="7">
        <f t="shared" ref="N1107:N1170" si="6630">VLOOKUP($A1107,hospital_details,4,0)</f>
        <v>0</v>
      </c>
      <c r="O1107" s="8">
        <f t="shared" ref="O1107:O1170" si="6631">VLOOKUP($A1107,hospital_details,5,0)</f>
        <v>10226.280000000001</v>
      </c>
      <c r="P1107" s="7" t="str">
        <f t="shared" ref="P1107:P1170" si="6632">VLOOKUP($A1107,hospital_details,6,0)</f>
        <v>tier - 3</v>
      </c>
      <c r="Q1107" s="7" t="str">
        <f t="shared" ref="Q1107:Q1170" si="6633">VLOOKUP($A1107,hospital_details,7,0)</f>
        <v>tier - 3</v>
      </c>
      <c r="R1107" s="7" t="str">
        <f t="shared" ref="R1107:R1170" si="6634">VLOOKUP($A1107,hospital_details,8,0)</f>
        <v>R1013</v>
      </c>
    </row>
    <row r="1108" spans="1:18" ht="14.4" customHeight="1" x14ac:dyDescent="0.3">
      <c r="A1108" s="5" t="s">
        <v>1128</v>
      </c>
      <c r="B1108" s="5" t="str">
        <f>VLOOKUP($A1108,[1]!Customer_Names[#Data],3,0)</f>
        <v xml:space="preserve">  Brent</v>
      </c>
      <c r="C1108" s="5">
        <v>29.9</v>
      </c>
      <c r="D1108" s="5" t="str" cm="1">
        <f t="array" ref="D1108">_xlfn.IFS(Healthcare!$C1108&lt;18.5,"under weight",Healthcare!$C1108&lt;=24.9,"Normal Weight",Healthcare!$C1108&gt;=25,"overweight",Healthcare!$C1108&gt;=30,"obese")</f>
        <v>overweight</v>
      </c>
      <c r="E1108" s="5">
        <v>8.9600000000000009</v>
      </c>
      <c r="F1108" s="5" t="str" cm="1">
        <f t="array" ref="F1108">_xlfn.IFS(Healthcare!$E1108&lt;5.7,"normal",Healthcare!$E1108&lt;=6.4,"prediabetes",Healthcare!$E1108&gt;=6.5,"diabetes")</f>
        <v>diabetes</v>
      </c>
      <c r="G1108" s="5" t="s">
        <v>20</v>
      </c>
      <c r="H1108" s="5" t="s">
        <v>19</v>
      </c>
      <c r="I1108" s="5" t="s">
        <v>19</v>
      </c>
      <c r="J1108" s="5">
        <v>0</v>
      </c>
      <c r="K1108" s="5" t="s">
        <v>19</v>
      </c>
      <c r="L1108" s="5" t="str">
        <f>VLOOKUP(Healthcare!$A1108,hospital_details,2,0)</f>
        <v>26-Sep-1967</v>
      </c>
      <c r="M1108" s="5">
        <f t="shared" ref="M1108:M1171" ca="1" si="6635">VLOOKUP(A1108,hospital_details,3,0)</f>
        <v>59</v>
      </c>
      <c r="N1108" s="5">
        <f t="shared" ref="N1108:N1171" si="6636">VLOOKUP($A1108,hospital_details,4,0)</f>
        <v>0</v>
      </c>
      <c r="O1108" s="6">
        <f t="shared" ref="O1108:O1171" si="6637">VLOOKUP($A1108,hospital_details,5,0)</f>
        <v>10214.64</v>
      </c>
      <c r="P1108" s="5" t="str">
        <f t="shared" ref="P1108:P1171" si="6638">VLOOKUP($A1108,hospital_details,6,0)</f>
        <v>tier - 3</v>
      </c>
      <c r="Q1108" s="5" t="str">
        <f t="shared" ref="Q1108:Q1171" si="6639">VLOOKUP($A1108,hospital_details,7,0)</f>
        <v>tier - 2</v>
      </c>
      <c r="R1108" s="5" t="str">
        <f t="shared" ref="R1108:R1171" si="6640">VLOOKUP($A1108,hospital_details,8,0)</f>
        <v>R1011</v>
      </c>
    </row>
    <row r="1109" spans="1:18" ht="14.4" customHeight="1" x14ac:dyDescent="0.3">
      <c r="A1109" s="7" t="s">
        <v>1129</v>
      </c>
      <c r="B1109" s="7" t="str">
        <f>VLOOKUP($A1109,[1]!Customer_Names[#Data],3,0)</f>
        <v xml:space="preserve">  Kelli M</v>
      </c>
      <c r="C1109" s="7">
        <v>23.18</v>
      </c>
      <c r="D1109" s="7" t="str" cm="1">
        <f t="array" ref="D1109">_xlfn.IFS(Healthcare!$C1109&lt;18.5,"under weight",Healthcare!$C1109&lt;=24.9,"Normal Weight",Healthcare!$C1109&gt;=25,"overweight",Healthcare!$C1109&gt;=30,"obese")</f>
        <v>Normal Weight</v>
      </c>
      <c r="E1109" s="7">
        <v>6.96</v>
      </c>
      <c r="F1109" s="7" t="str" cm="1">
        <f t="array" ref="F1109">_xlfn.IFS(Healthcare!$E1109&lt;5.7,"normal",Healthcare!$E1109&lt;=6.4,"prediabetes",Healthcare!$E1109&gt;=6.5,"diabetes")</f>
        <v>diabetes</v>
      </c>
      <c r="G1109" s="7" t="s">
        <v>20</v>
      </c>
      <c r="H1109" s="7" t="s">
        <v>19</v>
      </c>
      <c r="I1109" s="7" t="s">
        <v>19</v>
      </c>
      <c r="J1109" s="7">
        <v>2</v>
      </c>
      <c r="K1109" s="7" t="s">
        <v>19</v>
      </c>
      <c r="L1109" s="7" t="str">
        <f>VLOOKUP(Healthcare!$A1109,hospital_details,2,0)</f>
        <v>24-Dec-1970</v>
      </c>
      <c r="M1109" s="7">
        <f t="shared" ref="M1109:M1172" ca="1" si="6641">VLOOKUP(A1109,hospital_details,3,0)</f>
        <v>55</v>
      </c>
      <c r="N1109" s="7">
        <f t="shared" ref="N1109:N1172" si="6642">VLOOKUP($A1109,hospital_details,4,0)</f>
        <v>0</v>
      </c>
      <c r="O1109" s="8">
        <f t="shared" ref="O1109:O1172" si="6643">VLOOKUP($A1109,hospital_details,5,0)</f>
        <v>10197.77</v>
      </c>
      <c r="P1109" s="7" t="str">
        <f t="shared" ref="P1109:P1172" si="6644">VLOOKUP($A1109,hospital_details,6,0)</f>
        <v>tier - 3</v>
      </c>
      <c r="Q1109" s="7" t="str">
        <f t="shared" ref="Q1109:Q1172" si="6645">VLOOKUP($A1109,hospital_details,7,0)</f>
        <v>tier - 1</v>
      </c>
      <c r="R1109" s="7" t="str">
        <f t="shared" ref="R1109:R1172" si="6646">VLOOKUP($A1109,hospital_details,8,0)</f>
        <v>R1024</v>
      </c>
    </row>
    <row r="1110" spans="1:18" ht="14.4" customHeight="1" x14ac:dyDescent="0.3">
      <c r="A1110" s="5" t="s">
        <v>1130</v>
      </c>
      <c r="B1110" s="5" t="str">
        <f>VLOOKUP($A1110,[1]!Customer_Names[#Data],3,0)</f>
        <v xml:space="preserve">  Sheridan H</v>
      </c>
      <c r="C1110" s="5">
        <v>33.020000000000003</v>
      </c>
      <c r="D1110" s="5" t="str" cm="1">
        <f t="array" ref="D1110">_xlfn.IFS(Healthcare!$C1110&lt;18.5,"under weight",Healthcare!$C1110&lt;=24.9,"Normal Weight",Healthcare!$C1110&gt;=25,"overweight",Healthcare!$C1110&gt;=30,"obese")</f>
        <v>overweight</v>
      </c>
      <c r="E1110" s="5">
        <v>5.07</v>
      </c>
      <c r="F1110" s="5" t="str" cm="1">
        <f t="array" ref="F1110">_xlfn.IFS(Healthcare!$E1110&lt;5.7,"normal",Healthcare!$E1110&lt;=6.4,"prediabetes",Healthcare!$E1110&gt;=6.5,"diabetes")</f>
        <v>normal</v>
      </c>
      <c r="G1110" s="5" t="s">
        <v>20</v>
      </c>
      <c r="H1110" s="5" t="s">
        <v>19</v>
      </c>
      <c r="I1110" s="5" t="s">
        <v>19</v>
      </c>
      <c r="J1110" s="5">
        <v>0</v>
      </c>
      <c r="K1110" s="5" t="s">
        <v>19</v>
      </c>
      <c r="L1110" s="5" t="str">
        <f>VLOOKUP(Healthcare!$A1110,hospital_details,2,0)</f>
        <v>16-Oct-1985</v>
      </c>
      <c r="M1110" s="5">
        <f t="shared" ref="M1110:M1173" ca="1" si="6647">VLOOKUP(A1110,hospital_details,3,0)</f>
        <v>41</v>
      </c>
      <c r="N1110" s="5">
        <f t="shared" ref="N1110:N1173" si="6648">VLOOKUP($A1110,hospital_details,4,0)</f>
        <v>3</v>
      </c>
      <c r="O1110" s="6">
        <f t="shared" ref="O1110:O1173" si="6649">VLOOKUP($A1110,hospital_details,5,0)</f>
        <v>10191.82</v>
      </c>
      <c r="P1110" s="5" t="str">
        <f t="shared" ref="P1110:P1173" si="6650">VLOOKUP($A1110,hospital_details,6,0)</f>
        <v>tier - 3</v>
      </c>
      <c r="Q1110" s="5" t="str">
        <f t="shared" ref="Q1110:Q1173" si="6651">VLOOKUP($A1110,hospital_details,7,0)</f>
        <v>tier - 2</v>
      </c>
      <c r="R1110" s="5" t="str">
        <f t="shared" ref="R1110:R1173" si="6652">VLOOKUP($A1110,hospital_details,8,0)</f>
        <v>R1026</v>
      </c>
    </row>
    <row r="1111" spans="1:18" ht="14.4" customHeight="1" x14ac:dyDescent="0.3">
      <c r="A1111" s="7" t="s">
        <v>1131</v>
      </c>
      <c r="B1111" s="7" t="str">
        <f>VLOOKUP($A1111,[1]!Customer_Names[#Data],3,0)</f>
        <v xml:space="preserve">  Sarah M</v>
      </c>
      <c r="C1111" s="7">
        <v>27.29</v>
      </c>
      <c r="D1111" s="7" t="str" cm="1">
        <f t="array" ref="D1111">_xlfn.IFS(Healthcare!$C1111&lt;18.5,"under weight",Healthcare!$C1111&lt;=24.9,"Normal Weight",Healthcare!$C1111&gt;=25,"overweight",Healthcare!$C1111&gt;=30,"obese")</f>
        <v>overweight</v>
      </c>
      <c r="E1111" s="7">
        <v>5.85</v>
      </c>
      <c r="F1111" s="7" t="str" cm="1">
        <f t="array" ref="F1111">_xlfn.IFS(Healthcare!$E1111&lt;5.7,"normal",Healthcare!$E1111&lt;=6.4,"prediabetes",Healthcare!$E1111&gt;=6.5,"diabetes")</f>
        <v>prediabetes</v>
      </c>
      <c r="G1111" s="7" t="s">
        <v>19</v>
      </c>
      <c r="H1111" s="7" t="s">
        <v>19</v>
      </c>
      <c r="I1111" s="7" t="s">
        <v>19</v>
      </c>
      <c r="J1111" s="7">
        <v>2</v>
      </c>
      <c r="K1111" s="7" t="s">
        <v>19</v>
      </c>
      <c r="L1111" s="7" t="str">
        <f>VLOOKUP(Healthcare!$A1111,hospital_details,2,0)</f>
        <v>10-Jul-1972</v>
      </c>
      <c r="M1111" s="7">
        <f t="shared" ref="M1111:M1174" ca="1" si="6653">VLOOKUP(A1111,hospital_details,3,0)</f>
        <v>54</v>
      </c>
      <c r="N1111" s="7">
        <f t="shared" ref="N1111:N1174" si="6654">VLOOKUP($A1111,hospital_details,4,0)</f>
        <v>0</v>
      </c>
      <c r="O1111" s="8">
        <f t="shared" ref="O1111:O1174" si="6655">VLOOKUP($A1111,hospital_details,5,0)</f>
        <v>10160.870000000001</v>
      </c>
      <c r="P1111" s="7" t="str">
        <f t="shared" ref="P1111:P1174" si="6656">VLOOKUP($A1111,hospital_details,6,0)</f>
        <v>tier - 3</v>
      </c>
      <c r="Q1111" s="7" t="str">
        <f t="shared" ref="Q1111:Q1174" si="6657">VLOOKUP($A1111,hospital_details,7,0)</f>
        <v>tier - 3</v>
      </c>
      <c r="R1111" s="7" t="str">
        <f t="shared" ref="R1111:R1174" si="6658">VLOOKUP($A1111,hospital_details,8,0)</f>
        <v>R1025</v>
      </c>
    </row>
    <row r="1112" spans="1:18" ht="14.4" customHeight="1" x14ac:dyDescent="0.3">
      <c r="A1112" s="5" t="s">
        <v>1132</v>
      </c>
      <c r="B1112" s="5" t="str">
        <f>VLOOKUP($A1112,[1]!Customer_Names[#Data],3,0)</f>
        <v xml:space="preserve">  Jennifer</v>
      </c>
      <c r="C1112" s="5">
        <v>23.18</v>
      </c>
      <c r="D1112" s="5" t="str" cm="1">
        <f t="array" ref="D1112">_xlfn.IFS(Healthcare!$C1112&lt;18.5,"under weight",Healthcare!$C1112&lt;=24.9,"Normal Weight",Healthcare!$C1112&gt;=25,"overweight",Healthcare!$C1112&gt;=30,"obese")</f>
        <v>Normal Weight</v>
      </c>
      <c r="E1112" s="5">
        <v>10.56</v>
      </c>
      <c r="F1112" s="5" t="str" cm="1">
        <f t="array" ref="F1112">_xlfn.IFS(Healthcare!$E1112&lt;5.7,"normal",Healthcare!$E1112&lt;=6.4,"prediabetes",Healthcare!$E1112&gt;=6.5,"diabetes")</f>
        <v>diabetes</v>
      </c>
      <c r="G1112" s="5" t="s">
        <v>19</v>
      </c>
      <c r="H1112" s="5" t="s">
        <v>19</v>
      </c>
      <c r="I1112" s="5" t="s">
        <v>19</v>
      </c>
      <c r="J1112" s="5">
        <v>2</v>
      </c>
      <c r="K1112" s="5" t="s">
        <v>19</v>
      </c>
      <c r="L1112" s="5" t="str">
        <f>VLOOKUP(Healthcare!$A1112,hospital_details,2,0)</f>
        <v>13-Oct-1973</v>
      </c>
      <c r="M1112" s="5">
        <f t="shared" ref="M1112:M1175" ca="1" si="6659">VLOOKUP(A1112,hospital_details,3,0)</f>
        <v>53</v>
      </c>
      <c r="N1112" s="5">
        <f t="shared" ref="N1112:N1175" si="6660">VLOOKUP($A1112,hospital_details,4,0)</f>
        <v>2</v>
      </c>
      <c r="O1112" s="6">
        <f t="shared" ref="O1112:O1175" si="6661">VLOOKUP($A1112,hospital_details,5,0)</f>
        <v>10156.780000000001</v>
      </c>
      <c r="P1112" s="5" t="str">
        <f t="shared" ref="P1112:P1175" si="6662">VLOOKUP($A1112,hospital_details,6,0)</f>
        <v>tier - 3</v>
      </c>
      <c r="Q1112" s="5" t="str">
        <f t="shared" ref="Q1112:Q1175" si="6663">VLOOKUP($A1112,hospital_details,7,0)</f>
        <v>tier - 2</v>
      </c>
      <c r="R1112" s="5" t="str">
        <f t="shared" ref="R1112:R1175" si="6664">VLOOKUP($A1112,hospital_details,8,0)</f>
        <v>R1012</v>
      </c>
    </row>
    <row r="1113" spans="1:18" ht="14.4" customHeight="1" x14ac:dyDescent="0.3">
      <c r="A1113" s="7" t="s">
        <v>1133</v>
      </c>
      <c r="B1113" s="7" t="str">
        <f>VLOOKUP($A1113,[1]!Customer_Names[#Data],3,0)</f>
        <v xml:space="preserve">  Laura J</v>
      </c>
      <c r="C1113" s="7">
        <v>32.659999999999997</v>
      </c>
      <c r="D1113" s="7" t="str" cm="1">
        <f t="array" ref="D1113">_xlfn.IFS(Healthcare!$C1113&lt;18.5,"under weight",Healthcare!$C1113&lt;=24.9,"Normal Weight",Healthcare!$C1113&gt;=25,"overweight",Healthcare!$C1113&gt;=30,"obese")</f>
        <v>overweight</v>
      </c>
      <c r="E1113" s="7">
        <v>8.92</v>
      </c>
      <c r="F1113" s="7" t="str" cm="1">
        <f t="array" ref="F1113">_xlfn.IFS(Healthcare!$E1113&lt;5.7,"normal",Healthcare!$E1113&lt;=6.4,"prediabetes",Healthcare!$E1113&gt;=6.5,"diabetes")</f>
        <v>diabetes</v>
      </c>
      <c r="G1113" s="7" t="s">
        <v>20</v>
      </c>
      <c r="H1113" s="7" t="s">
        <v>19</v>
      </c>
      <c r="I1113" s="7" t="s">
        <v>19</v>
      </c>
      <c r="J1113" s="7">
        <v>0</v>
      </c>
      <c r="K1113" s="7" t="s">
        <v>19</v>
      </c>
      <c r="L1113" s="7" t="str">
        <f>VLOOKUP(Healthcare!$A1113,hospital_details,2,0)</f>
        <v>12-Jun-1981</v>
      </c>
      <c r="M1113" s="7">
        <f t="shared" ref="M1113:M1176" ca="1" si="6665">VLOOKUP(A1113,hospital_details,3,0)</f>
        <v>45</v>
      </c>
      <c r="N1113" s="7">
        <f t="shared" ref="N1113:N1176" si="6666">VLOOKUP($A1113,hospital_details,4,0)</f>
        <v>1</v>
      </c>
      <c r="O1113" s="8">
        <f t="shared" ref="O1113:O1176" si="6667">VLOOKUP($A1113,hospital_details,5,0)</f>
        <v>10146.129999999999</v>
      </c>
      <c r="P1113" s="7" t="str">
        <f t="shared" ref="P1113:P1176" si="6668">VLOOKUP($A1113,hospital_details,6,0)</f>
        <v>tier - 3</v>
      </c>
      <c r="Q1113" s="7" t="str">
        <f t="shared" ref="Q1113:Q1176" si="6669">VLOOKUP($A1113,hospital_details,7,0)</f>
        <v>tier - 1</v>
      </c>
      <c r="R1113" s="7" t="str">
        <f t="shared" ref="R1113:R1176" si="6670">VLOOKUP($A1113,hospital_details,8,0)</f>
        <v>R1025</v>
      </c>
    </row>
    <row r="1114" spans="1:18" ht="14.4" customHeight="1" x14ac:dyDescent="0.3">
      <c r="A1114" s="5" t="s">
        <v>1134</v>
      </c>
      <c r="B1114" s="5" t="str">
        <f>VLOOKUP($A1114,[1]!Customer_Names[#Data],3,0)</f>
        <v xml:space="preserve">  Thomas</v>
      </c>
      <c r="C1114" s="5">
        <v>30.78</v>
      </c>
      <c r="D1114" s="5" t="str" cm="1">
        <f t="array" ref="D1114">_xlfn.IFS(Healthcare!$C1114&lt;18.5,"under weight",Healthcare!$C1114&lt;=24.9,"Normal Weight",Healthcare!$C1114&gt;=25,"overweight",Healthcare!$C1114&gt;=30,"obese")</f>
        <v>overweight</v>
      </c>
      <c r="E1114" s="5">
        <v>8.6300000000000008</v>
      </c>
      <c r="F1114" s="5" t="str" cm="1">
        <f t="array" ref="F1114">_xlfn.IFS(Healthcare!$E1114&lt;5.7,"normal",Healthcare!$E1114&lt;=6.4,"prediabetes",Healthcare!$E1114&gt;=6.5,"diabetes")</f>
        <v>diabetes</v>
      </c>
      <c r="G1114" s="5" t="s">
        <v>19</v>
      </c>
      <c r="H1114" s="5" t="s">
        <v>19</v>
      </c>
      <c r="I1114" s="5" t="s">
        <v>19</v>
      </c>
      <c r="J1114" s="5">
        <v>0</v>
      </c>
      <c r="K1114" s="5" t="s">
        <v>19</v>
      </c>
      <c r="L1114" s="5" t="str">
        <f>VLOOKUP(Healthcare!$A1114,hospital_details,2,0)</f>
        <v>30-Dec-1974</v>
      </c>
      <c r="M1114" s="5">
        <f t="shared" ref="M1114:M1177" ca="1" si="6671">VLOOKUP(A1114,hospital_details,3,0)</f>
        <v>51</v>
      </c>
      <c r="N1114" s="5">
        <f t="shared" ref="N1114:N1177" si="6672">VLOOKUP($A1114,hospital_details,4,0)</f>
        <v>3</v>
      </c>
      <c r="O1114" s="6">
        <f t="shared" ref="O1114:O1177" si="6673">VLOOKUP($A1114,hospital_details,5,0)</f>
        <v>10141.14</v>
      </c>
      <c r="P1114" s="5" t="str">
        <f t="shared" ref="P1114:P1177" si="6674">VLOOKUP($A1114,hospital_details,6,0)</f>
        <v>tier - 3</v>
      </c>
      <c r="Q1114" s="5" t="str">
        <f t="shared" ref="Q1114:Q1177" si="6675">VLOOKUP($A1114,hospital_details,7,0)</f>
        <v>tier - 1</v>
      </c>
      <c r="R1114" s="5" t="str">
        <f t="shared" ref="R1114:R1177" si="6676">VLOOKUP($A1114,hospital_details,8,0)</f>
        <v>R1016</v>
      </c>
    </row>
    <row r="1115" spans="1:18" ht="14.4" customHeight="1" x14ac:dyDescent="0.3">
      <c r="A1115" s="7" t="s">
        <v>1135</v>
      </c>
      <c r="B1115" s="7" t="str">
        <f>VLOOKUP($A1115,[1]!Customer_Names[#Data],3,0)</f>
        <v xml:space="preserve">  Gisele</v>
      </c>
      <c r="C1115" s="7">
        <v>47.2</v>
      </c>
      <c r="D1115" s="7" t="str" cm="1">
        <f t="array" ref="D1115">_xlfn.IFS(Healthcare!$C1115&lt;18.5,"under weight",Healthcare!$C1115&lt;=24.9,"Normal Weight",Healthcare!$C1115&gt;=25,"overweight",Healthcare!$C1115&gt;=30,"obese")</f>
        <v>overweight</v>
      </c>
      <c r="E1115" s="7">
        <v>6.29</v>
      </c>
      <c r="F1115" s="7" t="str" cm="1">
        <f t="array" ref="F1115">_xlfn.IFS(Healthcare!$E1115&lt;5.7,"normal",Healthcare!$E1115&lt;=6.4,"prediabetes",Healthcare!$E1115&gt;=6.5,"diabetes")</f>
        <v>prediabetes</v>
      </c>
      <c r="G1115" s="7" t="s">
        <v>20</v>
      </c>
      <c r="H1115" s="7" t="s">
        <v>19</v>
      </c>
      <c r="I1115" s="7" t="s">
        <v>29</v>
      </c>
      <c r="J1115" s="7">
        <v>1</v>
      </c>
      <c r="K1115" s="7" t="s">
        <v>19</v>
      </c>
      <c r="L1115" s="7" t="str">
        <f>VLOOKUP(Healthcare!$A1115,hospital_details,2,0)</f>
        <v>5-Sep-1997</v>
      </c>
      <c r="M1115" s="7">
        <f t="shared" ref="M1115:M1178" ca="1" si="6677">VLOOKUP(A1115,hospital_details,3,0)</f>
        <v>29</v>
      </c>
      <c r="N1115" s="7">
        <f t="shared" ref="N1115:N1178" si="6678">VLOOKUP($A1115,hospital_details,4,0)</f>
        <v>0</v>
      </c>
      <c r="O1115" s="8">
        <f t="shared" ref="O1115:O1178" si="6679">VLOOKUP($A1115,hospital_details,5,0)</f>
        <v>10139.84</v>
      </c>
      <c r="P1115" s="7" t="str">
        <f t="shared" ref="P1115:P1178" si="6680">VLOOKUP($A1115,hospital_details,6,0)</f>
        <v>tier - 3</v>
      </c>
      <c r="Q1115" s="7" t="str">
        <f t="shared" ref="Q1115:Q1178" si="6681">VLOOKUP($A1115,hospital_details,7,0)</f>
        <v>tier - 2</v>
      </c>
      <c r="R1115" s="7" t="str">
        <f t="shared" ref="R1115:R1178" si="6682">VLOOKUP($A1115,hospital_details,8,0)</f>
        <v>R1012</v>
      </c>
    </row>
    <row r="1116" spans="1:18" ht="14.4" customHeight="1" x14ac:dyDescent="0.3">
      <c r="A1116" s="5" t="s">
        <v>1136</v>
      </c>
      <c r="B1116" s="5" t="str">
        <f>VLOOKUP($A1116,[1]!Customer_Names[#Data],3,0)</f>
        <v xml:space="preserve">  Myra L</v>
      </c>
      <c r="C1116" s="5">
        <v>31.6</v>
      </c>
      <c r="D1116" s="5" t="str" cm="1">
        <f t="array" ref="D1116">_xlfn.IFS(Healthcare!$C1116&lt;18.5,"under weight",Healthcare!$C1116&lt;=24.9,"Normal Weight",Healthcare!$C1116&gt;=25,"overweight",Healthcare!$C1116&gt;=30,"obese")</f>
        <v>overweight</v>
      </c>
      <c r="E1116" s="5">
        <v>5.75</v>
      </c>
      <c r="F1116" s="5" t="str" cm="1">
        <f t="array" ref="F1116">_xlfn.IFS(Healthcare!$E1116&lt;5.7,"normal",Healthcare!$E1116&lt;=6.4,"prediabetes",Healthcare!$E1116&gt;=6.5,"diabetes")</f>
        <v>prediabetes</v>
      </c>
      <c r="G1116" s="5" t="s">
        <v>19</v>
      </c>
      <c r="H1116" s="5" t="s">
        <v>19</v>
      </c>
      <c r="I1116" s="5" t="s">
        <v>19</v>
      </c>
      <c r="J1116" s="5">
        <v>2</v>
      </c>
      <c r="K1116" s="5" t="s">
        <v>19</v>
      </c>
      <c r="L1116" s="5" t="str">
        <f>VLOOKUP(Healthcare!$A1116,hospital_details,2,0)</f>
        <v>16-Nov-1972</v>
      </c>
      <c r="M1116" s="5">
        <f t="shared" ref="M1116:M1179" ca="1" si="6683">VLOOKUP(A1116,hospital_details,3,0)</f>
        <v>53</v>
      </c>
      <c r="N1116" s="5">
        <f t="shared" ref="N1116:N1179" si="6684">VLOOKUP($A1116,hospital_details,4,0)</f>
        <v>2</v>
      </c>
      <c r="O1116" s="6">
        <f t="shared" ref="O1116:O1179" si="6685">VLOOKUP($A1116,hospital_details,5,0)</f>
        <v>10118.42</v>
      </c>
      <c r="P1116" s="5" t="str">
        <f t="shared" ref="P1116:P1179" si="6686">VLOOKUP($A1116,hospital_details,6,0)</f>
        <v>tier - 3</v>
      </c>
      <c r="Q1116" s="5" t="str">
        <f t="shared" ref="Q1116:Q1179" si="6687">VLOOKUP($A1116,hospital_details,7,0)</f>
        <v>tier - 3</v>
      </c>
      <c r="R1116" s="5" t="str">
        <f t="shared" ref="R1116:R1179" si="6688">VLOOKUP($A1116,hospital_details,8,0)</f>
        <v>R1011</v>
      </c>
    </row>
    <row r="1117" spans="1:18" ht="14.4" customHeight="1" x14ac:dyDescent="0.3">
      <c r="A1117" s="7" t="s">
        <v>1137</v>
      </c>
      <c r="B1117" s="7" t="str">
        <f>VLOOKUP($A1117,[1]!Customer_Names[#Data],3,0)</f>
        <v xml:space="preserve">  Melissa M</v>
      </c>
      <c r="C1117" s="7">
        <v>33.914999999999999</v>
      </c>
      <c r="D1117" s="7" t="str" cm="1">
        <f t="array" ref="D1117">_xlfn.IFS(Healthcare!$C1117&lt;18.5,"under weight",Healthcare!$C1117&lt;=24.9,"Normal Weight",Healthcare!$C1117&gt;=25,"overweight",Healthcare!$C1117&gt;=30,"obese")</f>
        <v>overweight</v>
      </c>
      <c r="E1117" s="7">
        <v>6.66</v>
      </c>
      <c r="F1117" s="7" t="str" cm="1">
        <f t="array" ref="F1117">_xlfn.IFS(Healthcare!$E1117&lt;5.7,"normal",Healthcare!$E1117&lt;=6.4,"prediabetes",Healthcare!$E1117&gt;=6.5,"diabetes")</f>
        <v>diabetes</v>
      </c>
      <c r="G1117" s="7" t="s">
        <v>20</v>
      </c>
      <c r="H1117" s="7" t="s">
        <v>19</v>
      </c>
      <c r="I1117" s="7" t="s">
        <v>19</v>
      </c>
      <c r="J1117" s="7">
        <v>1</v>
      </c>
      <c r="K1117" s="7" t="s">
        <v>19</v>
      </c>
      <c r="L1117" s="7" t="str">
        <f>VLOOKUP(Healthcare!$A1117,hospital_details,2,0)</f>
        <v>2-Jul-1975</v>
      </c>
      <c r="M1117" s="7">
        <f t="shared" ref="M1117:M1180" ca="1" si="6689">VLOOKUP(A1117,hospital_details,3,0)</f>
        <v>51</v>
      </c>
      <c r="N1117" s="7">
        <f t="shared" ref="N1117:N1180" si="6690">VLOOKUP($A1117,hospital_details,4,0)</f>
        <v>3</v>
      </c>
      <c r="O1117" s="8">
        <f t="shared" ref="O1117:O1180" si="6691">VLOOKUP($A1117,hospital_details,5,0)</f>
        <v>10115.01</v>
      </c>
      <c r="P1117" s="7" t="str">
        <f t="shared" ref="P1117:P1180" si="6692">VLOOKUP($A1117,hospital_details,6,0)</f>
        <v>tier - 3</v>
      </c>
      <c r="Q1117" s="7" t="str">
        <f t="shared" ref="Q1117:Q1180" si="6693">VLOOKUP($A1117,hospital_details,7,0)</f>
        <v>tier - 3</v>
      </c>
      <c r="R1117" s="7" t="str">
        <f t="shared" ref="R1117:R1180" si="6694">VLOOKUP($A1117,hospital_details,8,0)</f>
        <v>R1012</v>
      </c>
    </row>
    <row r="1118" spans="1:18" ht="14.4" customHeight="1" x14ac:dyDescent="0.3">
      <c r="A1118" s="5" t="s">
        <v>1138</v>
      </c>
      <c r="B1118" s="5" t="str">
        <f>VLOOKUP($A1118,[1]!Customer_Names[#Data],3,0)</f>
        <v xml:space="preserve">  Eleanor F</v>
      </c>
      <c r="C1118" s="5">
        <v>23.54</v>
      </c>
      <c r="D1118" s="5" t="str" cm="1">
        <f t="array" ref="D1118">_xlfn.IFS(Healthcare!$C1118&lt;18.5,"under weight",Healthcare!$C1118&lt;=24.9,"Normal Weight",Healthcare!$C1118&gt;=25,"overweight",Healthcare!$C1118&gt;=30,"obese")</f>
        <v>Normal Weight</v>
      </c>
      <c r="E1118" s="5">
        <v>5.0999999999999996</v>
      </c>
      <c r="F1118" s="5" t="str" cm="1">
        <f t="array" ref="F1118">_xlfn.IFS(Healthcare!$E1118&lt;5.7,"normal",Healthcare!$E1118&lt;=6.4,"prediabetes",Healthcare!$E1118&gt;=6.5,"diabetes")</f>
        <v>normal</v>
      </c>
      <c r="G1118" s="5" t="s">
        <v>19</v>
      </c>
      <c r="H1118" s="5" t="s">
        <v>19</v>
      </c>
      <c r="I1118" s="5" t="s">
        <v>19</v>
      </c>
      <c r="J1118" s="5">
        <v>2</v>
      </c>
      <c r="K1118" s="5" t="s">
        <v>19</v>
      </c>
      <c r="L1118" s="5" t="str">
        <f>VLOOKUP(Healthcare!$A1118,hospital_details,2,0)</f>
        <v>8-Aug-1972</v>
      </c>
      <c r="M1118" s="5">
        <f t="shared" ref="M1118:M1181" ca="1" si="6695">VLOOKUP(A1118,hospital_details,3,0)</f>
        <v>54</v>
      </c>
      <c r="N1118" s="5">
        <f t="shared" ref="N1118:N1181" si="6696">VLOOKUP($A1118,hospital_details,4,0)</f>
        <v>2</v>
      </c>
      <c r="O1118" s="6">
        <f t="shared" ref="O1118:O1181" si="6697">VLOOKUP($A1118,hospital_details,5,0)</f>
        <v>10107.219999999999</v>
      </c>
      <c r="P1118" s="5" t="str">
        <f t="shared" ref="P1118:P1181" si="6698">VLOOKUP($A1118,hospital_details,6,0)</f>
        <v>tier - 3</v>
      </c>
      <c r="Q1118" s="5" t="str">
        <f t="shared" ref="Q1118:Q1181" si="6699">VLOOKUP($A1118,hospital_details,7,0)</f>
        <v>tier - 1</v>
      </c>
      <c r="R1118" s="5" t="str">
        <f t="shared" ref="R1118:R1181" si="6700">VLOOKUP($A1118,hospital_details,8,0)</f>
        <v>R1013</v>
      </c>
    </row>
    <row r="1119" spans="1:18" ht="14.4" customHeight="1" x14ac:dyDescent="0.3">
      <c r="A1119" s="7" t="s">
        <v>1139</v>
      </c>
      <c r="B1119" s="7" t="str">
        <f>VLOOKUP($A1119,[1]!Customer_Names[#Data],3,0)</f>
        <v xml:space="preserve">  Elizabeth</v>
      </c>
      <c r="C1119" s="7">
        <v>27.074999999999999</v>
      </c>
      <c r="D1119" s="7" t="str" cm="1">
        <f t="array" ref="D1119">_xlfn.IFS(Healthcare!$C1119&lt;18.5,"under weight",Healthcare!$C1119&lt;=24.9,"Normal Weight",Healthcare!$C1119&gt;=25,"overweight",Healthcare!$C1119&gt;=30,"obese")</f>
        <v>overweight</v>
      </c>
      <c r="E1119" s="7">
        <v>4.41</v>
      </c>
      <c r="F1119" s="7" t="str" cm="1">
        <f t="array" ref="F1119">_xlfn.IFS(Healthcare!$E1119&lt;5.7,"normal",Healthcare!$E1119&lt;=6.4,"prediabetes",Healthcare!$E1119&gt;=6.5,"diabetes")</f>
        <v>normal</v>
      </c>
      <c r="G1119" s="7" t="s">
        <v>19</v>
      </c>
      <c r="H1119" s="7" t="s">
        <v>19</v>
      </c>
      <c r="I1119" s="7" t="s">
        <v>19</v>
      </c>
      <c r="J1119" s="7">
        <v>2</v>
      </c>
      <c r="K1119" s="7" t="s">
        <v>19</v>
      </c>
      <c r="L1119" s="7" t="str">
        <f>VLOOKUP(Healthcare!$A1119,hospital_details,2,0)</f>
        <v>19-Oct-1972</v>
      </c>
      <c r="M1119" s="7">
        <f t="shared" ref="M1119:M1182" ca="1" si="6701">VLOOKUP(A1119,hospital_details,3,0)</f>
        <v>53</v>
      </c>
      <c r="N1119" s="7">
        <f t="shared" ref="N1119:N1182" si="6702">VLOOKUP($A1119,hospital_details,4,0)</f>
        <v>1</v>
      </c>
      <c r="O1119" s="8">
        <f t="shared" ref="O1119:O1182" si="6703">VLOOKUP($A1119,hospital_details,5,0)</f>
        <v>10106.129999999999</v>
      </c>
      <c r="P1119" s="7" t="str">
        <f t="shared" ref="P1119:P1182" si="6704">VLOOKUP($A1119,hospital_details,6,0)</f>
        <v>tier - 3</v>
      </c>
      <c r="Q1119" s="7" t="str">
        <f t="shared" ref="Q1119:Q1182" si="6705">VLOOKUP($A1119,hospital_details,7,0)</f>
        <v>tier - 1</v>
      </c>
      <c r="R1119" s="7" t="str">
        <f t="shared" ref="R1119:R1182" si="6706">VLOOKUP($A1119,hospital_details,8,0)</f>
        <v>R1024</v>
      </c>
    </row>
    <row r="1120" spans="1:18" ht="14.4" customHeight="1" x14ac:dyDescent="0.3">
      <c r="A1120" s="5" t="s">
        <v>1140</v>
      </c>
      <c r="B1120" s="5" t="str">
        <f>VLOOKUP($A1120,[1]!Customer_Names[#Data],3,0)</f>
        <v xml:space="preserve">  Kenneth</v>
      </c>
      <c r="C1120" s="5">
        <v>25.8</v>
      </c>
      <c r="D1120" s="5" t="str" cm="1">
        <f t="array" ref="D1120">_xlfn.IFS(Healthcare!$C1120&lt;18.5,"under weight",Healthcare!$C1120&lt;=24.9,"Normal Weight",Healthcare!$C1120&gt;=25,"overweight",Healthcare!$C1120&gt;=30,"obese")</f>
        <v>overweight</v>
      </c>
      <c r="E1120" s="5">
        <v>5.52</v>
      </c>
      <c r="F1120" s="5" t="str" cm="1">
        <f t="array" ref="F1120">_xlfn.IFS(Healthcare!$E1120&lt;5.7,"normal",Healthcare!$E1120&lt;=6.4,"prediabetes",Healthcare!$E1120&gt;=6.5,"diabetes")</f>
        <v>normal</v>
      </c>
      <c r="G1120" s="5" t="s">
        <v>20</v>
      </c>
      <c r="H1120" s="5" t="s">
        <v>19</v>
      </c>
      <c r="I1120" s="5" t="s">
        <v>19</v>
      </c>
      <c r="J1120" s="5">
        <v>0</v>
      </c>
      <c r="K1120" s="5" t="s">
        <v>19</v>
      </c>
      <c r="L1120" s="5" t="str">
        <f>VLOOKUP(Healthcare!$A1120,hospital_details,2,0)</f>
        <v>19-Dec-1976</v>
      </c>
      <c r="M1120" s="5">
        <f t="shared" ref="M1120:M1183" ca="1" si="6707">VLOOKUP(A1120,hospital_details,3,0)</f>
        <v>49</v>
      </c>
      <c r="N1120" s="5">
        <f t="shared" ref="N1120:N1183" si="6708">VLOOKUP($A1120,hospital_details,4,0)</f>
        <v>5</v>
      </c>
      <c r="O1120" s="6">
        <f t="shared" ref="O1120:O1183" si="6709">VLOOKUP($A1120,hospital_details,5,0)</f>
        <v>10096.969999999999</v>
      </c>
      <c r="P1120" s="5" t="str">
        <f t="shared" ref="P1120:P1183" si="6710">VLOOKUP($A1120,hospital_details,6,0)</f>
        <v>tier - 3</v>
      </c>
      <c r="Q1120" s="5" t="str">
        <f t="shared" ref="Q1120:Q1183" si="6711">VLOOKUP($A1120,hospital_details,7,0)</f>
        <v>tier - 2</v>
      </c>
      <c r="R1120" s="5" t="str">
        <f t="shared" ref="R1120:R1183" si="6712">VLOOKUP($A1120,hospital_details,8,0)</f>
        <v>R1011</v>
      </c>
    </row>
    <row r="1121" spans="1:18" ht="14.4" customHeight="1" x14ac:dyDescent="0.3">
      <c r="A1121" s="7" t="s">
        <v>1141</v>
      </c>
      <c r="B1121" s="7" t="str">
        <f>VLOOKUP($A1121,[1]!Customer_Names[#Data],3,0)</f>
        <v xml:space="preserve">  Robert G</v>
      </c>
      <c r="C1121" s="7">
        <v>36.1</v>
      </c>
      <c r="D1121" s="7" t="str" cm="1">
        <f t="array" ref="D1121">_xlfn.IFS(Healthcare!$C1121&lt;18.5,"under weight",Healthcare!$C1121&lt;=24.9,"Normal Weight",Healthcare!$C1121&gt;=25,"overweight",Healthcare!$C1121&gt;=30,"obese")</f>
        <v>overweight</v>
      </c>
      <c r="E1121" s="7">
        <v>4.62</v>
      </c>
      <c r="F1121" s="7" t="str" cm="1">
        <f t="array" ref="F1121">_xlfn.IFS(Healthcare!$E1121&lt;5.7,"normal",Healthcare!$E1121&lt;=6.4,"prediabetes",Healthcare!$E1121&gt;=6.5,"diabetes")</f>
        <v>normal</v>
      </c>
      <c r="G1121" s="7" t="s">
        <v>20</v>
      </c>
      <c r="H1121" s="7" t="s">
        <v>19</v>
      </c>
      <c r="I1121" s="7" t="s">
        <v>29</v>
      </c>
      <c r="J1121" s="7">
        <v>1</v>
      </c>
      <c r="K1121" s="7" t="s">
        <v>19</v>
      </c>
      <c r="L1121" s="7" t="str">
        <f>VLOOKUP(Healthcare!$A1121,hospital_details,2,0)</f>
        <v>3-Jul-1969</v>
      </c>
      <c r="M1121" s="7">
        <f t="shared" ref="M1121:M1184" ca="1" si="6713">VLOOKUP(A1121,hospital_details,3,0)</f>
        <v>57</v>
      </c>
      <c r="N1121" s="7">
        <f t="shared" ref="N1121:N1184" si="6714">VLOOKUP($A1121,hospital_details,4,0)</f>
        <v>1</v>
      </c>
      <c r="O1121" s="8">
        <f t="shared" ref="O1121:O1184" si="6715">VLOOKUP($A1121,hospital_details,5,0)</f>
        <v>10085.85</v>
      </c>
      <c r="P1121" s="7" t="str">
        <f t="shared" ref="P1121:P1184" si="6716">VLOOKUP($A1121,hospital_details,6,0)</f>
        <v>tier - 3</v>
      </c>
      <c r="Q1121" s="7" t="str">
        <f t="shared" ref="Q1121:Q1184" si="6717">VLOOKUP($A1121,hospital_details,7,0)</f>
        <v>tier - 3</v>
      </c>
      <c r="R1121" s="7" t="str">
        <f t="shared" ref="R1121:R1184" si="6718">VLOOKUP($A1121,hospital_details,8,0)</f>
        <v>R1011</v>
      </c>
    </row>
    <row r="1122" spans="1:18" ht="14.4" customHeight="1" x14ac:dyDescent="0.3">
      <c r="A1122" s="5" t="s">
        <v>1142</v>
      </c>
      <c r="B1122" s="5" t="str">
        <f>VLOOKUP($A1122,[1]!Customer_Names[#Data],3,0)</f>
        <v xml:space="preserve">  Thomas C</v>
      </c>
      <c r="C1122" s="5">
        <v>30.495000000000001</v>
      </c>
      <c r="D1122" s="5" t="str" cm="1">
        <f t="array" ref="D1122">_xlfn.IFS(Healthcare!$C1122&lt;18.5,"under weight",Healthcare!$C1122&lt;=24.9,"Normal Weight",Healthcare!$C1122&gt;=25,"overweight",Healthcare!$C1122&gt;=30,"obese")</f>
        <v>overweight</v>
      </c>
      <c r="E1122" s="5">
        <v>5.74</v>
      </c>
      <c r="F1122" s="5" t="str" cm="1">
        <f t="array" ref="F1122">_xlfn.IFS(Healthcare!$E1122&lt;5.7,"normal",Healthcare!$E1122&lt;=6.4,"prediabetes",Healthcare!$E1122&gt;=6.5,"diabetes")</f>
        <v>prediabetes</v>
      </c>
      <c r="G1122" s="5" t="s">
        <v>20</v>
      </c>
      <c r="H1122" s="5" t="s">
        <v>19</v>
      </c>
      <c r="I1122" s="5" t="s">
        <v>29</v>
      </c>
      <c r="J1122" s="5">
        <v>1</v>
      </c>
      <c r="K1122" s="5" t="s">
        <v>19</v>
      </c>
      <c r="L1122" s="5" t="str">
        <f>VLOOKUP(Healthcare!$A1122,hospital_details,2,0)</f>
        <v>27-Oct-1969</v>
      </c>
      <c r="M1122" s="5">
        <f t="shared" ref="M1122:M1185" ca="1" si="6719">VLOOKUP(A1122,hospital_details,3,0)</f>
        <v>56</v>
      </c>
      <c r="N1122" s="5">
        <f t="shared" ref="N1122:N1185" si="6720">VLOOKUP($A1122,hospital_details,4,0)</f>
        <v>0</v>
      </c>
      <c r="O1122" s="6">
        <f t="shared" ref="O1122:O1185" si="6721">VLOOKUP($A1122,hospital_details,5,0)</f>
        <v>10072.06</v>
      </c>
      <c r="P1122" s="5" t="str">
        <f t="shared" ref="P1122:P1185" si="6722">VLOOKUP($A1122,hospital_details,6,0)</f>
        <v>tier - 3</v>
      </c>
      <c r="Q1122" s="5" t="str">
        <f t="shared" ref="Q1122:Q1185" si="6723">VLOOKUP($A1122,hospital_details,7,0)</f>
        <v>tier - 1</v>
      </c>
      <c r="R1122" s="5" t="str">
        <f t="shared" ref="R1122:R1185" si="6724">VLOOKUP($A1122,hospital_details,8,0)</f>
        <v>R1017</v>
      </c>
    </row>
    <row r="1123" spans="1:18" ht="14.4" customHeight="1" x14ac:dyDescent="0.3">
      <c r="A1123" s="7" t="s">
        <v>1143</v>
      </c>
      <c r="B1123" s="7" t="str">
        <f>VLOOKUP($A1123,[1]!Customer_Names[#Data],3,0)</f>
        <v xml:space="preserve">  Matthew J</v>
      </c>
      <c r="C1123" s="7">
        <v>21.4</v>
      </c>
      <c r="D1123" s="7" t="str" cm="1">
        <f t="array" ref="D1123">_xlfn.IFS(Healthcare!$C1123&lt;18.5,"under weight",Healthcare!$C1123&lt;=24.9,"Normal Weight",Healthcare!$C1123&gt;=25,"overweight",Healthcare!$C1123&gt;=30,"obese")</f>
        <v>Normal Weight</v>
      </c>
      <c r="E1123" s="7">
        <v>6.3</v>
      </c>
      <c r="F1123" s="7" t="str" cm="1">
        <f t="array" ref="F1123">_xlfn.IFS(Healthcare!$E1123&lt;5.7,"normal",Healthcare!$E1123&lt;=6.4,"prediabetes",Healthcare!$E1123&gt;=6.5,"diabetes")</f>
        <v>prediabetes</v>
      </c>
      <c r="G1123" s="7" t="s">
        <v>20</v>
      </c>
      <c r="H1123" s="7" t="s">
        <v>19</v>
      </c>
      <c r="I1123" s="7" t="s">
        <v>29</v>
      </c>
      <c r="J1123" s="7">
        <v>1</v>
      </c>
      <c r="K1123" s="7" t="s">
        <v>19</v>
      </c>
      <c r="L1123" s="7" t="str">
        <f>VLOOKUP(Healthcare!$A1123,hospital_details,2,0)</f>
        <v>22-Aug-1969</v>
      </c>
      <c r="M1123" s="7">
        <f t="shared" ref="M1123:M1186" ca="1" si="6725">VLOOKUP(A1123,hospital_details,3,0)</f>
        <v>57</v>
      </c>
      <c r="N1123" s="7">
        <f t="shared" ref="N1123:N1186" si="6726">VLOOKUP($A1123,hospital_details,4,0)</f>
        <v>1</v>
      </c>
      <c r="O1123" s="8">
        <f t="shared" ref="O1123:O1186" si="6727">VLOOKUP($A1123,hospital_details,5,0)</f>
        <v>10065.41</v>
      </c>
      <c r="P1123" s="7" t="str">
        <f t="shared" ref="P1123:P1186" si="6728">VLOOKUP($A1123,hospital_details,6,0)</f>
        <v>tier - 3</v>
      </c>
      <c r="Q1123" s="7" t="str">
        <f t="shared" ref="Q1123:Q1186" si="6729">VLOOKUP($A1123,hospital_details,7,0)</f>
        <v>tier - 2</v>
      </c>
      <c r="R1123" s="7" t="str">
        <f t="shared" ref="R1123:R1186" si="6730">VLOOKUP($A1123,hospital_details,8,0)</f>
        <v>R1011</v>
      </c>
    </row>
    <row r="1124" spans="1:18" ht="14.4" customHeight="1" x14ac:dyDescent="0.3">
      <c r="A1124" s="5" t="s">
        <v>1144</v>
      </c>
      <c r="B1124" s="5" t="str">
        <f>VLOOKUP($A1124,[1]!Customer_Names[#Data],3,0)</f>
        <v xml:space="preserve">  Mallory D</v>
      </c>
      <c r="C1124" s="5">
        <v>32.299999999999997</v>
      </c>
      <c r="D1124" s="5" t="str" cm="1">
        <f t="array" ref="D1124">_xlfn.IFS(Healthcare!$C1124&lt;18.5,"under weight",Healthcare!$C1124&lt;=24.9,"Normal Weight",Healthcare!$C1124&gt;=25,"overweight",Healthcare!$C1124&gt;=30,"obese")</f>
        <v>overweight</v>
      </c>
      <c r="E1124" s="5">
        <v>10.27</v>
      </c>
      <c r="F1124" s="5" t="str" cm="1">
        <f t="array" ref="F1124">_xlfn.IFS(Healthcare!$E1124&lt;5.7,"normal",Healthcare!$E1124&lt;=6.4,"prediabetes",Healthcare!$E1124&gt;=6.5,"diabetes")</f>
        <v>diabetes</v>
      </c>
      <c r="G1124" s="5" t="s">
        <v>19</v>
      </c>
      <c r="H1124" s="5" t="s">
        <v>19</v>
      </c>
      <c r="I1124" s="5" t="s">
        <v>19</v>
      </c>
      <c r="J1124" s="5">
        <v>0</v>
      </c>
      <c r="K1124" s="5" t="s">
        <v>19</v>
      </c>
      <c r="L1124" s="5" t="str">
        <f>VLOOKUP(Healthcare!$A1124,hospital_details,2,0)</f>
        <v>30-Aug-1974</v>
      </c>
      <c r="M1124" s="5">
        <f t="shared" ref="M1124:M1187" ca="1" si="6731">VLOOKUP(A1124,hospital_details,3,0)</f>
        <v>52</v>
      </c>
      <c r="N1124" s="5">
        <f t="shared" ref="N1124:N1187" si="6732">VLOOKUP($A1124,hospital_details,4,0)</f>
        <v>2</v>
      </c>
      <c r="O1124" s="6">
        <f t="shared" ref="O1124:O1187" si="6733">VLOOKUP($A1124,hospital_details,5,0)</f>
        <v>10043.25</v>
      </c>
      <c r="P1124" s="5" t="str">
        <f t="shared" ref="P1124:P1187" si="6734">VLOOKUP($A1124,hospital_details,6,0)</f>
        <v>tier - 3</v>
      </c>
      <c r="Q1124" s="5" t="str">
        <f t="shared" ref="Q1124:Q1187" si="6735">VLOOKUP($A1124,hospital_details,7,0)</f>
        <v>tier - 2</v>
      </c>
      <c r="R1124" s="5" t="str">
        <f t="shared" ref="R1124:R1187" si="6736">VLOOKUP($A1124,hospital_details,8,0)</f>
        <v>R1024</v>
      </c>
    </row>
    <row r="1125" spans="1:18" ht="14.4" customHeight="1" x14ac:dyDescent="0.3">
      <c r="A1125" s="7" t="s">
        <v>1145</v>
      </c>
      <c r="B1125" s="7" t="str">
        <f>VLOOKUP($A1125,[1]!Customer_Names[#Data],3,0)</f>
        <v xml:space="preserve">  Christopher D</v>
      </c>
      <c r="C1125" s="7">
        <v>29.78</v>
      </c>
      <c r="D1125" s="7" t="str" cm="1">
        <f t="array" ref="D1125">_xlfn.IFS(Healthcare!$C1125&lt;18.5,"under weight",Healthcare!$C1125&lt;=24.9,"Normal Weight",Healthcare!$C1125&gt;=25,"overweight",Healthcare!$C1125&gt;=30,"obese")</f>
        <v>overweight</v>
      </c>
      <c r="E1125" s="7">
        <v>5.85</v>
      </c>
      <c r="F1125" s="7" t="str" cm="1">
        <f t="array" ref="F1125">_xlfn.IFS(Healthcare!$E1125&lt;5.7,"normal",Healthcare!$E1125&lt;=6.4,"prediabetes",Healthcare!$E1125&gt;=6.5,"diabetes")</f>
        <v>prediabetes</v>
      </c>
      <c r="G1125" s="7" t="s">
        <v>19</v>
      </c>
      <c r="H1125" s="7" t="s">
        <v>19</v>
      </c>
      <c r="I1125" s="7" t="s">
        <v>29</v>
      </c>
      <c r="J1125" s="7">
        <v>1</v>
      </c>
      <c r="K1125" s="7" t="s">
        <v>19</v>
      </c>
      <c r="L1125" s="7" t="str">
        <f>VLOOKUP(Healthcare!$A1125,hospital_details,2,0)</f>
        <v>28-Dec-1979</v>
      </c>
      <c r="M1125" s="7">
        <f t="shared" ref="M1125:M1188" ca="1" si="6737">VLOOKUP(A1125,hospital_details,3,0)</f>
        <v>46</v>
      </c>
      <c r="N1125" s="7">
        <f t="shared" ref="N1125:N1188" si="6738">VLOOKUP($A1125,hospital_details,4,0)</f>
        <v>2</v>
      </c>
      <c r="O1125" s="8">
        <f t="shared" ref="O1125:O1188" si="6739">VLOOKUP($A1125,hospital_details,5,0)</f>
        <v>10027.15</v>
      </c>
      <c r="P1125" s="7" t="str">
        <f t="shared" ref="P1125:P1188" si="6740">VLOOKUP($A1125,hospital_details,6,0)</f>
        <v>tier - 3</v>
      </c>
      <c r="Q1125" s="7" t="str">
        <f t="shared" ref="Q1125:Q1188" si="6741">VLOOKUP($A1125,hospital_details,7,0)</f>
        <v>tier - 1</v>
      </c>
      <c r="R1125" s="7" t="str">
        <f t="shared" ref="R1125:R1188" si="6742">VLOOKUP($A1125,hospital_details,8,0)</f>
        <v>R1021</v>
      </c>
    </row>
    <row r="1126" spans="1:18" ht="14.4" customHeight="1" x14ac:dyDescent="0.3">
      <c r="A1126" s="5" t="s">
        <v>1146</v>
      </c>
      <c r="B1126" s="5" t="str">
        <f>VLOOKUP($A1126,[1]!Customer_Names[#Data],3,0)</f>
        <v xml:space="preserve">  Jamie</v>
      </c>
      <c r="C1126" s="5">
        <v>34.76</v>
      </c>
      <c r="D1126" s="5" t="str" cm="1">
        <f t="array" ref="D1126">_xlfn.IFS(Healthcare!$C1126&lt;18.5,"under weight",Healthcare!$C1126&lt;=24.9,"Normal Weight",Healthcare!$C1126&gt;=25,"overweight",Healthcare!$C1126&gt;=30,"obese")</f>
        <v>overweight</v>
      </c>
      <c r="E1126" s="5">
        <v>5.92</v>
      </c>
      <c r="F1126" s="5" t="str" cm="1">
        <f t="array" ref="F1126">_xlfn.IFS(Healthcare!$E1126&lt;5.7,"normal",Healthcare!$E1126&lt;=6.4,"prediabetes",Healthcare!$E1126&gt;=6.5,"diabetes")</f>
        <v>prediabetes</v>
      </c>
      <c r="G1126" s="5" t="s">
        <v>20</v>
      </c>
      <c r="H1126" s="5" t="s">
        <v>19</v>
      </c>
      <c r="I1126" s="5" t="s">
        <v>19</v>
      </c>
      <c r="J1126" s="5">
        <v>1</v>
      </c>
      <c r="K1126" s="5" t="s">
        <v>19</v>
      </c>
      <c r="L1126" s="5" t="str">
        <f>VLOOKUP(Healthcare!$A1126,hospital_details,2,0)</f>
        <v>3-Jul-1988</v>
      </c>
      <c r="M1126" s="5">
        <f t="shared" ref="M1126:M1189" ca="1" si="6743">VLOOKUP(A1126,hospital_details,3,0)</f>
        <v>38</v>
      </c>
      <c r="N1126" s="5">
        <f t="shared" ref="N1126:N1189" si="6744">VLOOKUP($A1126,hospital_details,4,0)</f>
        <v>3</v>
      </c>
      <c r="O1126" s="6">
        <f t="shared" ref="O1126:O1189" si="6745">VLOOKUP($A1126,hospital_details,5,0)</f>
        <v>10011.44</v>
      </c>
      <c r="P1126" s="5" t="str">
        <f t="shared" ref="P1126:P1189" si="6746">VLOOKUP($A1126,hospital_details,6,0)</f>
        <v>tier - 3</v>
      </c>
      <c r="Q1126" s="5" t="str">
        <f t="shared" ref="Q1126:Q1189" si="6747">VLOOKUP($A1126,hospital_details,7,0)</f>
        <v>tier - 3</v>
      </c>
      <c r="R1126" s="5" t="str">
        <f t="shared" ref="R1126:R1189" si="6748">VLOOKUP($A1126,hospital_details,8,0)</f>
        <v>R1026</v>
      </c>
    </row>
    <row r="1127" spans="1:18" ht="14.4" customHeight="1" x14ac:dyDescent="0.3">
      <c r="A1127" s="7" t="s">
        <v>1147</v>
      </c>
      <c r="B1127" s="7" t="str">
        <f>VLOOKUP($A1127,[1]!Customer_Names[#Data],3,0)</f>
        <v xml:space="preserve">  Ariell</v>
      </c>
      <c r="C1127" s="7">
        <v>18.335000000000001</v>
      </c>
      <c r="D1127" s="7" t="str" cm="1">
        <f t="array" ref="D1127">_xlfn.IFS(Healthcare!$C1127&lt;18.5,"under weight",Healthcare!$C1127&lt;=24.9,"Normal Weight",Healthcare!$C1127&gt;=25,"overweight",Healthcare!$C1127&gt;=30,"obese")</f>
        <v>under weight</v>
      </c>
      <c r="E1127" s="7">
        <v>10.01</v>
      </c>
      <c r="F1127" s="7" t="str" cm="1">
        <f t="array" ref="F1127">_xlfn.IFS(Healthcare!$E1127&lt;5.7,"normal",Healthcare!$E1127&lt;=6.4,"prediabetes",Healthcare!$E1127&gt;=6.5,"diabetes")</f>
        <v>diabetes</v>
      </c>
      <c r="G1127" s="7" t="s">
        <v>20</v>
      </c>
      <c r="H1127" s="7" t="s">
        <v>19</v>
      </c>
      <c r="I1127" s="7" t="s">
        <v>19</v>
      </c>
      <c r="J1127" s="7">
        <v>2</v>
      </c>
      <c r="K1127" s="7" t="s">
        <v>19</v>
      </c>
      <c r="L1127" s="7" t="str">
        <f>VLOOKUP(Healthcare!$A1127,hospital_details,2,0)</f>
        <v>11-Aug-1970</v>
      </c>
      <c r="M1127" s="7">
        <f t="shared" ref="M1127:M1190" ca="1" si="6749">VLOOKUP(A1127,hospital_details,3,0)</f>
        <v>56</v>
      </c>
      <c r="N1127" s="7">
        <f t="shared" ref="N1127:N1190" si="6750">VLOOKUP($A1127,hospital_details,4,0)</f>
        <v>0</v>
      </c>
      <c r="O1127" s="8">
        <f t="shared" ref="O1127:O1190" si="6751">VLOOKUP($A1127,hospital_details,5,0)</f>
        <v>9991.0400000000009</v>
      </c>
      <c r="P1127" s="7" t="str">
        <f t="shared" ref="P1127:P1190" si="6752">VLOOKUP($A1127,hospital_details,6,0)</f>
        <v>tier - 2</v>
      </c>
      <c r="Q1127" s="7" t="str">
        <f t="shared" ref="Q1127:Q1190" si="6753">VLOOKUP($A1127,hospital_details,7,0)</f>
        <v>tier - 3</v>
      </c>
      <c r="R1127" s="7" t="str">
        <f t="shared" ref="R1127:R1190" si="6754">VLOOKUP($A1127,hospital_details,8,0)</f>
        <v>R1012</v>
      </c>
    </row>
    <row r="1128" spans="1:18" ht="14.4" customHeight="1" x14ac:dyDescent="0.3">
      <c r="A1128" s="5" t="s">
        <v>1148</v>
      </c>
      <c r="B1128" s="5" t="str">
        <f>VLOOKUP($A1128,[1]!Customer_Names[#Data],3,0)</f>
        <v xml:space="preserve">  Christopher</v>
      </c>
      <c r="C1128" s="5">
        <v>32.299999999999997</v>
      </c>
      <c r="D1128" s="5" t="str" cm="1">
        <f t="array" ref="D1128">_xlfn.IFS(Healthcare!$C1128&lt;18.5,"under weight",Healthcare!$C1128&lt;=24.9,"Normal Weight",Healthcare!$C1128&gt;=25,"overweight",Healthcare!$C1128&gt;=30,"obese")</f>
        <v>overweight</v>
      </c>
      <c r="E1128" s="5">
        <v>9.59</v>
      </c>
      <c r="F1128" s="5" t="str" cm="1">
        <f t="array" ref="F1128">_xlfn.IFS(Healthcare!$E1128&lt;5.7,"normal",Healthcare!$E1128&lt;=6.4,"prediabetes",Healthcare!$E1128&gt;=6.5,"diabetes")</f>
        <v>diabetes</v>
      </c>
      <c r="G1128" s="5" t="s">
        <v>19</v>
      </c>
      <c r="H1128" s="5" t="s">
        <v>19</v>
      </c>
      <c r="I1128" s="5" t="s">
        <v>19</v>
      </c>
      <c r="J1128" s="5">
        <v>0</v>
      </c>
      <c r="K1128" s="5" t="s">
        <v>19</v>
      </c>
      <c r="L1128" s="5" t="str">
        <f>VLOOKUP(Healthcare!$A1128,hospital_details,2,0)</f>
        <v>6-Oct-1971</v>
      </c>
      <c r="M1128" s="5">
        <f t="shared" ref="M1128:M1191" ca="1" si="6755">VLOOKUP(A1128,hospital_details,3,0)</f>
        <v>55</v>
      </c>
      <c r="N1128" s="5">
        <f t="shared" ref="N1128:N1191" si="6756">VLOOKUP($A1128,hospital_details,4,0)</f>
        <v>1</v>
      </c>
      <c r="O1128" s="6">
        <f t="shared" ref="O1128:O1191" si="6757">VLOOKUP($A1128,hospital_details,5,0)</f>
        <v>9964.06</v>
      </c>
      <c r="P1128" s="5" t="str">
        <f t="shared" ref="P1128:P1191" si="6758">VLOOKUP($A1128,hospital_details,6,0)</f>
        <v>tier - 2</v>
      </c>
      <c r="Q1128" s="5" t="str">
        <f t="shared" ref="Q1128:Q1191" si="6759">VLOOKUP($A1128,hospital_details,7,0)</f>
        <v>tier - 2</v>
      </c>
      <c r="R1128" s="5" t="str">
        <f t="shared" ref="R1128:R1191" si="6760">VLOOKUP($A1128,hospital_details,8,0)</f>
        <v>R1019</v>
      </c>
    </row>
    <row r="1129" spans="1:18" ht="14.4" customHeight="1" x14ac:dyDescent="0.3">
      <c r="A1129" s="7" t="s">
        <v>1149</v>
      </c>
      <c r="B1129" s="7" t="str">
        <f>VLOOKUP($A1129,[1]!Customer_Names[#Data],3,0)</f>
        <v xml:space="preserve">  Ryan</v>
      </c>
      <c r="C1129" s="7">
        <v>27.74</v>
      </c>
      <c r="D1129" s="7" t="str" cm="1">
        <f t="array" ref="D1129">_xlfn.IFS(Healthcare!$C1129&lt;18.5,"under weight",Healthcare!$C1129&lt;=24.9,"Normal Weight",Healthcare!$C1129&gt;=25,"overweight",Healthcare!$C1129&gt;=30,"obese")</f>
        <v>overweight</v>
      </c>
      <c r="E1129" s="7">
        <v>10.37</v>
      </c>
      <c r="F1129" s="7" t="str" cm="1">
        <f t="array" ref="F1129">_xlfn.IFS(Healthcare!$E1129&lt;5.7,"normal",Healthcare!$E1129&lt;=6.4,"prediabetes",Healthcare!$E1129&gt;=6.5,"diabetes")</f>
        <v>diabetes</v>
      </c>
      <c r="G1129" s="7" t="s">
        <v>19</v>
      </c>
      <c r="H1129" s="7" t="s">
        <v>19</v>
      </c>
      <c r="I1129" s="7" t="s">
        <v>19</v>
      </c>
      <c r="J1129" s="7">
        <v>0</v>
      </c>
      <c r="K1129" s="7" t="s">
        <v>19</v>
      </c>
      <c r="L1129" s="7" t="str">
        <f>VLOOKUP(Healthcare!$A1129,hospital_details,2,0)</f>
        <v>26-Dec-1971</v>
      </c>
      <c r="M1129" s="7">
        <f t="shared" ref="M1129:M1192" ca="1" si="6761">VLOOKUP(A1129,hospital_details,3,0)</f>
        <v>54</v>
      </c>
      <c r="N1129" s="7">
        <f t="shared" ref="N1129:N1192" si="6762">VLOOKUP($A1129,hospital_details,4,0)</f>
        <v>1</v>
      </c>
      <c r="O1129" s="8">
        <f t="shared" ref="O1129:O1192" si="6763">VLOOKUP($A1129,hospital_details,5,0)</f>
        <v>9957.7199999999993</v>
      </c>
      <c r="P1129" s="7" t="str">
        <f t="shared" ref="P1129:P1192" si="6764">VLOOKUP($A1129,hospital_details,6,0)</f>
        <v>tier - 2</v>
      </c>
      <c r="Q1129" s="7" t="str">
        <f t="shared" ref="Q1129:Q1192" si="6765">VLOOKUP($A1129,hospital_details,7,0)</f>
        <v>tier - 3</v>
      </c>
      <c r="R1129" s="7" t="str">
        <f t="shared" ref="R1129:R1192" si="6766">VLOOKUP($A1129,hospital_details,8,0)</f>
        <v>R1018</v>
      </c>
    </row>
    <row r="1130" spans="1:18" ht="14.4" customHeight="1" x14ac:dyDescent="0.3">
      <c r="A1130" s="5" t="s">
        <v>1150</v>
      </c>
      <c r="B1130" s="5" t="str">
        <f>VLOOKUP($A1130,[1]!Customer_Names[#Data],3,0)</f>
        <v xml:space="preserve">  Thomas B</v>
      </c>
      <c r="C1130" s="5">
        <v>24</v>
      </c>
      <c r="D1130" s="5" t="str" cm="1">
        <f t="array" ref="D1130">_xlfn.IFS(Healthcare!$C1130&lt;18.5,"under weight",Healthcare!$C1130&lt;=24.9,"Normal Weight",Healthcare!$C1130&gt;=25,"overweight",Healthcare!$C1130&gt;=30,"obese")</f>
        <v>Normal Weight</v>
      </c>
      <c r="E1130" s="5">
        <v>4.01</v>
      </c>
      <c r="F1130" s="5" t="str" cm="1">
        <f t="array" ref="F1130">_xlfn.IFS(Healthcare!$E1130&lt;5.7,"normal",Healthcare!$E1130&lt;=6.4,"prediabetes",Healthcare!$E1130&gt;=6.5,"diabetes")</f>
        <v>normal</v>
      </c>
      <c r="G1130" s="5" t="s">
        <v>20</v>
      </c>
      <c r="H1130" s="5" t="s">
        <v>19</v>
      </c>
      <c r="I1130" s="5" t="s">
        <v>19</v>
      </c>
      <c r="J1130" s="5">
        <v>1</v>
      </c>
      <c r="K1130" s="5" t="s">
        <v>19</v>
      </c>
      <c r="L1130" s="5" t="str">
        <f>VLOOKUP(Healthcare!$A1130,hospital_details,2,0)</f>
        <v>11-Sep-1964</v>
      </c>
      <c r="M1130" s="5">
        <f t="shared" ref="M1130:M1193" ca="1" si="6767">VLOOKUP(A1130,hospital_details,3,0)</f>
        <v>62</v>
      </c>
      <c r="N1130" s="5">
        <f t="shared" ref="N1130:N1193" si="6768">VLOOKUP($A1130,hospital_details,4,0)</f>
        <v>0</v>
      </c>
      <c r="O1130" s="6">
        <f t="shared" ref="O1130:O1193" si="6769">VLOOKUP($A1130,hospital_details,5,0)</f>
        <v>9933.44</v>
      </c>
      <c r="P1130" s="5" t="str">
        <f t="shared" ref="P1130:P1193" si="6770">VLOOKUP($A1130,hospital_details,6,0)</f>
        <v>tier - 3</v>
      </c>
      <c r="Q1130" s="5" t="str">
        <f t="shared" ref="Q1130:Q1193" si="6771">VLOOKUP($A1130,hospital_details,7,0)</f>
        <v>tier - 3</v>
      </c>
      <c r="R1130" s="5" t="str">
        <f t="shared" ref="R1130:R1193" si="6772">VLOOKUP($A1130,hospital_details,8,0)</f>
        <v>R1013</v>
      </c>
    </row>
    <row r="1131" spans="1:18" ht="14.4" customHeight="1" x14ac:dyDescent="0.3">
      <c r="A1131" s="7" t="s">
        <v>1151</v>
      </c>
      <c r="B1131" s="7" t="str">
        <f>VLOOKUP($A1131,[1]!Customer_Names[#Data],3,0)</f>
        <v xml:space="preserve">  Katie</v>
      </c>
      <c r="C1131" s="7">
        <v>31.78</v>
      </c>
      <c r="D1131" s="7" t="str" cm="1">
        <f t="array" ref="D1131">_xlfn.IFS(Healthcare!$C1131&lt;18.5,"under weight",Healthcare!$C1131&lt;=24.9,"Normal Weight",Healthcare!$C1131&gt;=25,"overweight",Healthcare!$C1131&gt;=30,"obese")</f>
        <v>overweight</v>
      </c>
      <c r="E1131" s="7">
        <v>4.24</v>
      </c>
      <c r="F1131" s="7" t="str" cm="1">
        <f t="array" ref="F1131">_xlfn.IFS(Healthcare!$E1131&lt;5.7,"normal",Healthcare!$E1131&lt;=6.4,"prediabetes",Healthcare!$E1131&gt;=6.5,"diabetes")</f>
        <v>normal</v>
      </c>
      <c r="G1131" s="7" t="s">
        <v>20</v>
      </c>
      <c r="H1131" s="7" t="s">
        <v>19</v>
      </c>
      <c r="I1131" s="7" t="s">
        <v>29</v>
      </c>
      <c r="J1131" s="7">
        <v>1</v>
      </c>
      <c r="K1131" s="7" t="s">
        <v>19</v>
      </c>
      <c r="L1131" s="7" t="str">
        <f>VLOOKUP(Healthcare!$A1131,hospital_details,2,0)</f>
        <v>3-Dec-1983</v>
      </c>
      <c r="M1131" s="7">
        <f t="shared" ref="M1131:M1194" ca="1" si="6773">VLOOKUP(A1131,hospital_details,3,0)</f>
        <v>42</v>
      </c>
      <c r="N1131" s="7">
        <f t="shared" ref="N1131:N1194" si="6774">VLOOKUP($A1131,hospital_details,4,0)</f>
        <v>3</v>
      </c>
      <c r="O1131" s="8">
        <f t="shared" ref="O1131:O1194" si="6775">VLOOKUP($A1131,hospital_details,5,0)</f>
        <v>9931.9599999999991</v>
      </c>
      <c r="P1131" s="7" t="str">
        <f t="shared" ref="P1131:P1194" si="6776">VLOOKUP($A1131,hospital_details,6,0)</f>
        <v>tier - 2</v>
      </c>
      <c r="Q1131" s="7" t="str">
        <f t="shared" ref="Q1131:Q1194" si="6777">VLOOKUP($A1131,hospital_details,7,0)</f>
        <v>tier - 2</v>
      </c>
      <c r="R1131" s="7" t="str">
        <f t="shared" ref="R1131:R1194" si="6778">VLOOKUP($A1131,hospital_details,8,0)</f>
        <v>R1012</v>
      </c>
    </row>
    <row r="1132" spans="1:18" ht="14.4" customHeight="1" x14ac:dyDescent="0.3">
      <c r="A1132" s="5" t="s">
        <v>1152</v>
      </c>
      <c r="B1132" s="5" t="str">
        <f>VLOOKUP($A1132,[1]!Customer_Names[#Data],3,0)</f>
        <v xml:space="preserve">  Rachelle L</v>
      </c>
      <c r="C1132" s="5">
        <v>32.25</v>
      </c>
      <c r="D1132" s="5" t="str" cm="1">
        <f t="array" ref="D1132">_xlfn.IFS(Healthcare!$C1132&lt;18.5,"under weight",Healthcare!$C1132&lt;=24.9,"Normal Weight",Healthcare!$C1132&gt;=25,"overweight",Healthcare!$C1132&gt;=30,"obese")</f>
        <v>overweight</v>
      </c>
      <c r="E1132" s="5">
        <v>5.36</v>
      </c>
      <c r="F1132" s="5" t="str" cm="1">
        <f t="array" ref="F1132">_xlfn.IFS(Healthcare!$E1132&lt;5.7,"normal",Healthcare!$E1132&lt;=6.4,"prediabetes",Healthcare!$E1132&gt;=6.5,"diabetes")</f>
        <v>normal</v>
      </c>
      <c r="G1132" s="5" t="s">
        <v>20</v>
      </c>
      <c r="H1132" s="5" t="s">
        <v>19</v>
      </c>
      <c r="I1132" s="5" t="s">
        <v>19</v>
      </c>
      <c r="J1132" s="5">
        <v>0</v>
      </c>
      <c r="K1132" s="5" t="s">
        <v>19</v>
      </c>
      <c r="L1132" s="5" t="str">
        <f>VLOOKUP(Healthcare!$A1132,hospital_details,2,0)</f>
        <v>19-Aug-1985</v>
      </c>
      <c r="M1132" s="5">
        <f t="shared" ref="M1132:M1195" ca="1" si="6779">VLOOKUP(A1132,hospital_details,3,0)</f>
        <v>41</v>
      </c>
      <c r="N1132" s="5">
        <f t="shared" ref="N1132:N1195" si="6780">VLOOKUP($A1132,hospital_details,4,0)</f>
        <v>3</v>
      </c>
      <c r="O1132" s="6">
        <f t="shared" ref="O1132:O1195" si="6781">VLOOKUP($A1132,hospital_details,5,0)</f>
        <v>9930.64</v>
      </c>
      <c r="P1132" s="5" t="str">
        <f t="shared" ref="P1132:P1195" si="6782">VLOOKUP($A1132,hospital_details,6,0)</f>
        <v>tier - 2</v>
      </c>
      <c r="Q1132" s="5" t="str">
        <f t="shared" ref="Q1132:Q1195" si="6783">VLOOKUP($A1132,hospital_details,7,0)</f>
        <v>tier - 3</v>
      </c>
      <c r="R1132" s="5" t="str">
        <f t="shared" ref="R1132:R1195" si="6784">VLOOKUP($A1132,hospital_details,8,0)</f>
        <v>R1025</v>
      </c>
    </row>
    <row r="1133" spans="1:18" ht="14.4" customHeight="1" x14ac:dyDescent="0.3">
      <c r="A1133" s="7" t="s">
        <v>1153</v>
      </c>
      <c r="B1133" s="7" t="str">
        <f>VLOOKUP($A1133,[1]!Customer_Names[#Data],3,0)</f>
        <v xml:space="preserve">  Colleen</v>
      </c>
      <c r="C1133" s="7">
        <v>30.114999999999998</v>
      </c>
      <c r="D1133" s="7" t="str" cm="1">
        <f t="array" ref="D1133">_xlfn.IFS(Healthcare!$C1133&lt;18.5,"under weight",Healthcare!$C1133&lt;=24.9,"Normal Weight",Healthcare!$C1133&gt;=25,"overweight",Healthcare!$C1133&gt;=30,"obese")</f>
        <v>overweight</v>
      </c>
      <c r="E1133" s="7">
        <v>4.99</v>
      </c>
      <c r="F1133" s="7" t="str" cm="1">
        <f t="array" ref="F1133">_xlfn.IFS(Healthcare!$E1133&lt;5.7,"normal",Healthcare!$E1133&lt;=6.4,"prediabetes",Healthcare!$E1133&gt;=6.5,"diabetes")</f>
        <v>normal</v>
      </c>
      <c r="G1133" s="7" t="s">
        <v>19</v>
      </c>
      <c r="H1133" s="7" t="s">
        <v>19</v>
      </c>
      <c r="I1133" s="7" t="s">
        <v>19</v>
      </c>
      <c r="J1133" s="7">
        <v>2</v>
      </c>
      <c r="K1133" s="7" t="s">
        <v>19</v>
      </c>
      <c r="L1133" s="7" t="str">
        <f>VLOOKUP(Healthcare!$A1133,hospital_details,2,0)</f>
        <v>14-Sep-1972</v>
      </c>
      <c r="M1133" s="7">
        <f t="shared" ref="M1133:M1196" ca="1" si="6785">VLOOKUP(A1133,hospital_details,3,0)</f>
        <v>54</v>
      </c>
      <c r="N1133" s="7">
        <f t="shared" ref="N1133:N1196" si="6786">VLOOKUP($A1133,hospital_details,4,0)</f>
        <v>1</v>
      </c>
      <c r="O1133" s="8">
        <f t="shared" ref="O1133:O1196" si="6787">VLOOKUP($A1133,hospital_details,5,0)</f>
        <v>9910.36</v>
      </c>
      <c r="P1133" s="7" t="str">
        <f t="shared" ref="P1133:P1196" si="6788">VLOOKUP($A1133,hospital_details,6,0)</f>
        <v>tier - 2</v>
      </c>
      <c r="Q1133" s="7" t="str">
        <f t="shared" ref="Q1133:Q1196" si="6789">VLOOKUP($A1133,hospital_details,7,0)</f>
        <v>tier - 3</v>
      </c>
      <c r="R1133" s="7" t="str">
        <f t="shared" ref="R1133:R1196" si="6790">VLOOKUP($A1133,hospital_details,8,0)</f>
        <v>R1012</v>
      </c>
    </row>
    <row r="1134" spans="1:18" ht="14.4" customHeight="1" x14ac:dyDescent="0.3">
      <c r="A1134" s="5" t="s">
        <v>1154</v>
      </c>
      <c r="B1134" s="5" t="str">
        <f>VLOOKUP($A1134,[1]!Customer_Names[#Data],3,0)</f>
        <v xml:space="preserve">  Gregory A</v>
      </c>
      <c r="C1134" s="5">
        <v>22.41</v>
      </c>
      <c r="D1134" s="5" t="str" cm="1">
        <f t="array" ref="D1134">_xlfn.IFS(Healthcare!$C1134&lt;18.5,"under weight",Healthcare!$C1134&lt;=24.9,"Normal Weight",Healthcare!$C1134&gt;=25,"overweight",Healthcare!$C1134&gt;=30,"obese")</f>
        <v>Normal Weight</v>
      </c>
      <c r="E1134" s="5">
        <v>8.68</v>
      </c>
      <c r="F1134" s="5" t="str" cm="1">
        <f t="array" ref="F1134">_xlfn.IFS(Healthcare!$E1134&lt;5.7,"normal",Healthcare!$E1134&lt;=6.4,"prediabetes",Healthcare!$E1134&gt;=6.5,"diabetes")</f>
        <v>diabetes</v>
      </c>
      <c r="G1134" s="5" t="s">
        <v>19</v>
      </c>
      <c r="H1134" s="5" t="s">
        <v>19</v>
      </c>
      <c r="I1134" s="5" t="s">
        <v>19</v>
      </c>
      <c r="J1134" s="5">
        <v>0</v>
      </c>
      <c r="K1134" s="5" t="s">
        <v>19</v>
      </c>
      <c r="L1134" s="5" t="str">
        <f>VLOOKUP(Healthcare!$A1134,hospital_details,2,0)</f>
        <v>17-Aug-1962</v>
      </c>
      <c r="M1134" s="5">
        <f t="shared" ref="M1134:M1197" ca="1" si="6791">VLOOKUP(A1134,hospital_details,3,0)</f>
        <v>64</v>
      </c>
      <c r="N1134" s="5">
        <f t="shared" ref="N1134:N1197" si="6792">VLOOKUP($A1134,hospital_details,4,0)</f>
        <v>0</v>
      </c>
      <c r="O1134" s="6">
        <f t="shared" ref="O1134:O1197" si="6793">VLOOKUP($A1134,hospital_details,5,0)</f>
        <v>9907.83</v>
      </c>
      <c r="P1134" s="5" t="str">
        <f t="shared" ref="P1134:P1197" si="6794">VLOOKUP($A1134,hospital_details,6,0)</f>
        <v>tier - 3</v>
      </c>
      <c r="Q1134" s="5" t="str">
        <f t="shared" ref="Q1134:Q1197" si="6795">VLOOKUP($A1134,hospital_details,7,0)</f>
        <v>tier - 2</v>
      </c>
      <c r="R1134" s="5" t="str">
        <f t="shared" ref="R1134:R1197" si="6796">VLOOKUP($A1134,hospital_details,8,0)</f>
        <v>R1013</v>
      </c>
    </row>
    <row r="1135" spans="1:18" ht="14.4" customHeight="1" x14ac:dyDescent="0.3">
      <c r="A1135" s="7" t="s">
        <v>1155</v>
      </c>
      <c r="B1135" s="7" t="str">
        <f>VLOOKUP($A1135,[1]!Customer_Names[#Data],3,0)</f>
        <v xml:space="preserve">  Lara</v>
      </c>
      <c r="C1135" s="7">
        <v>45.72</v>
      </c>
      <c r="D1135" s="7" t="str" cm="1">
        <f t="array" ref="D1135">_xlfn.IFS(Healthcare!$C1135&lt;18.5,"under weight",Healthcare!$C1135&lt;=24.9,"Normal Weight",Healthcare!$C1135&gt;=25,"overweight",Healthcare!$C1135&gt;=30,"obese")</f>
        <v>overweight</v>
      </c>
      <c r="E1135" s="7">
        <v>4.2300000000000004</v>
      </c>
      <c r="F1135" s="7" t="str" cm="1">
        <f t="array" ref="F1135">_xlfn.IFS(Healthcare!$E1135&lt;5.7,"normal",Healthcare!$E1135&lt;=6.4,"prediabetes",Healthcare!$E1135&gt;=6.5,"diabetes")</f>
        <v>normal</v>
      </c>
      <c r="G1135" s="7" t="s">
        <v>20</v>
      </c>
      <c r="H1135" s="7" t="s">
        <v>19</v>
      </c>
      <c r="I1135" s="7" t="s">
        <v>19</v>
      </c>
      <c r="J1135" s="7">
        <v>0</v>
      </c>
      <c r="K1135" s="7" t="s">
        <v>19</v>
      </c>
      <c r="L1135" s="7" t="str">
        <f>VLOOKUP(Healthcare!$A1135,hospital_details,2,0)</f>
        <v>8-Jul-1996</v>
      </c>
      <c r="M1135" s="7">
        <f t="shared" ref="M1135:M1198" ca="1" si="6797">VLOOKUP(A1135,hospital_details,3,0)</f>
        <v>30</v>
      </c>
      <c r="N1135" s="7">
        <f t="shared" ref="N1135:N1198" si="6798">VLOOKUP($A1135,hospital_details,4,0)</f>
        <v>0</v>
      </c>
      <c r="O1135" s="8">
        <f t="shared" ref="O1135:O1198" si="6799">VLOOKUP($A1135,hospital_details,5,0)</f>
        <v>9894.69</v>
      </c>
      <c r="P1135" s="7" t="str">
        <f t="shared" ref="P1135:P1198" si="6800">VLOOKUP($A1135,hospital_details,6,0)</f>
        <v>tier - 2</v>
      </c>
      <c r="Q1135" s="7" t="str">
        <f t="shared" ref="Q1135:Q1198" si="6801">VLOOKUP($A1135,hospital_details,7,0)</f>
        <v>tier - 3</v>
      </c>
      <c r="R1135" s="7" t="str">
        <f t="shared" ref="R1135:R1198" si="6802">VLOOKUP($A1135,hospital_details,8,0)</f>
        <v>R1012</v>
      </c>
    </row>
    <row r="1136" spans="1:18" ht="14.4" customHeight="1" x14ac:dyDescent="0.3">
      <c r="A1136" s="5" t="s">
        <v>1156</v>
      </c>
      <c r="B1136" s="5" t="str">
        <f>VLOOKUP($A1136,[1]!Customer_Names[#Data],3,0)</f>
        <v xml:space="preserve">  Megan</v>
      </c>
      <c r="C1136" s="5">
        <v>25</v>
      </c>
      <c r="D1136" s="5" t="str" cm="1">
        <f t="array" ref="D1136">_xlfn.IFS(Healthcare!$C1136&lt;18.5,"under weight",Healthcare!$C1136&lt;=24.9,"Normal Weight",Healthcare!$C1136&gt;=25,"overweight",Healthcare!$C1136&gt;=30,"obese")</f>
        <v>overweight</v>
      </c>
      <c r="E1136" s="5">
        <v>5.32</v>
      </c>
      <c r="F1136" s="5" t="str" cm="1">
        <f t="array" ref="F1136">_xlfn.IFS(Healthcare!$E1136&lt;5.7,"normal",Healthcare!$E1136&lt;=6.4,"prediabetes",Healthcare!$E1136&gt;=6.5,"diabetes")</f>
        <v>normal</v>
      </c>
      <c r="G1136" s="5" t="s">
        <v>20</v>
      </c>
      <c r="H1136" s="5" t="s">
        <v>19</v>
      </c>
      <c r="I1136" s="5" t="s">
        <v>19</v>
      </c>
      <c r="J1136" s="5">
        <v>2</v>
      </c>
      <c r="K1136" s="5" t="s">
        <v>19</v>
      </c>
      <c r="L1136" s="5" t="str">
        <f>VLOOKUP(Healthcare!$A1136,hospital_details,2,0)</f>
        <v>5-Nov-1966</v>
      </c>
      <c r="M1136" s="5">
        <f t="shared" ref="M1136:M1199" ca="1" si="6803">VLOOKUP(A1136,hospital_details,3,0)</f>
        <v>59</v>
      </c>
      <c r="N1136" s="5">
        <f t="shared" ref="N1136:N1199" si="6804">VLOOKUP($A1136,hospital_details,4,0)</f>
        <v>0</v>
      </c>
      <c r="O1136" s="6">
        <f t="shared" ref="O1136:O1199" si="6805">VLOOKUP($A1136,hospital_details,5,0)</f>
        <v>9890.23</v>
      </c>
      <c r="P1136" s="5" t="str">
        <f t="shared" ref="P1136:P1199" si="6806">VLOOKUP($A1136,hospital_details,6,0)</f>
        <v>tier - 3</v>
      </c>
      <c r="Q1136" s="5" t="str">
        <f t="shared" ref="Q1136:Q1199" si="6807">VLOOKUP($A1136,hospital_details,7,0)</f>
        <v>tier - 3</v>
      </c>
      <c r="R1136" s="5" t="str">
        <f t="shared" ref="R1136:R1199" si="6808">VLOOKUP($A1136,hospital_details,8,0)</f>
        <v>R1013</v>
      </c>
    </row>
    <row r="1137" spans="1:18" ht="14.4" customHeight="1" x14ac:dyDescent="0.3">
      <c r="A1137" s="7" t="s">
        <v>1157</v>
      </c>
      <c r="B1137" s="7" t="str">
        <f>VLOOKUP($A1137,[1]!Customer_Names[#Data],3,0)</f>
        <v xml:space="preserve">  Sara</v>
      </c>
      <c r="C1137" s="7">
        <v>39.5</v>
      </c>
      <c r="D1137" s="7" t="str" cm="1">
        <f t="array" ref="D1137">_xlfn.IFS(Healthcare!$C1137&lt;18.5,"under weight",Healthcare!$C1137&lt;=24.9,"Normal Weight",Healthcare!$C1137&gt;=25,"overweight",Healthcare!$C1137&gt;=30,"obese")</f>
        <v>overweight</v>
      </c>
      <c r="E1137" s="7">
        <v>6.66</v>
      </c>
      <c r="F1137" s="7" t="str" cm="1">
        <f t="array" ref="F1137">_xlfn.IFS(Healthcare!$E1137&lt;5.7,"normal",Healthcare!$E1137&lt;=6.4,"prediabetes",Healthcare!$E1137&gt;=6.5,"diabetes")</f>
        <v>diabetes</v>
      </c>
      <c r="G1137" s="7" t="s">
        <v>19</v>
      </c>
      <c r="H1137" s="7" t="s">
        <v>19</v>
      </c>
      <c r="I1137" s="7" t="s">
        <v>19</v>
      </c>
      <c r="J1137" s="7">
        <v>0</v>
      </c>
      <c r="K1137" s="7" t="s">
        <v>19</v>
      </c>
      <c r="L1137" s="7" t="str">
        <f>VLOOKUP(Healthcare!$A1137,hospital_details,2,0)</f>
        <v>8-Nov-1971</v>
      </c>
      <c r="M1137" s="7">
        <f t="shared" ref="M1137:M1200" ca="1" si="6809">VLOOKUP(A1137,hospital_details,3,0)</f>
        <v>54</v>
      </c>
      <c r="N1137" s="7">
        <f t="shared" ref="N1137:N1200" si="6810">VLOOKUP($A1137,hospital_details,4,0)</f>
        <v>1</v>
      </c>
      <c r="O1137" s="8">
        <f t="shared" ref="O1137:O1200" si="6811">VLOOKUP($A1137,hospital_details,5,0)</f>
        <v>9880.07</v>
      </c>
      <c r="P1137" s="7" t="str">
        <f t="shared" ref="P1137:P1200" si="6812">VLOOKUP($A1137,hospital_details,6,0)</f>
        <v>tier - 2</v>
      </c>
      <c r="Q1137" s="7" t="str">
        <f t="shared" ref="Q1137:Q1200" si="6813">VLOOKUP($A1137,hospital_details,7,0)</f>
        <v>tier - 3</v>
      </c>
      <c r="R1137" s="7" t="str">
        <f t="shared" ref="R1137:R1200" si="6814">VLOOKUP($A1137,hospital_details,8,0)</f>
        <v>R1011</v>
      </c>
    </row>
    <row r="1138" spans="1:18" ht="14.4" customHeight="1" x14ac:dyDescent="0.3">
      <c r="A1138" s="5" t="s">
        <v>1158</v>
      </c>
      <c r="B1138" s="5" t="str">
        <f>VLOOKUP($A1138,[1]!Customer_Names[#Data],3,0)</f>
        <v xml:space="preserve">  Lucie J</v>
      </c>
      <c r="C1138" s="5">
        <v>37.729999999999997</v>
      </c>
      <c r="D1138" s="5" t="str" cm="1">
        <f t="array" ref="D1138">_xlfn.IFS(Healthcare!$C1138&lt;18.5,"under weight",Healthcare!$C1138&lt;=24.9,"Normal Weight",Healthcare!$C1138&gt;=25,"overweight",Healthcare!$C1138&gt;=30,"obese")</f>
        <v>overweight</v>
      </c>
      <c r="E1138" s="5">
        <v>7.4</v>
      </c>
      <c r="F1138" s="5" t="str" cm="1">
        <f t="array" ref="F1138">_xlfn.IFS(Healthcare!$E1138&lt;5.7,"normal",Healthcare!$E1138&lt;=6.4,"prediabetes",Healthcare!$E1138&gt;=6.5,"diabetes")</f>
        <v>diabetes</v>
      </c>
      <c r="G1138" s="5" t="s">
        <v>19</v>
      </c>
      <c r="H1138" s="5" t="s">
        <v>19</v>
      </c>
      <c r="I1138" s="5" t="s">
        <v>19</v>
      </c>
      <c r="J1138" s="5">
        <v>0</v>
      </c>
      <c r="K1138" s="5" t="s">
        <v>19</v>
      </c>
      <c r="L1138" s="5" t="str">
        <f>VLOOKUP(Healthcare!$A1138,hospital_details,2,0)</f>
        <v>3-Oct-1971</v>
      </c>
      <c r="M1138" s="5">
        <f t="shared" ref="M1138:M1201" ca="1" si="6815">VLOOKUP(A1138,hospital_details,3,0)</f>
        <v>55</v>
      </c>
      <c r="N1138" s="5">
        <f t="shared" ref="N1138:N1201" si="6816">VLOOKUP($A1138,hospital_details,4,0)</f>
        <v>1</v>
      </c>
      <c r="O1138" s="6">
        <f t="shared" ref="O1138:O1201" si="6817">VLOOKUP($A1138,hospital_details,5,0)</f>
        <v>9877.61</v>
      </c>
      <c r="P1138" s="5" t="str">
        <f t="shared" ref="P1138:P1201" si="6818">VLOOKUP($A1138,hospital_details,6,0)</f>
        <v>tier - 2</v>
      </c>
      <c r="Q1138" s="5" t="str">
        <f t="shared" ref="Q1138:Q1201" si="6819">VLOOKUP($A1138,hospital_details,7,0)</f>
        <v>tier - 1</v>
      </c>
      <c r="R1138" s="5" t="str">
        <f t="shared" ref="R1138:R1201" si="6820">VLOOKUP($A1138,hospital_details,8,0)</f>
        <v>R1013</v>
      </c>
    </row>
    <row r="1139" spans="1:18" ht="14.4" customHeight="1" x14ac:dyDescent="0.3">
      <c r="A1139" s="7" t="s">
        <v>1159</v>
      </c>
      <c r="B1139" s="7" t="str">
        <f>VLOOKUP($A1139,[1]!Customer_Names[#Data],3,0)</f>
        <v xml:space="preserve">  Elizabeth S</v>
      </c>
      <c r="C1139" s="7">
        <v>40.659999999999997</v>
      </c>
      <c r="D1139" s="7" t="str" cm="1">
        <f t="array" ref="D1139">_xlfn.IFS(Healthcare!$C1139&lt;18.5,"under weight",Healthcare!$C1139&lt;=24.9,"Normal Weight",Healthcare!$C1139&gt;=25,"overweight",Healthcare!$C1139&gt;=30,"obese")</f>
        <v>overweight</v>
      </c>
      <c r="E1139" s="7">
        <v>10.08</v>
      </c>
      <c r="F1139" s="7" t="str" cm="1">
        <f t="array" ref="F1139">_xlfn.IFS(Healthcare!$E1139&lt;5.7,"normal",Healthcare!$E1139&lt;=6.4,"prediabetes",Healthcare!$E1139&gt;=6.5,"diabetes")</f>
        <v>diabetes</v>
      </c>
      <c r="G1139" s="7" t="s">
        <v>19</v>
      </c>
      <c r="H1139" s="7" t="s">
        <v>19</v>
      </c>
      <c r="I1139" s="7" t="s">
        <v>19</v>
      </c>
      <c r="J1139" s="7">
        <v>0</v>
      </c>
      <c r="K1139" s="7" t="s">
        <v>19</v>
      </c>
      <c r="L1139" s="7" t="str">
        <f>VLOOKUP(Healthcare!$A1139,hospital_details,2,0)</f>
        <v>3-Jul-1971</v>
      </c>
      <c r="M1139" s="7">
        <f t="shared" ref="M1139:M1202" ca="1" si="6821">VLOOKUP(A1139,hospital_details,3,0)</f>
        <v>55</v>
      </c>
      <c r="N1139" s="7">
        <f t="shared" ref="N1139:N1202" si="6822">VLOOKUP($A1139,hospital_details,4,0)</f>
        <v>0</v>
      </c>
      <c r="O1139" s="8">
        <f t="shared" ref="O1139:O1202" si="6823">VLOOKUP($A1139,hospital_details,5,0)</f>
        <v>9875.68</v>
      </c>
      <c r="P1139" s="7" t="str">
        <f t="shared" ref="P1139:P1202" si="6824">VLOOKUP($A1139,hospital_details,6,0)</f>
        <v>tier - 2</v>
      </c>
      <c r="Q1139" s="7" t="str">
        <f t="shared" ref="Q1139:Q1202" si="6825">VLOOKUP($A1139,hospital_details,7,0)</f>
        <v>tier - 3</v>
      </c>
      <c r="R1139" s="7" t="str">
        <f t="shared" ref="R1139:R1202" si="6826">VLOOKUP($A1139,hospital_details,8,0)</f>
        <v>R1024</v>
      </c>
    </row>
    <row r="1140" spans="1:18" ht="14.4" customHeight="1" x14ac:dyDescent="0.3">
      <c r="A1140" s="5" t="s">
        <v>1160</v>
      </c>
      <c r="B1140" s="5" t="str">
        <f>VLOOKUP($A1140,[1]!Customer_Names[#Data],3,0)</f>
        <v xml:space="preserve">  Carma S</v>
      </c>
      <c r="C1140" s="5">
        <v>34.200000000000003</v>
      </c>
      <c r="D1140" s="5" t="str" cm="1">
        <f t="array" ref="D1140">_xlfn.IFS(Healthcare!$C1140&lt;18.5,"under weight",Healthcare!$C1140&lt;=24.9,"Normal Weight",Healthcare!$C1140&gt;=25,"overweight",Healthcare!$C1140&gt;=30,"obese")</f>
        <v>overweight</v>
      </c>
      <c r="E1140" s="5">
        <v>8.58</v>
      </c>
      <c r="F1140" s="5" t="str" cm="1">
        <f t="array" ref="F1140">_xlfn.IFS(Healthcare!$E1140&lt;5.7,"normal",Healthcare!$E1140&lt;=6.4,"prediabetes",Healthcare!$E1140&gt;=6.5,"diabetes")</f>
        <v>diabetes</v>
      </c>
      <c r="G1140" s="5" t="s">
        <v>19</v>
      </c>
      <c r="H1140" s="5" t="s">
        <v>19</v>
      </c>
      <c r="I1140" s="5" t="s">
        <v>19</v>
      </c>
      <c r="J1140" s="5">
        <v>0</v>
      </c>
      <c r="K1140" s="5" t="s">
        <v>19</v>
      </c>
      <c r="L1140" s="5" t="str">
        <f>VLOOKUP(Healthcare!$A1140,hospital_details,2,0)</f>
        <v>22-Dec-1971</v>
      </c>
      <c r="M1140" s="5">
        <f t="shared" ref="M1140:M1203" ca="1" si="6827">VLOOKUP(A1140,hospital_details,3,0)</f>
        <v>54</v>
      </c>
      <c r="N1140" s="5">
        <f t="shared" ref="N1140:N1203" si="6828">VLOOKUP($A1140,hospital_details,4,0)</f>
        <v>1</v>
      </c>
      <c r="O1140" s="6">
        <f t="shared" ref="O1140:O1203" si="6829">VLOOKUP($A1140,hospital_details,5,0)</f>
        <v>9872.7000000000007</v>
      </c>
      <c r="P1140" s="5" t="str">
        <f t="shared" ref="P1140:P1203" si="6830">VLOOKUP($A1140,hospital_details,6,0)</f>
        <v>tier - 2</v>
      </c>
      <c r="Q1140" s="5" t="str">
        <f t="shared" ref="Q1140:Q1203" si="6831">VLOOKUP($A1140,hospital_details,7,0)</f>
        <v>tier - 2</v>
      </c>
      <c r="R1140" s="5" t="str">
        <f t="shared" ref="R1140:R1203" si="6832">VLOOKUP($A1140,hospital_details,8,0)</f>
        <v>R1011</v>
      </c>
    </row>
    <row r="1141" spans="1:18" ht="14.4" customHeight="1" x14ac:dyDescent="0.3">
      <c r="A1141" s="7" t="s">
        <v>1161</v>
      </c>
      <c r="B1141" s="7" t="str">
        <f>VLOOKUP($A1141,[1]!Customer_Names[#Data],3,0)</f>
        <v xml:space="preserve">  Ryan</v>
      </c>
      <c r="C1141" s="7">
        <v>46.51</v>
      </c>
      <c r="D1141" s="7" t="str" cm="1">
        <f t="array" ref="D1141">_xlfn.IFS(Healthcare!$C1141&lt;18.5,"under weight",Healthcare!$C1141&lt;=24.9,"Normal Weight",Healthcare!$C1141&gt;=25,"overweight",Healthcare!$C1141&gt;=30,"obese")</f>
        <v>overweight</v>
      </c>
      <c r="E1141" s="7">
        <v>5.84</v>
      </c>
      <c r="F1141" s="7" t="str" cm="1">
        <f t="array" ref="F1141">_xlfn.IFS(Healthcare!$E1141&lt;5.7,"normal",Healthcare!$E1141&lt;=6.4,"prediabetes",Healthcare!$E1141&gt;=6.5,"diabetes")</f>
        <v>prediabetes</v>
      </c>
      <c r="G1141" s="7" t="s">
        <v>19</v>
      </c>
      <c r="H1141" s="7" t="s">
        <v>19</v>
      </c>
      <c r="I1141" s="7" t="s">
        <v>19</v>
      </c>
      <c r="J1141" s="7">
        <v>1</v>
      </c>
      <c r="K1141" s="7" t="s">
        <v>19</v>
      </c>
      <c r="L1141" s="7" t="str">
        <f>VLOOKUP(Healthcare!$A1141,hospital_details,2,0)</f>
        <v>6-Jul-1998</v>
      </c>
      <c r="M1141" s="7">
        <f t="shared" ref="M1141:M1204" ca="1" si="6833">VLOOKUP(A1141,hospital_details,3,0)</f>
        <v>28</v>
      </c>
      <c r="N1141" s="7">
        <f t="shared" ref="N1141:N1204" si="6834">VLOOKUP($A1141,hospital_details,4,0)</f>
        <v>0</v>
      </c>
      <c r="O1141" s="8">
        <f t="shared" ref="O1141:O1204" si="6835">VLOOKUP($A1141,hospital_details,5,0)</f>
        <v>9870.59</v>
      </c>
      <c r="P1141" s="7" t="str">
        <f t="shared" ref="P1141:P1204" si="6836">VLOOKUP($A1141,hospital_details,6,0)</f>
        <v>tier - 2</v>
      </c>
      <c r="Q1141" s="7" t="str">
        <f t="shared" ref="Q1141:Q1204" si="6837">VLOOKUP($A1141,hospital_details,7,0)</f>
        <v>tier - 2</v>
      </c>
      <c r="R1141" s="7" t="str">
        <f t="shared" ref="R1141:R1204" si="6838">VLOOKUP($A1141,hospital_details,8,0)</f>
        <v>R1023</v>
      </c>
    </row>
    <row r="1142" spans="1:18" ht="14.4" customHeight="1" x14ac:dyDescent="0.3">
      <c r="A1142" s="5" t="s">
        <v>1162</v>
      </c>
      <c r="B1142" s="5" t="str">
        <f>VLOOKUP($A1142,[1]!Customer_Names[#Data],3,0)</f>
        <v xml:space="preserve">  Daniel</v>
      </c>
      <c r="C1142" s="5">
        <v>28.88</v>
      </c>
      <c r="D1142" s="5" t="str" cm="1">
        <f t="array" ref="D1142">_xlfn.IFS(Healthcare!$C1142&lt;18.5,"under weight",Healthcare!$C1142&lt;=24.9,"Normal Weight",Healthcare!$C1142&gt;=25,"overweight",Healthcare!$C1142&gt;=30,"obese")</f>
        <v>overweight</v>
      </c>
      <c r="E1142" s="5">
        <v>4.8600000000000003</v>
      </c>
      <c r="F1142" s="5" t="str" cm="1">
        <f t="array" ref="F1142">_xlfn.IFS(Healthcare!$E1142&lt;5.7,"normal",Healthcare!$E1142&lt;=6.4,"prediabetes",Healthcare!$E1142&gt;=6.5,"diabetes")</f>
        <v>normal</v>
      </c>
      <c r="G1142" s="5" t="s">
        <v>20</v>
      </c>
      <c r="H1142" s="5" t="s">
        <v>19</v>
      </c>
      <c r="I1142" s="5" t="s">
        <v>29</v>
      </c>
      <c r="J1142" s="5">
        <v>1</v>
      </c>
      <c r="K1142" s="5" t="s">
        <v>19</v>
      </c>
      <c r="L1142" s="5" t="str">
        <f>VLOOKUP(Healthcare!$A1142,hospital_details,2,0)</f>
        <v>13-Aug-1969</v>
      </c>
      <c r="M1142" s="5">
        <f t="shared" ref="M1142:M1205" ca="1" si="6839">VLOOKUP(A1142,hospital_details,3,0)</f>
        <v>57</v>
      </c>
      <c r="N1142" s="5">
        <f t="shared" ref="N1142:N1205" si="6840">VLOOKUP($A1142,hospital_details,4,0)</f>
        <v>0</v>
      </c>
      <c r="O1142" s="6">
        <f t="shared" ref="O1142:O1205" si="6841">VLOOKUP($A1142,hospital_details,5,0)</f>
        <v>9869.81</v>
      </c>
      <c r="P1142" s="5" t="str">
        <f t="shared" ref="P1142:P1205" si="6842">VLOOKUP($A1142,hospital_details,6,0)</f>
        <v>tier - 3</v>
      </c>
      <c r="Q1142" s="5" t="str">
        <f t="shared" ref="Q1142:Q1205" si="6843">VLOOKUP($A1142,hospital_details,7,0)</f>
        <v>tier - 3</v>
      </c>
      <c r="R1142" s="5" t="str">
        <f t="shared" ref="R1142:R1205" si="6844">VLOOKUP($A1142,hospital_details,8,0)</f>
        <v>R1012</v>
      </c>
    </row>
    <row r="1143" spans="1:18" ht="14.4" customHeight="1" x14ac:dyDescent="0.3">
      <c r="A1143" s="7" t="s">
        <v>1163</v>
      </c>
      <c r="B1143" s="7" t="str">
        <f>VLOOKUP($A1143,[1]!Customer_Names[#Data],3,0)</f>
        <v xml:space="preserve">  Sarah</v>
      </c>
      <c r="C1143" s="7">
        <v>33.914999999999999</v>
      </c>
      <c r="D1143" s="7" t="str" cm="1">
        <f t="array" ref="D1143">_xlfn.IFS(Healthcare!$C1143&lt;18.5,"under weight",Healthcare!$C1143&lt;=24.9,"Normal Weight",Healthcare!$C1143&gt;=25,"overweight",Healthcare!$C1143&gt;=30,"obese")</f>
        <v>overweight</v>
      </c>
      <c r="E1143" s="7">
        <v>11.52</v>
      </c>
      <c r="F1143" s="7" t="str" cm="1">
        <f t="array" ref="F1143">_xlfn.IFS(Healthcare!$E1143&lt;5.7,"normal",Healthcare!$E1143&lt;=6.4,"prediabetes",Healthcare!$E1143&gt;=6.5,"diabetes")</f>
        <v>diabetes</v>
      </c>
      <c r="G1143" s="7" t="s">
        <v>19</v>
      </c>
      <c r="H1143" s="7" t="s">
        <v>19</v>
      </c>
      <c r="I1143" s="7" t="s">
        <v>19</v>
      </c>
      <c r="J1143" s="7">
        <v>0</v>
      </c>
      <c r="K1143" s="7" t="s">
        <v>19</v>
      </c>
      <c r="L1143" s="7" t="str">
        <f>VLOOKUP(Healthcare!$A1143,hospital_details,2,0)</f>
        <v>9-Nov-1971</v>
      </c>
      <c r="M1143" s="7">
        <f t="shared" ref="M1143:M1206" ca="1" si="6845">VLOOKUP(A1143,hospital_details,3,0)</f>
        <v>54</v>
      </c>
      <c r="N1143" s="7">
        <f t="shared" ref="N1143:N1206" si="6846">VLOOKUP($A1143,hospital_details,4,0)</f>
        <v>0</v>
      </c>
      <c r="O1143" s="8">
        <f t="shared" ref="O1143:O1206" si="6847">VLOOKUP($A1143,hospital_details,5,0)</f>
        <v>9866.2999999999993</v>
      </c>
      <c r="P1143" s="7" t="str">
        <f t="shared" ref="P1143:P1206" si="6848">VLOOKUP($A1143,hospital_details,6,0)</f>
        <v>tier - 2</v>
      </c>
      <c r="Q1143" s="7" t="str">
        <f t="shared" ref="Q1143:Q1206" si="6849">VLOOKUP($A1143,hospital_details,7,0)</f>
        <v>tier - 3</v>
      </c>
      <c r="R1143" s="7" t="str">
        <f t="shared" ref="R1143:R1206" si="6850">VLOOKUP($A1143,hospital_details,8,0)</f>
        <v>R1024</v>
      </c>
    </row>
    <row r="1144" spans="1:18" ht="14.4" customHeight="1" x14ac:dyDescent="0.3">
      <c r="A1144" s="5" t="s">
        <v>1164</v>
      </c>
      <c r="B1144" s="5" t="str">
        <f>VLOOKUP($A1144,[1]!Customer_Names[#Data],3,0)</f>
        <v xml:space="preserve">  Matthew J</v>
      </c>
      <c r="C1144" s="5">
        <v>24.32</v>
      </c>
      <c r="D1144" s="5" t="str" cm="1">
        <f t="array" ref="D1144">_xlfn.IFS(Healthcare!$C1144&lt;18.5,"under weight",Healthcare!$C1144&lt;=24.9,"Normal Weight",Healthcare!$C1144&gt;=25,"overweight",Healthcare!$C1144&gt;=30,"obese")</f>
        <v>Normal Weight</v>
      </c>
      <c r="E1144" s="5">
        <v>6.15</v>
      </c>
      <c r="F1144" s="5" t="str" cm="1">
        <f t="array" ref="F1144">_xlfn.IFS(Healthcare!$E1144&lt;5.7,"normal",Healthcare!$E1144&lt;=6.4,"prediabetes",Healthcare!$E1144&gt;=6.5,"diabetes")</f>
        <v>prediabetes</v>
      </c>
      <c r="G1144" s="5" t="s">
        <v>20</v>
      </c>
      <c r="H1144" s="5" t="s">
        <v>19</v>
      </c>
      <c r="I1144" s="5" t="s">
        <v>29</v>
      </c>
      <c r="J1144" s="5">
        <v>1</v>
      </c>
      <c r="K1144" s="5" t="s">
        <v>19</v>
      </c>
      <c r="L1144" s="5" t="str">
        <f>VLOOKUP(Healthcare!$A1144,hospital_details,2,0)</f>
        <v>20-Oct-1969</v>
      </c>
      <c r="M1144" s="5">
        <f t="shared" ref="M1144:M1207" ca="1" si="6851">VLOOKUP(A1144,hospital_details,3,0)</f>
        <v>56</v>
      </c>
      <c r="N1144" s="5">
        <f t="shared" ref="N1144:N1207" si="6852">VLOOKUP($A1144,hospital_details,4,0)</f>
        <v>0</v>
      </c>
      <c r="O1144" s="6">
        <f t="shared" ref="O1144:O1207" si="6853">VLOOKUP($A1144,hospital_details,5,0)</f>
        <v>9863.4699999999993</v>
      </c>
      <c r="P1144" s="5" t="str">
        <f t="shared" ref="P1144:P1207" si="6854">VLOOKUP($A1144,hospital_details,6,0)</f>
        <v>tier - 3</v>
      </c>
      <c r="Q1144" s="5" t="str">
        <f t="shared" ref="Q1144:Q1207" si="6855">VLOOKUP($A1144,hospital_details,7,0)</f>
        <v>tier - 3</v>
      </c>
      <c r="R1144" s="5" t="str">
        <f t="shared" ref="R1144:R1207" si="6856">VLOOKUP($A1144,hospital_details,8,0)</f>
        <v>R1012</v>
      </c>
    </row>
    <row r="1145" spans="1:18" ht="14.4" customHeight="1" x14ac:dyDescent="0.3">
      <c r="A1145" s="7" t="s">
        <v>1165</v>
      </c>
      <c r="B1145" s="7" t="str">
        <f>VLOOKUP($A1145,[1]!Customer_Names[#Data],3,0)</f>
        <v xml:space="preserve">  Francesca</v>
      </c>
      <c r="C1145" s="7">
        <v>25.8</v>
      </c>
      <c r="D1145" s="7" t="str" cm="1">
        <f t="array" ref="D1145">_xlfn.IFS(Healthcare!$C1145&lt;18.5,"under weight",Healthcare!$C1145&lt;=24.9,"Normal Weight",Healthcare!$C1145&gt;=25,"overweight",Healthcare!$C1145&gt;=30,"obese")</f>
        <v>overweight</v>
      </c>
      <c r="E1145" s="7">
        <v>9.94</v>
      </c>
      <c r="F1145" s="7" t="str" cm="1">
        <f t="array" ref="F1145">_xlfn.IFS(Healthcare!$E1145&lt;5.7,"normal",Healthcare!$E1145&lt;=6.4,"prediabetes",Healthcare!$E1145&gt;=6.5,"diabetes")</f>
        <v>diabetes</v>
      </c>
      <c r="G1145" s="7" t="s">
        <v>19</v>
      </c>
      <c r="H1145" s="7" t="s">
        <v>19</v>
      </c>
      <c r="I1145" s="7" t="s">
        <v>19</v>
      </c>
      <c r="J1145" s="7">
        <v>0</v>
      </c>
      <c r="K1145" s="7" t="s">
        <v>19</v>
      </c>
      <c r="L1145" s="7" t="str">
        <f>VLOOKUP(Healthcare!$A1145,hospital_details,2,0)</f>
        <v>17-Jul-1971</v>
      </c>
      <c r="M1145" s="7">
        <f t="shared" ref="M1145:M1208" ca="1" si="6857">VLOOKUP(A1145,hospital_details,3,0)</f>
        <v>55</v>
      </c>
      <c r="N1145" s="7">
        <f t="shared" ref="N1145:N1208" si="6858">VLOOKUP($A1145,hospital_details,4,0)</f>
        <v>1</v>
      </c>
      <c r="O1145" s="8">
        <f t="shared" ref="O1145:O1208" si="6859">VLOOKUP($A1145,hospital_details,5,0)</f>
        <v>9861.0300000000007</v>
      </c>
      <c r="P1145" s="7" t="str">
        <f t="shared" ref="P1145:P1208" si="6860">VLOOKUP($A1145,hospital_details,6,0)</f>
        <v>tier - 2</v>
      </c>
      <c r="Q1145" s="7" t="str">
        <f t="shared" ref="Q1145:Q1208" si="6861">VLOOKUP($A1145,hospital_details,7,0)</f>
        <v>tier - 2</v>
      </c>
      <c r="R1145" s="7" t="str">
        <f t="shared" ref="R1145:R1208" si="6862">VLOOKUP($A1145,hospital_details,8,0)</f>
        <v>R1011</v>
      </c>
    </row>
    <row r="1146" spans="1:18" ht="14.4" customHeight="1" x14ac:dyDescent="0.3">
      <c r="A1146" s="5" t="s">
        <v>1166</v>
      </c>
      <c r="B1146" s="5" t="str">
        <f>VLOOKUP($A1146,[1]!Customer_Names[#Data],3,0)</f>
        <v xml:space="preserve">  Nicole</v>
      </c>
      <c r="C1146" s="5">
        <v>21.56</v>
      </c>
      <c r="D1146" s="5" t="str" cm="1">
        <f t="array" ref="D1146">_xlfn.IFS(Healthcare!$C1146&lt;18.5,"under weight",Healthcare!$C1146&lt;=24.9,"Normal Weight",Healthcare!$C1146&gt;=25,"overweight",Healthcare!$C1146&gt;=30,"obese")</f>
        <v>Normal Weight</v>
      </c>
      <c r="E1146" s="5">
        <v>10.56</v>
      </c>
      <c r="F1146" s="5" t="str" cm="1">
        <f t="array" ref="F1146">_xlfn.IFS(Healthcare!$E1146&lt;5.7,"normal",Healthcare!$E1146&lt;=6.4,"prediabetes",Healthcare!$E1146&gt;=6.5,"diabetes")</f>
        <v>diabetes</v>
      </c>
      <c r="G1146" s="5" t="s">
        <v>19</v>
      </c>
      <c r="H1146" s="5" t="s">
        <v>19</v>
      </c>
      <c r="I1146" s="5" t="s">
        <v>19</v>
      </c>
      <c r="J1146" s="5">
        <v>0</v>
      </c>
      <c r="K1146" s="5" t="s">
        <v>19</v>
      </c>
      <c r="L1146" s="5" t="str">
        <f>VLOOKUP(Healthcare!$A1146,hospital_details,2,0)</f>
        <v>23-Oct-1971</v>
      </c>
      <c r="M1146" s="5">
        <f t="shared" ref="M1146:M1209" ca="1" si="6863">VLOOKUP(A1146,hospital_details,3,0)</f>
        <v>54</v>
      </c>
      <c r="N1146" s="5">
        <f t="shared" ref="N1146:N1209" si="6864">VLOOKUP($A1146,hospital_details,4,0)</f>
        <v>1</v>
      </c>
      <c r="O1146" s="6">
        <f t="shared" ref="O1146:O1209" si="6865">VLOOKUP($A1146,hospital_details,5,0)</f>
        <v>9855.1299999999992</v>
      </c>
      <c r="P1146" s="5" t="str">
        <f t="shared" ref="P1146:P1209" si="6866">VLOOKUP($A1146,hospital_details,6,0)</f>
        <v>tier - 2</v>
      </c>
      <c r="Q1146" s="5" t="str">
        <f t="shared" ref="Q1146:Q1209" si="6867">VLOOKUP($A1146,hospital_details,7,0)</f>
        <v>tier - 3</v>
      </c>
      <c r="R1146" s="5" t="str">
        <f t="shared" ref="R1146:R1209" si="6868">VLOOKUP($A1146,hospital_details,8,0)</f>
        <v>R1013</v>
      </c>
    </row>
    <row r="1147" spans="1:18" ht="14.4" customHeight="1" x14ac:dyDescent="0.3">
      <c r="A1147" s="7" t="s">
        <v>1167</v>
      </c>
      <c r="B1147" s="7" t="str">
        <f>VLOOKUP($A1147,[1]!Customer_Names[#Data],3,0)</f>
        <v xml:space="preserve">  Toshiyuki</v>
      </c>
      <c r="C1147" s="7">
        <v>31.6</v>
      </c>
      <c r="D1147" s="7" t="str" cm="1">
        <f t="array" ref="D1147">_xlfn.IFS(Healthcare!$C1147&lt;18.5,"under weight",Healthcare!$C1147&lt;=24.9,"Normal Weight",Healthcare!$C1147&gt;=25,"overweight",Healthcare!$C1147&gt;=30,"obese")</f>
        <v>overweight</v>
      </c>
      <c r="E1147" s="7">
        <v>6.79</v>
      </c>
      <c r="F1147" s="7" t="str" cm="1">
        <f t="array" ref="F1147">_xlfn.IFS(Healthcare!$E1147&lt;5.7,"normal",Healthcare!$E1147&lt;=6.4,"prediabetes",Healthcare!$E1147&gt;=6.5,"diabetes")</f>
        <v>diabetes</v>
      </c>
      <c r="G1147" s="7" t="s">
        <v>19</v>
      </c>
      <c r="H1147" s="7" t="s">
        <v>19</v>
      </c>
      <c r="I1147" s="7" t="s">
        <v>19</v>
      </c>
      <c r="J1147" s="7">
        <v>0</v>
      </c>
      <c r="K1147" s="7" t="s">
        <v>19</v>
      </c>
      <c r="L1147" s="7" t="str">
        <f>VLOOKUP(Healthcare!$A1147,hospital_details,2,0)</f>
        <v>4-Nov-1968</v>
      </c>
      <c r="M1147" s="7">
        <f t="shared" ref="M1147:M1210" ca="1" si="6869">VLOOKUP(A1147,hospital_details,3,0)</f>
        <v>57</v>
      </c>
      <c r="N1147" s="7">
        <f t="shared" ref="N1147:N1210" si="6870">VLOOKUP($A1147,hospital_details,4,0)</f>
        <v>0</v>
      </c>
      <c r="O1147" s="8">
        <f t="shared" ref="O1147:O1210" si="6871">VLOOKUP($A1147,hospital_details,5,0)</f>
        <v>9850.43</v>
      </c>
      <c r="P1147" s="7" t="str">
        <f t="shared" ref="P1147:P1210" si="6872">VLOOKUP($A1147,hospital_details,6,0)</f>
        <v>tier - 3</v>
      </c>
      <c r="Q1147" s="7" t="str">
        <f t="shared" ref="Q1147:Q1210" si="6873">VLOOKUP($A1147,hospital_details,7,0)</f>
        <v>tier - 3</v>
      </c>
      <c r="R1147" s="7" t="str">
        <f t="shared" ref="R1147:R1210" si="6874">VLOOKUP($A1147,hospital_details,8,0)</f>
        <v>R1011</v>
      </c>
    </row>
    <row r="1148" spans="1:18" ht="14.4" customHeight="1" x14ac:dyDescent="0.3">
      <c r="A1148" s="5" t="s">
        <v>1168</v>
      </c>
      <c r="B1148" s="5" t="str">
        <f>VLOOKUP($A1148,[1]!Customer_Names[#Data],3,0)</f>
        <v xml:space="preserve">  Tom L</v>
      </c>
      <c r="C1148" s="5">
        <v>42.93</v>
      </c>
      <c r="D1148" s="5" t="str" cm="1">
        <f t="array" ref="D1148">_xlfn.IFS(Healthcare!$C1148&lt;18.5,"under weight",Healthcare!$C1148&lt;=24.9,"Normal Weight",Healthcare!$C1148&gt;=25,"overweight",Healthcare!$C1148&gt;=30,"obese")</f>
        <v>overweight</v>
      </c>
      <c r="E1148" s="5">
        <v>4.8</v>
      </c>
      <c r="F1148" s="5" t="str" cm="1">
        <f t="array" ref="F1148">_xlfn.IFS(Healthcare!$E1148&lt;5.7,"normal",Healthcare!$E1148&lt;=6.4,"prediabetes",Healthcare!$E1148&gt;=6.5,"diabetes")</f>
        <v>normal</v>
      </c>
      <c r="G1148" s="5" t="s">
        <v>19</v>
      </c>
      <c r="H1148" s="5" t="s">
        <v>19</v>
      </c>
      <c r="I1148" s="5" t="s">
        <v>19</v>
      </c>
      <c r="J1148" s="5">
        <v>1</v>
      </c>
      <c r="K1148" s="5" t="s">
        <v>19</v>
      </c>
      <c r="L1148" s="5" t="str">
        <f>VLOOKUP(Healthcare!$A1148,hospital_details,2,0)</f>
        <v>13-Aug-1992</v>
      </c>
      <c r="M1148" s="5">
        <f t="shared" ref="M1148:M1211" ca="1" si="6875">VLOOKUP(A1148,hospital_details,3,0)</f>
        <v>34</v>
      </c>
      <c r="N1148" s="5">
        <f t="shared" ref="N1148:N1211" si="6876">VLOOKUP($A1148,hospital_details,4,0)</f>
        <v>0</v>
      </c>
      <c r="O1148" s="6">
        <f t="shared" ref="O1148:O1211" si="6877">VLOOKUP($A1148,hospital_details,5,0)</f>
        <v>9844.4500000000007</v>
      </c>
      <c r="P1148" s="5" t="str">
        <f t="shared" ref="P1148:P1211" si="6878">VLOOKUP($A1148,hospital_details,6,0)</f>
        <v>tier - 2</v>
      </c>
      <c r="Q1148" s="5" t="str">
        <f t="shared" ref="Q1148:Q1211" si="6879">VLOOKUP($A1148,hospital_details,7,0)</f>
        <v>tier - 1</v>
      </c>
      <c r="R1148" s="5" t="str">
        <f t="shared" ref="R1148:R1211" si="6880">VLOOKUP($A1148,hospital_details,8,0)</f>
        <v>R1012</v>
      </c>
    </row>
    <row r="1149" spans="1:18" ht="14.4" customHeight="1" x14ac:dyDescent="0.3">
      <c r="A1149" s="7" t="s">
        <v>1169</v>
      </c>
      <c r="B1149" s="7" t="str">
        <f>VLOOKUP($A1149,[1]!Customer_Names[#Data],3,0)</f>
        <v xml:space="preserve">  Brian</v>
      </c>
      <c r="C1149" s="7">
        <v>26.72</v>
      </c>
      <c r="D1149" s="7" t="str" cm="1">
        <f t="array" ref="D1149">_xlfn.IFS(Healthcare!$C1149&lt;18.5,"under weight",Healthcare!$C1149&lt;=24.9,"Normal Weight",Healthcare!$C1149&gt;=25,"overweight",Healthcare!$C1149&gt;=30,"obese")</f>
        <v>overweight</v>
      </c>
      <c r="E1149" s="7">
        <v>5.75</v>
      </c>
      <c r="F1149" s="7" t="str" cm="1">
        <f t="array" ref="F1149">_xlfn.IFS(Healthcare!$E1149&lt;5.7,"normal",Healthcare!$E1149&lt;=6.4,"prediabetes",Healthcare!$E1149&gt;=6.5,"diabetes")</f>
        <v>prediabetes</v>
      </c>
      <c r="G1149" s="7" t="s">
        <v>19</v>
      </c>
      <c r="H1149" s="7" t="s">
        <v>19</v>
      </c>
      <c r="I1149" s="7" t="s">
        <v>19</v>
      </c>
      <c r="J1149" s="7">
        <v>2</v>
      </c>
      <c r="K1149" s="7" t="s">
        <v>19</v>
      </c>
      <c r="L1149" s="7" t="str">
        <f>VLOOKUP(Healthcare!$A1149,hospital_details,2,0)</f>
        <v>26-Sep-1972</v>
      </c>
      <c r="M1149" s="7">
        <f t="shared" ref="M1149:M1212" ca="1" si="6881">VLOOKUP(A1149,hospital_details,3,0)</f>
        <v>54</v>
      </c>
      <c r="N1149" s="7">
        <f t="shared" ref="N1149:N1212" si="6882">VLOOKUP($A1149,hospital_details,4,0)</f>
        <v>0</v>
      </c>
      <c r="O1149" s="8">
        <f t="shared" ref="O1149:O1212" si="6883">VLOOKUP($A1149,hospital_details,5,0)</f>
        <v>9836.2099999999991</v>
      </c>
      <c r="P1149" s="7" t="str">
        <f t="shared" ref="P1149:P1212" si="6884">VLOOKUP($A1149,hospital_details,6,0)</f>
        <v>tier - 2</v>
      </c>
      <c r="Q1149" s="7" t="str">
        <f t="shared" ref="Q1149:Q1212" si="6885">VLOOKUP($A1149,hospital_details,7,0)</f>
        <v>tier - 3</v>
      </c>
      <c r="R1149" s="7" t="str">
        <f t="shared" ref="R1149:R1212" si="6886">VLOOKUP($A1149,hospital_details,8,0)</f>
        <v>R1021</v>
      </c>
    </row>
    <row r="1150" spans="1:18" ht="14.4" customHeight="1" x14ac:dyDescent="0.3">
      <c r="A1150" s="5" t="s">
        <v>1170</v>
      </c>
      <c r="B1150" s="5" t="str">
        <f>VLOOKUP($A1150,[1]!Customer_Names[#Data],3,0)</f>
        <v xml:space="preserve">  Matthew</v>
      </c>
      <c r="C1150" s="5">
        <v>26.67</v>
      </c>
      <c r="D1150" s="5" t="str" cm="1">
        <f t="array" ref="D1150">_xlfn.IFS(Healthcare!$C1150&lt;18.5,"under weight",Healthcare!$C1150&lt;=24.9,"Normal Weight",Healthcare!$C1150&gt;=25,"overweight",Healthcare!$C1150&gt;=30,"obese")</f>
        <v>overweight</v>
      </c>
      <c r="E1150" s="5">
        <v>5.81</v>
      </c>
      <c r="F1150" s="5" t="str" cm="1">
        <f t="array" ref="F1150">_xlfn.IFS(Healthcare!$E1150&lt;5.7,"normal",Healthcare!$E1150&lt;=6.4,"prediabetes",Healthcare!$E1150&gt;=6.5,"diabetes")</f>
        <v>prediabetes</v>
      </c>
      <c r="G1150" s="5" t="s">
        <v>19</v>
      </c>
      <c r="H1150" s="5" t="s">
        <v>19</v>
      </c>
      <c r="I1150" s="5" t="s">
        <v>19</v>
      </c>
      <c r="J1150" s="5">
        <v>2</v>
      </c>
      <c r="K1150" s="5" t="s">
        <v>19</v>
      </c>
      <c r="L1150" s="5" t="str">
        <f>VLOOKUP(Healthcare!$A1150,hospital_details,2,0)</f>
        <v>28-Jun-1972</v>
      </c>
      <c r="M1150" s="5">
        <f t="shared" ref="M1150:M1213" ca="1" si="6887">VLOOKUP(A1150,hospital_details,3,0)</f>
        <v>54</v>
      </c>
      <c r="N1150" s="5">
        <f t="shared" ref="N1150:N1213" si="6888">VLOOKUP($A1150,hospital_details,4,0)</f>
        <v>0</v>
      </c>
      <c r="O1150" s="6">
        <f t="shared" ref="O1150:O1213" si="6889">VLOOKUP($A1150,hospital_details,5,0)</f>
        <v>9819.25</v>
      </c>
      <c r="P1150" s="5" t="str">
        <f t="shared" ref="P1150:P1213" si="6890">VLOOKUP($A1150,hospital_details,6,0)</f>
        <v>tier - 2</v>
      </c>
      <c r="Q1150" s="5" t="str">
        <f t="shared" ref="Q1150:Q1213" si="6891">VLOOKUP($A1150,hospital_details,7,0)</f>
        <v>tier - 2</v>
      </c>
      <c r="R1150" s="5" t="str">
        <f t="shared" ref="R1150:R1213" si="6892">VLOOKUP($A1150,hospital_details,8,0)</f>
        <v>R1021</v>
      </c>
    </row>
    <row r="1151" spans="1:18" ht="14.4" customHeight="1" x14ac:dyDescent="0.3">
      <c r="A1151" s="7" t="s">
        <v>1171</v>
      </c>
      <c r="B1151" s="7" t="str">
        <f>VLOOKUP($A1151,[1]!Customer_Names[#Data],3,0)</f>
        <v xml:space="preserve">  Julee</v>
      </c>
      <c r="C1151" s="7">
        <v>42.68</v>
      </c>
      <c r="D1151" s="7" t="str" cm="1">
        <f t="array" ref="D1151">_xlfn.IFS(Healthcare!$C1151&lt;18.5,"under weight",Healthcare!$C1151&lt;=24.9,"Normal Weight",Healthcare!$C1151&gt;=25,"overweight",Healthcare!$C1151&gt;=30,"obese")</f>
        <v>overweight</v>
      </c>
      <c r="E1151" s="7">
        <v>9.2799999999999994</v>
      </c>
      <c r="F1151" s="7" t="str" cm="1">
        <f t="array" ref="F1151">_xlfn.IFS(Healthcare!$E1151&lt;5.7,"normal",Healthcare!$E1151&lt;=6.4,"prediabetes",Healthcare!$E1151&gt;=6.5,"diabetes")</f>
        <v>diabetes</v>
      </c>
      <c r="G1151" s="7" t="s">
        <v>19</v>
      </c>
      <c r="H1151" s="7" t="s">
        <v>19</v>
      </c>
      <c r="I1151" s="7" t="s">
        <v>19</v>
      </c>
      <c r="J1151" s="7">
        <v>2</v>
      </c>
      <c r="K1151" s="7" t="s">
        <v>19</v>
      </c>
      <c r="L1151" s="7" t="str">
        <f>VLOOKUP(Healthcare!$A1151,hospital_details,2,0)</f>
        <v>17-Sep-1973</v>
      </c>
      <c r="M1151" s="7">
        <f t="shared" ref="M1151:M1214" ca="1" si="6893">VLOOKUP(A1151,hospital_details,3,0)</f>
        <v>53</v>
      </c>
      <c r="N1151" s="7">
        <f t="shared" ref="N1151:N1214" si="6894">VLOOKUP($A1151,hospital_details,4,0)</f>
        <v>2</v>
      </c>
      <c r="O1151" s="8">
        <f t="shared" ref="O1151:O1214" si="6895">VLOOKUP($A1151,hospital_details,5,0)</f>
        <v>9800.89</v>
      </c>
      <c r="P1151" s="7" t="str">
        <f t="shared" ref="P1151:P1214" si="6896">VLOOKUP($A1151,hospital_details,6,0)</f>
        <v>tier - 2</v>
      </c>
      <c r="Q1151" s="7" t="str">
        <f t="shared" ref="Q1151:Q1214" si="6897">VLOOKUP($A1151,hospital_details,7,0)</f>
        <v>tier - 1</v>
      </c>
      <c r="R1151" s="7" t="str">
        <f t="shared" ref="R1151:R1214" si="6898">VLOOKUP($A1151,hospital_details,8,0)</f>
        <v>R1013</v>
      </c>
    </row>
    <row r="1152" spans="1:18" ht="14.4" customHeight="1" x14ac:dyDescent="0.3">
      <c r="A1152" s="5" t="s">
        <v>1172</v>
      </c>
      <c r="B1152" s="5" t="str">
        <f>VLOOKUP($A1152,[1]!Customer_Names[#Data],3,0)</f>
        <v xml:space="preserve">  Christopher M</v>
      </c>
      <c r="C1152" s="5">
        <v>24.31</v>
      </c>
      <c r="D1152" s="5" t="str" cm="1">
        <f t="array" ref="D1152">_xlfn.IFS(Healthcare!$C1152&lt;18.5,"under weight",Healthcare!$C1152&lt;=24.9,"Normal Weight",Healthcare!$C1152&gt;=25,"overweight",Healthcare!$C1152&gt;=30,"obese")</f>
        <v>Normal Weight</v>
      </c>
      <c r="E1152" s="5">
        <v>6.37</v>
      </c>
      <c r="F1152" s="5" t="str" cm="1">
        <f t="array" ref="F1152">_xlfn.IFS(Healthcare!$E1152&lt;5.7,"normal",Healthcare!$E1152&lt;=6.4,"prediabetes",Healthcare!$E1152&gt;=6.5,"diabetes")</f>
        <v>prediabetes</v>
      </c>
      <c r="G1152" s="5" t="s">
        <v>19</v>
      </c>
      <c r="H1152" s="5" t="s">
        <v>19</v>
      </c>
      <c r="I1152" s="5" t="s">
        <v>19</v>
      </c>
      <c r="J1152" s="5">
        <v>0</v>
      </c>
      <c r="K1152" s="5" t="s">
        <v>19</v>
      </c>
      <c r="L1152" s="5" t="str">
        <f>VLOOKUP(Healthcare!$A1152,hospital_details,2,0)</f>
        <v>7-Jun-1977</v>
      </c>
      <c r="M1152" s="5">
        <f t="shared" ref="M1152:M1215" ca="1" si="6899">VLOOKUP(A1152,hospital_details,3,0)</f>
        <v>49</v>
      </c>
      <c r="N1152" s="5">
        <f t="shared" ref="N1152:N1215" si="6900">VLOOKUP($A1152,hospital_details,4,0)</f>
        <v>5</v>
      </c>
      <c r="O1152" s="6">
        <f t="shared" ref="O1152:O1215" si="6901">VLOOKUP($A1152,hospital_details,5,0)</f>
        <v>9788.8700000000008</v>
      </c>
      <c r="P1152" s="5" t="str">
        <f t="shared" ref="P1152:P1215" si="6902">VLOOKUP($A1152,hospital_details,6,0)</f>
        <v>tier - 3</v>
      </c>
      <c r="Q1152" s="5" t="str">
        <f t="shared" ref="Q1152:Q1215" si="6903">VLOOKUP($A1152,hospital_details,7,0)</f>
        <v>tier - 2</v>
      </c>
      <c r="R1152" s="5" t="str">
        <f t="shared" ref="R1152:R1215" si="6904">VLOOKUP($A1152,hospital_details,8,0)</f>
        <v>R1013</v>
      </c>
    </row>
    <row r="1153" spans="1:18" ht="14.4" customHeight="1" x14ac:dyDescent="0.3">
      <c r="A1153" s="7" t="s">
        <v>1173</v>
      </c>
      <c r="B1153" s="7" t="str">
        <f>VLOOKUP($A1153,[1]!Customer_Names[#Data],3,0)</f>
        <v xml:space="preserve">  Ciaran</v>
      </c>
      <c r="C1153" s="7">
        <v>44.75</v>
      </c>
      <c r="D1153" s="7" t="str" cm="1">
        <f t="array" ref="D1153">_xlfn.IFS(Healthcare!$C1153&lt;18.5,"under weight",Healthcare!$C1153&lt;=24.9,"Normal Weight",Healthcare!$C1153&gt;=25,"overweight",Healthcare!$C1153&gt;=30,"obese")</f>
        <v>overweight</v>
      </c>
      <c r="E1153" s="7">
        <v>5.09</v>
      </c>
      <c r="F1153" s="7" t="str" cm="1">
        <f t="array" ref="F1153">_xlfn.IFS(Healthcare!$E1153&lt;5.7,"normal",Healthcare!$E1153&lt;=6.4,"prediabetes",Healthcare!$E1153&gt;=6.5,"diabetes")</f>
        <v>normal</v>
      </c>
      <c r="G1153" s="7" t="s">
        <v>20</v>
      </c>
      <c r="H1153" s="7" t="s">
        <v>19</v>
      </c>
      <c r="I1153" s="7" t="s">
        <v>19</v>
      </c>
      <c r="J1153" s="7">
        <v>0</v>
      </c>
      <c r="K1153" s="7" t="s">
        <v>19</v>
      </c>
      <c r="L1153" s="7" t="str">
        <f>VLOOKUP(Healthcare!$A1153,hospital_details,2,0)</f>
        <v>8-Aug-1996</v>
      </c>
      <c r="M1153" s="7">
        <f t="shared" ref="M1153:M1216" ca="1" si="6905">VLOOKUP(A1153,hospital_details,3,0)</f>
        <v>30</v>
      </c>
      <c r="N1153" s="7">
        <f t="shared" ref="N1153:N1216" si="6906">VLOOKUP($A1153,hospital_details,4,0)</f>
        <v>0</v>
      </c>
      <c r="O1153" s="8">
        <f t="shared" ref="O1153:O1216" si="6907">VLOOKUP($A1153,hospital_details,5,0)</f>
        <v>9787.32</v>
      </c>
      <c r="P1153" s="7" t="str">
        <f t="shared" ref="P1153:P1216" si="6908">VLOOKUP($A1153,hospital_details,6,0)</f>
        <v>tier - 2</v>
      </c>
      <c r="Q1153" s="7" t="str">
        <f t="shared" ref="Q1153:Q1216" si="6909">VLOOKUP($A1153,hospital_details,7,0)</f>
        <v>tier - 3</v>
      </c>
      <c r="R1153" s="7" t="str">
        <f t="shared" ref="R1153:R1216" si="6910">VLOOKUP($A1153,hospital_details,8,0)</f>
        <v>R1023</v>
      </c>
    </row>
    <row r="1154" spans="1:18" ht="14.4" customHeight="1" x14ac:dyDescent="0.3">
      <c r="A1154" s="5" t="s">
        <v>1174</v>
      </c>
      <c r="B1154" s="5" t="str">
        <f>VLOOKUP($A1154,[1]!Customer_Names[#Data],3,0)</f>
        <v xml:space="preserve">  Kara</v>
      </c>
      <c r="C1154" s="5">
        <v>30.78</v>
      </c>
      <c r="D1154" s="5" t="str" cm="1">
        <f t="array" ref="D1154">_xlfn.IFS(Healthcare!$C1154&lt;18.5,"under weight",Healthcare!$C1154&lt;=24.9,"Normal Weight",Healthcare!$C1154&gt;=25,"overweight",Healthcare!$C1154&gt;=30,"obese")</f>
        <v>overweight</v>
      </c>
      <c r="E1154" s="5">
        <v>7.94</v>
      </c>
      <c r="F1154" s="5" t="str" cm="1">
        <f t="array" ref="F1154">_xlfn.IFS(Healthcare!$E1154&lt;5.7,"normal",Healthcare!$E1154&lt;=6.4,"prediabetes",Healthcare!$E1154&gt;=6.5,"diabetes")</f>
        <v>diabetes</v>
      </c>
      <c r="G1154" s="5" t="s">
        <v>19</v>
      </c>
      <c r="H1154" s="5" t="s">
        <v>19</v>
      </c>
      <c r="I1154" s="5" t="s">
        <v>19</v>
      </c>
      <c r="J1154" s="5">
        <v>2</v>
      </c>
      <c r="K1154" s="5" t="s">
        <v>19</v>
      </c>
      <c r="L1154" s="5" t="str">
        <f>VLOOKUP(Healthcare!$A1154,hospital_details,2,0)</f>
        <v>7-Jul-1973</v>
      </c>
      <c r="M1154" s="5">
        <f t="shared" ref="M1154:M1217" ca="1" si="6911">VLOOKUP(A1154,hospital_details,3,0)</f>
        <v>53</v>
      </c>
      <c r="N1154" s="5">
        <f t="shared" ref="N1154:N1217" si="6912">VLOOKUP($A1154,hospital_details,4,0)</f>
        <v>1</v>
      </c>
      <c r="O1154" s="6">
        <f t="shared" ref="O1154:O1217" si="6913">VLOOKUP($A1154,hospital_details,5,0)</f>
        <v>9778.35</v>
      </c>
      <c r="P1154" s="5" t="str">
        <f t="shared" ref="P1154:P1217" si="6914">VLOOKUP($A1154,hospital_details,6,0)</f>
        <v>tier - 2</v>
      </c>
      <c r="Q1154" s="5" t="str">
        <f t="shared" ref="Q1154:Q1217" si="6915">VLOOKUP($A1154,hospital_details,7,0)</f>
        <v>tier - 2</v>
      </c>
      <c r="R1154" s="5" t="str">
        <f t="shared" ref="R1154:R1217" si="6916">VLOOKUP($A1154,hospital_details,8,0)</f>
        <v>R1024</v>
      </c>
    </row>
    <row r="1155" spans="1:18" ht="14.4" customHeight="1" x14ac:dyDescent="0.3">
      <c r="A1155" s="7" t="s">
        <v>1175</v>
      </c>
      <c r="B1155" s="7" t="str">
        <f>VLOOKUP($A1155,[1]!Customer_Names[#Data],3,0)</f>
        <v xml:space="preserve">  Makie</v>
      </c>
      <c r="C1155" s="7">
        <v>21.86</v>
      </c>
      <c r="D1155" s="7" t="str" cm="1">
        <f t="array" ref="D1155">_xlfn.IFS(Healthcare!$C1155&lt;18.5,"under weight",Healthcare!$C1155&lt;=24.9,"Normal Weight",Healthcare!$C1155&gt;=25,"overweight",Healthcare!$C1155&gt;=30,"obese")</f>
        <v>Normal Weight</v>
      </c>
      <c r="E1155" s="7">
        <v>10.95</v>
      </c>
      <c r="F1155" s="7" t="str" cm="1">
        <f t="array" ref="F1155">_xlfn.IFS(Healthcare!$E1155&lt;5.7,"normal",Healthcare!$E1155&lt;=6.4,"prediabetes",Healthcare!$E1155&gt;=6.5,"diabetes")</f>
        <v>diabetes</v>
      </c>
      <c r="G1155" s="7" t="s">
        <v>19</v>
      </c>
      <c r="H1155" s="7" t="s">
        <v>19</v>
      </c>
      <c r="I1155" s="7" t="s">
        <v>19</v>
      </c>
      <c r="J1155" s="7">
        <v>0</v>
      </c>
      <c r="K1155" s="7" t="s">
        <v>19</v>
      </c>
      <c r="L1155" s="7" t="str">
        <f>VLOOKUP(Healthcare!$A1155,hospital_details,2,0)</f>
        <v>5-Sep-1965</v>
      </c>
      <c r="M1155" s="7">
        <f t="shared" ref="M1155:M1218" ca="1" si="6917">VLOOKUP(A1155,hospital_details,3,0)</f>
        <v>61</v>
      </c>
      <c r="N1155" s="7">
        <f t="shared" ref="N1155:N1218" si="6918">VLOOKUP($A1155,hospital_details,4,0)</f>
        <v>0</v>
      </c>
      <c r="O1155" s="8">
        <f t="shared" ref="O1155:O1218" si="6919">VLOOKUP($A1155,hospital_details,5,0)</f>
        <v>9764.08</v>
      </c>
      <c r="P1155" s="7" t="str">
        <f t="shared" ref="P1155:P1218" si="6920">VLOOKUP($A1155,hospital_details,6,0)</f>
        <v>tier - 3</v>
      </c>
      <c r="Q1155" s="7" t="str">
        <f t="shared" ref="Q1155:Q1218" si="6921">VLOOKUP($A1155,hospital_details,7,0)</f>
        <v>tier - 1</v>
      </c>
      <c r="R1155" s="7" t="str">
        <f t="shared" ref="R1155:R1218" si="6922">VLOOKUP($A1155,hospital_details,8,0)</f>
        <v>R1012</v>
      </c>
    </row>
    <row r="1156" spans="1:18" ht="14.4" customHeight="1" x14ac:dyDescent="0.3">
      <c r="A1156" s="5" t="s">
        <v>1176</v>
      </c>
      <c r="B1156" s="5" t="str">
        <f>VLOOKUP($A1156,[1]!Customer_Names[#Data],3,0)</f>
        <v xml:space="preserve">  Emily E</v>
      </c>
      <c r="C1156" s="5">
        <v>49.09</v>
      </c>
      <c r="D1156" s="5" t="str" cm="1">
        <f t="array" ref="D1156">_xlfn.IFS(Healthcare!$C1156&lt;18.5,"under weight",Healthcare!$C1156&lt;=24.9,"Normal Weight",Healthcare!$C1156&gt;=25,"overweight",Healthcare!$C1156&gt;=30,"obese")</f>
        <v>overweight</v>
      </c>
      <c r="E1156" s="5">
        <v>6.3</v>
      </c>
      <c r="F1156" s="5" t="str" cm="1">
        <f t="array" ref="F1156">_xlfn.IFS(Healthcare!$E1156&lt;5.7,"normal",Healthcare!$E1156&lt;=6.4,"prediabetes",Healthcare!$E1156&gt;=6.5,"diabetes")</f>
        <v>prediabetes</v>
      </c>
      <c r="G1156" s="5" t="s">
        <v>20</v>
      </c>
      <c r="H1156" s="5" t="s">
        <v>19</v>
      </c>
      <c r="I1156" s="5" t="s">
        <v>19</v>
      </c>
      <c r="J1156" s="5">
        <v>0</v>
      </c>
      <c r="K1156" s="5" t="s">
        <v>19</v>
      </c>
      <c r="L1156" s="5" t="str">
        <f>VLOOKUP(Healthcare!$A1156,hospital_details,2,0)</f>
        <v>14-Jul-2001</v>
      </c>
      <c r="M1156" s="5">
        <f t="shared" ref="M1156:M1219" ca="1" si="6923">VLOOKUP(A1156,hospital_details,3,0)</f>
        <v>25</v>
      </c>
      <c r="N1156" s="5">
        <f t="shared" ref="N1156:N1219" si="6924">VLOOKUP($A1156,hospital_details,4,0)</f>
        <v>0</v>
      </c>
      <c r="O1156" s="6">
        <f t="shared" ref="O1156:O1219" si="6925">VLOOKUP($A1156,hospital_details,5,0)</f>
        <v>9753.49</v>
      </c>
      <c r="P1156" s="5" t="str">
        <f t="shared" ref="P1156:P1219" si="6926">VLOOKUP($A1156,hospital_details,6,0)</f>
        <v>tier - 2</v>
      </c>
      <c r="Q1156" s="5" t="str">
        <f t="shared" ref="Q1156:Q1219" si="6927">VLOOKUP($A1156,hospital_details,7,0)</f>
        <v>tier - 2</v>
      </c>
      <c r="R1156" s="5" t="str">
        <f t="shared" ref="R1156:R1219" si="6928">VLOOKUP($A1156,hospital_details,8,0)</f>
        <v>R1012</v>
      </c>
    </row>
    <row r="1157" spans="1:18" ht="14.4" customHeight="1" x14ac:dyDescent="0.3">
      <c r="A1157" s="7" t="s">
        <v>1177</v>
      </c>
      <c r="B1157" s="7" t="str">
        <f>VLOOKUP($A1157,[1]!Customer_Names[#Data],3,0)</f>
        <v xml:space="preserve">  Cary</v>
      </c>
      <c r="C1157" s="7">
        <v>47.74</v>
      </c>
      <c r="D1157" s="7" t="str" cm="1">
        <f t="array" ref="D1157">_xlfn.IFS(Healthcare!$C1157&lt;18.5,"under weight",Healthcare!$C1157&lt;=24.9,"Normal Weight",Healthcare!$C1157&gt;=25,"overweight",Healthcare!$C1157&gt;=30,"obese")</f>
        <v>overweight</v>
      </c>
      <c r="E1157" s="7">
        <v>8.0500000000000007</v>
      </c>
      <c r="F1157" s="7" t="str" cm="1">
        <f t="array" ref="F1157">_xlfn.IFS(Healthcare!$E1157&lt;5.7,"normal",Healthcare!$E1157&lt;=6.4,"prediabetes",Healthcare!$E1157&gt;=6.5,"diabetes")</f>
        <v>diabetes</v>
      </c>
      <c r="G1157" s="7" t="s">
        <v>20</v>
      </c>
      <c r="H1157" s="7" t="s">
        <v>19</v>
      </c>
      <c r="I1157" s="7" t="s">
        <v>19</v>
      </c>
      <c r="J1157" s="7">
        <v>2</v>
      </c>
      <c r="K1157" s="7" t="s">
        <v>19</v>
      </c>
      <c r="L1157" s="7" t="str">
        <f>VLOOKUP(Healthcare!$A1157,hospital_details,2,0)</f>
        <v>4-Jul-1970</v>
      </c>
      <c r="M1157" s="7">
        <f t="shared" ref="M1157:M1220" ca="1" si="6929">VLOOKUP(A1157,hospital_details,3,0)</f>
        <v>56</v>
      </c>
      <c r="N1157" s="7">
        <f t="shared" ref="N1157:N1220" si="6930">VLOOKUP($A1157,hospital_details,4,0)</f>
        <v>1</v>
      </c>
      <c r="O1157" s="8">
        <f t="shared" ref="O1157:O1220" si="6931">VLOOKUP($A1157,hospital_details,5,0)</f>
        <v>9748.91</v>
      </c>
      <c r="P1157" s="7" t="str">
        <f t="shared" ref="P1157:P1220" si="6932">VLOOKUP($A1157,hospital_details,6,0)</f>
        <v>tier - 2</v>
      </c>
      <c r="Q1157" s="7" t="str">
        <f t="shared" ref="Q1157:Q1220" si="6933">VLOOKUP($A1157,hospital_details,7,0)</f>
        <v>tier - 1</v>
      </c>
      <c r="R1157" s="7" t="str">
        <f t="shared" ref="R1157:R1220" si="6934">VLOOKUP($A1157,hospital_details,8,0)</f>
        <v>R1013</v>
      </c>
    </row>
    <row r="1158" spans="1:18" ht="14.4" customHeight="1" x14ac:dyDescent="0.3">
      <c r="A1158" s="5" t="s">
        <v>1178</v>
      </c>
      <c r="B1158" s="5" t="str">
        <f>VLOOKUP($A1158,[1]!Customer_Names[#Data],3,0)</f>
        <v xml:space="preserve">  Steven</v>
      </c>
      <c r="C1158" s="5">
        <v>30.2</v>
      </c>
      <c r="D1158" s="5" t="str" cm="1">
        <f t="array" ref="D1158">_xlfn.IFS(Healthcare!$C1158&lt;18.5,"under weight",Healthcare!$C1158&lt;=24.9,"Normal Weight",Healthcare!$C1158&gt;=25,"overweight",Healthcare!$C1158&gt;=30,"obese")</f>
        <v>overweight</v>
      </c>
      <c r="E1158" s="5">
        <v>9.8800000000000008</v>
      </c>
      <c r="F1158" s="5" t="str" cm="1">
        <f t="array" ref="F1158">_xlfn.IFS(Healthcare!$E1158&lt;5.7,"normal",Healthcare!$E1158&lt;=6.4,"prediabetes",Healthcare!$E1158&gt;=6.5,"diabetes")</f>
        <v>diabetes</v>
      </c>
      <c r="G1158" s="5" t="s">
        <v>20</v>
      </c>
      <c r="H1158" s="5" t="s">
        <v>19</v>
      </c>
      <c r="I1158" s="5" t="s">
        <v>19</v>
      </c>
      <c r="J1158" s="5">
        <v>2</v>
      </c>
      <c r="K1158" s="5" t="s">
        <v>19</v>
      </c>
      <c r="L1158" s="5" t="str">
        <f>VLOOKUP(Healthcare!$A1158,hospital_details,2,0)</f>
        <v>18-Aug-1970</v>
      </c>
      <c r="M1158" s="5">
        <f t="shared" ref="M1158:M1221" ca="1" si="6935">VLOOKUP(A1158,hospital_details,3,0)</f>
        <v>56</v>
      </c>
      <c r="N1158" s="5">
        <f t="shared" ref="N1158:N1221" si="6936">VLOOKUP($A1158,hospital_details,4,0)</f>
        <v>1</v>
      </c>
      <c r="O1158" s="6">
        <f t="shared" ref="O1158:O1221" si="6937">VLOOKUP($A1158,hospital_details,5,0)</f>
        <v>9724.5300000000007</v>
      </c>
      <c r="P1158" s="5" t="str">
        <f t="shared" ref="P1158:P1221" si="6938">VLOOKUP($A1158,hospital_details,6,0)</f>
        <v>tier - 3</v>
      </c>
      <c r="Q1158" s="5" t="str">
        <f t="shared" ref="Q1158:Q1221" si="6939">VLOOKUP($A1158,hospital_details,7,0)</f>
        <v>tier - 1</v>
      </c>
      <c r="R1158" s="5" t="str">
        <f t="shared" ref="R1158:R1221" si="6940">VLOOKUP($A1158,hospital_details,8,0)</f>
        <v>R1011</v>
      </c>
    </row>
    <row r="1159" spans="1:18" ht="14.4" customHeight="1" x14ac:dyDescent="0.3">
      <c r="A1159" s="7" t="s">
        <v>1179</v>
      </c>
      <c r="B1159" s="7" t="str">
        <f>VLOOKUP($A1159,[1]!Customer_Names[#Data],3,0)</f>
        <v xml:space="preserve">  Jose Antonio Sr</v>
      </c>
      <c r="C1159" s="7">
        <v>33.25</v>
      </c>
      <c r="D1159" s="7" t="str" cm="1">
        <f t="array" ref="D1159">_xlfn.IFS(Healthcare!$C1159&lt;18.5,"under weight",Healthcare!$C1159&lt;=24.9,"Normal Weight",Healthcare!$C1159&gt;=25,"overweight",Healthcare!$C1159&gt;=30,"obese")</f>
        <v>overweight</v>
      </c>
      <c r="E1159" s="7">
        <v>7.42</v>
      </c>
      <c r="F1159" s="7" t="str" cm="1">
        <f t="array" ref="F1159">_xlfn.IFS(Healthcare!$E1159&lt;5.7,"normal",Healthcare!$E1159&lt;=6.4,"prediabetes",Healthcare!$E1159&gt;=6.5,"diabetes")</f>
        <v>diabetes</v>
      </c>
      <c r="G1159" s="7" t="s">
        <v>20</v>
      </c>
      <c r="H1159" s="7" t="s">
        <v>19</v>
      </c>
      <c r="I1159" s="7" t="s">
        <v>19</v>
      </c>
      <c r="J1159" s="7">
        <v>2</v>
      </c>
      <c r="K1159" s="7" t="s">
        <v>19</v>
      </c>
      <c r="L1159" s="7" t="str">
        <f>VLOOKUP(Healthcare!$A1159,hospital_details,2,0)</f>
        <v>12-Sep-1970</v>
      </c>
      <c r="M1159" s="7">
        <f t="shared" ref="M1159:M1222" ca="1" si="6941">VLOOKUP(A1159,hospital_details,3,0)</f>
        <v>56</v>
      </c>
      <c r="N1159" s="7">
        <f t="shared" ref="N1159:N1222" si="6942">VLOOKUP($A1159,hospital_details,4,0)</f>
        <v>0</v>
      </c>
      <c r="O1159" s="8">
        <f t="shared" ref="O1159:O1222" si="6943">VLOOKUP($A1159,hospital_details,5,0)</f>
        <v>9722.77</v>
      </c>
      <c r="P1159" s="7" t="str">
        <f t="shared" ref="P1159:P1222" si="6944">VLOOKUP($A1159,hospital_details,6,0)</f>
        <v>tier - 3</v>
      </c>
      <c r="Q1159" s="7" t="str">
        <f t="shared" ref="Q1159:Q1222" si="6945">VLOOKUP($A1159,hospital_details,7,0)</f>
        <v>tier - 1</v>
      </c>
      <c r="R1159" s="7" t="str">
        <f t="shared" ref="R1159:R1222" si="6946">VLOOKUP($A1159,hospital_details,8,0)</f>
        <v>R1016</v>
      </c>
    </row>
    <row r="1160" spans="1:18" ht="14.4" customHeight="1" x14ac:dyDescent="0.3">
      <c r="A1160" s="5" t="s">
        <v>1180</v>
      </c>
      <c r="B1160" s="5" t="str">
        <f>VLOOKUP($A1160,[1]!Customer_Names[#Data],3,0)</f>
        <v xml:space="preserve">  Tatiana</v>
      </c>
      <c r="C1160" s="5">
        <v>26.6</v>
      </c>
      <c r="D1160" s="5" t="str" cm="1">
        <f t="array" ref="D1160">_xlfn.IFS(Healthcare!$C1160&lt;18.5,"under weight",Healthcare!$C1160&lt;=24.9,"Normal Weight",Healthcare!$C1160&gt;=25,"overweight",Healthcare!$C1160&gt;=30,"obese")</f>
        <v>overweight</v>
      </c>
      <c r="E1160" s="5">
        <v>8.4499999999999993</v>
      </c>
      <c r="F1160" s="5" t="str" cm="1">
        <f t="array" ref="F1160">_xlfn.IFS(Healthcare!$E1160&lt;5.7,"normal",Healthcare!$E1160&lt;=6.4,"prediabetes",Healthcare!$E1160&gt;=6.5,"diabetes")</f>
        <v>diabetes</v>
      </c>
      <c r="G1160" s="5" t="s">
        <v>20</v>
      </c>
      <c r="H1160" s="5" t="s">
        <v>19</v>
      </c>
      <c r="I1160" s="5" t="s">
        <v>19</v>
      </c>
      <c r="J1160" s="5">
        <v>1</v>
      </c>
      <c r="K1160" s="5" t="s">
        <v>19</v>
      </c>
      <c r="L1160" s="5" t="str">
        <f>VLOOKUP(Healthcare!$A1160,hospital_details,2,0)</f>
        <v>27-Jun-1975</v>
      </c>
      <c r="M1160" s="5">
        <f t="shared" ref="M1160:M1223" ca="1" si="6947">VLOOKUP(A1160,hospital_details,3,0)</f>
        <v>51</v>
      </c>
      <c r="N1160" s="5">
        <f t="shared" ref="N1160:N1223" si="6948">VLOOKUP($A1160,hospital_details,4,0)</f>
        <v>2</v>
      </c>
      <c r="O1160" s="6">
        <f t="shared" ref="O1160:O1223" si="6949">VLOOKUP($A1160,hospital_details,5,0)</f>
        <v>9715.84</v>
      </c>
      <c r="P1160" s="5" t="str">
        <f t="shared" ref="P1160:P1223" si="6950">VLOOKUP($A1160,hospital_details,6,0)</f>
        <v>tier - 2</v>
      </c>
      <c r="Q1160" s="5" t="str">
        <f t="shared" ref="Q1160:Q1223" si="6951">VLOOKUP($A1160,hospital_details,7,0)</f>
        <v>tier - 1</v>
      </c>
      <c r="R1160" s="5" t="str">
        <f t="shared" ref="R1160:R1223" si="6952">VLOOKUP($A1160,hospital_details,8,0)</f>
        <v>R1024</v>
      </c>
    </row>
    <row r="1161" spans="1:18" ht="14.4" customHeight="1" x14ac:dyDescent="0.3">
      <c r="A1161" s="7" t="s">
        <v>1181</v>
      </c>
      <c r="B1161" s="7" t="str">
        <f>VLOOKUP($A1161,[1]!Customer_Names[#Data],3,0)</f>
        <v xml:space="preserve">  Dan T</v>
      </c>
      <c r="C1161" s="7">
        <v>26.35</v>
      </c>
      <c r="D1161" s="7" t="str" cm="1">
        <f t="array" ref="D1161">_xlfn.IFS(Healthcare!$C1161&lt;18.5,"under weight",Healthcare!$C1161&lt;=24.9,"Normal Weight",Healthcare!$C1161&gt;=25,"overweight",Healthcare!$C1161&gt;=30,"obese")</f>
        <v>overweight</v>
      </c>
      <c r="E1161" s="7">
        <v>6.21</v>
      </c>
      <c r="F1161" s="7" t="str" cm="1">
        <f t="array" ref="F1161">_xlfn.IFS(Healthcare!$E1161&lt;5.7,"normal",Healthcare!$E1161&lt;=6.4,"prediabetes",Healthcare!$E1161&gt;=6.5,"diabetes")</f>
        <v>prediabetes</v>
      </c>
      <c r="G1161" s="7" t="s">
        <v>19</v>
      </c>
      <c r="H1161" s="7" t="s">
        <v>19</v>
      </c>
      <c r="I1161" s="7" t="s">
        <v>19</v>
      </c>
      <c r="J1161" s="7">
        <v>2</v>
      </c>
      <c r="K1161" s="7" t="s">
        <v>19</v>
      </c>
      <c r="L1161" s="7" t="str">
        <f>VLOOKUP(Healthcare!$A1161,hospital_details,2,0)</f>
        <v>10-Jul-1972</v>
      </c>
      <c r="M1161" s="7">
        <f t="shared" ref="M1161:M1224" ca="1" si="6953">VLOOKUP(A1161,hospital_details,3,0)</f>
        <v>54</v>
      </c>
      <c r="N1161" s="7">
        <f t="shared" ref="N1161:N1224" si="6954">VLOOKUP($A1161,hospital_details,4,0)</f>
        <v>0</v>
      </c>
      <c r="O1161" s="8">
        <f t="shared" ref="O1161:O1224" si="6955">VLOOKUP($A1161,hospital_details,5,0)</f>
        <v>9710.7099999999991</v>
      </c>
      <c r="P1161" s="7" t="str">
        <f t="shared" ref="P1161:P1224" si="6956">VLOOKUP($A1161,hospital_details,6,0)</f>
        <v>tier - 2</v>
      </c>
      <c r="Q1161" s="7" t="str">
        <f t="shared" ref="Q1161:Q1224" si="6957">VLOOKUP($A1161,hospital_details,7,0)</f>
        <v>tier - 1</v>
      </c>
      <c r="R1161" s="7" t="str">
        <f t="shared" ref="R1161:R1224" si="6958">VLOOKUP($A1161,hospital_details,8,0)</f>
        <v>R1021</v>
      </c>
    </row>
    <row r="1162" spans="1:18" ht="14.4" customHeight="1" x14ac:dyDescent="0.3">
      <c r="A1162" s="5" t="s">
        <v>1182</v>
      </c>
      <c r="B1162" s="5" t="str">
        <f>VLOOKUP($A1162,[1]!Customer_Names[#Data],3,0)</f>
        <v xml:space="preserve">  Liisa A</v>
      </c>
      <c r="C1162" s="5">
        <v>39.994999999999997</v>
      </c>
      <c r="D1162" s="5" t="str" cm="1">
        <f t="array" ref="D1162">_xlfn.IFS(Healthcare!$C1162&lt;18.5,"under weight",Healthcare!$C1162&lt;=24.9,"Normal Weight",Healthcare!$C1162&gt;=25,"overweight",Healthcare!$C1162&gt;=30,"obese")</f>
        <v>overweight</v>
      </c>
      <c r="E1162" s="5">
        <v>4.6500000000000004</v>
      </c>
      <c r="F1162" s="5" t="str" cm="1">
        <f t="array" ref="F1162">_xlfn.IFS(Healthcare!$E1162&lt;5.7,"normal",Healthcare!$E1162&lt;=6.4,"prediabetes",Healthcare!$E1162&gt;=6.5,"diabetes")</f>
        <v>normal</v>
      </c>
      <c r="G1162" s="5" t="s">
        <v>19</v>
      </c>
      <c r="H1162" s="5" t="s">
        <v>19</v>
      </c>
      <c r="I1162" s="5" t="s">
        <v>19</v>
      </c>
      <c r="J1162" s="5">
        <v>0</v>
      </c>
      <c r="K1162" s="5" t="s">
        <v>19</v>
      </c>
      <c r="L1162" s="5" t="str">
        <f>VLOOKUP(Healthcare!$A1162,hospital_details,2,0)</f>
        <v>19-Sep-1977</v>
      </c>
      <c r="M1162" s="5">
        <f t="shared" ref="M1162:M1225" ca="1" si="6959">VLOOKUP(A1162,hospital_details,3,0)</f>
        <v>49</v>
      </c>
      <c r="N1162" s="5">
        <f t="shared" ref="N1162:N1225" si="6960">VLOOKUP($A1162,hospital_details,4,0)</f>
        <v>3</v>
      </c>
      <c r="O1162" s="6">
        <f t="shared" ref="O1162:O1225" si="6961">VLOOKUP($A1162,hospital_details,5,0)</f>
        <v>9704.67</v>
      </c>
      <c r="P1162" s="5" t="str">
        <f t="shared" ref="P1162:P1225" si="6962">VLOOKUP($A1162,hospital_details,6,0)</f>
        <v>tier - 2</v>
      </c>
      <c r="Q1162" s="5" t="str">
        <f t="shared" ref="Q1162:Q1225" si="6963">VLOOKUP($A1162,hospital_details,7,0)</f>
        <v>tier - 3</v>
      </c>
      <c r="R1162" s="5" t="str">
        <f t="shared" ref="R1162:R1225" si="6964">VLOOKUP($A1162,hospital_details,8,0)</f>
        <v>R1024</v>
      </c>
    </row>
    <row r="1163" spans="1:18" ht="14.4" customHeight="1" x14ac:dyDescent="0.3">
      <c r="A1163" s="7" t="s">
        <v>1183</v>
      </c>
      <c r="B1163" s="7" t="str">
        <f>VLOOKUP($A1163,[1]!Customer_Names[#Data],3,0)</f>
        <v xml:space="preserve">  Kathryn E</v>
      </c>
      <c r="C1163" s="7">
        <v>22.92</v>
      </c>
      <c r="D1163" s="7" t="str" cm="1">
        <f t="array" ref="D1163">_xlfn.IFS(Healthcare!$C1163&lt;18.5,"under weight",Healthcare!$C1163&lt;=24.9,"Normal Weight",Healthcare!$C1163&gt;=25,"overweight",Healthcare!$C1163&gt;=30,"obese")</f>
        <v>Normal Weight</v>
      </c>
      <c r="E1163" s="7">
        <v>5.87</v>
      </c>
      <c r="F1163" s="7" t="str" cm="1">
        <f t="array" ref="F1163">_xlfn.IFS(Healthcare!$E1163&lt;5.7,"normal",Healthcare!$E1163&lt;=6.4,"prediabetes",Healthcare!$E1163&gt;=6.5,"diabetes")</f>
        <v>prediabetes</v>
      </c>
      <c r="G1163" s="7" t="s">
        <v>20</v>
      </c>
      <c r="H1163" s="7" t="s">
        <v>19</v>
      </c>
      <c r="I1163" s="7" t="s">
        <v>19</v>
      </c>
      <c r="J1163" s="7">
        <v>1</v>
      </c>
      <c r="K1163" s="7" t="s">
        <v>19</v>
      </c>
      <c r="L1163" s="7" t="str">
        <f>VLOOKUP(Healthcare!$A1163,hospital_details,2,0)</f>
        <v>7-Nov-1964</v>
      </c>
      <c r="M1163" s="7">
        <f t="shared" ref="M1163:M1226" ca="1" si="6965">VLOOKUP(A1163,hospital_details,3,0)</f>
        <v>61</v>
      </c>
      <c r="N1163" s="7">
        <f t="shared" ref="N1163:N1226" si="6966">VLOOKUP($A1163,hospital_details,4,0)</f>
        <v>0</v>
      </c>
      <c r="O1163" s="8">
        <f t="shared" ref="O1163:O1226" si="6967">VLOOKUP($A1163,hospital_details,5,0)</f>
        <v>9698.42</v>
      </c>
      <c r="P1163" s="7" t="str">
        <f t="shared" ref="P1163:P1226" si="6968">VLOOKUP($A1163,hospital_details,6,0)</f>
        <v>tier - 3</v>
      </c>
      <c r="Q1163" s="7" t="str">
        <f t="shared" ref="Q1163:Q1226" si="6969">VLOOKUP($A1163,hospital_details,7,0)</f>
        <v>tier - 3</v>
      </c>
      <c r="R1163" s="7" t="str">
        <f t="shared" ref="R1163:R1226" si="6970">VLOOKUP($A1163,hospital_details,8,0)</f>
        <v>R1013</v>
      </c>
    </row>
    <row r="1164" spans="1:18" ht="14.4" customHeight="1" x14ac:dyDescent="0.3">
      <c r="A1164" s="5" t="s">
        <v>1184</v>
      </c>
      <c r="B1164" s="5" t="str">
        <f>VLOOKUP($A1164,[1]!Customer_Names[#Data],3,0)</f>
        <v xml:space="preserve">  Maxwell</v>
      </c>
      <c r="C1164" s="5">
        <v>24.78</v>
      </c>
      <c r="D1164" s="5" t="str" cm="1">
        <f t="array" ref="D1164">_xlfn.IFS(Healthcare!$C1164&lt;18.5,"under weight",Healthcare!$C1164&lt;=24.9,"Normal Weight",Healthcare!$C1164&gt;=25,"overweight",Healthcare!$C1164&gt;=30,"obese")</f>
        <v>Normal Weight</v>
      </c>
      <c r="E1164" s="5">
        <v>4.24</v>
      </c>
      <c r="F1164" s="5" t="str" cm="1">
        <f t="array" ref="F1164">_xlfn.IFS(Healthcare!$E1164&lt;5.7,"normal",Healthcare!$E1164&lt;=6.4,"prediabetes",Healthcare!$E1164&gt;=6.5,"diabetes")</f>
        <v>normal</v>
      </c>
      <c r="G1164" s="5" t="s">
        <v>20</v>
      </c>
      <c r="H1164" s="5" t="s">
        <v>19</v>
      </c>
      <c r="I1164" s="5" t="s">
        <v>19</v>
      </c>
      <c r="J1164" s="5">
        <v>2</v>
      </c>
      <c r="K1164" s="5" t="s">
        <v>19</v>
      </c>
      <c r="L1164" s="5" t="str">
        <f>VLOOKUP(Healthcare!$A1164,hospital_details,2,0)</f>
        <v>16-Sep-1966</v>
      </c>
      <c r="M1164" s="5">
        <f t="shared" ref="M1164:M1227" ca="1" si="6971">VLOOKUP(A1164,hospital_details,3,0)</f>
        <v>60</v>
      </c>
      <c r="N1164" s="5">
        <f t="shared" ref="N1164:N1227" si="6972">VLOOKUP($A1164,hospital_details,4,0)</f>
        <v>0</v>
      </c>
      <c r="O1164" s="6">
        <f t="shared" ref="O1164:O1227" si="6973">VLOOKUP($A1164,hospital_details,5,0)</f>
        <v>9684.2900000000009</v>
      </c>
      <c r="P1164" s="5" t="str">
        <f t="shared" ref="P1164:P1227" si="6974">VLOOKUP($A1164,hospital_details,6,0)</f>
        <v>tier - 3</v>
      </c>
      <c r="Q1164" s="5" t="str">
        <f t="shared" ref="Q1164:Q1227" si="6975">VLOOKUP($A1164,hospital_details,7,0)</f>
        <v>tier - 2</v>
      </c>
      <c r="R1164" s="5" t="str">
        <f t="shared" ref="R1164:R1227" si="6976">VLOOKUP($A1164,hospital_details,8,0)</f>
        <v>R1013</v>
      </c>
    </row>
    <row r="1165" spans="1:18" ht="14.4" customHeight="1" x14ac:dyDescent="0.3">
      <c r="A1165" s="7" t="s">
        <v>1185</v>
      </c>
      <c r="B1165" s="7" t="str">
        <f>VLOOKUP($A1165,[1]!Customer_Names[#Data],3,0)</f>
        <v xml:space="preserve">  Pascale</v>
      </c>
      <c r="C1165" s="7">
        <v>34.07</v>
      </c>
      <c r="D1165" s="7" t="str" cm="1">
        <f t="array" ref="D1165">_xlfn.IFS(Healthcare!$C1165&lt;18.5,"under weight",Healthcare!$C1165&lt;=24.9,"Normal Weight",Healthcare!$C1165&gt;=25,"overweight",Healthcare!$C1165&gt;=30,"obese")</f>
        <v>overweight</v>
      </c>
      <c r="E1165" s="7">
        <v>7.81</v>
      </c>
      <c r="F1165" s="7" t="str" cm="1">
        <f t="array" ref="F1165">_xlfn.IFS(Healthcare!$E1165&lt;5.7,"normal",Healthcare!$E1165&lt;=6.4,"prediabetes",Healthcare!$E1165&gt;=6.5,"diabetes")</f>
        <v>diabetes</v>
      </c>
      <c r="G1165" s="7" t="s">
        <v>20</v>
      </c>
      <c r="H1165" s="7" t="s">
        <v>19</v>
      </c>
      <c r="I1165" s="7" t="s">
        <v>19</v>
      </c>
      <c r="J1165" s="7">
        <v>0</v>
      </c>
      <c r="K1165" s="7" t="s">
        <v>19</v>
      </c>
      <c r="L1165" s="7" t="str">
        <f>VLOOKUP(Healthcare!$A1165,hospital_details,2,0)</f>
        <v>8-Aug-1981</v>
      </c>
      <c r="M1165" s="7">
        <f t="shared" ref="M1165:M1228" ca="1" si="6977">VLOOKUP(A1165,hospital_details,3,0)</f>
        <v>45</v>
      </c>
      <c r="N1165" s="7">
        <f t="shared" ref="N1165:N1228" si="6978">VLOOKUP($A1165,hospital_details,4,0)</f>
        <v>1</v>
      </c>
      <c r="O1165" s="8">
        <f t="shared" ref="O1165:O1228" si="6979">VLOOKUP($A1165,hospital_details,5,0)</f>
        <v>9664.34</v>
      </c>
      <c r="P1165" s="7" t="str">
        <f t="shared" ref="P1165:P1228" si="6980">VLOOKUP($A1165,hospital_details,6,0)</f>
        <v>tier - 2</v>
      </c>
      <c r="Q1165" s="7" t="str">
        <f t="shared" ref="Q1165:Q1228" si="6981">VLOOKUP($A1165,hospital_details,7,0)</f>
        <v>tier - 3</v>
      </c>
      <c r="R1165" s="7" t="str">
        <f t="shared" ref="R1165:R1228" si="6982">VLOOKUP($A1165,hospital_details,8,0)</f>
        <v>R1011</v>
      </c>
    </row>
    <row r="1166" spans="1:18" ht="14.4" customHeight="1" x14ac:dyDescent="0.3">
      <c r="A1166" s="5" t="s">
        <v>1186</v>
      </c>
      <c r="B1166" s="5" t="str">
        <f>VLOOKUP($A1166,[1]!Customer_Names[#Data],3,0)</f>
        <v xml:space="preserve">  Becca</v>
      </c>
      <c r="C1166" s="5">
        <v>30.14</v>
      </c>
      <c r="D1166" s="5" t="str" cm="1">
        <f t="array" ref="D1166">_xlfn.IFS(Healthcare!$C1166&lt;18.5,"under weight",Healthcare!$C1166&lt;=24.9,"Normal Weight",Healthcare!$C1166&gt;=25,"overweight",Healthcare!$C1166&gt;=30,"obese")</f>
        <v>overweight</v>
      </c>
      <c r="E1166" s="5">
        <v>9.85</v>
      </c>
      <c r="F1166" s="5" t="str" cm="1">
        <f t="array" ref="F1166">_xlfn.IFS(Healthcare!$E1166&lt;5.7,"normal",Healthcare!$E1166&lt;=6.4,"prediabetes",Healthcare!$E1166&gt;=6.5,"diabetes")</f>
        <v>diabetes</v>
      </c>
      <c r="G1166" s="5" t="s">
        <v>19</v>
      </c>
      <c r="H1166" s="5" t="s">
        <v>19</v>
      </c>
      <c r="I1166" s="5" t="s">
        <v>19</v>
      </c>
      <c r="J1166" s="5">
        <v>0</v>
      </c>
      <c r="K1166" s="5" t="s">
        <v>19</v>
      </c>
      <c r="L1166" s="5" t="str">
        <f>VLOOKUP(Healthcare!$A1166,hospital_details,2,0)</f>
        <v>8-Jul-1974</v>
      </c>
      <c r="M1166" s="5">
        <f t="shared" ref="M1166:M1229" ca="1" si="6983">VLOOKUP(A1166,hospital_details,3,0)</f>
        <v>52</v>
      </c>
      <c r="N1166" s="5">
        <f t="shared" ref="N1166:N1229" si="6984">VLOOKUP($A1166,hospital_details,4,0)</f>
        <v>0</v>
      </c>
      <c r="O1166" s="6">
        <f t="shared" ref="O1166:O1229" si="6985">VLOOKUP($A1166,hospital_details,5,0)</f>
        <v>9653.81</v>
      </c>
      <c r="P1166" s="5" t="str">
        <f t="shared" ref="P1166:P1229" si="6986">VLOOKUP($A1166,hospital_details,6,0)</f>
        <v>tier - 2</v>
      </c>
      <c r="Q1166" s="5" t="str">
        <f t="shared" ref="Q1166:Q1229" si="6987">VLOOKUP($A1166,hospital_details,7,0)</f>
        <v>tier - 2</v>
      </c>
      <c r="R1166" s="5" t="str">
        <f t="shared" ref="R1166:R1229" si="6988">VLOOKUP($A1166,hospital_details,8,0)</f>
        <v>R1011</v>
      </c>
    </row>
    <row r="1167" spans="1:18" ht="14.4" customHeight="1" x14ac:dyDescent="0.3">
      <c r="A1167" s="7" t="s">
        <v>1187</v>
      </c>
      <c r="B1167" s="7" t="str">
        <f>VLOOKUP($A1167,[1]!Customer_Names[#Data],3,0)</f>
        <v xml:space="preserve">  Grace</v>
      </c>
      <c r="C1167" s="7">
        <v>18.05</v>
      </c>
      <c r="D1167" s="7" t="str" cm="1">
        <f t="array" ref="D1167">_xlfn.IFS(Healthcare!$C1167&lt;18.5,"under weight",Healthcare!$C1167&lt;=24.9,"Normal Weight",Healthcare!$C1167&gt;=25,"overweight",Healthcare!$C1167&gt;=30,"obese")</f>
        <v>under weight</v>
      </c>
      <c r="E1167" s="7">
        <v>6.94</v>
      </c>
      <c r="F1167" s="7" t="str" cm="1">
        <f t="array" ref="F1167">_xlfn.IFS(Healthcare!$E1167&lt;5.7,"normal",Healthcare!$E1167&lt;=6.4,"prediabetes",Healthcare!$E1167&gt;=6.5,"diabetes")</f>
        <v>diabetes</v>
      </c>
      <c r="G1167" s="7" t="s">
        <v>19</v>
      </c>
      <c r="H1167" s="7" t="s">
        <v>19</v>
      </c>
      <c r="I1167" s="7" t="s">
        <v>19</v>
      </c>
      <c r="J1167" s="7">
        <v>0</v>
      </c>
      <c r="K1167" s="7" t="s">
        <v>19</v>
      </c>
      <c r="L1167" s="7" t="str">
        <f>VLOOKUP(Healthcare!$A1167,hospital_details,2,0)</f>
        <v>19-Jul-1971</v>
      </c>
      <c r="M1167" s="7">
        <f t="shared" ref="M1167:M1230" ca="1" si="6989">VLOOKUP(A1167,hospital_details,3,0)</f>
        <v>55</v>
      </c>
      <c r="N1167" s="7">
        <f t="shared" ref="N1167:N1230" si="6990">VLOOKUP($A1167,hospital_details,4,0)</f>
        <v>0</v>
      </c>
      <c r="O1167" s="8">
        <f t="shared" ref="O1167:O1230" si="6991">VLOOKUP($A1167,hospital_details,5,0)</f>
        <v>9644.25</v>
      </c>
      <c r="P1167" s="7" t="str">
        <f t="shared" ref="P1167:P1230" si="6992">VLOOKUP($A1167,hospital_details,6,0)</f>
        <v>tier - 2</v>
      </c>
      <c r="Q1167" s="7" t="str">
        <f t="shared" ref="Q1167:Q1230" si="6993">VLOOKUP($A1167,hospital_details,7,0)</f>
        <v>tier - 1</v>
      </c>
      <c r="R1167" s="7" t="str">
        <f t="shared" ref="R1167:R1230" si="6994">VLOOKUP($A1167,hospital_details,8,0)</f>
        <v>R1012</v>
      </c>
    </row>
    <row r="1168" spans="1:18" ht="14.4" customHeight="1" x14ac:dyDescent="0.3">
      <c r="A1168" s="5" t="s">
        <v>1188</v>
      </c>
      <c r="B1168" s="5" t="str">
        <f>VLOOKUP($A1168,[1]!Customer_Names[#Data],3,0)</f>
        <v xml:space="preserve">  Samantha</v>
      </c>
      <c r="C1168" s="5">
        <v>37.4</v>
      </c>
      <c r="D1168" s="5" t="str" cm="1">
        <f t="array" ref="D1168">_xlfn.IFS(Healthcare!$C1168&lt;18.5,"under weight",Healthcare!$C1168&lt;=24.9,"Normal Weight",Healthcare!$C1168&gt;=25,"overweight",Healthcare!$C1168&gt;=30,"obese")</f>
        <v>overweight</v>
      </c>
      <c r="E1168" s="5">
        <v>11.3</v>
      </c>
      <c r="F1168" s="5" t="str" cm="1">
        <f t="array" ref="F1168">_xlfn.IFS(Healthcare!$E1168&lt;5.7,"normal",Healthcare!$E1168&lt;=6.4,"prediabetes",Healthcare!$E1168&gt;=6.5,"diabetes")</f>
        <v>diabetes</v>
      </c>
      <c r="G1168" s="5" t="s">
        <v>20</v>
      </c>
      <c r="H1168" s="5" t="s">
        <v>19</v>
      </c>
      <c r="I1168" s="5" t="s">
        <v>19</v>
      </c>
      <c r="J1168" s="5">
        <v>2</v>
      </c>
      <c r="K1168" s="5" t="s">
        <v>19</v>
      </c>
      <c r="L1168" s="5" t="str">
        <f>VLOOKUP(Healthcare!$A1168,hospital_details,2,0)</f>
        <v>30-Sep-1970</v>
      </c>
      <c r="M1168" s="5">
        <f t="shared" ref="M1168:M1231" ca="1" si="6995">VLOOKUP(A1168,hospital_details,3,0)</f>
        <v>56</v>
      </c>
      <c r="N1168" s="5">
        <f t="shared" ref="N1168:N1231" si="6996">VLOOKUP($A1168,hospital_details,4,0)</f>
        <v>0</v>
      </c>
      <c r="O1168" s="6">
        <f t="shared" ref="O1168:O1231" si="6997">VLOOKUP($A1168,hospital_details,5,0)</f>
        <v>9634.5400000000009</v>
      </c>
      <c r="P1168" s="5" t="str">
        <f t="shared" ref="P1168:P1231" si="6998">VLOOKUP($A1168,hospital_details,6,0)</f>
        <v>tier - 2</v>
      </c>
      <c r="Q1168" s="5" t="str">
        <f t="shared" ref="Q1168:Q1231" si="6999">VLOOKUP($A1168,hospital_details,7,0)</f>
        <v>tier - 2</v>
      </c>
      <c r="R1168" s="5" t="str">
        <f t="shared" ref="R1168:R1231" si="7000">VLOOKUP($A1168,hospital_details,8,0)</f>
        <v>R1011</v>
      </c>
    </row>
    <row r="1169" spans="1:18" ht="14.4" customHeight="1" x14ac:dyDescent="0.3">
      <c r="A1169" s="7" t="s">
        <v>1189</v>
      </c>
      <c r="B1169" s="7" t="str">
        <f>VLOOKUP($A1169,[1]!Customer_Names[#Data],3,0)</f>
        <v xml:space="preserve">  Nicole R</v>
      </c>
      <c r="C1169" s="7">
        <v>25.75</v>
      </c>
      <c r="D1169" s="7" t="str" cm="1">
        <f t="array" ref="D1169">_xlfn.IFS(Healthcare!$C1169&lt;18.5,"under weight",Healthcare!$C1169&lt;=24.9,"Normal Weight",Healthcare!$C1169&gt;=25,"overweight",Healthcare!$C1169&gt;=30,"obese")</f>
        <v>overweight</v>
      </c>
      <c r="E1169" s="7">
        <v>9.23</v>
      </c>
      <c r="F1169" s="7" t="str" cm="1">
        <f t="array" ref="F1169">_xlfn.IFS(Healthcare!$E1169&lt;5.7,"normal",Healthcare!$E1169&lt;=6.4,"prediabetes",Healthcare!$E1169&gt;=6.5,"diabetes")</f>
        <v>diabetes</v>
      </c>
      <c r="G1169" s="7" t="s">
        <v>19</v>
      </c>
      <c r="H1169" s="7" t="s">
        <v>19</v>
      </c>
      <c r="I1169" s="7" t="s">
        <v>19</v>
      </c>
      <c r="J1169" s="7">
        <v>0</v>
      </c>
      <c r="K1169" s="7" t="s">
        <v>19</v>
      </c>
      <c r="L1169" s="7" t="str">
        <f>VLOOKUP(Healthcare!$A1169,hospital_details,2,0)</f>
        <v>22-Jun-1968</v>
      </c>
      <c r="M1169" s="7">
        <f t="shared" ref="M1169:M1232" ca="1" si="7001">VLOOKUP(A1169,hospital_details,3,0)</f>
        <v>58</v>
      </c>
      <c r="N1169" s="7">
        <f t="shared" ref="N1169:N1232" si="7002">VLOOKUP($A1169,hospital_details,4,0)</f>
        <v>0</v>
      </c>
      <c r="O1169" s="8">
        <f t="shared" ref="O1169:O1232" si="7003">VLOOKUP($A1169,hospital_details,5,0)</f>
        <v>9630.91</v>
      </c>
      <c r="P1169" s="7" t="str">
        <f t="shared" ref="P1169:P1232" si="7004">VLOOKUP($A1169,hospital_details,6,0)</f>
        <v>tier - 3</v>
      </c>
      <c r="Q1169" s="7" t="str">
        <f t="shared" ref="Q1169:Q1232" si="7005">VLOOKUP($A1169,hospital_details,7,0)</f>
        <v>tier - 2</v>
      </c>
      <c r="R1169" s="7" t="str">
        <f t="shared" ref="R1169:R1232" si="7006">VLOOKUP($A1169,hospital_details,8,0)</f>
        <v>R1013</v>
      </c>
    </row>
    <row r="1170" spans="1:18" ht="14.4" customHeight="1" x14ac:dyDescent="0.3">
      <c r="A1170" s="5" t="s">
        <v>1190</v>
      </c>
      <c r="B1170" s="5" t="str">
        <f>VLOOKUP($A1170,[1]!Customer_Names[#Data],3,0)</f>
        <v xml:space="preserve">  David W</v>
      </c>
      <c r="C1170" s="5">
        <v>32.299999999999997</v>
      </c>
      <c r="D1170" s="5" t="str" cm="1">
        <f t="array" ref="D1170">_xlfn.IFS(Healthcare!$C1170&lt;18.5,"under weight",Healthcare!$C1170&lt;=24.9,"Normal Weight",Healthcare!$C1170&gt;=25,"overweight",Healthcare!$C1170&gt;=30,"obese")</f>
        <v>overweight</v>
      </c>
      <c r="E1170" s="5">
        <v>4.37</v>
      </c>
      <c r="F1170" s="5" t="str" cm="1">
        <f t="array" ref="F1170">_xlfn.IFS(Healthcare!$E1170&lt;5.7,"normal",Healthcare!$E1170&lt;=6.4,"prediabetes",Healthcare!$E1170&gt;=6.5,"diabetes")</f>
        <v>normal</v>
      </c>
      <c r="G1170" s="5" t="s">
        <v>19</v>
      </c>
      <c r="H1170" s="5" t="s">
        <v>19</v>
      </c>
      <c r="I1170" s="5" t="s">
        <v>19</v>
      </c>
      <c r="J1170" s="5">
        <v>2</v>
      </c>
      <c r="K1170" s="5" t="s">
        <v>19</v>
      </c>
      <c r="L1170" s="5" t="str">
        <f>VLOOKUP(Healthcare!$A1170,hospital_details,2,0)</f>
        <v>23-Oct-1972</v>
      </c>
      <c r="M1170" s="5">
        <f t="shared" ref="M1170:M1233" ca="1" si="7007">VLOOKUP(A1170,hospital_details,3,0)</f>
        <v>53</v>
      </c>
      <c r="N1170" s="5">
        <f t="shared" ref="N1170:N1233" si="7008">VLOOKUP($A1170,hospital_details,4,0)</f>
        <v>2</v>
      </c>
      <c r="O1170" s="6">
        <f t="shared" ref="O1170:O1233" si="7009">VLOOKUP($A1170,hospital_details,5,0)</f>
        <v>9630.4</v>
      </c>
      <c r="P1170" s="5" t="str">
        <f t="shared" ref="P1170:P1233" si="7010">VLOOKUP($A1170,hospital_details,6,0)</f>
        <v>tier - 2</v>
      </c>
      <c r="Q1170" s="5" t="str">
        <f t="shared" ref="Q1170:Q1233" si="7011">VLOOKUP($A1170,hospital_details,7,0)</f>
        <v>tier - 2</v>
      </c>
      <c r="R1170" s="5" t="str">
        <f t="shared" ref="R1170:R1233" si="7012">VLOOKUP($A1170,hospital_details,8,0)</f>
        <v>R1011</v>
      </c>
    </row>
    <row r="1171" spans="1:18" ht="14.4" customHeight="1" x14ac:dyDescent="0.3">
      <c r="A1171" s="7" t="s">
        <v>1191</v>
      </c>
      <c r="B1171" s="7" t="str">
        <f>VLOOKUP($A1171,[1]!Customer_Names[#Data],3,0)</f>
        <v xml:space="preserve">  Grant</v>
      </c>
      <c r="C1171" s="7">
        <v>28.61</v>
      </c>
      <c r="D1171" s="7" t="str" cm="1">
        <f t="array" ref="D1171">_xlfn.IFS(Healthcare!$C1171&lt;18.5,"under weight",Healthcare!$C1171&lt;=24.9,"Normal Weight",Healthcare!$C1171&gt;=25,"overweight",Healthcare!$C1171&gt;=30,"obese")</f>
        <v>overweight</v>
      </c>
      <c r="E1171" s="7">
        <v>5.76</v>
      </c>
      <c r="F1171" s="7" t="str" cm="1">
        <f t="array" ref="F1171">_xlfn.IFS(Healthcare!$E1171&lt;5.7,"normal",Healthcare!$E1171&lt;=6.4,"prediabetes",Healthcare!$E1171&gt;=6.5,"diabetes")</f>
        <v>prediabetes</v>
      </c>
      <c r="G1171" s="7" t="s">
        <v>19</v>
      </c>
      <c r="H1171" s="7" t="s">
        <v>19</v>
      </c>
      <c r="I1171" s="7" t="s">
        <v>29</v>
      </c>
      <c r="J1171" s="7">
        <v>1</v>
      </c>
      <c r="K1171" s="7" t="s">
        <v>19</v>
      </c>
      <c r="L1171" s="7" t="str">
        <f>VLOOKUP(Healthcare!$A1171,hospital_details,2,0)</f>
        <v>19-Dec-1979</v>
      </c>
      <c r="M1171" s="7">
        <f t="shared" ref="M1171:M1234" ca="1" si="7013">VLOOKUP(A1171,hospital_details,3,0)</f>
        <v>46</v>
      </c>
      <c r="N1171" s="7">
        <f t="shared" ref="N1171:N1234" si="7014">VLOOKUP($A1171,hospital_details,4,0)</f>
        <v>2</v>
      </c>
      <c r="O1171" s="8">
        <f t="shared" ref="O1171:O1234" si="7015">VLOOKUP($A1171,hospital_details,5,0)</f>
        <v>9630.2999999999993</v>
      </c>
      <c r="P1171" s="7" t="str">
        <f t="shared" ref="P1171:P1234" si="7016">VLOOKUP($A1171,hospital_details,6,0)</f>
        <v>tier - 2</v>
      </c>
      <c r="Q1171" s="7" t="str">
        <f t="shared" ref="Q1171:Q1234" si="7017">VLOOKUP($A1171,hospital_details,7,0)</f>
        <v>tier - 2</v>
      </c>
      <c r="R1171" s="7" t="str">
        <f t="shared" ref="R1171:R1234" si="7018">VLOOKUP($A1171,hospital_details,8,0)</f>
        <v>R1021</v>
      </c>
    </row>
    <row r="1172" spans="1:18" ht="14.4" customHeight="1" x14ac:dyDescent="0.3">
      <c r="A1172" s="5" t="s">
        <v>1192</v>
      </c>
      <c r="B1172" s="5" t="str">
        <f>VLOOKUP($A1172,[1]!Customer_Names[#Data],3,0)</f>
        <v xml:space="preserve">  Sophia</v>
      </c>
      <c r="C1172" s="5">
        <v>45.41</v>
      </c>
      <c r="D1172" s="5" t="str" cm="1">
        <f t="array" ref="D1172">_xlfn.IFS(Healthcare!$C1172&lt;18.5,"under weight",Healthcare!$C1172&lt;=24.9,"Normal Weight",Healthcare!$C1172&gt;=25,"overweight",Healthcare!$C1172&gt;=30,"obese")</f>
        <v>overweight</v>
      </c>
      <c r="E1172" s="5">
        <v>4.96</v>
      </c>
      <c r="F1172" s="5" t="str" cm="1">
        <f t="array" ref="F1172">_xlfn.IFS(Healthcare!$E1172&lt;5.7,"normal",Healthcare!$E1172&lt;=6.4,"prediabetes",Healthcare!$E1172&gt;=6.5,"diabetes")</f>
        <v>normal</v>
      </c>
      <c r="G1172" s="5" t="s">
        <v>19</v>
      </c>
      <c r="H1172" s="5" t="s">
        <v>19</v>
      </c>
      <c r="I1172" s="5" t="s">
        <v>19</v>
      </c>
      <c r="J1172" s="5">
        <v>1</v>
      </c>
      <c r="K1172" s="5" t="s">
        <v>19</v>
      </c>
      <c r="L1172" s="5" t="str">
        <f>VLOOKUP(Healthcare!$A1172,hospital_details,2,0)</f>
        <v>23-Jun-1998</v>
      </c>
      <c r="M1172" s="5">
        <f t="shared" ref="M1172:M1235" ca="1" si="7019">VLOOKUP(A1172,hospital_details,3,0)</f>
        <v>28</v>
      </c>
      <c r="N1172" s="5">
        <f t="shared" ref="N1172:N1235" si="7020">VLOOKUP($A1172,hospital_details,4,0)</f>
        <v>0</v>
      </c>
      <c r="O1172" s="6">
        <f t="shared" ref="O1172:O1235" si="7021">VLOOKUP($A1172,hospital_details,5,0)</f>
        <v>9628.7900000000009</v>
      </c>
      <c r="P1172" s="5" t="str">
        <f t="shared" ref="P1172:P1235" si="7022">VLOOKUP($A1172,hospital_details,6,0)</f>
        <v>tier - 2</v>
      </c>
      <c r="Q1172" s="5" t="str">
        <f t="shared" ref="Q1172:Q1235" si="7023">VLOOKUP($A1172,hospital_details,7,0)</f>
        <v>tier - 2</v>
      </c>
      <c r="R1172" s="5" t="str">
        <f t="shared" ref="R1172:R1235" si="7024">VLOOKUP($A1172,hospital_details,8,0)</f>
        <v>R1026</v>
      </c>
    </row>
    <row r="1173" spans="1:18" ht="14.4" customHeight="1" x14ac:dyDescent="0.3">
      <c r="A1173" s="7" t="s">
        <v>1193</v>
      </c>
      <c r="B1173" s="7" t="str">
        <f>VLOOKUP($A1173,[1]!Customer_Names[#Data],3,0)</f>
        <v xml:space="preserve">  Christina</v>
      </c>
      <c r="C1173" s="7">
        <v>31.2</v>
      </c>
      <c r="D1173" s="7" t="str" cm="1">
        <f t="array" ref="D1173">_xlfn.IFS(Healthcare!$C1173&lt;18.5,"under weight",Healthcare!$C1173&lt;=24.9,"Normal Weight",Healthcare!$C1173&gt;=25,"overweight",Healthcare!$C1173&gt;=30,"obese")</f>
        <v>overweight</v>
      </c>
      <c r="E1173" s="7">
        <v>11.04</v>
      </c>
      <c r="F1173" s="7" t="str" cm="1">
        <f t="array" ref="F1173">_xlfn.IFS(Healthcare!$E1173&lt;5.7,"normal",Healthcare!$E1173&lt;=6.4,"prediabetes",Healthcare!$E1173&gt;=6.5,"diabetes")</f>
        <v>diabetes</v>
      </c>
      <c r="G1173" s="7" t="s">
        <v>20</v>
      </c>
      <c r="H1173" s="7" t="s">
        <v>19</v>
      </c>
      <c r="I1173" s="7" t="s">
        <v>19</v>
      </c>
      <c r="J1173" s="7">
        <v>2</v>
      </c>
      <c r="K1173" s="7" t="s">
        <v>19</v>
      </c>
      <c r="L1173" s="7" t="str">
        <f>VLOOKUP(Healthcare!$A1173,hospital_details,2,0)</f>
        <v>16-Dec-1970</v>
      </c>
      <c r="M1173" s="7">
        <f t="shared" ref="M1173:M1236" ca="1" si="7025">VLOOKUP(A1173,hospital_details,3,0)</f>
        <v>55</v>
      </c>
      <c r="N1173" s="7">
        <f t="shared" ref="N1173:N1236" si="7026">VLOOKUP($A1173,hospital_details,4,0)</f>
        <v>0</v>
      </c>
      <c r="O1173" s="8">
        <f t="shared" ref="O1173:O1236" si="7027">VLOOKUP($A1173,hospital_details,5,0)</f>
        <v>9625.92</v>
      </c>
      <c r="P1173" s="7" t="str">
        <f t="shared" ref="P1173:P1236" si="7028">VLOOKUP($A1173,hospital_details,6,0)</f>
        <v>tier - 2</v>
      </c>
      <c r="Q1173" s="7" t="str">
        <f t="shared" ref="Q1173:Q1236" si="7029">VLOOKUP($A1173,hospital_details,7,0)</f>
        <v>tier - 3</v>
      </c>
      <c r="R1173" s="7" t="str">
        <f t="shared" ref="R1173:R1236" si="7030">VLOOKUP($A1173,hospital_details,8,0)</f>
        <v>R1011</v>
      </c>
    </row>
    <row r="1174" spans="1:18" ht="14.4" customHeight="1" x14ac:dyDescent="0.3">
      <c r="A1174" s="5" t="s">
        <v>1194</v>
      </c>
      <c r="B1174" s="5" t="str">
        <f>VLOOKUP($A1174,[1]!Customer_Names[#Data],3,0)</f>
        <v xml:space="preserve">  Sam L</v>
      </c>
      <c r="C1174" s="5">
        <v>29.83</v>
      </c>
      <c r="D1174" s="5" t="str" cm="1">
        <f t="array" ref="D1174">_xlfn.IFS(Healthcare!$C1174&lt;18.5,"under weight",Healthcare!$C1174&lt;=24.9,"Normal Weight",Healthcare!$C1174&gt;=25,"overweight",Healthcare!$C1174&gt;=30,"obese")</f>
        <v>overweight</v>
      </c>
      <c r="E1174" s="5">
        <v>7.81</v>
      </c>
      <c r="F1174" s="5" t="str" cm="1">
        <f t="array" ref="F1174">_xlfn.IFS(Healthcare!$E1174&lt;5.7,"normal",Healthcare!$E1174&lt;=6.4,"prediabetes",Healthcare!$E1174&gt;=6.5,"diabetes")</f>
        <v>diabetes</v>
      </c>
      <c r="G1174" s="5" t="s">
        <v>20</v>
      </c>
      <c r="H1174" s="5" t="s">
        <v>19</v>
      </c>
      <c r="I1174" s="5" t="s">
        <v>19</v>
      </c>
      <c r="J1174" s="5">
        <v>1</v>
      </c>
      <c r="K1174" s="5" t="s">
        <v>19</v>
      </c>
      <c r="L1174" s="5" t="str">
        <f>VLOOKUP(Healthcare!$A1174,hospital_details,2,0)</f>
        <v>29-Oct-1975</v>
      </c>
      <c r="M1174" s="5">
        <f t="shared" ref="M1174:M1237" ca="1" si="7031">VLOOKUP(A1174,hospital_details,3,0)</f>
        <v>50</v>
      </c>
      <c r="N1174" s="5">
        <f t="shared" ref="N1174:N1237" si="7032">VLOOKUP($A1174,hospital_details,4,0)</f>
        <v>3</v>
      </c>
      <c r="O1174" s="6">
        <f t="shared" ref="O1174:O1237" si="7033">VLOOKUP($A1174,hospital_details,5,0)</f>
        <v>9620.33</v>
      </c>
      <c r="P1174" s="5" t="str">
        <f t="shared" ref="P1174:P1237" si="7034">VLOOKUP($A1174,hospital_details,6,0)</f>
        <v>tier - 3</v>
      </c>
      <c r="Q1174" s="5" t="str">
        <f t="shared" ref="Q1174:Q1237" si="7035">VLOOKUP($A1174,hospital_details,7,0)</f>
        <v>tier - 3</v>
      </c>
      <c r="R1174" s="5" t="str">
        <f t="shared" ref="R1174:R1237" si="7036">VLOOKUP($A1174,hospital_details,8,0)</f>
        <v>R1012</v>
      </c>
    </row>
    <row r="1175" spans="1:18" ht="14.4" customHeight="1" x14ac:dyDescent="0.3">
      <c r="A1175" s="7" t="s">
        <v>1195</v>
      </c>
      <c r="B1175" s="7" t="str">
        <f>VLOOKUP($A1175,[1]!Customer_Names[#Data],3,0)</f>
        <v xml:space="preserve">  Haley R</v>
      </c>
      <c r="C1175" s="7">
        <v>29.06</v>
      </c>
      <c r="D1175" s="7" t="str" cm="1">
        <f t="array" ref="D1175">_xlfn.IFS(Healthcare!$C1175&lt;18.5,"under weight",Healthcare!$C1175&lt;=24.9,"Normal Weight",Healthcare!$C1175&gt;=25,"overweight",Healthcare!$C1175&gt;=30,"obese")</f>
        <v>overweight</v>
      </c>
      <c r="E1175" s="7">
        <v>4.55</v>
      </c>
      <c r="F1175" s="7" t="str" cm="1">
        <f t="array" ref="F1175">_xlfn.IFS(Healthcare!$E1175&lt;5.7,"normal",Healthcare!$E1175&lt;=6.4,"prediabetes",Healthcare!$E1175&gt;=6.5,"diabetes")</f>
        <v>normal</v>
      </c>
      <c r="G1175" s="7" t="s">
        <v>19</v>
      </c>
      <c r="H1175" s="7" t="s">
        <v>19</v>
      </c>
      <c r="I1175" s="7" t="s">
        <v>19</v>
      </c>
      <c r="J1175" s="7">
        <v>0</v>
      </c>
      <c r="K1175" s="7" t="s">
        <v>19</v>
      </c>
      <c r="L1175" s="7" t="str">
        <f>VLOOKUP(Healthcare!$A1175,hospital_details,2,0)</f>
        <v>29-Aug-1982</v>
      </c>
      <c r="M1175" s="7">
        <f t="shared" ref="M1175:M1238" ca="1" si="7037">VLOOKUP(A1175,hospital_details,3,0)</f>
        <v>44</v>
      </c>
      <c r="N1175" s="7">
        <f t="shared" ref="N1175:N1238" si="7038">VLOOKUP($A1175,hospital_details,4,0)</f>
        <v>3</v>
      </c>
      <c r="O1175" s="8">
        <f t="shared" ref="O1175:O1238" si="7039">VLOOKUP($A1175,hospital_details,5,0)</f>
        <v>9619.18</v>
      </c>
      <c r="P1175" s="7" t="str">
        <f t="shared" ref="P1175:P1238" si="7040">VLOOKUP($A1175,hospital_details,6,0)</f>
        <v>tier - 2</v>
      </c>
      <c r="Q1175" s="7" t="str">
        <f t="shared" ref="Q1175:Q1238" si="7041">VLOOKUP($A1175,hospital_details,7,0)</f>
        <v>tier - 1</v>
      </c>
      <c r="R1175" s="7" t="str">
        <f t="shared" ref="R1175:R1238" si="7042">VLOOKUP($A1175,hospital_details,8,0)</f>
        <v>R1025</v>
      </c>
    </row>
    <row r="1176" spans="1:18" ht="14.4" customHeight="1" x14ac:dyDescent="0.3">
      <c r="A1176" s="5" t="s">
        <v>1196</v>
      </c>
      <c r="B1176" s="5" t="str">
        <f>VLOOKUP($A1176,[1]!Customer_Names[#Data],3,0)</f>
        <v xml:space="preserve">  Ethan</v>
      </c>
      <c r="C1176" s="5">
        <v>27.454999999999998</v>
      </c>
      <c r="D1176" s="5" t="str" cm="1">
        <f t="array" ref="D1176">_xlfn.IFS(Healthcare!$C1176&lt;18.5,"under weight",Healthcare!$C1176&lt;=24.9,"Normal Weight",Healthcare!$C1176&gt;=25,"overweight",Healthcare!$C1176&gt;=30,"obese")</f>
        <v>overweight</v>
      </c>
      <c r="E1176" s="5">
        <v>6.13</v>
      </c>
      <c r="F1176" s="5" t="str" cm="1">
        <f t="array" ref="F1176">_xlfn.IFS(Healthcare!$E1176&lt;5.7,"normal",Healthcare!$E1176&lt;=6.4,"prediabetes",Healthcare!$E1176&gt;=6.5,"diabetes")</f>
        <v>prediabetes</v>
      </c>
      <c r="G1176" s="5" t="s">
        <v>19</v>
      </c>
      <c r="H1176" s="5" t="s">
        <v>19</v>
      </c>
      <c r="I1176" s="5" t="s">
        <v>19</v>
      </c>
      <c r="J1176" s="5">
        <v>2</v>
      </c>
      <c r="K1176" s="5" t="s">
        <v>19</v>
      </c>
      <c r="L1176" s="5" t="str">
        <f>VLOOKUP(Healthcare!$A1176,hospital_details,2,0)</f>
        <v>27-Dec-1972</v>
      </c>
      <c r="M1176" s="5">
        <f t="shared" ref="M1176:M1239" ca="1" si="7043">VLOOKUP(A1176,hospital_details,3,0)</f>
        <v>53</v>
      </c>
      <c r="N1176" s="5">
        <f t="shared" ref="N1176:N1239" si="7044">VLOOKUP($A1176,hospital_details,4,0)</f>
        <v>1</v>
      </c>
      <c r="O1176" s="6">
        <f t="shared" ref="O1176:O1239" si="7045">VLOOKUP($A1176,hospital_details,5,0)</f>
        <v>9617.66</v>
      </c>
      <c r="P1176" s="5" t="str">
        <f t="shared" ref="P1176:P1239" si="7046">VLOOKUP($A1176,hospital_details,6,0)</f>
        <v>tier - 3</v>
      </c>
      <c r="Q1176" s="5" t="str">
        <f t="shared" ref="Q1176:Q1239" si="7047">VLOOKUP($A1176,hospital_details,7,0)</f>
        <v>tier - 3</v>
      </c>
      <c r="R1176" s="5" t="str">
        <f t="shared" ref="R1176:R1239" si="7048">VLOOKUP($A1176,hospital_details,8,0)</f>
        <v>R1016</v>
      </c>
    </row>
    <row r="1177" spans="1:18" ht="14.4" customHeight="1" x14ac:dyDescent="0.3">
      <c r="A1177" s="7" t="s">
        <v>1197</v>
      </c>
      <c r="B1177" s="7" t="str">
        <f>VLOOKUP($A1177,[1]!Customer_Names[#Data],3,0)</f>
        <v xml:space="preserve">  Andrew W</v>
      </c>
      <c r="C1177" s="7">
        <v>23.01</v>
      </c>
      <c r="D1177" s="7" t="str" cm="1">
        <f t="array" ref="D1177">_xlfn.IFS(Healthcare!$C1177&lt;18.5,"under weight",Healthcare!$C1177&lt;=24.9,"Normal Weight",Healthcare!$C1177&gt;=25,"overweight",Healthcare!$C1177&gt;=30,"obese")</f>
        <v>Normal Weight</v>
      </c>
      <c r="E1177" s="7">
        <v>6.04</v>
      </c>
      <c r="F1177" s="7" t="str" cm="1">
        <f t="array" ref="F1177">_xlfn.IFS(Healthcare!$E1177&lt;5.7,"normal",Healthcare!$E1177&lt;=6.4,"prediabetes",Healthcare!$E1177&gt;=6.5,"diabetes")</f>
        <v>prediabetes</v>
      </c>
      <c r="G1177" s="7" t="s">
        <v>20</v>
      </c>
      <c r="H1177" s="7" t="s">
        <v>19</v>
      </c>
      <c r="I1177" s="7" t="s">
        <v>19</v>
      </c>
      <c r="J1177" s="7">
        <v>1</v>
      </c>
      <c r="K1177" s="7" t="s">
        <v>19</v>
      </c>
      <c r="L1177" s="7" t="str">
        <f>VLOOKUP(Healthcare!$A1177,hospital_details,2,0)</f>
        <v>15-Dec-1964</v>
      </c>
      <c r="M1177" s="7">
        <f t="shared" ref="M1177:M1240" ca="1" si="7049">VLOOKUP(A1177,hospital_details,3,0)</f>
        <v>61</v>
      </c>
      <c r="N1177" s="7">
        <f t="shared" ref="N1177:N1240" si="7050">VLOOKUP($A1177,hospital_details,4,0)</f>
        <v>0</v>
      </c>
      <c r="O1177" s="8">
        <f t="shared" ref="O1177:O1240" si="7051">VLOOKUP($A1177,hospital_details,5,0)</f>
        <v>9597.6299999999992</v>
      </c>
      <c r="P1177" s="7" t="str">
        <f t="shared" ref="P1177:P1240" si="7052">VLOOKUP($A1177,hospital_details,6,0)</f>
        <v>tier - 3</v>
      </c>
      <c r="Q1177" s="7" t="str">
        <f t="shared" ref="Q1177:Q1240" si="7053">VLOOKUP($A1177,hospital_details,7,0)</f>
        <v>tier - 3</v>
      </c>
      <c r="R1177" s="7" t="str">
        <f t="shared" ref="R1177:R1240" si="7054">VLOOKUP($A1177,hospital_details,8,0)</f>
        <v>R1013</v>
      </c>
    </row>
    <row r="1178" spans="1:18" ht="14.4" customHeight="1" x14ac:dyDescent="0.3">
      <c r="A1178" s="5" t="s">
        <v>1198</v>
      </c>
      <c r="B1178" s="5" t="str">
        <f>VLOOKUP($A1178,[1]!Customer_Names[#Data],3,0)</f>
        <v xml:space="preserve">  Mark G</v>
      </c>
      <c r="C1178" s="5">
        <v>31.39</v>
      </c>
      <c r="D1178" s="5" t="str" cm="1">
        <f t="array" ref="D1178">_xlfn.IFS(Healthcare!$C1178&lt;18.5,"under weight",Healthcare!$C1178&lt;=24.9,"Normal Weight",Healthcare!$C1178&gt;=25,"overweight",Healthcare!$C1178&gt;=30,"obese")</f>
        <v>overweight</v>
      </c>
      <c r="E1178" s="5">
        <v>8.85</v>
      </c>
      <c r="F1178" s="5" t="str" cm="1">
        <f t="array" ref="F1178">_xlfn.IFS(Healthcare!$E1178&lt;5.7,"normal",Healthcare!$E1178&lt;=6.4,"prediabetes",Healthcare!$E1178&gt;=6.5,"diabetes")</f>
        <v>diabetes</v>
      </c>
      <c r="G1178" s="5" t="s">
        <v>20</v>
      </c>
      <c r="H1178" s="5" t="s">
        <v>19</v>
      </c>
      <c r="I1178" s="5" t="s">
        <v>19</v>
      </c>
      <c r="J1178" s="5">
        <v>0</v>
      </c>
      <c r="K1178" s="5" t="s">
        <v>19</v>
      </c>
      <c r="L1178" s="5" t="str">
        <f>VLOOKUP(Healthcare!$A1178,hospital_details,2,0)</f>
        <v>18-Oct-1981</v>
      </c>
      <c r="M1178" s="5">
        <f t="shared" ref="M1178:M1241" ca="1" si="7055">VLOOKUP(A1178,hospital_details,3,0)</f>
        <v>45</v>
      </c>
      <c r="N1178" s="5">
        <f t="shared" ref="N1178:N1241" si="7056">VLOOKUP($A1178,hospital_details,4,0)</f>
        <v>1</v>
      </c>
      <c r="O1178" s="6">
        <f t="shared" ref="O1178:O1241" si="7057">VLOOKUP($A1178,hospital_details,5,0)</f>
        <v>9584.0400000000009</v>
      </c>
      <c r="P1178" s="5" t="str">
        <f t="shared" ref="P1178:P1241" si="7058">VLOOKUP($A1178,hospital_details,6,0)</f>
        <v>tier - 2</v>
      </c>
      <c r="Q1178" s="5" t="str">
        <f t="shared" ref="Q1178:Q1241" si="7059">VLOOKUP($A1178,hospital_details,7,0)</f>
        <v>tier - 1</v>
      </c>
      <c r="R1178" s="5" t="str">
        <f t="shared" ref="R1178:R1241" si="7060">VLOOKUP($A1178,hospital_details,8,0)</f>
        <v>R1021</v>
      </c>
    </row>
    <row r="1179" spans="1:18" ht="14.4" customHeight="1" x14ac:dyDescent="0.3">
      <c r="A1179" s="7" t="s">
        <v>1199</v>
      </c>
      <c r="B1179" s="7" t="str">
        <f>VLOOKUP($A1179,[1]!Customer_Names[#Data],3,0)</f>
        <v xml:space="preserve">  Kasey E</v>
      </c>
      <c r="C1179" s="7">
        <v>34.770000000000003</v>
      </c>
      <c r="D1179" s="7" t="str" cm="1">
        <f t="array" ref="D1179">_xlfn.IFS(Healthcare!$C1179&lt;18.5,"under weight",Healthcare!$C1179&lt;=24.9,"Normal Weight",Healthcare!$C1179&gt;=25,"overweight",Healthcare!$C1179&gt;=30,"obese")</f>
        <v>overweight</v>
      </c>
      <c r="E1179" s="7">
        <v>10.54</v>
      </c>
      <c r="F1179" s="7" t="str" cm="1">
        <f t="array" ref="F1179">_xlfn.IFS(Healthcare!$E1179&lt;5.7,"normal",Healthcare!$E1179&lt;=6.4,"prediabetes",Healthcare!$E1179&gt;=6.5,"diabetes")</f>
        <v>diabetes</v>
      </c>
      <c r="G1179" s="7" t="s">
        <v>19</v>
      </c>
      <c r="H1179" s="7" t="s">
        <v>19</v>
      </c>
      <c r="I1179" s="7" t="s">
        <v>19</v>
      </c>
      <c r="J1179" s="7">
        <v>2</v>
      </c>
      <c r="K1179" s="7" t="s">
        <v>19</v>
      </c>
      <c r="L1179" s="7" t="str">
        <f>VLOOKUP(Healthcare!$A1179,hospital_details,2,0)</f>
        <v>28-Nov-1973</v>
      </c>
      <c r="M1179" s="7">
        <f t="shared" ref="M1179:M1242" ca="1" si="7061">VLOOKUP(A1179,hospital_details,3,0)</f>
        <v>52</v>
      </c>
      <c r="N1179" s="7">
        <f t="shared" ref="N1179:N1242" si="7062">VLOOKUP($A1179,hospital_details,4,0)</f>
        <v>1</v>
      </c>
      <c r="O1179" s="8">
        <f t="shared" ref="O1179:O1242" si="7063">VLOOKUP($A1179,hospital_details,5,0)</f>
        <v>9583.89</v>
      </c>
      <c r="P1179" s="7" t="str">
        <f t="shared" ref="P1179:P1242" si="7064">VLOOKUP($A1179,hospital_details,6,0)</f>
        <v>tier - 2</v>
      </c>
      <c r="Q1179" s="7" t="str">
        <f t="shared" ref="Q1179:Q1242" si="7065">VLOOKUP($A1179,hospital_details,7,0)</f>
        <v>tier - 3</v>
      </c>
      <c r="R1179" s="7" t="str">
        <f t="shared" ref="R1179:R1242" si="7066">VLOOKUP($A1179,hospital_details,8,0)</f>
        <v>R1012</v>
      </c>
    </row>
    <row r="1180" spans="1:18" ht="14.4" customHeight="1" x14ac:dyDescent="0.3">
      <c r="A1180" s="5" t="s">
        <v>1200</v>
      </c>
      <c r="B1180" s="5" t="str">
        <f>VLOOKUP($A1180,[1]!Customer_Names[#Data],3,0)</f>
        <v xml:space="preserve">  Jeff</v>
      </c>
      <c r="C1180" s="5">
        <v>24.48</v>
      </c>
      <c r="D1180" s="5" t="str" cm="1">
        <f t="array" ref="D1180">_xlfn.IFS(Healthcare!$C1180&lt;18.5,"under weight",Healthcare!$C1180&lt;=24.9,"Normal Weight",Healthcare!$C1180&gt;=25,"overweight",Healthcare!$C1180&gt;=30,"obese")</f>
        <v>Normal Weight</v>
      </c>
      <c r="E1180" s="5">
        <v>4.37</v>
      </c>
      <c r="F1180" s="5" t="str" cm="1">
        <f t="array" ref="F1180">_xlfn.IFS(Healthcare!$E1180&lt;5.7,"normal",Healthcare!$E1180&lt;=6.4,"prediabetes",Healthcare!$E1180&gt;=6.5,"diabetes")</f>
        <v>normal</v>
      </c>
      <c r="G1180" s="5" t="s">
        <v>20</v>
      </c>
      <c r="H1180" s="5" t="s">
        <v>19</v>
      </c>
      <c r="I1180" s="5" t="s">
        <v>19</v>
      </c>
      <c r="J1180" s="5">
        <v>2</v>
      </c>
      <c r="K1180" s="5" t="s">
        <v>19</v>
      </c>
      <c r="L1180" s="5" t="str">
        <f>VLOOKUP(Healthcare!$A1180,hospital_details,2,0)</f>
        <v>4-Dec-1966</v>
      </c>
      <c r="M1180" s="5">
        <f t="shared" ref="M1180:M1243" ca="1" si="7067">VLOOKUP(A1180,hospital_details,3,0)</f>
        <v>59</v>
      </c>
      <c r="N1180" s="5">
        <f t="shared" ref="N1180:N1243" si="7068">VLOOKUP($A1180,hospital_details,4,0)</f>
        <v>0</v>
      </c>
      <c r="O1180" s="6">
        <f t="shared" ref="O1180:O1243" si="7069">VLOOKUP($A1180,hospital_details,5,0)</f>
        <v>9582.5400000000009</v>
      </c>
      <c r="P1180" s="5" t="str">
        <f t="shared" ref="P1180:P1243" si="7070">VLOOKUP($A1180,hospital_details,6,0)</f>
        <v>tier - 3</v>
      </c>
      <c r="Q1180" s="5" t="str">
        <f t="shared" ref="Q1180:Q1243" si="7071">VLOOKUP($A1180,hospital_details,7,0)</f>
        <v>tier - 2</v>
      </c>
      <c r="R1180" s="5" t="str">
        <f t="shared" ref="R1180:R1243" si="7072">VLOOKUP($A1180,hospital_details,8,0)</f>
        <v>R1013</v>
      </c>
    </row>
    <row r="1181" spans="1:18" ht="14.4" customHeight="1" x14ac:dyDescent="0.3">
      <c r="A1181" s="7" t="s">
        <v>1201</v>
      </c>
      <c r="B1181" s="7" t="str">
        <f>VLOOKUP($A1181,[1]!Customer_Names[#Data],3,0)</f>
        <v xml:space="preserve">  Amy</v>
      </c>
      <c r="C1181" s="7">
        <v>22.61</v>
      </c>
      <c r="D1181" s="7" t="str" cm="1">
        <f t="array" ref="D1181">_xlfn.IFS(Healthcare!$C1181&lt;18.5,"under weight",Healthcare!$C1181&lt;=24.9,"Normal Weight",Healthcare!$C1181&gt;=25,"overweight",Healthcare!$C1181&gt;=30,"obese")</f>
        <v>Normal Weight</v>
      </c>
      <c r="E1181" s="7">
        <v>9.6300000000000008</v>
      </c>
      <c r="F1181" s="7" t="str" cm="1">
        <f t="array" ref="F1181">_xlfn.IFS(Healthcare!$E1181&lt;5.7,"normal",Healthcare!$E1181&lt;=6.4,"prediabetes",Healthcare!$E1181&gt;=6.5,"diabetes")</f>
        <v>diabetes</v>
      </c>
      <c r="G1181" s="7" t="s">
        <v>19</v>
      </c>
      <c r="H1181" s="7" t="s">
        <v>19</v>
      </c>
      <c r="I1181" s="7" t="s">
        <v>19</v>
      </c>
      <c r="J1181" s="7">
        <v>2</v>
      </c>
      <c r="K1181" s="7" t="s">
        <v>19</v>
      </c>
      <c r="L1181" s="7" t="str">
        <f>VLOOKUP(Healthcare!$A1181,hospital_details,2,0)</f>
        <v>1-Dec-1973</v>
      </c>
      <c r="M1181" s="7">
        <f t="shared" ref="M1181:M1244" ca="1" si="7073">VLOOKUP(A1181,hospital_details,3,0)</f>
        <v>52</v>
      </c>
      <c r="N1181" s="7">
        <f t="shared" ref="N1181:N1244" si="7074">VLOOKUP($A1181,hospital_details,4,0)</f>
        <v>1</v>
      </c>
      <c r="O1181" s="8">
        <f t="shared" ref="O1181:O1244" si="7075">VLOOKUP($A1181,hospital_details,5,0)</f>
        <v>9566.99</v>
      </c>
      <c r="P1181" s="7" t="str">
        <f t="shared" ref="P1181:P1244" si="7076">VLOOKUP($A1181,hospital_details,6,0)</f>
        <v>tier - 2</v>
      </c>
      <c r="Q1181" s="7" t="str">
        <f t="shared" ref="Q1181:Q1244" si="7077">VLOOKUP($A1181,hospital_details,7,0)</f>
        <v>tier - 1</v>
      </c>
      <c r="R1181" s="7" t="str">
        <f t="shared" ref="R1181:R1244" si="7078">VLOOKUP($A1181,hospital_details,8,0)</f>
        <v>R1012</v>
      </c>
    </row>
    <row r="1182" spans="1:18" ht="14.4" customHeight="1" x14ac:dyDescent="0.3">
      <c r="A1182" s="5" t="s">
        <v>1202</v>
      </c>
      <c r="B1182" s="5" t="str">
        <f>VLOOKUP($A1182,[1]!Customer_Names[#Data],3,0)</f>
        <v xml:space="preserve">  Adam</v>
      </c>
      <c r="C1182" s="5">
        <v>34.299999999999997</v>
      </c>
      <c r="D1182" s="5" t="str" cm="1">
        <f t="array" ref="D1182">_xlfn.IFS(Healthcare!$C1182&lt;18.5,"under weight",Healthcare!$C1182&lt;=24.9,"Normal Weight",Healthcare!$C1182&gt;=25,"overweight",Healthcare!$C1182&gt;=30,"obese")</f>
        <v>overweight</v>
      </c>
      <c r="E1182" s="5">
        <v>10.37</v>
      </c>
      <c r="F1182" s="5" t="str" cm="1">
        <f t="array" ref="F1182">_xlfn.IFS(Healthcare!$E1182&lt;5.7,"normal",Healthcare!$E1182&lt;=6.4,"prediabetes",Healthcare!$E1182&gt;=6.5,"diabetes")</f>
        <v>diabetes</v>
      </c>
      <c r="G1182" s="5" t="s">
        <v>19</v>
      </c>
      <c r="H1182" s="5" t="s">
        <v>19</v>
      </c>
      <c r="I1182" s="5" t="s">
        <v>19</v>
      </c>
      <c r="J1182" s="5">
        <v>0</v>
      </c>
      <c r="K1182" s="5" t="s">
        <v>19</v>
      </c>
      <c r="L1182" s="5" t="str">
        <f>VLOOKUP(Healthcare!$A1182,hospital_details,2,0)</f>
        <v>14-Aug-1974</v>
      </c>
      <c r="M1182" s="5">
        <f t="shared" ref="M1182:M1245" ca="1" si="7079">VLOOKUP(A1182,hospital_details,3,0)</f>
        <v>52</v>
      </c>
      <c r="N1182" s="5">
        <f t="shared" ref="N1182:N1245" si="7080">VLOOKUP($A1182,hospital_details,4,0)</f>
        <v>3</v>
      </c>
      <c r="O1182" s="6">
        <f t="shared" ref="O1182:O1245" si="7081">VLOOKUP($A1182,hospital_details,5,0)</f>
        <v>9563.0300000000007</v>
      </c>
      <c r="P1182" s="5" t="str">
        <f t="shared" ref="P1182:P1245" si="7082">VLOOKUP($A1182,hospital_details,6,0)</f>
        <v>tier - 3</v>
      </c>
      <c r="Q1182" s="5" t="str">
        <f t="shared" ref="Q1182:Q1245" si="7083">VLOOKUP($A1182,hospital_details,7,0)</f>
        <v>tier - 1</v>
      </c>
      <c r="R1182" s="5" t="str">
        <f t="shared" ref="R1182:R1245" si="7084">VLOOKUP($A1182,hospital_details,8,0)</f>
        <v>R1011</v>
      </c>
    </row>
    <row r="1183" spans="1:18" ht="14.4" customHeight="1" x14ac:dyDescent="0.3">
      <c r="A1183" s="7" t="s">
        <v>1203</v>
      </c>
      <c r="B1183" s="7" t="str">
        <f>VLOOKUP($A1183,[1]!Customer_Names[#Data],3,0)</f>
        <v xml:space="preserve">  Kristin M</v>
      </c>
      <c r="C1183" s="7">
        <v>46.09</v>
      </c>
      <c r="D1183" s="7" t="str" cm="1">
        <f t="array" ref="D1183">_xlfn.IFS(Healthcare!$C1183&lt;18.5,"under weight",Healthcare!$C1183&lt;=24.9,"Normal Weight",Healthcare!$C1183&gt;=25,"overweight",Healthcare!$C1183&gt;=30,"obese")</f>
        <v>overweight</v>
      </c>
      <c r="E1183" s="7">
        <v>5.44</v>
      </c>
      <c r="F1183" s="7" t="str" cm="1">
        <f t="array" ref="F1183">_xlfn.IFS(Healthcare!$E1183&lt;5.7,"normal",Healthcare!$E1183&lt;=6.4,"prediabetes",Healthcare!$E1183&gt;=6.5,"diabetes")</f>
        <v>normal</v>
      </c>
      <c r="G1183" s="7" t="s">
        <v>19</v>
      </c>
      <c r="H1183" s="7" t="s">
        <v>19</v>
      </c>
      <c r="I1183" s="7" t="s">
        <v>19</v>
      </c>
      <c r="J1183" s="7">
        <v>2</v>
      </c>
      <c r="K1183" s="7" t="s">
        <v>19</v>
      </c>
      <c r="L1183" s="7" t="str">
        <f>VLOOKUP(Healthcare!$A1183,hospital_details,2,0)</f>
        <v>22-Sep-1972</v>
      </c>
      <c r="M1183" s="7">
        <f t="shared" ref="M1183:M1246" ca="1" si="7085">VLOOKUP(A1183,hospital_details,3,0)</f>
        <v>54</v>
      </c>
      <c r="N1183" s="7">
        <f t="shared" ref="N1183:N1246" si="7086">VLOOKUP($A1183,hospital_details,4,0)</f>
        <v>1</v>
      </c>
      <c r="O1183" s="8">
        <f t="shared" ref="O1183:O1246" si="7087">VLOOKUP($A1183,hospital_details,5,0)</f>
        <v>9549.57</v>
      </c>
      <c r="P1183" s="7" t="str">
        <f t="shared" ref="P1183:P1246" si="7088">VLOOKUP($A1183,hospital_details,6,0)</f>
        <v>tier - 2</v>
      </c>
      <c r="Q1183" s="7" t="str">
        <f t="shared" ref="Q1183:Q1246" si="7089">VLOOKUP($A1183,hospital_details,7,0)</f>
        <v>tier - 1</v>
      </c>
      <c r="R1183" s="7" t="str">
        <f t="shared" ref="R1183:R1246" si="7090">VLOOKUP($A1183,hospital_details,8,0)</f>
        <v>R1013</v>
      </c>
    </row>
    <row r="1184" spans="1:18" ht="14.4" customHeight="1" x14ac:dyDescent="0.3">
      <c r="A1184" s="5" t="s">
        <v>1204</v>
      </c>
      <c r="B1184" s="5" t="str">
        <f>VLOOKUP($A1184,[1]!Customer_Names[#Data],3,0)</f>
        <v xml:space="preserve">  Mary-Lynn B</v>
      </c>
      <c r="C1184" s="5">
        <v>44.744999999999997</v>
      </c>
      <c r="D1184" s="5" t="str" cm="1">
        <f t="array" ref="D1184">_xlfn.IFS(Healthcare!$C1184&lt;18.5,"under weight",Healthcare!$C1184&lt;=24.9,"Normal Weight",Healthcare!$C1184&gt;=25,"overweight",Healthcare!$C1184&gt;=30,"obese")</f>
        <v>overweight</v>
      </c>
      <c r="E1184" s="5">
        <v>5.19</v>
      </c>
      <c r="F1184" s="5" t="str" cm="1">
        <f t="array" ref="F1184">_xlfn.IFS(Healthcare!$E1184&lt;5.7,"normal",Healthcare!$E1184&lt;=6.4,"prediabetes",Healthcare!$E1184&gt;=6.5,"diabetes")</f>
        <v>normal</v>
      </c>
      <c r="G1184" s="5" t="s">
        <v>19</v>
      </c>
      <c r="H1184" s="5" t="s">
        <v>19</v>
      </c>
      <c r="I1184" s="5" t="s">
        <v>19</v>
      </c>
      <c r="J1184" s="5">
        <v>2</v>
      </c>
      <c r="K1184" s="5" t="s">
        <v>19</v>
      </c>
      <c r="L1184" s="5" t="str">
        <f>VLOOKUP(Healthcare!$A1184,hospital_details,2,0)</f>
        <v>22-Sep-1972</v>
      </c>
      <c r="M1184" s="5">
        <f t="shared" ref="M1184:M1247" ca="1" si="7091">VLOOKUP(A1184,hospital_details,3,0)</f>
        <v>54</v>
      </c>
      <c r="N1184" s="5">
        <f t="shared" ref="N1184:N1247" si="7092">VLOOKUP($A1184,hospital_details,4,0)</f>
        <v>0</v>
      </c>
      <c r="O1184" s="6">
        <f t="shared" ref="O1184:O1247" si="7093">VLOOKUP($A1184,hospital_details,5,0)</f>
        <v>9541.7000000000007</v>
      </c>
      <c r="P1184" s="5" t="str">
        <f t="shared" ref="P1184:P1247" si="7094">VLOOKUP($A1184,hospital_details,6,0)</f>
        <v>tier - 2</v>
      </c>
      <c r="Q1184" s="5" t="str">
        <f t="shared" ref="Q1184:Q1247" si="7095">VLOOKUP($A1184,hospital_details,7,0)</f>
        <v>tier - 1</v>
      </c>
      <c r="R1184" s="5" t="str">
        <f t="shared" ref="R1184:R1247" si="7096">VLOOKUP($A1184,hospital_details,8,0)</f>
        <v>R1024</v>
      </c>
    </row>
    <row r="1185" spans="1:18" ht="14.4" customHeight="1" x14ac:dyDescent="0.3">
      <c r="A1185" s="7" t="s">
        <v>1205</v>
      </c>
      <c r="B1185" s="7" t="str">
        <f>VLOOKUP($A1185,[1]!Customer_Names[#Data],3,0)</f>
        <v xml:space="preserve">  Jamie A</v>
      </c>
      <c r="C1185" s="7">
        <v>26.33</v>
      </c>
      <c r="D1185" s="7" t="str" cm="1">
        <f t="array" ref="D1185">_xlfn.IFS(Healthcare!$C1185&lt;18.5,"under weight",Healthcare!$C1185&lt;=24.9,"Normal Weight",Healthcare!$C1185&gt;=25,"overweight",Healthcare!$C1185&gt;=30,"obese")</f>
        <v>overweight</v>
      </c>
      <c r="E1185" s="7">
        <v>11.8</v>
      </c>
      <c r="F1185" s="7" t="str" cm="1">
        <f t="array" ref="F1185">_xlfn.IFS(Healthcare!$E1185&lt;5.7,"normal",Healthcare!$E1185&lt;=6.4,"prediabetes",Healthcare!$E1185&gt;=6.5,"diabetes")</f>
        <v>diabetes</v>
      </c>
      <c r="G1185" s="7" t="s">
        <v>20</v>
      </c>
      <c r="H1185" s="7" t="s">
        <v>19</v>
      </c>
      <c r="I1185" s="7" t="s">
        <v>19</v>
      </c>
      <c r="J1185" s="7">
        <v>1</v>
      </c>
      <c r="K1185" s="7" t="s">
        <v>19</v>
      </c>
      <c r="L1185" s="7" t="str">
        <f>VLOOKUP(Healthcare!$A1185,hospital_details,2,0)</f>
        <v>28-Jul-1975</v>
      </c>
      <c r="M1185" s="7">
        <f t="shared" ref="M1185:M1248" ca="1" si="7097">VLOOKUP(A1185,hospital_details,3,0)</f>
        <v>51</v>
      </c>
      <c r="N1185" s="7">
        <f t="shared" ref="N1185:N1248" si="7098">VLOOKUP($A1185,hospital_details,4,0)</f>
        <v>1</v>
      </c>
      <c r="O1185" s="8">
        <f t="shared" ref="O1185:O1248" si="7099">VLOOKUP($A1185,hospital_details,5,0)</f>
        <v>9540.17</v>
      </c>
      <c r="P1185" s="7" t="str">
        <f t="shared" ref="P1185:P1248" si="7100">VLOOKUP($A1185,hospital_details,6,0)</f>
        <v>tier - 2</v>
      </c>
      <c r="Q1185" s="7" t="str">
        <f t="shared" ref="Q1185:Q1248" si="7101">VLOOKUP($A1185,hospital_details,7,0)</f>
        <v>tier - 2</v>
      </c>
      <c r="R1185" s="7" t="str">
        <f t="shared" ref="R1185:R1248" si="7102">VLOOKUP($A1185,hospital_details,8,0)</f>
        <v>R1024</v>
      </c>
    </row>
    <row r="1186" spans="1:18" ht="14.4" customHeight="1" x14ac:dyDescent="0.3">
      <c r="A1186" s="5" t="s">
        <v>1206</v>
      </c>
      <c r="B1186" s="5" t="str">
        <f>VLOOKUP($A1186,[1]!Customer_Names[#Data],3,0)</f>
        <v xml:space="preserve">  Jeffrey A</v>
      </c>
      <c r="C1186" s="5">
        <v>26.6</v>
      </c>
      <c r="D1186" s="5" t="str" cm="1">
        <f t="array" ref="D1186">_xlfn.IFS(Healthcare!$C1186&lt;18.5,"under weight",Healthcare!$C1186&lt;=24.9,"Normal Weight",Healthcare!$C1186&gt;=25,"overweight",Healthcare!$C1186&gt;=30,"obese")</f>
        <v>overweight</v>
      </c>
      <c r="E1186" s="5">
        <v>8.3800000000000008</v>
      </c>
      <c r="F1186" s="5" t="str" cm="1">
        <f t="array" ref="F1186">_xlfn.IFS(Healthcare!$E1186&lt;5.7,"normal",Healthcare!$E1186&lt;=6.4,"prediabetes",Healthcare!$E1186&gt;=6.5,"diabetes")</f>
        <v>diabetes</v>
      </c>
      <c r="G1186" s="5" t="s">
        <v>19</v>
      </c>
      <c r="H1186" s="5" t="s">
        <v>19</v>
      </c>
      <c r="I1186" s="5" t="s">
        <v>19</v>
      </c>
      <c r="J1186" s="5">
        <v>2</v>
      </c>
      <c r="K1186" s="5" t="s">
        <v>19</v>
      </c>
      <c r="L1186" s="5" t="str">
        <f>VLOOKUP(Healthcare!$A1186,hospital_details,2,0)</f>
        <v>21-Dec-1973</v>
      </c>
      <c r="M1186" s="5">
        <f t="shared" ref="M1186:M1249" ca="1" si="7103">VLOOKUP(A1186,hospital_details,3,0)</f>
        <v>52</v>
      </c>
      <c r="N1186" s="5">
        <f t="shared" ref="N1186:N1249" si="7104">VLOOKUP($A1186,hospital_details,4,0)</f>
        <v>0</v>
      </c>
      <c r="O1186" s="6">
        <f t="shared" ref="O1186:O1249" si="7105">VLOOKUP($A1186,hospital_details,5,0)</f>
        <v>9538.65</v>
      </c>
      <c r="P1186" s="5" t="str">
        <f t="shared" ref="P1186:P1249" si="7106">VLOOKUP($A1186,hospital_details,6,0)</f>
        <v>tier - 2</v>
      </c>
      <c r="Q1186" s="5" t="str">
        <f t="shared" ref="Q1186:Q1249" si="7107">VLOOKUP($A1186,hospital_details,7,0)</f>
        <v>tier - 3</v>
      </c>
      <c r="R1186" s="5" t="str">
        <f t="shared" ref="R1186:R1249" si="7108">VLOOKUP($A1186,hospital_details,8,0)</f>
        <v>R1021</v>
      </c>
    </row>
    <row r="1187" spans="1:18" ht="14.4" customHeight="1" x14ac:dyDescent="0.3">
      <c r="A1187" s="7" t="s">
        <v>1207</v>
      </c>
      <c r="B1187" s="7" t="str">
        <f>VLOOKUP($A1187,[1]!Customer_Names[#Data],3,0)</f>
        <v xml:space="preserve">  Nicole</v>
      </c>
      <c r="C1187" s="7">
        <v>27.5</v>
      </c>
      <c r="D1187" s="7" t="str" cm="1">
        <f t="array" ref="D1187">_xlfn.IFS(Healthcare!$C1187&lt;18.5,"under weight",Healthcare!$C1187&lt;=24.9,"Normal Weight",Healthcare!$C1187&gt;=25,"overweight",Healthcare!$C1187&gt;=30,"obese")</f>
        <v>overweight</v>
      </c>
      <c r="E1187" s="7">
        <v>7.58</v>
      </c>
      <c r="F1187" s="7" t="str" cm="1">
        <f t="array" ref="F1187">_xlfn.IFS(Healthcare!$E1187&lt;5.7,"normal",Healthcare!$E1187&lt;=6.4,"prediabetes",Healthcare!$E1187&gt;=6.5,"diabetes")</f>
        <v>diabetes</v>
      </c>
      <c r="G1187" s="7" t="s">
        <v>19</v>
      </c>
      <c r="H1187" s="7" t="s">
        <v>19</v>
      </c>
      <c r="I1187" s="7" t="s">
        <v>19</v>
      </c>
      <c r="J1187" s="7">
        <v>0</v>
      </c>
      <c r="K1187" s="7" t="s">
        <v>19</v>
      </c>
      <c r="L1187" s="7" t="str">
        <f>VLOOKUP(Healthcare!$A1187,hospital_details,2,0)</f>
        <v>29-Nov-1971</v>
      </c>
      <c r="M1187" s="7">
        <f t="shared" ref="M1187:M1250" ca="1" si="7109">VLOOKUP(A1187,hospital_details,3,0)</f>
        <v>54</v>
      </c>
      <c r="N1187" s="7">
        <f t="shared" ref="N1187:N1250" si="7110">VLOOKUP($A1187,hospital_details,4,0)</f>
        <v>0</v>
      </c>
      <c r="O1187" s="8">
        <f t="shared" ref="O1187:O1250" si="7111">VLOOKUP($A1187,hospital_details,5,0)</f>
        <v>9528.9</v>
      </c>
      <c r="P1187" s="7" t="str">
        <f t="shared" ref="P1187:P1250" si="7112">VLOOKUP($A1187,hospital_details,6,0)</f>
        <v>tier - 2</v>
      </c>
      <c r="Q1187" s="7" t="str">
        <f t="shared" ref="Q1187:Q1250" si="7113">VLOOKUP($A1187,hospital_details,7,0)</f>
        <v>tier - 2</v>
      </c>
      <c r="R1187" s="7" t="str">
        <f t="shared" ref="R1187:R1250" si="7114">VLOOKUP($A1187,hospital_details,8,0)</f>
        <v>R1011</v>
      </c>
    </row>
    <row r="1188" spans="1:18" ht="14.4" customHeight="1" x14ac:dyDescent="0.3">
      <c r="A1188" s="5" t="s">
        <v>1208</v>
      </c>
      <c r="B1188" s="5" t="str">
        <f>VLOOKUP($A1188,[1]!Customer_Names[#Data],3,0)</f>
        <v xml:space="preserve">  Audrey</v>
      </c>
      <c r="C1188" s="5">
        <v>41.55</v>
      </c>
      <c r="D1188" s="5" t="str" cm="1">
        <f t="array" ref="D1188">_xlfn.IFS(Healthcare!$C1188&lt;18.5,"under weight",Healthcare!$C1188&lt;=24.9,"Normal Weight",Healthcare!$C1188&gt;=25,"overweight",Healthcare!$C1188&gt;=30,"obese")</f>
        <v>overweight</v>
      </c>
      <c r="E1188" s="5">
        <v>4.6100000000000003</v>
      </c>
      <c r="F1188" s="5" t="str" cm="1">
        <f t="array" ref="F1188">_xlfn.IFS(Healthcare!$E1188&lt;5.7,"normal",Healthcare!$E1188&lt;=6.4,"prediabetes",Healthcare!$E1188&gt;=6.5,"diabetes")</f>
        <v>normal</v>
      </c>
      <c r="G1188" s="5" t="s">
        <v>19</v>
      </c>
      <c r="H1188" s="5" t="s">
        <v>19</v>
      </c>
      <c r="I1188" s="5" t="s">
        <v>19</v>
      </c>
      <c r="J1188" s="5">
        <v>1</v>
      </c>
      <c r="K1188" s="5" t="s">
        <v>19</v>
      </c>
      <c r="L1188" s="5" t="str">
        <f>VLOOKUP(Healthcare!$A1188,hospital_details,2,0)</f>
        <v>22-Aug-1992</v>
      </c>
      <c r="M1188" s="5">
        <f t="shared" ref="M1188:M1251" ca="1" si="7115">VLOOKUP(A1188,hospital_details,3,0)</f>
        <v>34</v>
      </c>
      <c r="N1188" s="5">
        <f t="shared" ref="N1188:N1251" si="7116">VLOOKUP($A1188,hospital_details,4,0)</f>
        <v>0</v>
      </c>
      <c r="O1188" s="6">
        <f t="shared" ref="O1188:O1251" si="7117">VLOOKUP($A1188,hospital_details,5,0)</f>
        <v>9507.68</v>
      </c>
      <c r="P1188" s="5" t="str">
        <f t="shared" ref="P1188:P1251" si="7118">VLOOKUP($A1188,hospital_details,6,0)</f>
        <v>tier - 2</v>
      </c>
      <c r="Q1188" s="5" t="str">
        <f t="shared" ref="Q1188:Q1251" si="7119">VLOOKUP($A1188,hospital_details,7,0)</f>
        <v>tier - 1</v>
      </c>
      <c r="R1188" s="5" t="str">
        <f t="shared" ref="R1188:R1251" si="7120">VLOOKUP($A1188,hospital_details,8,0)</f>
        <v>R1012</v>
      </c>
    </row>
    <row r="1189" spans="1:18" ht="14.4" customHeight="1" x14ac:dyDescent="0.3">
      <c r="A1189" s="7" t="s">
        <v>1209</v>
      </c>
      <c r="B1189" s="7" t="str">
        <f>VLOOKUP($A1189,[1]!Customer_Names[#Data],3,0)</f>
        <v xml:space="preserve">  Jacob</v>
      </c>
      <c r="C1189" s="7">
        <v>41.47</v>
      </c>
      <c r="D1189" s="7" t="str" cm="1">
        <f t="array" ref="D1189">_xlfn.IFS(Healthcare!$C1189&lt;18.5,"under weight",Healthcare!$C1189&lt;=24.9,"Normal Weight",Healthcare!$C1189&gt;=25,"overweight",Healthcare!$C1189&gt;=30,"obese")</f>
        <v>overweight</v>
      </c>
      <c r="E1189" s="7">
        <v>4.7</v>
      </c>
      <c r="F1189" s="7" t="str" cm="1">
        <f t="array" ref="F1189">_xlfn.IFS(Healthcare!$E1189&lt;5.7,"normal",Healthcare!$E1189&lt;=6.4,"prediabetes",Healthcare!$E1189&gt;=6.5,"diabetes")</f>
        <v>normal</v>
      </c>
      <c r="G1189" s="7" t="s">
        <v>20</v>
      </c>
      <c r="H1189" s="7" t="s">
        <v>19</v>
      </c>
      <c r="I1189" s="7" t="s">
        <v>29</v>
      </c>
      <c r="J1189" s="7">
        <v>1</v>
      </c>
      <c r="K1189" s="7" t="s">
        <v>19</v>
      </c>
      <c r="L1189" s="7" t="str">
        <f>VLOOKUP(Healthcare!$A1189,hospital_details,2,0)</f>
        <v>24-Aug-1969</v>
      </c>
      <c r="M1189" s="7">
        <f t="shared" ref="M1189:M1252" ca="1" si="7121">VLOOKUP(A1189,hospital_details,3,0)</f>
        <v>57</v>
      </c>
      <c r="N1189" s="7">
        <f t="shared" ref="N1189:N1252" si="7122">VLOOKUP($A1189,hospital_details,4,0)</f>
        <v>0</v>
      </c>
      <c r="O1189" s="8">
        <f t="shared" ref="O1189:O1252" si="7123">VLOOKUP($A1189,hospital_details,5,0)</f>
        <v>9504.31</v>
      </c>
      <c r="P1189" s="7" t="str">
        <f t="shared" ref="P1189:P1252" si="7124">VLOOKUP($A1189,hospital_details,6,0)</f>
        <v>tier - 3</v>
      </c>
      <c r="Q1189" s="7" t="str">
        <f t="shared" ref="Q1189:Q1252" si="7125">VLOOKUP($A1189,hospital_details,7,0)</f>
        <v>tier - 2</v>
      </c>
      <c r="R1189" s="7" t="str">
        <f t="shared" ref="R1189:R1252" si="7126">VLOOKUP($A1189,hospital_details,8,0)</f>
        <v>R1013</v>
      </c>
    </row>
    <row r="1190" spans="1:18" ht="14.4" customHeight="1" x14ac:dyDescent="0.3">
      <c r="A1190" s="5" t="s">
        <v>1210</v>
      </c>
      <c r="B1190" s="5" t="str">
        <f>VLOOKUP($A1190,[1]!Customer_Names[#Data],3,0)</f>
        <v xml:space="preserve">  Daniel S</v>
      </c>
      <c r="C1190" s="5">
        <v>24.795000000000002</v>
      </c>
      <c r="D1190" s="5" t="str" cm="1">
        <f t="array" ref="D1190">_xlfn.IFS(Healthcare!$C1190&lt;18.5,"under weight",Healthcare!$C1190&lt;=24.9,"Normal Weight",Healthcare!$C1190&gt;=25,"overweight",Healthcare!$C1190&gt;=30,"obese")</f>
        <v>Normal Weight</v>
      </c>
      <c r="E1190" s="5">
        <v>6.05</v>
      </c>
      <c r="F1190" s="5" t="str" cm="1">
        <f t="array" ref="F1190">_xlfn.IFS(Healthcare!$E1190&lt;5.7,"normal",Healthcare!$E1190&lt;=6.4,"prediabetes",Healthcare!$E1190&gt;=6.5,"diabetes")</f>
        <v>prediabetes</v>
      </c>
      <c r="G1190" s="5" t="s">
        <v>20</v>
      </c>
      <c r="H1190" s="5" t="s">
        <v>19</v>
      </c>
      <c r="I1190" s="5" t="s">
        <v>19</v>
      </c>
      <c r="J1190" s="5">
        <v>0</v>
      </c>
      <c r="K1190" s="5" t="s">
        <v>19</v>
      </c>
      <c r="L1190" s="5" t="str">
        <f>VLOOKUP(Healthcare!$A1190,hospital_details,2,0)</f>
        <v>28-Nov-1976</v>
      </c>
      <c r="M1190" s="5">
        <f t="shared" ref="M1190:M1253" ca="1" si="7127">VLOOKUP(A1190,hospital_details,3,0)</f>
        <v>49</v>
      </c>
      <c r="N1190" s="5">
        <f t="shared" ref="N1190:N1253" si="7128">VLOOKUP($A1190,hospital_details,4,0)</f>
        <v>3</v>
      </c>
      <c r="O1190" s="6">
        <f t="shared" ref="O1190:O1253" si="7129">VLOOKUP($A1190,hospital_details,5,0)</f>
        <v>9500.57</v>
      </c>
      <c r="P1190" s="5" t="str">
        <f t="shared" ref="P1190:P1253" si="7130">VLOOKUP($A1190,hospital_details,6,0)</f>
        <v>tier - 2</v>
      </c>
      <c r="Q1190" s="5" t="str">
        <f t="shared" ref="Q1190:Q1253" si="7131">VLOOKUP($A1190,hospital_details,7,0)</f>
        <v>tier - 3</v>
      </c>
      <c r="R1190" s="5" t="str">
        <f t="shared" ref="R1190:R1253" si="7132">VLOOKUP($A1190,hospital_details,8,0)</f>
        <v>R1017</v>
      </c>
    </row>
    <row r="1191" spans="1:18" ht="14.4" customHeight="1" x14ac:dyDescent="0.3">
      <c r="A1191" s="7" t="s">
        <v>1211</v>
      </c>
      <c r="B1191" s="7" t="str">
        <f>VLOOKUP($A1191,[1]!Customer_Names[#Data],3,0)</f>
        <v xml:space="preserve">  Marc C</v>
      </c>
      <c r="C1191" s="7">
        <v>29.48</v>
      </c>
      <c r="D1191" s="7" t="str" cm="1">
        <f t="array" ref="D1191">_xlfn.IFS(Healthcare!$C1191&lt;18.5,"under weight",Healthcare!$C1191&lt;=24.9,"Normal Weight",Healthcare!$C1191&gt;=25,"overweight",Healthcare!$C1191&gt;=30,"obese")</f>
        <v>overweight</v>
      </c>
      <c r="E1191" s="7">
        <v>5.63</v>
      </c>
      <c r="F1191" s="7" t="str" cm="1">
        <f t="array" ref="F1191">_xlfn.IFS(Healthcare!$E1191&lt;5.7,"normal",Healthcare!$E1191&lt;=6.4,"prediabetes",Healthcare!$E1191&gt;=6.5,"diabetes")</f>
        <v>normal</v>
      </c>
      <c r="G1191" s="7" t="s">
        <v>20</v>
      </c>
      <c r="H1191" s="7" t="s">
        <v>19</v>
      </c>
      <c r="I1191" s="7" t="s">
        <v>29</v>
      </c>
      <c r="J1191" s="7">
        <v>1</v>
      </c>
      <c r="K1191" s="7" t="s">
        <v>19</v>
      </c>
      <c r="L1191" s="7" t="str">
        <f>VLOOKUP(Healthcare!$A1191,hospital_details,2,0)</f>
        <v>4-Jun-1969</v>
      </c>
      <c r="M1191" s="7">
        <f t="shared" ref="M1191:M1254" ca="1" si="7133">VLOOKUP(A1191,hospital_details,3,0)</f>
        <v>57</v>
      </c>
      <c r="N1191" s="7">
        <f t="shared" ref="N1191:N1254" si="7134">VLOOKUP($A1191,hospital_details,4,0)</f>
        <v>0</v>
      </c>
      <c r="O1191" s="8">
        <f t="shared" ref="O1191:O1254" si="7135">VLOOKUP($A1191,hospital_details,5,0)</f>
        <v>9487.64</v>
      </c>
      <c r="P1191" s="7" t="str">
        <f t="shared" ref="P1191:P1254" si="7136">VLOOKUP($A1191,hospital_details,6,0)</f>
        <v>tier - 2</v>
      </c>
      <c r="Q1191" s="7" t="str">
        <f t="shared" ref="Q1191:Q1254" si="7137">VLOOKUP($A1191,hospital_details,7,0)</f>
        <v>tier - 2</v>
      </c>
      <c r="R1191" s="7" t="str">
        <f t="shared" ref="R1191:R1254" si="7138">VLOOKUP($A1191,hospital_details,8,0)</f>
        <v>R1013</v>
      </c>
    </row>
    <row r="1192" spans="1:18" ht="14.4" customHeight="1" x14ac:dyDescent="0.3">
      <c r="A1192" s="5" t="s">
        <v>1212</v>
      </c>
      <c r="B1192" s="5" t="str">
        <f>VLOOKUP($A1192,[1]!Customer_Names[#Data],3,0)</f>
        <v xml:space="preserve">  Mark S</v>
      </c>
      <c r="C1192" s="5">
        <v>28.09</v>
      </c>
      <c r="D1192" s="5" t="str" cm="1">
        <f t="array" ref="D1192">_xlfn.IFS(Healthcare!$C1192&lt;18.5,"under weight",Healthcare!$C1192&lt;=24.9,"Normal Weight",Healthcare!$C1192&gt;=25,"overweight",Healthcare!$C1192&gt;=30,"obese")</f>
        <v>overweight</v>
      </c>
      <c r="E1192" s="5">
        <v>6.06</v>
      </c>
      <c r="F1192" s="5" t="str" cm="1">
        <f t="array" ref="F1192">_xlfn.IFS(Healthcare!$E1192&lt;5.7,"normal",Healthcare!$E1192&lt;=6.4,"prediabetes",Healthcare!$E1192&gt;=6.5,"diabetes")</f>
        <v>prediabetes</v>
      </c>
      <c r="G1192" s="5" t="s">
        <v>19</v>
      </c>
      <c r="H1192" s="5" t="s">
        <v>19</v>
      </c>
      <c r="I1192" s="5" t="s">
        <v>29</v>
      </c>
      <c r="J1192" s="5">
        <v>1</v>
      </c>
      <c r="K1192" s="5" t="s">
        <v>19</v>
      </c>
      <c r="L1192" s="5" t="str">
        <f>VLOOKUP(Healthcare!$A1192,hospital_details,2,0)</f>
        <v>17-Jul-1979</v>
      </c>
      <c r="M1192" s="5">
        <f t="shared" ref="M1192:M1255" ca="1" si="7139">VLOOKUP(A1192,hospital_details,3,0)</f>
        <v>47</v>
      </c>
      <c r="N1192" s="5">
        <f t="shared" ref="N1192:N1255" si="7140">VLOOKUP($A1192,hospital_details,4,0)</f>
        <v>2</v>
      </c>
      <c r="O1192" s="6">
        <f t="shared" ref="O1192:O1255" si="7141">VLOOKUP($A1192,hospital_details,5,0)</f>
        <v>9453.92</v>
      </c>
      <c r="P1192" s="5" t="str">
        <f t="shared" ref="P1192:P1255" si="7142">VLOOKUP($A1192,hospital_details,6,0)</f>
        <v>tier - 2</v>
      </c>
      <c r="Q1192" s="5" t="str">
        <f t="shared" ref="Q1192:Q1255" si="7143">VLOOKUP($A1192,hospital_details,7,0)</f>
        <v>tier - 2</v>
      </c>
      <c r="R1192" s="5" t="str">
        <f t="shared" ref="R1192:R1255" si="7144">VLOOKUP($A1192,hospital_details,8,0)</f>
        <v>R1021</v>
      </c>
    </row>
    <row r="1193" spans="1:18" ht="14.4" customHeight="1" x14ac:dyDescent="0.3">
      <c r="A1193" s="7" t="s">
        <v>1213</v>
      </c>
      <c r="B1193" s="7" t="str">
        <f>VLOOKUP($A1193,[1]!Customer_Names[#Data],3,0)</f>
        <v xml:space="preserve">  Dan</v>
      </c>
      <c r="C1193" s="7">
        <v>32.729999999999997</v>
      </c>
      <c r="D1193" s="7" t="str" cm="1">
        <f t="array" ref="D1193">_xlfn.IFS(Healthcare!$C1193&lt;18.5,"under weight",Healthcare!$C1193&lt;=24.9,"Normal Weight",Healthcare!$C1193&gt;=25,"overweight",Healthcare!$C1193&gt;=30,"obese")</f>
        <v>overweight</v>
      </c>
      <c r="E1193" s="7">
        <v>5.19</v>
      </c>
      <c r="F1193" s="7" t="str" cm="1">
        <f t="array" ref="F1193">_xlfn.IFS(Healthcare!$E1193&lt;5.7,"normal",Healthcare!$E1193&lt;=6.4,"prediabetes",Healthcare!$E1193&gt;=6.5,"diabetes")</f>
        <v>normal</v>
      </c>
      <c r="G1193" s="7" t="s">
        <v>19</v>
      </c>
      <c r="H1193" s="7" t="s">
        <v>19</v>
      </c>
      <c r="I1193" s="7" t="s">
        <v>19</v>
      </c>
      <c r="J1193" s="7">
        <v>1</v>
      </c>
      <c r="K1193" s="7" t="s">
        <v>19</v>
      </c>
      <c r="L1193" s="7" t="str">
        <f>VLOOKUP(Healthcare!$A1193,hospital_details,2,0)</f>
        <v>14-Nov-1987</v>
      </c>
      <c r="M1193" s="7">
        <f t="shared" ref="M1193:M1256" ca="1" si="7145">VLOOKUP(A1193,hospital_details,3,0)</f>
        <v>38</v>
      </c>
      <c r="N1193" s="7">
        <f t="shared" ref="N1193:N1256" si="7146">VLOOKUP($A1193,hospital_details,4,0)</f>
        <v>3</v>
      </c>
      <c r="O1193" s="8">
        <f t="shared" ref="O1193:O1256" si="7147">VLOOKUP($A1193,hospital_details,5,0)</f>
        <v>9448.42</v>
      </c>
      <c r="P1193" s="7" t="str">
        <f t="shared" ref="P1193:P1256" si="7148">VLOOKUP($A1193,hospital_details,6,0)</f>
        <v>tier - 2</v>
      </c>
      <c r="Q1193" s="7" t="str">
        <f t="shared" ref="Q1193:Q1256" si="7149">VLOOKUP($A1193,hospital_details,7,0)</f>
        <v>tier - 3</v>
      </c>
      <c r="R1193" s="7" t="str">
        <f t="shared" ref="R1193:R1256" si="7150">VLOOKUP($A1193,hospital_details,8,0)</f>
        <v>R1021</v>
      </c>
    </row>
    <row r="1194" spans="1:18" ht="14.4" customHeight="1" x14ac:dyDescent="0.3">
      <c r="A1194" s="5" t="s">
        <v>1214</v>
      </c>
      <c r="B1194" s="5" t="str">
        <f>VLOOKUP($A1194,[1]!Customer_Names[#Data],3,0)</f>
        <v xml:space="preserve">  Gabriela</v>
      </c>
      <c r="C1194" s="5">
        <v>27.36</v>
      </c>
      <c r="D1194" s="5" t="str" cm="1">
        <f t="array" ref="D1194">_xlfn.IFS(Healthcare!$C1194&lt;18.5,"under weight",Healthcare!$C1194&lt;=24.9,"Normal Weight",Healthcare!$C1194&gt;=25,"overweight",Healthcare!$C1194&gt;=30,"obese")</f>
        <v>overweight</v>
      </c>
      <c r="E1194" s="5">
        <v>8.9600000000000009</v>
      </c>
      <c r="F1194" s="5" t="str" cm="1">
        <f t="array" ref="F1194">_xlfn.IFS(Healthcare!$E1194&lt;5.7,"normal",Healthcare!$E1194&lt;=6.4,"prediabetes",Healthcare!$E1194&gt;=6.5,"diabetes")</f>
        <v>diabetes</v>
      </c>
      <c r="G1194" s="5" t="s">
        <v>19</v>
      </c>
      <c r="H1194" s="5" t="s">
        <v>19</v>
      </c>
      <c r="I1194" s="5" t="s">
        <v>19</v>
      </c>
      <c r="J1194" s="5">
        <v>0</v>
      </c>
      <c r="K1194" s="5" t="s">
        <v>19</v>
      </c>
      <c r="L1194" s="5" t="str">
        <f>VLOOKUP(Healthcare!$A1194,hospital_details,2,0)</f>
        <v>8-Jun-1974</v>
      </c>
      <c r="M1194" s="5">
        <f t="shared" ref="M1194:M1257" ca="1" si="7151">VLOOKUP(A1194,hospital_details,3,0)</f>
        <v>52</v>
      </c>
      <c r="N1194" s="5">
        <f t="shared" ref="N1194:N1257" si="7152">VLOOKUP($A1194,hospital_details,4,0)</f>
        <v>1</v>
      </c>
      <c r="O1194" s="6">
        <f t="shared" ref="O1194:O1257" si="7153">VLOOKUP($A1194,hospital_details,5,0)</f>
        <v>9447.3799999999992</v>
      </c>
      <c r="P1194" s="5" t="str">
        <f t="shared" ref="P1194:P1257" si="7154">VLOOKUP($A1194,hospital_details,6,0)</f>
        <v>tier - 2</v>
      </c>
      <c r="Q1194" s="5" t="str">
        <f t="shared" ref="Q1194:Q1257" si="7155">VLOOKUP($A1194,hospital_details,7,0)</f>
        <v>tier - 3</v>
      </c>
      <c r="R1194" s="5" t="str">
        <f t="shared" ref="R1194:R1257" si="7156">VLOOKUP($A1194,hospital_details,8,0)</f>
        <v>R1024</v>
      </c>
    </row>
    <row r="1195" spans="1:18" ht="14.4" customHeight="1" x14ac:dyDescent="0.3">
      <c r="A1195" s="7" t="s">
        <v>1215</v>
      </c>
      <c r="B1195" s="7" t="str">
        <f>VLOOKUP($A1195,[1]!Customer_Names[#Data],3,0)</f>
        <v xml:space="preserve">  Amanda</v>
      </c>
      <c r="C1195" s="7">
        <v>27.265000000000001</v>
      </c>
      <c r="D1195" s="7" t="str" cm="1">
        <f t="array" ref="D1195">_xlfn.IFS(Healthcare!$C1195&lt;18.5,"under weight",Healthcare!$C1195&lt;=24.9,"Normal Weight",Healthcare!$C1195&gt;=25,"overweight",Healthcare!$C1195&gt;=30,"obese")</f>
        <v>overweight</v>
      </c>
      <c r="E1195" s="7">
        <v>11.39</v>
      </c>
      <c r="F1195" s="7" t="str" cm="1">
        <f t="array" ref="F1195">_xlfn.IFS(Healthcare!$E1195&lt;5.7,"normal",Healthcare!$E1195&lt;=6.4,"prediabetes",Healthcare!$E1195&gt;=6.5,"diabetes")</f>
        <v>diabetes</v>
      </c>
      <c r="G1195" s="7" t="s">
        <v>19</v>
      </c>
      <c r="H1195" s="7" t="s">
        <v>19</v>
      </c>
      <c r="I1195" s="7" t="s">
        <v>19</v>
      </c>
      <c r="J1195" s="7">
        <v>0</v>
      </c>
      <c r="K1195" s="7" t="s">
        <v>19</v>
      </c>
      <c r="L1195" s="7" t="str">
        <f>VLOOKUP(Healthcare!$A1195,hospital_details,2,0)</f>
        <v>27-Nov-1974</v>
      </c>
      <c r="M1195" s="7">
        <f t="shared" ref="M1195:M1258" ca="1" si="7157">VLOOKUP(A1195,hospital_details,3,0)</f>
        <v>51</v>
      </c>
      <c r="N1195" s="7">
        <f t="shared" ref="N1195:N1258" si="7158">VLOOKUP($A1195,hospital_details,4,0)</f>
        <v>1</v>
      </c>
      <c r="O1195" s="8">
        <f t="shared" ref="O1195:O1258" si="7159">VLOOKUP($A1195,hospital_details,5,0)</f>
        <v>9447.25</v>
      </c>
      <c r="P1195" s="7" t="str">
        <f t="shared" ref="P1195:P1258" si="7160">VLOOKUP($A1195,hospital_details,6,0)</f>
        <v>tier - 2</v>
      </c>
      <c r="Q1195" s="7" t="str">
        <f t="shared" ref="Q1195:Q1258" si="7161">VLOOKUP($A1195,hospital_details,7,0)</f>
        <v>tier - 1</v>
      </c>
      <c r="R1195" s="7" t="str">
        <f t="shared" ref="R1195:R1258" si="7162">VLOOKUP($A1195,hospital_details,8,0)</f>
        <v>R1024</v>
      </c>
    </row>
    <row r="1196" spans="1:18" ht="14.4" customHeight="1" x14ac:dyDescent="0.3">
      <c r="A1196" s="5" t="s">
        <v>1216</v>
      </c>
      <c r="B1196" s="5" t="str">
        <f>VLOOKUP($A1196,[1]!Customer_Names[#Data],3,0)</f>
        <v xml:space="preserve">  Dara</v>
      </c>
      <c r="C1196" s="5">
        <v>48.07</v>
      </c>
      <c r="D1196" s="5" t="str" cm="1">
        <f t="array" ref="D1196">_xlfn.IFS(Healthcare!$C1196&lt;18.5,"under weight",Healthcare!$C1196&lt;=24.9,"Normal Weight",Healthcare!$C1196&gt;=25,"overweight",Healthcare!$C1196&gt;=30,"obese")</f>
        <v>overweight</v>
      </c>
      <c r="E1196" s="5">
        <v>4.0599999999999996</v>
      </c>
      <c r="F1196" s="5" t="str" cm="1">
        <f t="array" ref="F1196">_xlfn.IFS(Healthcare!$E1196&lt;5.7,"normal",Healthcare!$E1196&lt;=6.4,"prediabetes",Healthcare!$E1196&gt;=6.5,"diabetes")</f>
        <v>normal</v>
      </c>
      <c r="G1196" s="5" t="s">
        <v>20</v>
      </c>
      <c r="H1196" s="5" t="s">
        <v>19</v>
      </c>
      <c r="I1196" s="5" t="s">
        <v>19</v>
      </c>
      <c r="J1196" s="5">
        <v>0</v>
      </c>
      <c r="K1196" s="5" t="s">
        <v>19</v>
      </c>
      <c r="L1196" s="5" t="str">
        <f>VLOOKUP(Healthcare!$A1196,hospital_details,2,0)</f>
        <v>3-Nov-1976</v>
      </c>
      <c r="M1196" s="5">
        <f t="shared" ref="M1196:M1259" ca="1" si="7163">VLOOKUP(A1196,hospital_details,3,0)</f>
        <v>49</v>
      </c>
      <c r="N1196" s="5">
        <f t="shared" ref="N1196:N1259" si="7164">VLOOKUP($A1196,hospital_details,4,0)</f>
        <v>2</v>
      </c>
      <c r="O1196" s="6">
        <f t="shared" ref="O1196:O1259" si="7165">VLOOKUP($A1196,hospital_details,5,0)</f>
        <v>9432.93</v>
      </c>
      <c r="P1196" s="5" t="str">
        <f t="shared" ref="P1196:P1259" si="7166">VLOOKUP($A1196,hospital_details,6,0)</f>
        <v>tier - 2</v>
      </c>
      <c r="Q1196" s="5" t="str">
        <f t="shared" ref="Q1196:Q1259" si="7167">VLOOKUP($A1196,hospital_details,7,0)</f>
        <v>tier - 1</v>
      </c>
      <c r="R1196" s="5" t="str">
        <f t="shared" ref="R1196:R1259" si="7168">VLOOKUP($A1196,hospital_details,8,0)</f>
        <v>R1024</v>
      </c>
    </row>
    <row r="1197" spans="1:18" ht="14.4" customHeight="1" x14ac:dyDescent="0.3">
      <c r="A1197" s="7" t="s">
        <v>1217</v>
      </c>
      <c r="B1197" s="7" t="str">
        <f>VLOOKUP($A1197,[1]!Customer_Names[#Data],3,0)</f>
        <v xml:space="preserve">  Rachelle R</v>
      </c>
      <c r="C1197" s="7">
        <v>30.8</v>
      </c>
      <c r="D1197" s="7" t="str" cm="1">
        <f t="array" ref="D1197">_xlfn.IFS(Healthcare!$C1197&lt;18.5,"under weight",Healthcare!$C1197&lt;=24.9,"Normal Weight",Healthcare!$C1197&gt;=25,"overweight",Healthcare!$C1197&gt;=30,"obese")</f>
        <v>overweight</v>
      </c>
      <c r="E1197" s="7">
        <v>5.23</v>
      </c>
      <c r="F1197" s="7" t="str" cm="1">
        <f t="array" ref="F1197">_xlfn.IFS(Healthcare!$E1197&lt;5.7,"normal",Healthcare!$E1197&lt;=6.4,"prediabetes",Healthcare!$E1197&gt;=6.5,"diabetes")</f>
        <v>normal</v>
      </c>
      <c r="G1197" s="7" t="s">
        <v>20</v>
      </c>
      <c r="H1197" s="7" t="s">
        <v>19</v>
      </c>
      <c r="I1197" s="7" t="s">
        <v>19</v>
      </c>
      <c r="J1197" s="7">
        <v>0</v>
      </c>
      <c r="K1197" s="7" t="s">
        <v>19</v>
      </c>
      <c r="L1197" s="7" t="str">
        <f>VLOOKUP(Healthcare!$A1197,hospital_details,2,0)</f>
        <v>30-Oct-1976</v>
      </c>
      <c r="M1197" s="7">
        <f t="shared" ref="M1197:M1260" ca="1" si="7169">VLOOKUP(A1197,hospital_details,3,0)</f>
        <v>49</v>
      </c>
      <c r="N1197" s="7">
        <f t="shared" ref="N1197:N1260" si="7170">VLOOKUP($A1197,hospital_details,4,0)</f>
        <v>3</v>
      </c>
      <c r="O1197" s="8">
        <f t="shared" ref="O1197:O1260" si="7171">VLOOKUP($A1197,hospital_details,5,0)</f>
        <v>9414.92</v>
      </c>
      <c r="P1197" s="7" t="str">
        <f t="shared" ref="P1197:P1260" si="7172">VLOOKUP($A1197,hospital_details,6,0)</f>
        <v>tier - 2</v>
      </c>
      <c r="Q1197" s="7" t="str">
        <f t="shared" ref="Q1197:Q1260" si="7173">VLOOKUP($A1197,hospital_details,7,0)</f>
        <v>tier - 2</v>
      </c>
      <c r="R1197" s="7" t="str">
        <f t="shared" ref="R1197:R1260" si="7174">VLOOKUP($A1197,hospital_details,8,0)</f>
        <v>R1011</v>
      </c>
    </row>
    <row r="1198" spans="1:18" ht="14.4" customHeight="1" x14ac:dyDescent="0.3">
      <c r="A1198" s="5" t="s">
        <v>1218</v>
      </c>
      <c r="B1198" s="5" t="str">
        <f>VLOOKUP($A1198,[1]!Customer_Names[#Data],3,0)</f>
        <v xml:space="preserve">  Brenda J</v>
      </c>
      <c r="C1198" s="5">
        <v>32.299999999999997</v>
      </c>
      <c r="D1198" s="5" t="str" cm="1">
        <f t="array" ref="D1198">_xlfn.IFS(Healthcare!$C1198&lt;18.5,"under weight",Healthcare!$C1198&lt;=24.9,"Normal Weight",Healthcare!$C1198&gt;=25,"overweight",Healthcare!$C1198&gt;=30,"obese")</f>
        <v>overweight</v>
      </c>
      <c r="E1198" s="5">
        <v>5.05</v>
      </c>
      <c r="F1198" s="5" t="str" cm="1">
        <f t="array" ref="F1198">_xlfn.IFS(Healthcare!$E1198&lt;5.7,"normal",Healthcare!$E1198&lt;=6.4,"prediabetes",Healthcare!$E1198&gt;=6.5,"diabetes")</f>
        <v>normal</v>
      </c>
      <c r="G1198" s="5" t="s">
        <v>20</v>
      </c>
      <c r="H1198" s="5" t="s">
        <v>19</v>
      </c>
      <c r="I1198" s="5" t="s">
        <v>19</v>
      </c>
      <c r="J1198" s="5">
        <v>0</v>
      </c>
      <c r="K1198" s="5" t="s">
        <v>19</v>
      </c>
      <c r="L1198" s="5" t="str">
        <f>VLOOKUP(Healthcare!$A1198,hospital_details,2,0)</f>
        <v>17-Oct-1976</v>
      </c>
      <c r="M1198" s="5">
        <f t="shared" ref="M1198:M1261" ca="1" si="7175">VLOOKUP(A1198,hospital_details,3,0)</f>
        <v>50</v>
      </c>
      <c r="N1198" s="5">
        <f t="shared" ref="N1198:N1261" si="7176">VLOOKUP($A1198,hospital_details,4,0)</f>
        <v>2</v>
      </c>
      <c r="O1198" s="6">
        <f t="shared" ref="O1198:O1261" si="7177">VLOOKUP($A1198,hospital_details,5,0)</f>
        <v>9411.01</v>
      </c>
      <c r="P1198" s="5" t="str">
        <f t="shared" ref="P1198:P1261" si="7178">VLOOKUP($A1198,hospital_details,6,0)</f>
        <v>tier - 2</v>
      </c>
      <c r="Q1198" s="5" t="str">
        <f t="shared" ref="Q1198:Q1261" si="7179">VLOOKUP($A1198,hospital_details,7,0)</f>
        <v>tier - 3</v>
      </c>
      <c r="R1198" s="5" t="str">
        <f t="shared" ref="R1198:R1261" si="7180">VLOOKUP($A1198,hospital_details,8,0)</f>
        <v>R1024</v>
      </c>
    </row>
    <row r="1199" spans="1:18" ht="14.4" customHeight="1" x14ac:dyDescent="0.3">
      <c r="A1199" s="7" t="s">
        <v>1219</v>
      </c>
      <c r="B1199" s="7" t="str">
        <f>VLOOKUP($A1199,[1]!Customer_Names[#Data],3,0)</f>
        <v xml:space="preserve">  Tim</v>
      </c>
      <c r="C1199" s="7">
        <v>39.700000000000003</v>
      </c>
      <c r="D1199" s="7" t="str" cm="1">
        <f t="array" ref="D1199">_xlfn.IFS(Healthcare!$C1199&lt;18.5,"under weight",Healthcare!$C1199&lt;=24.9,"Normal Weight",Healthcare!$C1199&gt;=25,"overweight",Healthcare!$C1199&gt;=30,"obese")</f>
        <v>overweight</v>
      </c>
      <c r="E1199" s="7">
        <v>7.34</v>
      </c>
      <c r="F1199" s="7" t="str" cm="1">
        <f t="array" ref="F1199">_xlfn.IFS(Healthcare!$E1199&lt;5.7,"normal",Healthcare!$E1199&lt;=6.4,"prediabetes",Healthcare!$E1199&gt;=6.5,"diabetes")</f>
        <v>diabetes</v>
      </c>
      <c r="G1199" s="7" t="s">
        <v>19</v>
      </c>
      <c r="H1199" s="7" t="s">
        <v>19</v>
      </c>
      <c r="I1199" s="7" t="s">
        <v>19</v>
      </c>
      <c r="J1199" s="7">
        <v>0</v>
      </c>
      <c r="K1199" s="7" t="s">
        <v>19</v>
      </c>
      <c r="L1199" s="7" t="str">
        <f>VLOOKUP(Healthcare!$A1199,hospital_details,2,0)</f>
        <v>20-Oct-1971</v>
      </c>
      <c r="M1199" s="7">
        <f t="shared" ref="M1199:M1262" ca="1" si="7181">VLOOKUP(A1199,hospital_details,3,0)</f>
        <v>54</v>
      </c>
      <c r="N1199" s="7">
        <f t="shared" ref="N1199:N1262" si="7182">VLOOKUP($A1199,hospital_details,4,0)</f>
        <v>1</v>
      </c>
      <c r="O1199" s="8">
        <f t="shared" ref="O1199:O1262" si="7183">VLOOKUP($A1199,hospital_details,5,0)</f>
        <v>9391.35</v>
      </c>
      <c r="P1199" s="7" t="str">
        <f t="shared" ref="P1199:P1262" si="7184">VLOOKUP($A1199,hospital_details,6,0)</f>
        <v>tier - 3</v>
      </c>
      <c r="Q1199" s="7" t="str">
        <f t="shared" ref="Q1199:Q1262" si="7185">VLOOKUP($A1199,hospital_details,7,0)</f>
        <v>tier - 3</v>
      </c>
      <c r="R1199" s="7" t="str">
        <f t="shared" ref="R1199:R1262" si="7186">VLOOKUP($A1199,hospital_details,8,0)</f>
        <v>R1011</v>
      </c>
    </row>
    <row r="1200" spans="1:18" ht="14.4" customHeight="1" x14ac:dyDescent="0.3">
      <c r="A1200" s="5" t="s">
        <v>1220</v>
      </c>
      <c r="B1200" s="5" t="str">
        <f>VLOOKUP($A1200,[1]!Customer_Names[#Data],3,0)</f>
        <v xml:space="preserve">  Sylvain</v>
      </c>
      <c r="C1200" s="5">
        <v>35.97</v>
      </c>
      <c r="D1200" s="5" t="str" cm="1">
        <f t="array" ref="D1200">_xlfn.IFS(Healthcare!$C1200&lt;18.5,"under weight",Healthcare!$C1200&lt;=24.9,"Normal Weight",Healthcare!$C1200&gt;=25,"overweight",Healthcare!$C1200&gt;=30,"obese")</f>
        <v>overweight</v>
      </c>
      <c r="E1200" s="5">
        <v>8.1300000000000008</v>
      </c>
      <c r="F1200" s="5" t="str" cm="1">
        <f t="array" ref="F1200">_xlfn.IFS(Healthcare!$E1200&lt;5.7,"normal",Healthcare!$E1200&lt;=6.4,"prediabetes",Healthcare!$E1200&gt;=6.5,"diabetes")</f>
        <v>diabetes</v>
      </c>
      <c r="G1200" s="5" t="s">
        <v>19</v>
      </c>
      <c r="H1200" s="5" t="s">
        <v>19</v>
      </c>
      <c r="I1200" s="5" t="s">
        <v>19</v>
      </c>
      <c r="J1200" s="5">
        <v>0</v>
      </c>
      <c r="K1200" s="5" t="s">
        <v>19</v>
      </c>
      <c r="L1200" s="5" t="str">
        <f>VLOOKUP(Healthcare!$A1200,hospital_details,2,0)</f>
        <v>29-Dec-1971</v>
      </c>
      <c r="M1200" s="5">
        <f t="shared" ref="M1200:M1263" ca="1" si="7187">VLOOKUP(A1200,hospital_details,3,0)</f>
        <v>54</v>
      </c>
      <c r="N1200" s="5">
        <f t="shared" ref="N1200:N1263" si="7188">VLOOKUP($A1200,hospital_details,4,0)</f>
        <v>1</v>
      </c>
      <c r="O1200" s="6">
        <f t="shared" ref="O1200:O1263" si="7189">VLOOKUP($A1200,hospital_details,5,0)</f>
        <v>9386.16</v>
      </c>
      <c r="P1200" s="5" t="str">
        <f t="shared" ref="P1200:P1263" si="7190">VLOOKUP($A1200,hospital_details,6,0)</f>
        <v>tier - 3</v>
      </c>
      <c r="Q1200" s="5" t="str">
        <f t="shared" ref="Q1200:Q1263" si="7191">VLOOKUP($A1200,hospital_details,7,0)</f>
        <v>tier - 2</v>
      </c>
      <c r="R1200" s="5" t="str">
        <f t="shared" ref="R1200:R1263" si="7192">VLOOKUP($A1200,hospital_details,8,0)</f>
        <v>R1013</v>
      </c>
    </row>
    <row r="1201" spans="1:18" ht="14.4" customHeight="1" x14ac:dyDescent="0.3">
      <c r="A1201" s="7" t="s">
        <v>1221</v>
      </c>
      <c r="B1201" s="7" t="str">
        <f>VLOOKUP($A1201,[1]!Customer_Names[#Data],3,0)</f>
        <v xml:space="preserve">  Lisa M</v>
      </c>
      <c r="C1201" s="7">
        <v>25.86</v>
      </c>
      <c r="D1201" s="7" t="str" cm="1">
        <f t="array" ref="D1201">_xlfn.IFS(Healthcare!$C1201&lt;18.5,"under weight",Healthcare!$C1201&lt;=24.9,"Normal Weight",Healthcare!$C1201&gt;=25,"overweight",Healthcare!$C1201&gt;=30,"obese")</f>
        <v>overweight</v>
      </c>
      <c r="E1201" s="7">
        <v>6.68</v>
      </c>
      <c r="F1201" s="7" t="str" cm="1">
        <f t="array" ref="F1201">_xlfn.IFS(Healthcare!$E1201&lt;5.7,"normal",Healthcare!$E1201&lt;=6.4,"prediabetes",Healthcare!$E1201&gt;=6.5,"diabetes")</f>
        <v>diabetes</v>
      </c>
      <c r="G1201" s="7" t="s">
        <v>20</v>
      </c>
      <c r="H1201" s="7" t="s">
        <v>19</v>
      </c>
      <c r="I1201" s="7" t="s">
        <v>19</v>
      </c>
      <c r="J1201" s="7">
        <v>1</v>
      </c>
      <c r="K1201" s="7" t="s">
        <v>19</v>
      </c>
      <c r="L1201" s="7" t="str">
        <f>VLOOKUP(Healthcare!$A1201,hospital_details,2,0)</f>
        <v>2-Dec-1975</v>
      </c>
      <c r="M1201" s="7">
        <f t="shared" ref="M1201:M1264" ca="1" si="7193">VLOOKUP(A1201,hospital_details,3,0)</f>
        <v>50</v>
      </c>
      <c r="N1201" s="7">
        <f t="shared" ref="N1201:N1264" si="7194">VLOOKUP($A1201,hospital_details,4,0)</f>
        <v>1</v>
      </c>
      <c r="O1201" s="8">
        <f t="shared" ref="O1201:O1264" si="7195">VLOOKUP($A1201,hospital_details,5,0)</f>
        <v>9380.75</v>
      </c>
      <c r="P1201" s="7" t="str">
        <f t="shared" ref="P1201:P1264" si="7196">VLOOKUP($A1201,hospital_details,6,0)</f>
        <v>tier - 2</v>
      </c>
      <c r="Q1201" s="7" t="str">
        <f t="shared" ref="Q1201:Q1264" si="7197">VLOOKUP($A1201,hospital_details,7,0)</f>
        <v>tier - 2</v>
      </c>
      <c r="R1201" s="7" t="str">
        <f t="shared" ref="R1201:R1264" si="7198">VLOOKUP($A1201,hospital_details,8,0)</f>
        <v>R1024</v>
      </c>
    </row>
    <row r="1202" spans="1:18" ht="14.4" customHeight="1" x14ac:dyDescent="0.3">
      <c r="A1202" s="5" t="s">
        <v>1222</v>
      </c>
      <c r="B1202" s="5" t="str">
        <f>VLOOKUP($A1202,[1]!Customer_Names[#Data],3,0)</f>
        <v xml:space="preserve">  Ryan</v>
      </c>
      <c r="C1202" s="5">
        <v>30.03</v>
      </c>
      <c r="D1202" s="5" t="str" cm="1">
        <f t="array" ref="D1202">_xlfn.IFS(Healthcare!$C1202&lt;18.5,"under weight",Healthcare!$C1202&lt;=24.9,"Normal Weight",Healthcare!$C1202&gt;=25,"overweight",Healthcare!$C1202&gt;=30,"obese")</f>
        <v>overweight</v>
      </c>
      <c r="E1202" s="5">
        <v>11.51</v>
      </c>
      <c r="F1202" s="5" t="str" cm="1">
        <f t="array" ref="F1202">_xlfn.IFS(Healthcare!$E1202&lt;5.7,"normal",Healthcare!$E1202&lt;=6.4,"prediabetes",Healthcare!$E1202&gt;=6.5,"diabetes")</f>
        <v>diabetes</v>
      </c>
      <c r="G1202" s="5" t="s">
        <v>19</v>
      </c>
      <c r="H1202" s="5" t="s">
        <v>19</v>
      </c>
      <c r="I1202" s="5" t="s">
        <v>19</v>
      </c>
      <c r="J1202" s="5">
        <v>0</v>
      </c>
      <c r="K1202" s="5" t="s">
        <v>19</v>
      </c>
      <c r="L1202" s="5" t="str">
        <f>VLOOKUP(Healthcare!$A1202,hospital_details,2,0)</f>
        <v>26-Nov-1971</v>
      </c>
      <c r="M1202" s="5">
        <f t="shared" ref="M1202:M1265" ca="1" si="7199">VLOOKUP(A1202,hospital_details,3,0)</f>
        <v>54</v>
      </c>
      <c r="N1202" s="5">
        <f t="shared" ref="N1202:N1265" si="7200">VLOOKUP($A1202,hospital_details,4,0)</f>
        <v>1</v>
      </c>
      <c r="O1202" s="6">
        <f t="shared" ref="O1202:O1265" si="7201">VLOOKUP($A1202,hospital_details,5,0)</f>
        <v>9377.9</v>
      </c>
      <c r="P1202" s="5" t="str">
        <f t="shared" ref="P1202:P1265" si="7202">VLOOKUP($A1202,hospital_details,6,0)</f>
        <v>tier - 2</v>
      </c>
      <c r="Q1202" s="5" t="str">
        <f t="shared" ref="Q1202:Q1265" si="7203">VLOOKUP($A1202,hospital_details,7,0)</f>
        <v>tier - 1</v>
      </c>
      <c r="R1202" s="5" t="str">
        <f t="shared" ref="R1202:R1265" si="7204">VLOOKUP($A1202,hospital_details,8,0)</f>
        <v>R1013</v>
      </c>
    </row>
    <row r="1203" spans="1:18" ht="14.4" customHeight="1" x14ac:dyDescent="0.3">
      <c r="A1203" s="7" t="s">
        <v>1223</v>
      </c>
      <c r="B1203" s="7" t="str">
        <f>VLOOKUP($A1203,[1]!Customer_Names[#Data],3,0)</f>
        <v xml:space="preserve">  Kaitlin M</v>
      </c>
      <c r="C1203" s="7">
        <v>25.76</v>
      </c>
      <c r="D1203" s="7" t="str" cm="1">
        <f t="array" ref="D1203">_xlfn.IFS(Healthcare!$C1203&lt;18.5,"under weight",Healthcare!$C1203&lt;=24.9,"Normal Weight",Healthcare!$C1203&gt;=25,"overweight",Healthcare!$C1203&gt;=30,"obese")</f>
        <v>overweight</v>
      </c>
      <c r="E1203" s="7">
        <v>6.02</v>
      </c>
      <c r="F1203" s="7" t="str" cm="1">
        <f t="array" ref="F1203">_xlfn.IFS(Healthcare!$E1203&lt;5.7,"normal",Healthcare!$E1203&lt;=6.4,"prediabetes",Healthcare!$E1203&gt;=6.5,"diabetes")</f>
        <v>prediabetes</v>
      </c>
      <c r="G1203" s="7" t="s">
        <v>20</v>
      </c>
      <c r="H1203" s="7" t="s">
        <v>19</v>
      </c>
      <c r="I1203" s="7" t="s">
        <v>29</v>
      </c>
      <c r="J1203" s="7">
        <v>1</v>
      </c>
      <c r="K1203" s="7" t="s">
        <v>19</v>
      </c>
      <c r="L1203" s="7" t="str">
        <f>VLOOKUP(Healthcare!$A1203,hospital_details,2,0)</f>
        <v>24-Nov-1969</v>
      </c>
      <c r="M1203" s="7">
        <f t="shared" ref="M1203:M1266" ca="1" si="7205">VLOOKUP(A1203,hospital_details,3,0)</f>
        <v>56</v>
      </c>
      <c r="N1203" s="7">
        <f t="shared" ref="N1203:N1266" si="7206">VLOOKUP($A1203,hospital_details,4,0)</f>
        <v>0</v>
      </c>
      <c r="O1203" s="8">
        <f t="shared" ref="O1203:O1266" si="7207">VLOOKUP($A1203,hospital_details,5,0)</f>
        <v>9377.4500000000007</v>
      </c>
      <c r="P1203" s="7" t="str">
        <f t="shared" ref="P1203:P1266" si="7208">VLOOKUP($A1203,hospital_details,6,0)</f>
        <v>tier - 2</v>
      </c>
      <c r="Q1203" s="7" t="str">
        <f t="shared" ref="Q1203:Q1266" si="7209">VLOOKUP($A1203,hospital_details,7,0)</f>
        <v>tier - 3</v>
      </c>
      <c r="R1203" s="7" t="str">
        <f t="shared" ref="R1203:R1266" si="7210">VLOOKUP($A1203,hospital_details,8,0)</f>
        <v>R1013</v>
      </c>
    </row>
    <row r="1204" spans="1:18" ht="14.4" customHeight="1" x14ac:dyDescent="0.3">
      <c r="A1204" s="5" t="s">
        <v>1224</v>
      </c>
      <c r="B1204" s="5" t="str">
        <f>VLOOKUP($A1204,[1]!Customer_Names[#Data],3,0)</f>
        <v xml:space="preserve">  William R</v>
      </c>
      <c r="C1204" s="5">
        <v>22.42</v>
      </c>
      <c r="D1204" s="5" t="str" cm="1">
        <f t="array" ref="D1204">_xlfn.IFS(Healthcare!$C1204&lt;18.5,"under weight",Healthcare!$C1204&lt;=24.9,"Normal Weight",Healthcare!$C1204&gt;=25,"overweight",Healthcare!$C1204&gt;=30,"obese")</f>
        <v>Normal Weight</v>
      </c>
      <c r="E1204" s="5">
        <v>7.96</v>
      </c>
      <c r="F1204" s="5" t="str" cm="1">
        <f t="array" ref="F1204">_xlfn.IFS(Healthcare!$E1204&lt;5.7,"normal",Healthcare!$E1204&lt;=6.4,"prediabetes",Healthcare!$E1204&gt;=6.5,"diabetes")</f>
        <v>diabetes</v>
      </c>
      <c r="G1204" s="5" t="s">
        <v>19</v>
      </c>
      <c r="H1204" s="5" t="s">
        <v>19</v>
      </c>
      <c r="I1204" s="5" t="s">
        <v>19</v>
      </c>
      <c r="J1204" s="5">
        <v>0</v>
      </c>
      <c r="K1204" s="5" t="s">
        <v>19</v>
      </c>
      <c r="L1204" s="5" t="str">
        <f>VLOOKUP(Healthcare!$A1204,hospital_details,2,0)</f>
        <v>8-Oct-1971</v>
      </c>
      <c r="M1204" s="5">
        <f t="shared" ref="M1204:M1267" ca="1" si="7211">VLOOKUP(A1204,hospital_details,3,0)</f>
        <v>55</v>
      </c>
      <c r="N1204" s="5">
        <f t="shared" ref="N1204:N1267" si="7212">VLOOKUP($A1204,hospital_details,4,0)</f>
        <v>0</v>
      </c>
      <c r="O1204" s="6">
        <f t="shared" ref="O1204:O1267" si="7213">VLOOKUP($A1204,hospital_details,5,0)</f>
        <v>9361.33</v>
      </c>
      <c r="P1204" s="5" t="str">
        <f t="shared" ref="P1204:P1267" si="7214">VLOOKUP($A1204,hospital_details,6,0)</f>
        <v>tier - 3</v>
      </c>
      <c r="Q1204" s="5" t="str">
        <f t="shared" ref="Q1204:Q1267" si="7215">VLOOKUP($A1204,hospital_details,7,0)</f>
        <v>tier - 1</v>
      </c>
      <c r="R1204" s="5" t="str">
        <f t="shared" ref="R1204:R1267" si="7216">VLOOKUP($A1204,hospital_details,8,0)</f>
        <v>R1016</v>
      </c>
    </row>
    <row r="1205" spans="1:18" ht="14.4" customHeight="1" x14ac:dyDescent="0.3">
      <c r="A1205" s="7" t="s">
        <v>1225</v>
      </c>
      <c r="B1205" s="7" t="str">
        <f>VLOOKUP($A1205,[1]!Customer_Names[#Data],3,0)</f>
        <v xml:space="preserve">  Bruce</v>
      </c>
      <c r="C1205" s="7">
        <v>33.18</v>
      </c>
      <c r="D1205" s="7" t="str" cm="1">
        <f t="array" ref="D1205">_xlfn.IFS(Healthcare!$C1205&lt;18.5,"under weight",Healthcare!$C1205&lt;=24.9,"Normal Weight",Healthcare!$C1205&gt;=25,"overweight",Healthcare!$C1205&gt;=30,"obese")</f>
        <v>overweight</v>
      </c>
      <c r="E1205" s="7">
        <v>6.01</v>
      </c>
      <c r="F1205" s="7" t="str" cm="1">
        <f t="array" ref="F1205">_xlfn.IFS(Healthcare!$E1205&lt;5.7,"normal",Healthcare!$E1205&lt;=6.4,"prediabetes",Healthcare!$E1205&gt;=6.5,"diabetes")</f>
        <v>prediabetes</v>
      </c>
      <c r="G1205" s="7" t="s">
        <v>20</v>
      </c>
      <c r="H1205" s="7" t="s">
        <v>19</v>
      </c>
      <c r="I1205" s="7" t="s">
        <v>19</v>
      </c>
      <c r="J1205" s="7">
        <v>1</v>
      </c>
      <c r="K1205" s="7" t="s">
        <v>19</v>
      </c>
      <c r="L1205" s="7" t="str">
        <f>VLOOKUP(Healthcare!$A1205,hospital_details,2,0)</f>
        <v>1-Jul-1988</v>
      </c>
      <c r="M1205" s="7">
        <f t="shared" ref="M1205:M1268" ca="1" si="7217">VLOOKUP(A1205,hospital_details,3,0)</f>
        <v>38</v>
      </c>
      <c r="N1205" s="7">
        <f t="shared" ref="N1205:N1268" si="7218">VLOOKUP($A1205,hospital_details,4,0)</f>
        <v>3</v>
      </c>
      <c r="O1205" s="8">
        <f t="shared" ref="O1205:O1268" si="7219">VLOOKUP($A1205,hospital_details,5,0)</f>
        <v>9344.2000000000007</v>
      </c>
      <c r="P1205" s="7" t="str">
        <f t="shared" ref="P1205:P1268" si="7220">VLOOKUP($A1205,hospital_details,6,0)</f>
        <v>tier - 2</v>
      </c>
      <c r="Q1205" s="7" t="str">
        <f t="shared" ref="Q1205:Q1268" si="7221">VLOOKUP($A1205,hospital_details,7,0)</f>
        <v>tier - 1</v>
      </c>
      <c r="R1205" s="7" t="str">
        <f t="shared" ref="R1205:R1268" si="7222">VLOOKUP($A1205,hospital_details,8,0)</f>
        <v>R1021</v>
      </c>
    </row>
    <row r="1206" spans="1:18" ht="14.4" customHeight="1" x14ac:dyDescent="0.3">
      <c r="A1206" s="5" t="s">
        <v>1226</v>
      </c>
      <c r="B1206" s="5" t="str">
        <f>VLOOKUP($A1206,[1]!Customer_Names[#Data],3,0)</f>
        <v xml:space="preserve">  Veronica</v>
      </c>
      <c r="C1206" s="5">
        <v>43.04</v>
      </c>
      <c r="D1206" s="5" t="str" cm="1">
        <f t="array" ref="D1206">_xlfn.IFS(Healthcare!$C1206&lt;18.5,"under weight",Healthcare!$C1206&lt;=24.9,"Normal Weight",Healthcare!$C1206&gt;=25,"overweight",Healthcare!$C1206&gt;=30,"obese")</f>
        <v>overweight</v>
      </c>
      <c r="E1206" s="5">
        <v>5.9</v>
      </c>
      <c r="F1206" s="5" t="str" cm="1">
        <f t="array" ref="F1206">_xlfn.IFS(Healthcare!$E1206&lt;5.7,"normal",Healthcare!$E1206&lt;=6.4,"prediabetes",Healthcare!$E1206&gt;=6.5,"diabetes")</f>
        <v>prediabetes</v>
      </c>
      <c r="G1206" s="5" t="s">
        <v>20</v>
      </c>
      <c r="H1206" s="5" t="s">
        <v>19</v>
      </c>
      <c r="I1206" s="5" t="s">
        <v>19</v>
      </c>
      <c r="J1206" s="5">
        <v>0</v>
      </c>
      <c r="K1206" s="5" t="s">
        <v>19</v>
      </c>
      <c r="L1206" s="5" t="str">
        <f>VLOOKUP(Healthcare!$A1206,hospital_details,2,0)</f>
        <v>12-Oct-1996</v>
      </c>
      <c r="M1206" s="5">
        <f t="shared" ref="M1206:M1269" ca="1" si="7223">VLOOKUP(A1206,hospital_details,3,0)</f>
        <v>30</v>
      </c>
      <c r="N1206" s="5">
        <f t="shared" ref="N1206:N1269" si="7224">VLOOKUP($A1206,hospital_details,4,0)</f>
        <v>0</v>
      </c>
      <c r="O1206" s="6">
        <f t="shared" ref="O1206:O1269" si="7225">VLOOKUP($A1206,hospital_details,5,0)</f>
        <v>9338.61</v>
      </c>
      <c r="P1206" s="5" t="str">
        <f t="shared" ref="P1206:P1269" si="7226">VLOOKUP($A1206,hospital_details,6,0)</f>
        <v>tier - 2</v>
      </c>
      <c r="Q1206" s="5" t="str">
        <f t="shared" ref="Q1206:Q1269" si="7227">VLOOKUP($A1206,hospital_details,7,0)</f>
        <v>tier - 1</v>
      </c>
      <c r="R1206" s="5" t="str">
        <f t="shared" ref="R1206:R1269" si="7228">VLOOKUP($A1206,hospital_details,8,0)</f>
        <v>R1026</v>
      </c>
    </row>
    <row r="1207" spans="1:18" ht="14.4" customHeight="1" x14ac:dyDescent="0.3">
      <c r="A1207" s="7" t="s">
        <v>1227</v>
      </c>
      <c r="B1207" s="7" t="str">
        <f>VLOOKUP($A1207,[1]!Customer_Names[#Data],3,0)</f>
        <v xml:space="preserve">  Warren</v>
      </c>
      <c r="C1207" s="7">
        <v>34.15</v>
      </c>
      <c r="D1207" s="7" t="str" cm="1">
        <f t="array" ref="D1207">_xlfn.IFS(Healthcare!$C1207&lt;18.5,"under weight",Healthcare!$C1207&lt;=24.9,"Normal Weight",Healthcare!$C1207&gt;=25,"overweight",Healthcare!$C1207&gt;=30,"obese")</f>
        <v>overweight</v>
      </c>
      <c r="E1207" s="7">
        <v>4.49</v>
      </c>
      <c r="F1207" s="7" t="str" cm="1">
        <f t="array" ref="F1207">_xlfn.IFS(Healthcare!$E1207&lt;5.7,"normal",Healthcare!$E1207&lt;=6.4,"prediabetes",Healthcare!$E1207&gt;=6.5,"diabetes")</f>
        <v>normal</v>
      </c>
      <c r="G1207" s="7" t="s">
        <v>20</v>
      </c>
      <c r="H1207" s="7" t="s">
        <v>19</v>
      </c>
      <c r="I1207" s="7" t="s">
        <v>19</v>
      </c>
      <c r="J1207" s="7">
        <v>1</v>
      </c>
      <c r="K1207" s="7" t="s">
        <v>19</v>
      </c>
      <c r="L1207" s="7" t="str">
        <f>VLOOKUP(Healthcare!$A1207,hospital_details,2,0)</f>
        <v>9-Jul-1988</v>
      </c>
      <c r="M1207" s="7">
        <f t="shared" ref="M1207:M1270" ca="1" si="7229">VLOOKUP(A1207,hospital_details,3,0)</f>
        <v>38</v>
      </c>
      <c r="N1207" s="7">
        <f t="shared" ref="N1207:N1270" si="7230">VLOOKUP($A1207,hospital_details,4,0)</f>
        <v>3</v>
      </c>
      <c r="O1207" s="8">
        <f t="shared" ref="O1207:O1270" si="7231">VLOOKUP($A1207,hospital_details,5,0)</f>
        <v>9320.26</v>
      </c>
      <c r="P1207" s="7" t="str">
        <f t="shared" ref="P1207:P1270" si="7232">VLOOKUP($A1207,hospital_details,6,0)</f>
        <v>tier - 2</v>
      </c>
      <c r="Q1207" s="7" t="str">
        <f t="shared" ref="Q1207:Q1270" si="7233">VLOOKUP($A1207,hospital_details,7,0)</f>
        <v>tier - 1</v>
      </c>
      <c r="R1207" s="7" t="str">
        <f t="shared" ref="R1207:R1270" si="7234">VLOOKUP($A1207,hospital_details,8,0)</f>
        <v>R1012</v>
      </c>
    </row>
    <row r="1208" spans="1:18" ht="14.4" customHeight="1" x14ac:dyDescent="0.3">
      <c r="A1208" s="5" t="s">
        <v>1228</v>
      </c>
      <c r="B1208" s="5" t="str">
        <f>VLOOKUP($A1208,[1]!Customer_Names[#Data],3,0)</f>
        <v xml:space="preserve">  Daniela</v>
      </c>
      <c r="C1208" s="5">
        <v>25.78</v>
      </c>
      <c r="D1208" s="5" t="str" cm="1">
        <f t="array" ref="D1208">_xlfn.IFS(Healthcare!$C1208&lt;18.5,"under weight",Healthcare!$C1208&lt;=24.9,"Normal Weight",Healthcare!$C1208&gt;=25,"overweight",Healthcare!$C1208&gt;=30,"obese")</f>
        <v>overweight</v>
      </c>
      <c r="E1208" s="5">
        <v>6.25</v>
      </c>
      <c r="F1208" s="5" t="str" cm="1">
        <f t="array" ref="F1208">_xlfn.IFS(Healthcare!$E1208&lt;5.7,"normal",Healthcare!$E1208&lt;=6.4,"prediabetes",Healthcare!$E1208&gt;=6.5,"diabetes")</f>
        <v>prediabetes</v>
      </c>
      <c r="G1208" s="5" t="s">
        <v>19</v>
      </c>
      <c r="H1208" s="5" t="s">
        <v>19</v>
      </c>
      <c r="I1208" s="5" t="s">
        <v>19</v>
      </c>
      <c r="J1208" s="5">
        <v>0</v>
      </c>
      <c r="K1208" s="5" t="s">
        <v>19</v>
      </c>
      <c r="L1208" s="5" t="str">
        <f>VLOOKUP(Healthcare!$A1208,hospital_details,2,0)</f>
        <v>12-Oct-1977</v>
      </c>
      <c r="M1208" s="5">
        <f t="shared" ref="M1208:M1271" ca="1" si="7235">VLOOKUP(A1208,hospital_details,3,0)</f>
        <v>49</v>
      </c>
      <c r="N1208" s="5">
        <f t="shared" ref="N1208:N1271" si="7236">VLOOKUP($A1208,hospital_details,4,0)</f>
        <v>2</v>
      </c>
      <c r="O1208" s="6">
        <f t="shared" ref="O1208:O1271" si="7237">VLOOKUP($A1208,hospital_details,5,0)</f>
        <v>9315.41</v>
      </c>
      <c r="P1208" s="5" t="str">
        <f t="shared" ref="P1208:P1271" si="7238">VLOOKUP($A1208,hospital_details,6,0)</f>
        <v>tier - 2</v>
      </c>
      <c r="Q1208" s="5" t="str">
        <f t="shared" ref="Q1208:Q1271" si="7239">VLOOKUP($A1208,hospital_details,7,0)</f>
        <v>tier - 1</v>
      </c>
      <c r="R1208" s="5" t="str">
        <f t="shared" ref="R1208:R1271" si="7240">VLOOKUP($A1208,hospital_details,8,0)</f>
        <v>R1024</v>
      </c>
    </row>
    <row r="1209" spans="1:18" ht="14.4" customHeight="1" x14ac:dyDescent="0.3">
      <c r="A1209" s="7" t="s">
        <v>1229</v>
      </c>
      <c r="B1209" s="7" t="str">
        <f>VLOOKUP($A1209,[1]!Customer_Names[#Data],3,0)</f>
        <v xml:space="preserve">  Deirdre A</v>
      </c>
      <c r="C1209" s="7">
        <v>21.02</v>
      </c>
      <c r="D1209" s="7" t="str" cm="1">
        <f t="array" ref="D1209">_xlfn.IFS(Healthcare!$C1209&lt;18.5,"under weight",Healthcare!$C1209&lt;=24.9,"Normal Weight",Healthcare!$C1209&gt;=25,"overweight",Healthcare!$C1209&gt;=30,"obese")</f>
        <v>Normal Weight</v>
      </c>
      <c r="E1209" s="7">
        <v>9.6199999999999992</v>
      </c>
      <c r="F1209" s="7" t="str" cm="1">
        <f t="array" ref="F1209">_xlfn.IFS(Healthcare!$E1209&lt;5.7,"normal",Healthcare!$E1209&lt;=6.4,"prediabetes",Healthcare!$E1209&gt;=6.5,"diabetes")</f>
        <v>diabetes</v>
      </c>
      <c r="G1209" s="7" t="s">
        <v>20</v>
      </c>
      <c r="H1209" s="7" t="s">
        <v>19</v>
      </c>
      <c r="I1209" s="7" t="s">
        <v>29</v>
      </c>
      <c r="J1209" s="7">
        <v>1</v>
      </c>
      <c r="K1209" s="7" t="s">
        <v>19</v>
      </c>
      <c r="L1209" s="7" t="str">
        <f>VLOOKUP(Healthcare!$A1209,hospital_details,2,0)</f>
        <v>8-Jun-1963</v>
      </c>
      <c r="M1209" s="7">
        <f t="shared" ref="M1209:M1272" ca="1" si="7241">VLOOKUP(A1209,hospital_details,3,0)</f>
        <v>63</v>
      </c>
      <c r="N1209" s="7">
        <f t="shared" ref="N1209:N1272" si="7242">VLOOKUP($A1209,hospital_details,4,0)</f>
        <v>0</v>
      </c>
      <c r="O1209" s="8">
        <f t="shared" ref="O1209:O1272" si="7243">VLOOKUP($A1209,hospital_details,5,0)</f>
        <v>9310.81</v>
      </c>
      <c r="P1209" s="7" t="str">
        <f t="shared" ref="P1209:P1272" si="7244">VLOOKUP($A1209,hospital_details,6,0)</f>
        <v>tier - 3</v>
      </c>
      <c r="Q1209" s="7" t="str">
        <f t="shared" ref="Q1209:Q1272" si="7245">VLOOKUP($A1209,hospital_details,7,0)</f>
        <v>tier - 1</v>
      </c>
      <c r="R1209" s="7" t="str">
        <f t="shared" ref="R1209:R1272" si="7246">VLOOKUP($A1209,hospital_details,8,0)</f>
        <v>R1013</v>
      </c>
    </row>
    <row r="1210" spans="1:18" ht="14.4" customHeight="1" x14ac:dyDescent="0.3">
      <c r="A1210" s="5" t="s">
        <v>1230</v>
      </c>
      <c r="B1210" s="5" t="str">
        <f>VLOOKUP($A1210,[1]!Customer_Names[#Data],3,0)</f>
        <v xml:space="preserve">  Mathias</v>
      </c>
      <c r="C1210" s="5">
        <v>37.51</v>
      </c>
      <c r="D1210" s="5" t="str" cm="1">
        <f t="array" ref="D1210">_xlfn.IFS(Healthcare!$C1210&lt;18.5,"under weight",Healthcare!$C1210&lt;=24.9,"Normal Weight",Healthcare!$C1210&gt;=25,"overweight",Healthcare!$C1210&gt;=30,"obese")</f>
        <v>overweight</v>
      </c>
      <c r="E1210" s="5">
        <v>11.06</v>
      </c>
      <c r="F1210" s="5" t="str" cm="1">
        <f t="array" ref="F1210">_xlfn.IFS(Healthcare!$E1210&lt;5.7,"normal",Healthcare!$E1210&lt;=6.4,"prediabetes",Healthcare!$E1210&gt;=6.5,"diabetes")</f>
        <v>diabetes</v>
      </c>
      <c r="G1210" s="5" t="s">
        <v>19</v>
      </c>
      <c r="H1210" s="5" t="s">
        <v>19</v>
      </c>
      <c r="I1210" s="5" t="s">
        <v>19</v>
      </c>
      <c r="J1210" s="5">
        <v>2</v>
      </c>
      <c r="K1210" s="5" t="s">
        <v>19</v>
      </c>
      <c r="L1210" s="5" t="str">
        <f>VLOOKUP(Healthcare!$A1210,hospital_details,2,0)</f>
        <v>16-Oct-1973</v>
      </c>
      <c r="M1210" s="5">
        <f t="shared" ref="M1210:M1273" ca="1" si="7247">VLOOKUP(A1210,hospital_details,3,0)</f>
        <v>53</v>
      </c>
      <c r="N1210" s="5">
        <f t="shared" ref="N1210:N1273" si="7248">VLOOKUP($A1210,hospital_details,4,0)</f>
        <v>2</v>
      </c>
      <c r="O1210" s="6">
        <f t="shared" ref="O1210:O1273" si="7249">VLOOKUP($A1210,hospital_details,5,0)</f>
        <v>9304.7000000000007</v>
      </c>
      <c r="P1210" s="5" t="str">
        <f t="shared" ref="P1210:P1273" si="7250">VLOOKUP($A1210,hospital_details,6,0)</f>
        <v>tier - 3</v>
      </c>
      <c r="Q1210" s="5" t="str">
        <f t="shared" ref="Q1210:Q1273" si="7251">VLOOKUP($A1210,hospital_details,7,0)</f>
        <v>tier - 3</v>
      </c>
      <c r="R1210" s="5" t="str">
        <f t="shared" ref="R1210:R1273" si="7252">VLOOKUP($A1210,hospital_details,8,0)</f>
        <v>R1013</v>
      </c>
    </row>
    <row r="1211" spans="1:18" ht="14.4" customHeight="1" x14ac:dyDescent="0.3">
      <c r="A1211" s="7" t="s">
        <v>1231</v>
      </c>
      <c r="B1211" s="7" t="str">
        <f>VLOOKUP($A1211,[1]!Customer_Names[#Data],3,0)</f>
        <v xml:space="preserve">  Matthew</v>
      </c>
      <c r="C1211" s="7">
        <v>25.745000000000001</v>
      </c>
      <c r="D1211" s="7" t="str" cm="1">
        <f t="array" ref="D1211">_xlfn.IFS(Healthcare!$C1211&lt;18.5,"under weight",Healthcare!$C1211&lt;=24.9,"Normal Weight",Healthcare!$C1211&gt;=25,"overweight",Healthcare!$C1211&gt;=30,"obese")</f>
        <v>overweight</v>
      </c>
      <c r="E1211" s="7">
        <v>6.11</v>
      </c>
      <c r="F1211" s="7" t="str" cm="1">
        <f t="array" ref="F1211">_xlfn.IFS(Healthcare!$E1211&lt;5.7,"normal",Healthcare!$E1211&lt;=6.4,"prediabetes",Healthcare!$E1211&gt;=6.5,"diabetes")</f>
        <v>prediabetes</v>
      </c>
      <c r="G1211" s="7" t="s">
        <v>20</v>
      </c>
      <c r="H1211" s="7" t="s">
        <v>19</v>
      </c>
      <c r="I1211" s="7" t="s">
        <v>19</v>
      </c>
      <c r="J1211" s="7">
        <v>0</v>
      </c>
      <c r="K1211" s="7" t="s">
        <v>19</v>
      </c>
      <c r="L1211" s="7" t="str">
        <f>VLOOKUP(Healthcare!$A1211,hospital_details,2,0)</f>
        <v>3-Nov-1976</v>
      </c>
      <c r="M1211" s="7">
        <f t="shared" ref="M1211:M1274" ca="1" si="7253">VLOOKUP(A1211,hospital_details,3,0)</f>
        <v>49</v>
      </c>
      <c r="N1211" s="7">
        <f t="shared" ref="N1211:N1274" si="7254">VLOOKUP($A1211,hospital_details,4,0)</f>
        <v>3</v>
      </c>
      <c r="O1211" s="8">
        <f t="shared" ref="O1211:O1274" si="7255">VLOOKUP($A1211,hospital_details,5,0)</f>
        <v>9301.89</v>
      </c>
      <c r="P1211" s="7" t="str">
        <f t="shared" ref="P1211:P1274" si="7256">VLOOKUP($A1211,hospital_details,6,0)</f>
        <v>tier - 2</v>
      </c>
      <c r="Q1211" s="7" t="str">
        <f t="shared" ref="Q1211:Q1274" si="7257">VLOOKUP($A1211,hospital_details,7,0)</f>
        <v>tier - 1</v>
      </c>
      <c r="R1211" s="7" t="str">
        <f t="shared" ref="R1211:R1274" si="7258">VLOOKUP($A1211,hospital_details,8,0)</f>
        <v>R1012</v>
      </c>
    </row>
    <row r="1212" spans="1:18" ht="14.4" customHeight="1" x14ac:dyDescent="0.3">
      <c r="A1212" s="5" t="s">
        <v>1232</v>
      </c>
      <c r="B1212" s="5" t="str">
        <f>VLOOKUP($A1212,[1]!Customer_Names[#Data],3,0)</f>
        <v xml:space="preserve">  Kurt</v>
      </c>
      <c r="C1212" s="5">
        <v>31.35</v>
      </c>
      <c r="D1212" s="5" t="str" cm="1">
        <f t="array" ref="D1212">_xlfn.IFS(Healthcare!$C1212&lt;18.5,"under weight",Healthcare!$C1212&lt;=24.9,"Normal Weight",Healthcare!$C1212&gt;=25,"overweight",Healthcare!$C1212&gt;=30,"obese")</f>
        <v>overweight</v>
      </c>
      <c r="E1212" s="5">
        <v>11.49</v>
      </c>
      <c r="F1212" s="5" t="str" cm="1">
        <f t="array" ref="F1212">_xlfn.IFS(Healthcare!$E1212&lt;5.7,"normal",Healthcare!$E1212&lt;=6.4,"prediabetes",Healthcare!$E1212&gt;=6.5,"diabetes")</f>
        <v>diabetes</v>
      </c>
      <c r="G1212" s="5" t="s">
        <v>19</v>
      </c>
      <c r="H1212" s="5" t="s">
        <v>19</v>
      </c>
      <c r="I1212" s="5" t="s">
        <v>19</v>
      </c>
      <c r="J1212" s="5">
        <v>2</v>
      </c>
      <c r="K1212" s="5" t="s">
        <v>19</v>
      </c>
      <c r="L1212" s="5" t="str">
        <f>VLOOKUP(Healthcare!$A1212,hospital_details,2,0)</f>
        <v>18-Sep-1973</v>
      </c>
      <c r="M1212" s="5">
        <f t="shared" ref="M1212:M1275" ca="1" si="7259">VLOOKUP(A1212,hospital_details,3,0)</f>
        <v>53</v>
      </c>
      <c r="N1212" s="5">
        <f t="shared" ref="N1212:N1275" si="7260">VLOOKUP($A1212,hospital_details,4,0)</f>
        <v>1</v>
      </c>
      <c r="O1212" s="6">
        <f t="shared" ref="O1212:O1275" si="7261">VLOOKUP($A1212,hospital_details,5,0)</f>
        <v>9290.14</v>
      </c>
      <c r="P1212" s="5" t="str">
        <f t="shared" ref="P1212:P1275" si="7262">VLOOKUP($A1212,hospital_details,6,0)</f>
        <v>tier - 3</v>
      </c>
      <c r="Q1212" s="5" t="str">
        <f t="shared" ref="Q1212:Q1275" si="7263">VLOOKUP($A1212,hospital_details,7,0)</f>
        <v>tier - 3</v>
      </c>
      <c r="R1212" s="5" t="str">
        <f t="shared" ref="R1212:R1275" si="7264">VLOOKUP($A1212,hospital_details,8,0)</f>
        <v>R1016</v>
      </c>
    </row>
    <row r="1213" spans="1:18" ht="14.4" customHeight="1" x14ac:dyDescent="0.3">
      <c r="A1213" s="7" t="s">
        <v>1233</v>
      </c>
      <c r="B1213" s="7" t="str">
        <f>VLOOKUP($A1213,[1]!Customer_Names[#Data],3,0)</f>
        <v xml:space="preserve">  Samuel</v>
      </c>
      <c r="C1213" s="7">
        <v>29.83</v>
      </c>
      <c r="D1213" s="7" t="str" cm="1">
        <f t="array" ref="D1213">_xlfn.IFS(Healthcare!$C1213&lt;18.5,"under weight",Healthcare!$C1213&lt;=24.9,"Normal Weight",Healthcare!$C1213&gt;=25,"overweight",Healthcare!$C1213&gt;=30,"obese")</f>
        <v>overweight</v>
      </c>
      <c r="E1213" s="7">
        <v>8.68</v>
      </c>
      <c r="F1213" s="7" t="str" cm="1">
        <f t="array" ref="F1213">_xlfn.IFS(Healthcare!$E1213&lt;5.7,"normal",Healthcare!$E1213&lt;=6.4,"prediabetes",Healthcare!$E1213&gt;=6.5,"diabetes")</f>
        <v>diabetes</v>
      </c>
      <c r="G1213" s="7" t="s">
        <v>19</v>
      </c>
      <c r="H1213" s="7" t="s">
        <v>19</v>
      </c>
      <c r="I1213" s="7" t="s">
        <v>19</v>
      </c>
      <c r="J1213" s="7">
        <v>2</v>
      </c>
      <c r="K1213" s="7" t="s">
        <v>19</v>
      </c>
      <c r="L1213" s="7" t="str">
        <f>VLOOKUP(Healthcare!$A1213,hospital_details,2,0)</f>
        <v>16-Oct-1973</v>
      </c>
      <c r="M1213" s="7">
        <f t="shared" ref="M1213:M1276" ca="1" si="7265">VLOOKUP(A1213,hospital_details,3,0)</f>
        <v>53</v>
      </c>
      <c r="N1213" s="7">
        <f t="shared" ref="N1213:N1276" si="7266">VLOOKUP($A1213,hospital_details,4,0)</f>
        <v>1</v>
      </c>
      <c r="O1213" s="8">
        <f t="shared" ref="O1213:O1276" si="7267">VLOOKUP($A1213,hospital_details,5,0)</f>
        <v>9288.0300000000007</v>
      </c>
      <c r="P1213" s="7" t="str">
        <f t="shared" ref="P1213:P1276" si="7268">VLOOKUP($A1213,hospital_details,6,0)</f>
        <v>tier - 2</v>
      </c>
      <c r="Q1213" s="7" t="str">
        <f t="shared" ref="Q1213:Q1276" si="7269">VLOOKUP($A1213,hospital_details,7,0)</f>
        <v>tier - 3</v>
      </c>
      <c r="R1213" s="7" t="str">
        <f t="shared" ref="R1213:R1276" si="7270">VLOOKUP($A1213,hospital_details,8,0)</f>
        <v>R1018</v>
      </c>
    </row>
    <row r="1214" spans="1:18" ht="14.4" customHeight="1" x14ac:dyDescent="0.3">
      <c r="A1214" s="5" t="s">
        <v>1234</v>
      </c>
      <c r="B1214" s="5" t="str">
        <f>VLOOKUP($A1214,[1]!Customer_Names[#Data],3,0)</f>
        <v xml:space="preserve">  Emily</v>
      </c>
      <c r="C1214" s="5">
        <v>25.49</v>
      </c>
      <c r="D1214" s="5" t="str" cm="1">
        <f t="array" ref="D1214">_xlfn.IFS(Healthcare!$C1214&lt;18.5,"under weight",Healthcare!$C1214&lt;=24.9,"Normal Weight",Healthcare!$C1214&gt;=25,"overweight",Healthcare!$C1214&gt;=30,"obese")</f>
        <v>overweight</v>
      </c>
      <c r="E1214" s="5">
        <v>5.68</v>
      </c>
      <c r="F1214" s="5" t="str" cm="1">
        <f t="array" ref="F1214">_xlfn.IFS(Healthcare!$E1214&lt;5.7,"normal",Healthcare!$E1214&lt;=6.4,"prediabetes",Healthcare!$E1214&gt;=6.5,"diabetes")</f>
        <v>normal</v>
      </c>
      <c r="G1214" s="5" t="s">
        <v>20</v>
      </c>
      <c r="H1214" s="5" t="s">
        <v>19</v>
      </c>
      <c r="I1214" s="5" t="s">
        <v>29</v>
      </c>
      <c r="J1214" s="5">
        <v>1</v>
      </c>
      <c r="K1214" s="5" t="s">
        <v>19</v>
      </c>
      <c r="L1214" s="5" t="str">
        <f>VLOOKUP(Healthcare!$A1214,hospital_details,2,0)</f>
        <v>26-Nov-1969</v>
      </c>
      <c r="M1214" s="5">
        <f t="shared" ref="M1214:M1277" ca="1" si="7271">VLOOKUP(A1214,hospital_details,3,0)</f>
        <v>56</v>
      </c>
      <c r="N1214" s="5">
        <f t="shared" ref="N1214:N1277" si="7272">VLOOKUP($A1214,hospital_details,4,0)</f>
        <v>0</v>
      </c>
      <c r="O1214" s="6">
        <f t="shared" ref="O1214:O1277" si="7273">VLOOKUP($A1214,hospital_details,5,0)</f>
        <v>9285.8700000000008</v>
      </c>
      <c r="P1214" s="5" t="str">
        <f t="shared" ref="P1214:P1277" si="7274">VLOOKUP($A1214,hospital_details,6,0)</f>
        <v>tier - 2</v>
      </c>
      <c r="Q1214" s="5" t="str">
        <f t="shared" ref="Q1214:Q1277" si="7275">VLOOKUP($A1214,hospital_details,7,0)</f>
        <v>tier - 3</v>
      </c>
      <c r="R1214" s="5" t="str">
        <f t="shared" ref="R1214:R1277" si="7276">VLOOKUP($A1214,hospital_details,8,0)</f>
        <v>R1013</v>
      </c>
    </row>
    <row r="1215" spans="1:18" ht="14.4" customHeight="1" x14ac:dyDescent="0.3">
      <c r="A1215" s="7" t="s">
        <v>1235</v>
      </c>
      <c r="B1215" s="7" t="str">
        <f>VLOOKUP($A1215,[1]!Customer_Names[#Data],3,0)</f>
        <v xml:space="preserve">  Tiffany</v>
      </c>
      <c r="C1215" s="7">
        <v>34.1</v>
      </c>
      <c r="D1215" s="7" t="str" cm="1">
        <f t="array" ref="D1215">_xlfn.IFS(Healthcare!$C1215&lt;18.5,"under weight",Healthcare!$C1215&lt;=24.9,"Normal Weight",Healthcare!$C1215&gt;=25,"overweight",Healthcare!$C1215&gt;=30,"obese")</f>
        <v>overweight</v>
      </c>
      <c r="E1215" s="7">
        <v>8.4499999999999993</v>
      </c>
      <c r="F1215" s="7" t="str" cm="1">
        <f t="array" ref="F1215">_xlfn.IFS(Healthcare!$E1215&lt;5.7,"normal",Healthcare!$E1215&lt;=6.4,"prediabetes",Healthcare!$E1215&gt;=6.5,"diabetes")</f>
        <v>diabetes</v>
      </c>
      <c r="G1215" s="7" t="s">
        <v>19</v>
      </c>
      <c r="H1215" s="7" t="s">
        <v>19</v>
      </c>
      <c r="I1215" s="7" t="s">
        <v>19</v>
      </c>
      <c r="J1215" s="7">
        <v>0</v>
      </c>
      <c r="K1215" s="7" t="s">
        <v>19</v>
      </c>
      <c r="L1215" s="7" t="str">
        <f>VLOOKUP(Healthcare!$A1215,hospital_details,2,0)</f>
        <v>2-Jul-1971</v>
      </c>
      <c r="M1215" s="7">
        <f t="shared" ref="M1215:M1278" ca="1" si="7277">VLOOKUP(A1215,hospital_details,3,0)</f>
        <v>55</v>
      </c>
      <c r="N1215" s="7">
        <f t="shared" ref="N1215:N1278" si="7278">VLOOKUP($A1215,hospital_details,4,0)</f>
        <v>0</v>
      </c>
      <c r="O1215" s="8">
        <f t="shared" ref="O1215:O1278" si="7279">VLOOKUP($A1215,hospital_details,5,0)</f>
        <v>9283.56</v>
      </c>
      <c r="P1215" s="7" t="str">
        <f t="shared" ref="P1215:P1278" si="7280">VLOOKUP($A1215,hospital_details,6,0)</f>
        <v>tier - 2</v>
      </c>
      <c r="Q1215" s="7" t="str">
        <f t="shared" ref="Q1215:Q1278" si="7281">VLOOKUP($A1215,hospital_details,7,0)</f>
        <v>tier - 3</v>
      </c>
      <c r="R1215" s="7" t="str">
        <f t="shared" ref="R1215:R1278" si="7282">VLOOKUP($A1215,hospital_details,8,0)</f>
        <v>R1013</v>
      </c>
    </row>
    <row r="1216" spans="1:18" ht="14.4" customHeight="1" x14ac:dyDescent="0.3">
      <c r="A1216" s="5" t="s">
        <v>1236</v>
      </c>
      <c r="B1216" s="5" t="str">
        <f>VLOOKUP($A1216,[1]!Customer_Names[#Data],3,0)</f>
        <v xml:space="preserve">  Alex F</v>
      </c>
      <c r="C1216" s="5">
        <v>25.84</v>
      </c>
      <c r="D1216" s="5" t="str" cm="1">
        <f t="array" ref="D1216">_xlfn.IFS(Healthcare!$C1216&lt;18.5,"under weight",Healthcare!$C1216&lt;=24.9,"Normal Weight",Healthcare!$C1216&gt;=25,"overweight",Healthcare!$C1216&gt;=30,"obese")</f>
        <v>overweight</v>
      </c>
      <c r="E1216" s="5">
        <v>8.51</v>
      </c>
      <c r="F1216" s="5" t="str" cm="1">
        <f t="array" ref="F1216">_xlfn.IFS(Healthcare!$E1216&lt;5.7,"normal",Healthcare!$E1216&lt;=6.4,"prediabetes",Healthcare!$E1216&gt;=6.5,"diabetes")</f>
        <v>diabetes</v>
      </c>
      <c r="G1216" s="5" t="s">
        <v>19</v>
      </c>
      <c r="H1216" s="5" t="s">
        <v>19</v>
      </c>
      <c r="I1216" s="5" t="s">
        <v>19</v>
      </c>
      <c r="J1216" s="5">
        <v>2</v>
      </c>
      <c r="K1216" s="5" t="s">
        <v>19</v>
      </c>
      <c r="L1216" s="5" t="str">
        <f>VLOOKUP(Healthcare!$A1216,hospital_details,2,0)</f>
        <v>27-Oct-1973</v>
      </c>
      <c r="M1216" s="5">
        <f t="shared" ref="M1216:M1279" ca="1" si="7283">VLOOKUP(A1216,hospital_details,3,0)</f>
        <v>52</v>
      </c>
      <c r="N1216" s="5">
        <f t="shared" ref="N1216:N1279" si="7284">VLOOKUP($A1216,hospital_details,4,0)</f>
        <v>1</v>
      </c>
      <c r="O1216" s="6">
        <f t="shared" ref="O1216:O1279" si="7285">VLOOKUP($A1216,hospital_details,5,0)</f>
        <v>9282.48</v>
      </c>
      <c r="P1216" s="5" t="str">
        <f t="shared" ref="P1216:P1279" si="7286">VLOOKUP($A1216,hospital_details,6,0)</f>
        <v>tier - 3</v>
      </c>
      <c r="Q1216" s="5" t="str">
        <f t="shared" ref="Q1216:Q1279" si="7287">VLOOKUP($A1216,hospital_details,7,0)</f>
        <v>tier - 2</v>
      </c>
      <c r="R1216" s="5" t="str">
        <f t="shared" ref="R1216:R1279" si="7288">VLOOKUP($A1216,hospital_details,8,0)</f>
        <v>R1016</v>
      </c>
    </row>
    <row r="1217" spans="1:18" ht="14.4" customHeight="1" x14ac:dyDescent="0.3">
      <c r="A1217" s="7" t="s">
        <v>1237</v>
      </c>
      <c r="B1217" s="7" t="str">
        <f>VLOOKUP($A1217,[1]!Customer_Names[#Data],3,0)</f>
        <v xml:space="preserve">  Alice</v>
      </c>
      <c r="C1217" s="7">
        <v>20.6</v>
      </c>
      <c r="D1217" s="7" t="str" cm="1">
        <f t="array" ref="D1217">_xlfn.IFS(Healthcare!$C1217&lt;18.5,"under weight",Healthcare!$C1217&lt;=24.9,"Normal Weight",Healthcare!$C1217&gt;=25,"overweight",Healthcare!$C1217&gt;=30,"obese")</f>
        <v>Normal Weight</v>
      </c>
      <c r="E1217" s="7">
        <v>7.62</v>
      </c>
      <c r="F1217" s="7" t="str" cm="1">
        <f t="array" ref="F1217">_xlfn.IFS(Healthcare!$E1217&lt;5.7,"normal",Healthcare!$E1217&lt;=6.4,"prediabetes",Healthcare!$E1217&gt;=6.5,"diabetes")</f>
        <v>diabetes</v>
      </c>
      <c r="G1217" s="7" t="s">
        <v>19</v>
      </c>
      <c r="H1217" s="7" t="s">
        <v>19</v>
      </c>
      <c r="I1217" s="7" t="s">
        <v>19</v>
      </c>
      <c r="J1217" s="7">
        <v>0</v>
      </c>
      <c r="K1217" s="7" t="s">
        <v>19</v>
      </c>
      <c r="L1217" s="7" t="str">
        <f>VLOOKUP(Healthcare!$A1217,hospital_details,2,0)</f>
        <v>6-Aug-1971</v>
      </c>
      <c r="M1217" s="7">
        <f t="shared" ref="M1217:M1280" ca="1" si="7289">VLOOKUP(A1217,hospital_details,3,0)</f>
        <v>55</v>
      </c>
      <c r="N1217" s="7">
        <f t="shared" ref="N1217:N1280" si="7290">VLOOKUP($A1217,hospital_details,4,0)</f>
        <v>0</v>
      </c>
      <c r="O1217" s="8">
        <f t="shared" ref="O1217:O1280" si="7291">VLOOKUP($A1217,hospital_details,5,0)</f>
        <v>9264.7999999999993</v>
      </c>
      <c r="P1217" s="7" t="str">
        <f t="shared" ref="P1217:P1280" si="7292">VLOOKUP($A1217,hospital_details,6,0)</f>
        <v>tier - 2</v>
      </c>
      <c r="Q1217" s="7" t="str">
        <f t="shared" ref="Q1217:Q1280" si="7293">VLOOKUP($A1217,hospital_details,7,0)</f>
        <v>tier - 1</v>
      </c>
      <c r="R1217" s="7" t="str">
        <f t="shared" ref="R1217:R1280" si="7294">VLOOKUP($A1217,hospital_details,8,0)</f>
        <v>R1011</v>
      </c>
    </row>
    <row r="1218" spans="1:18" ht="14.4" customHeight="1" x14ac:dyDescent="0.3">
      <c r="A1218" s="5" t="s">
        <v>1238</v>
      </c>
      <c r="B1218" s="5" t="str">
        <f>VLOOKUP($A1218,[1]!Customer_Names[#Data],3,0)</f>
        <v xml:space="preserve">  Allison M</v>
      </c>
      <c r="C1218" s="5">
        <v>28.88</v>
      </c>
      <c r="D1218" s="5" t="str" cm="1">
        <f t="array" ref="D1218">_xlfn.IFS(Healthcare!$C1218&lt;18.5,"under weight",Healthcare!$C1218&lt;=24.9,"Normal Weight",Healthcare!$C1218&gt;=25,"overweight",Healthcare!$C1218&gt;=30,"obese")</f>
        <v>overweight</v>
      </c>
      <c r="E1218" s="5">
        <v>10.18</v>
      </c>
      <c r="F1218" s="5" t="str" cm="1">
        <f t="array" ref="F1218">_xlfn.IFS(Healthcare!$E1218&lt;5.7,"normal",Healthcare!$E1218&lt;=6.4,"prediabetes",Healthcare!$E1218&gt;=6.5,"diabetes")</f>
        <v>diabetes</v>
      </c>
      <c r="G1218" s="5" t="s">
        <v>19</v>
      </c>
      <c r="H1218" s="5" t="s">
        <v>19</v>
      </c>
      <c r="I1218" s="5" t="s">
        <v>19</v>
      </c>
      <c r="J1218" s="5">
        <v>0</v>
      </c>
      <c r="K1218" s="5" t="s">
        <v>19</v>
      </c>
      <c r="L1218" s="5" t="str">
        <f>VLOOKUP(Healthcare!$A1218,hospital_details,2,0)</f>
        <v>21-Aug-1974</v>
      </c>
      <c r="M1218" s="5">
        <f t="shared" ref="M1218:M1281" ca="1" si="7295">VLOOKUP(A1218,hospital_details,3,0)</f>
        <v>52</v>
      </c>
      <c r="N1218" s="5">
        <f t="shared" ref="N1218:N1281" si="7296">VLOOKUP($A1218,hospital_details,4,0)</f>
        <v>1</v>
      </c>
      <c r="O1218" s="6">
        <f t="shared" ref="O1218:O1281" si="7297">VLOOKUP($A1218,hospital_details,5,0)</f>
        <v>9249.5</v>
      </c>
      <c r="P1218" s="5" t="str">
        <f t="shared" ref="P1218:P1281" si="7298">VLOOKUP($A1218,hospital_details,6,0)</f>
        <v>tier - 2</v>
      </c>
      <c r="Q1218" s="5" t="str">
        <f t="shared" ref="Q1218:Q1281" si="7299">VLOOKUP($A1218,hospital_details,7,0)</f>
        <v>tier - 1</v>
      </c>
      <c r="R1218" s="5" t="str">
        <f t="shared" ref="R1218:R1281" si="7300">VLOOKUP($A1218,hospital_details,8,0)</f>
        <v>R1012</v>
      </c>
    </row>
    <row r="1219" spans="1:18" ht="14.4" customHeight="1" x14ac:dyDescent="0.3">
      <c r="A1219" s="7" t="s">
        <v>1239</v>
      </c>
      <c r="B1219" s="7" t="str">
        <f>VLOOKUP($A1219,[1]!Customer_Names[#Data],3,0)</f>
        <v xml:space="preserve">  Johannes Fiskerstand</v>
      </c>
      <c r="C1219" s="7">
        <v>28.24</v>
      </c>
      <c r="D1219" s="7" t="str" cm="1">
        <f t="array" ref="D1219">_xlfn.IFS(Healthcare!$C1219&lt;18.5,"under weight",Healthcare!$C1219&lt;=24.9,"Normal Weight",Healthcare!$C1219&gt;=25,"overweight",Healthcare!$C1219&gt;=30,"obese")</f>
        <v>overweight</v>
      </c>
      <c r="E1219" s="7">
        <v>5.36</v>
      </c>
      <c r="F1219" s="7" t="str" cm="1">
        <f t="array" ref="F1219">_xlfn.IFS(Healthcare!$E1219&lt;5.7,"normal",Healthcare!$E1219&lt;=6.4,"prediabetes",Healthcare!$E1219&gt;=6.5,"diabetes")</f>
        <v>normal</v>
      </c>
      <c r="G1219" s="7" t="s">
        <v>19</v>
      </c>
      <c r="H1219" s="7" t="s">
        <v>19</v>
      </c>
      <c r="I1219" s="7" t="s">
        <v>19</v>
      </c>
      <c r="J1219" s="7">
        <v>0</v>
      </c>
      <c r="K1219" s="7" t="s">
        <v>19</v>
      </c>
      <c r="L1219" s="7" t="str">
        <f>VLOOKUP(Healthcare!$A1219,hospital_details,2,0)</f>
        <v>5-Oct-1980</v>
      </c>
      <c r="M1219" s="7">
        <f t="shared" ref="M1219:M1282" ca="1" si="7301">VLOOKUP(A1219,hospital_details,3,0)</f>
        <v>46</v>
      </c>
      <c r="N1219" s="7">
        <f t="shared" ref="N1219:N1282" si="7302">VLOOKUP($A1219,hospital_details,4,0)</f>
        <v>2</v>
      </c>
      <c r="O1219" s="8">
        <f t="shared" ref="O1219:O1282" si="7303">VLOOKUP($A1219,hospital_details,5,0)</f>
        <v>9247.94</v>
      </c>
      <c r="P1219" s="7" t="str">
        <f t="shared" ref="P1219:P1282" si="7304">VLOOKUP($A1219,hospital_details,6,0)</f>
        <v>tier - 2</v>
      </c>
      <c r="Q1219" s="7" t="str">
        <f t="shared" ref="Q1219:Q1282" si="7305">VLOOKUP($A1219,hospital_details,7,0)</f>
        <v>tier - 1</v>
      </c>
      <c r="R1219" s="7" t="str">
        <f t="shared" ref="R1219:R1282" si="7306">VLOOKUP($A1219,hospital_details,8,0)</f>
        <v>R1021</v>
      </c>
    </row>
    <row r="1220" spans="1:18" ht="14.4" customHeight="1" x14ac:dyDescent="0.3">
      <c r="A1220" s="5" t="s">
        <v>1240</v>
      </c>
      <c r="B1220" s="5" t="str">
        <f>VLOOKUP($A1220,[1]!Customer_Names[#Data],3,0)</f>
        <v xml:space="preserve">  Stephen</v>
      </c>
      <c r="C1220" s="5">
        <v>25.46</v>
      </c>
      <c r="D1220" s="5" t="str" cm="1">
        <f t="array" ref="D1220">_xlfn.IFS(Healthcare!$C1220&lt;18.5,"under weight",Healthcare!$C1220&lt;=24.9,"Normal Weight",Healthcare!$C1220&gt;=25,"overweight",Healthcare!$C1220&gt;=30,"obese")</f>
        <v>overweight</v>
      </c>
      <c r="E1220" s="5">
        <v>11.78</v>
      </c>
      <c r="F1220" s="5" t="str" cm="1">
        <f t="array" ref="F1220">_xlfn.IFS(Healthcare!$E1220&lt;5.7,"normal",Healthcare!$E1220&lt;=6.4,"prediabetes",Healthcare!$E1220&gt;=6.5,"diabetes")</f>
        <v>diabetes</v>
      </c>
      <c r="G1220" s="5" t="s">
        <v>20</v>
      </c>
      <c r="H1220" s="5" t="s">
        <v>19</v>
      </c>
      <c r="I1220" s="5" t="s">
        <v>19</v>
      </c>
      <c r="J1220" s="5">
        <v>1</v>
      </c>
      <c r="K1220" s="5" t="s">
        <v>19</v>
      </c>
      <c r="L1220" s="5" t="str">
        <f>VLOOKUP(Healthcare!$A1220,hospital_details,2,0)</f>
        <v>6-Dec-1975</v>
      </c>
      <c r="M1220" s="5">
        <f t="shared" ref="M1220:M1283" ca="1" si="7307">VLOOKUP(A1220,hospital_details,3,0)</f>
        <v>50</v>
      </c>
      <c r="N1220" s="5">
        <f t="shared" ref="N1220:N1283" si="7308">VLOOKUP($A1220,hospital_details,4,0)</f>
        <v>2</v>
      </c>
      <c r="O1220" s="6">
        <f t="shared" ref="O1220:O1283" si="7309">VLOOKUP($A1220,hospital_details,5,0)</f>
        <v>9225.26</v>
      </c>
      <c r="P1220" s="5" t="str">
        <f t="shared" ref="P1220:P1283" si="7310">VLOOKUP($A1220,hospital_details,6,0)</f>
        <v>tier - 3</v>
      </c>
      <c r="Q1220" s="5" t="str">
        <f t="shared" ref="Q1220:Q1283" si="7311">VLOOKUP($A1220,hospital_details,7,0)</f>
        <v>tier - 3</v>
      </c>
      <c r="R1220" s="5" t="str">
        <f t="shared" ref="R1220:R1283" si="7312">VLOOKUP($A1220,hospital_details,8,0)</f>
        <v>R1015</v>
      </c>
    </row>
    <row r="1221" spans="1:18" ht="14.4" customHeight="1" x14ac:dyDescent="0.3">
      <c r="A1221" s="7" t="s">
        <v>1241</v>
      </c>
      <c r="B1221" s="7" t="str">
        <f>VLOOKUP($A1221,[1]!Customer_Names[#Data],3,0)</f>
        <v xml:space="preserve">  Jon M</v>
      </c>
      <c r="C1221" s="7">
        <v>29.64</v>
      </c>
      <c r="D1221" s="7" t="str" cm="1">
        <f t="array" ref="D1221">_xlfn.IFS(Healthcare!$C1221&lt;18.5,"under weight",Healthcare!$C1221&lt;=24.9,"Normal Weight",Healthcare!$C1221&gt;=25,"overweight",Healthcare!$C1221&gt;=30,"obese")</f>
        <v>overweight</v>
      </c>
      <c r="E1221" s="7">
        <v>10.82</v>
      </c>
      <c r="F1221" s="7" t="str" cm="1">
        <f t="array" ref="F1221">_xlfn.IFS(Healthcare!$E1221&lt;5.7,"normal",Healthcare!$E1221&lt;=6.4,"prediabetes",Healthcare!$E1221&gt;=6.5,"diabetes")</f>
        <v>diabetes</v>
      </c>
      <c r="G1221" s="7" t="s">
        <v>20</v>
      </c>
      <c r="H1221" s="7" t="s">
        <v>19</v>
      </c>
      <c r="I1221" s="7" t="s">
        <v>19</v>
      </c>
      <c r="J1221" s="7">
        <v>0</v>
      </c>
      <c r="K1221" s="7" t="s">
        <v>19</v>
      </c>
      <c r="L1221" s="7" t="str">
        <f>VLOOKUP(Healthcare!$A1221,hospital_details,2,0)</f>
        <v>5-Dec-1981</v>
      </c>
      <c r="M1221" s="7">
        <f t="shared" ref="M1221:M1284" ca="1" si="7313">VLOOKUP(A1221,hospital_details,3,0)</f>
        <v>44</v>
      </c>
      <c r="N1221" s="7">
        <f t="shared" ref="N1221:N1284" si="7314">VLOOKUP($A1221,hospital_details,4,0)</f>
        <v>5</v>
      </c>
      <c r="O1221" s="8">
        <f t="shared" ref="O1221:O1284" si="7315">VLOOKUP($A1221,hospital_details,5,0)</f>
        <v>9222.4</v>
      </c>
      <c r="P1221" s="7" t="str">
        <f t="shared" ref="P1221:P1284" si="7316">VLOOKUP($A1221,hospital_details,6,0)</f>
        <v>tier - 2</v>
      </c>
      <c r="Q1221" s="7" t="str">
        <f t="shared" ref="Q1221:Q1284" si="7317">VLOOKUP($A1221,hospital_details,7,0)</f>
        <v>tier - 3</v>
      </c>
      <c r="R1221" s="7" t="str">
        <f t="shared" ref="R1221:R1284" si="7318">VLOOKUP($A1221,hospital_details,8,0)</f>
        <v>R1019</v>
      </c>
    </row>
    <row r="1222" spans="1:18" ht="14.4" customHeight="1" x14ac:dyDescent="0.3">
      <c r="A1222" s="5" t="s">
        <v>1242</v>
      </c>
      <c r="B1222" s="5" t="str">
        <f>VLOOKUP($A1222,[1]!Customer_Names[#Data],3,0)</f>
        <v xml:space="preserve">  Fasil</v>
      </c>
      <c r="C1222" s="5">
        <v>31.27</v>
      </c>
      <c r="D1222" s="5" t="str" cm="1">
        <f t="array" ref="D1222">_xlfn.IFS(Healthcare!$C1222&lt;18.5,"under weight",Healthcare!$C1222&lt;=24.9,"Normal Weight",Healthcare!$C1222&gt;=25,"overweight",Healthcare!$C1222&gt;=30,"obese")</f>
        <v>overweight</v>
      </c>
      <c r="E1222" s="5">
        <v>7.73</v>
      </c>
      <c r="F1222" s="5" t="str" cm="1">
        <f t="array" ref="F1222">_xlfn.IFS(Healthcare!$E1222&lt;5.7,"normal",Healthcare!$E1222&lt;=6.4,"prediabetes",Healthcare!$E1222&gt;=6.5,"diabetes")</f>
        <v>diabetes</v>
      </c>
      <c r="G1222" s="5" t="s">
        <v>20</v>
      </c>
      <c r="H1222" s="5" t="s">
        <v>19</v>
      </c>
      <c r="I1222" s="5" t="s">
        <v>19</v>
      </c>
      <c r="J1222" s="5">
        <v>1</v>
      </c>
      <c r="K1222" s="5" t="s">
        <v>19</v>
      </c>
      <c r="L1222" s="5" t="str">
        <f>VLOOKUP(Healthcare!$A1222,hospital_details,2,0)</f>
        <v>25-Dec-1986</v>
      </c>
      <c r="M1222" s="5">
        <f t="shared" ref="M1222:M1285" ca="1" si="7319">VLOOKUP(A1222,hospital_details,3,0)</f>
        <v>39</v>
      </c>
      <c r="N1222" s="5">
        <f t="shared" ref="N1222:N1285" si="7320">VLOOKUP($A1222,hospital_details,4,0)</f>
        <v>3</v>
      </c>
      <c r="O1222" s="6">
        <f t="shared" ref="O1222:O1285" si="7321">VLOOKUP($A1222,hospital_details,5,0)</f>
        <v>9210.06</v>
      </c>
      <c r="P1222" s="5" t="str">
        <f t="shared" ref="P1222:P1285" si="7322">VLOOKUP($A1222,hospital_details,6,0)</f>
        <v>tier - 2</v>
      </c>
      <c r="Q1222" s="5" t="str">
        <f t="shared" ref="Q1222:Q1285" si="7323">VLOOKUP($A1222,hospital_details,7,0)</f>
        <v>tier - 3</v>
      </c>
      <c r="R1222" s="5" t="str">
        <f t="shared" ref="R1222:R1285" si="7324">VLOOKUP($A1222,hospital_details,8,0)</f>
        <v>R1021</v>
      </c>
    </row>
    <row r="1223" spans="1:18" ht="14.4" customHeight="1" x14ac:dyDescent="0.3">
      <c r="A1223" s="7" t="s">
        <v>1243</v>
      </c>
      <c r="B1223" s="7" t="str">
        <f>VLOOKUP($A1223,[1]!Customer_Names[#Data],3,0)</f>
        <v xml:space="preserve">  Megan C</v>
      </c>
      <c r="C1223" s="7">
        <v>19.95</v>
      </c>
      <c r="D1223" s="7" t="str" cm="1">
        <f t="array" ref="D1223">_xlfn.IFS(Healthcare!$C1223&lt;18.5,"under weight",Healthcare!$C1223&lt;=24.9,"Normal Weight",Healthcare!$C1223&gt;=25,"overweight",Healthcare!$C1223&gt;=30,"obese")</f>
        <v>Normal Weight</v>
      </c>
      <c r="E1223" s="7">
        <v>6.24</v>
      </c>
      <c r="F1223" s="7" t="str" cm="1">
        <f t="array" ref="F1223">_xlfn.IFS(Healthcare!$E1223&lt;5.7,"normal",Healthcare!$E1223&lt;=6.4,"prediabetes",Healthcare!$E1223&gt;=6.5,"diabetes")</f>
        <v>prediabetes</v>
      </c>
      <c r="G1223" s="7" t="s">
        <v>20</v>
      </c>
      <c r="H1223" s="7" t="s">
        <v>19</v>
      </c>
      <c r="I1223" s="7" t="s">
        <v>19</v>
      </c>
      <c r="J1223" s="7">
        <v>0</v>
      </c>
      <c r="K1223" s="7" t="s">
        <v>19</v>
      </c>
      <c r="L1223" s="7" t="str">
        <f>VLOOKUP(Healthcare!$A1223,hospital_details,2,0)</f>
        <v>10-Sep-1976</v>
      </c>
      <c r="M1223" s="7">
        <f t="shared" ref="M1223:M1286" ca="1" si="7325">VLOOKUP(A1223,hospital_details,3,0)</f>
        <v>50</v>
      </c>
      <c r="N1223" s="7">
        <f t="shared" ref="N1223:N1286" si="7326">VLOOKUP($A1223,hospital_details,4,0)</f>
        <v>2</v>
      </c>
      <c r="O1223" s="8">
        <f t="shared" ref="O1223:O1286" si="7327">VLOOKUP($A1223,hospital_details,5,0)</f>
        <v>9193.84</v>
      </c>
      <c r="P1223" s="7" t="str">
        <f t="shared" ref="P1223:P1286" si="7328">VLOOKUP($A1223,hospital_details,6,0)</f>
        <v>tier - 2</v>
      </c>
      <c r="Q1223" s="7" t="str">
        <f t="shared" ref="Q1223:Q1286" si="7329">VLOOKUP($A1223,hospital_details,7,0)</f>
        <v>tier - 1</v>
      </c>
      <c r="R1223" s="7" t="str">
        <f t="shared" ref="R1223:R1286" si="7330">VLOOKUP($A1223,hospital_details,8,0)</f>
        <v>R1012</v>
      </c>
    </row>
    <row r="1224" spans="1:18" ht="14.4" customHeight="1" x14ac:dyDescent="0.3">
      <c r="A1224" s="5" t="s">
        <v>1244</v>
      </c>
      <c r="B1224" s="5" t="str">
        <f>VLOOKUP($A1224,[1]!Customer_Names[#Data],3,0)</f>
        <v xml:space="preserve">  Lisa J</v>
      </c>
      <c r="C1224" s="5">
        <v>21.3</v>
      </c>
      <c r="D1224" s="5" t="str" cm="1">
        <f t="array" ref="D1224">_xlfn.IFS(Healthcare!$C1224&lt;18.5,"under weight",Healthcare!$C1224&lt;=24.9,"Normal Weight",Healthcare!$C1224&gt;=25,"overweight",Healthcare!$C1224&gt;=30,"obese")</f>
        <v>Normal Weight</v>
      </c>
      <c r="E1224" s="5">
        <v>10.42</v>
      </c>
      <c r="F1224" s="5" t="str" cm="1">
        <f t="array" ref="F1224">_xlfn.IFS(Healthcare!$E1224&lt;5.7,"normal",Healthcare!$E1224&lt;=6.4,"prediabetes",Healthcare!$E1224&gt;=6.5,"diabetes")</f>
        <v>diabetes</v>
      </c>
      <c r="G1224" s="5" t="s">
        <v>19</v>
      </c>
      <c r="H1224" s="5" t="s">
        <v>19</v>
      </c>
      <c r="I1224" s="5" t="s">
        <v>19</v>
      </c>
      <c r="J1224" s="5">
        <v>2</v>
      </c>
      <c r="K1224" s="5" t="s">
        <v>19</v>
      </c>
      <c r="L1224" s="5" t="str">
        <f>VLOOKUP(Healthcare!$A1224,hospital_details,2,0)</f>
        <v>25-Dec-1973</v>
      </c>
      <c r="M1224" s="5">
        <f t="shared" ref="M1224:M1287" ca="1" si="7331">VLOOKUP(A1224,hospital_details,3,0)</f>
        <v>52</v>
      </c>
      <c r="N1224" s="5">
        <f t="shared" ref="N1224:N1287" si="7332">VLOOKUP($A1224,hospital_details,4,0)</f>
        <v>1</v>
      </c>
      <c r="O1224" s="6">
        <f t="shared" ref="O1224:O1287" si="7333">VLOOKUP($A1224,hospital_details,5,0)</f>
        <v>9182.17</v>
      </c>
      <c r="P1224" s="5" t="str">
        <f t="shared" ref="P1224:P1287" si="7334">VLOOKUP($A1224,hospital_details,6,0)</f>
        <v>tier - 2</v>
      </c>
      <c r="Q1224" s="5" t="str">
        <f t="shared" ref="Q1224:Q1287" si="7335">VLOOKUP($A1224,hospital_details,7,0)</f>
        <v>tier - 3</v>
      </c>
      <c r="R1224" s="5" t="str">
        <f t="shared" ref="R1224:R1287" si="7336">VLOOKUP($A1224,hospital_details,8,0)</f>
        <v>R1011</v>
      </c>
    </row>
    <row r="1225" spans="1:18" ht="14.4" customHeight="1" x14ac:dyDescent="0.3">
      <c r="A1225" s="7" t="s">
        <v>1245</v>
      </c>
      <c r="B1225" s="7" t="str">
        <f>VLOOKUP($A1225,[1]!Customer_Names[#Data],3,0)</f>
        <v xml:space="preserve">  Doron P</v>
      </c>
      <c r="C1225" s="7">
        <v>31.635000000000002</v>
      </c>
      <c r="D1225" s="7" t="str" cm="1">
        <f t="array" ref="D1225">_xlfn.IFS(Healthcare!$C1225&lt;18.5,"under weight",Healthcare!$C1225&lt;=24.9,"Normal Weight",Healthcare!$C1225&gt;=25,"overweight",Healthcare!$C1225&gt;=30,"obese")</f>
        <v>overweight</v>
      </c>
      <c r="E1225" s="7">
        <v>11.11</v>
      </c>
      <c r="F1225" s="7" t="str" cm="1">
        <f t="array" ref="F1225">_xlfn.IFS(Healthcare!$E1225&lt;5.7,"normal",Healthcare!$E1225&lt;=6.4,"prediabetes",Healthcare!$E1225&gt;=6.5,"diabetes")</f>
        <v>diabetes</v>
      </c>
      <c r="G1225" s="7" t="s">
        <v>19</v>
      </c>
      <c r="H1225" s="7" t="s">
        <v>19</v>
      </c>
      <c r="I1225" s="7" t="s">
        <v>19</v>
      </c>
      <c r="J1225" s="7">
        <v>0</v>
      </c>
      <c r="K1225" s="7" t="s">
        <v>19</v>
      </c>
      <c r="L1225" s="7" t="str">
        <f>VLOOKUP(Healthcare!$A1225,hospital_details,2,0)</f>
        <v>29-Dec-1971</v>
      </c>
      <c r="M1225" s="7">
        <f t="shared" ref="M1225:M1288" ca="1" si="7337">VLOOKUP(A1225,hospital_details,3,0)</f>
        <v>54</v>
      </c>
      <c r="N1225" s="7">
        <f t="shared" ref="N1225:N1288" si="7338">VLOOKUP($A1225,hospital_details,4,0)</f>
        <v>0</v>
      </c>
      <c r="O1225" s="8">
        <f t="shared" ref="O1225:O1288" si="7339">VLOOKUP($A1225,hospital_details,5,0)</f>
        <v>9174.14</v>
      </c>
      <c r="P1225" s="7" t="str">
        <f t="shared" ref="P1225:P1288" si="7340">VLOOKUP($A1225,hospital_details,6,0)</f>
        <v>tier - 3</v>
      </c>
      <c r="Q1225" s="7" t="str">
        <f t="shared" ref="Q1225:Q1288" si="7341">VLOOKUP($A1225,hospital_details,7,0)</f>
        <v>tier - 1</v>
      </c>
      <c r="R1225" s="7" t="str">
        <f t="shared" ref="R1225:R1288" si="7342">VLOOKUP($A1225,hospital_details,8,0)</f>
        <v>R1012</v>
      </c>
    </row>
    <row r="1226" spans="1:18" ht="14.4" customHeight="1" x14ac:dyDescent="0.3">
      <c r="A1226" s="5" t="s">
        <v>1246</v>
      </c>
      <c r="B1226" s="5" t="str">
        <f>VLOOKUP($A1226,[1]!Customer_Names[#Data],3,0)</f>
        <v xml:space="preserve">  Katharina</v>
      </c>
      <c r="C1226" s="5">
        <v>23.9</v>
      </c>
      <c r="D1226" s="5" t="str" cm="1">
        <f t="array" ref="D1226">_xlfn.IFS(Healthcare!$C1226&lt;18.5,"under weight",Healthcare!$C1226&lt;=24.9,"Normal Weight",Healthcare!$C1226&gt;=25,"overweight",Healthcare!$C1226&gt;=30,"obese")</f>
        <v>Normal Weight</v>
      </c>
      <c r="E1226" s="5">
        <v>7.67</v>
      </c>
      <c r="F1226" s="5" t="str" cm="1">
        <f t="array" ref="F1226">_xlfn.IFS(Healthcare!$E1226&lt;5.7,"normal",Healthcare!$E1226&lt;=6.4,"prediabetes",Healthcare!$E1226&gt;=6.5,"diabetes")</f>
        <v>diabetes</v>
      </c>
      <c r="G1226" s="5" t="s">
        <v>20</v>
      </c>
      <c r="H1226" s="5" t="s">
        <v>19</v>
      </c>
      <c r="I1226" s="5" t="s">
        <v>19</v>
      </c>
      <c r="J1226" s="5">
        <v>2</v>
      </c>
      <c r="K1226" s="5" t="s">
        <v>19</v>
      </c>
      <c r="L1226" s="5" t="str">
        <f>VLOOKUP(Healthcare!$A1226,hospital_details,2,0)</f>
        <v>24-Oct-1970</v>
      </c>
      <c r="M1226" s="5">
        <f t="shared" ref="M1226:M1289" ca="1" si="7343">VLOOKUP(A1226,hospital_details,3,0)</f>
        <v>55</v>
      </c>
      <c r="N1226" s="5">
        <f t="shared" ref="N1226:N1289" si="7344">VLOOKUP($A1226,hospital_details,4,0)</f>
        <v>0</v>
      </c>
      <c r="O1226" s="6">
        <f t="shared" ref="O1226:O1289" si="7345">VLOOKUP($A1226,hospital_details,5,0)</f>
        <v>9171.75</v>
      </c>
      <c r="P1226" s="5" t="str">
        <f t="shared" ref="P1226:P1289" si="7346">VLOOKUP($A1226,hospital_details,6,0)</f>
        <v>tier - 2</v>
      </c>
      <c r="Q1226" s="5" t="str">
        <f t="shared" ref="Q1226:Q1289" si="7347">VLOOKUP($A1226,hospital_details,7,0)</f>
        <v>tier - 2</v>
      </c>
      <c r="R1226" s="5" t="str">
        <f t="shared" ref="R1226:R1289" si="7348">VLOOKUP($A1226,hospital_details,8,0)</f>
        <v>R1012</v>
      </c>
    </row>
    <row r="1227" spans="1:18" ht="14.4" customHeight="1" x14ac:dyDescent="0.3">
      <c r="A1227" s="7" t="s">
        <v>1247</v>
      </c>
      <c r="B1227" s="7" t="str">
        <f>VLOOKUP($A1227,[1]!Customer_Names[#Data],3,0)</f>
        <v xml:space="preserve">  Carl</v>
      </c>
      <c r="C1227" s="7">
        <v>34.15</v>
      </c>
      <c r="D1227" s="7" t="str" cm="1">
        <f t="array" ref="D1227">_xlfn.IFS(Healthcare!$C1227&lt;18.5,"under weight",Healthcare!$C1227&lt;=24.9,"Normal Weight",Healthcare!$C1227&gt;=25,"overweight",Healthcare!$C1227&gt;=30,"obese")</f>
        <v>overweight</v>
      </c>
      <c r="E1227" s="7">
        <v>6.15</v>
      </c>
      <c r="F1227" s="7" t="str" cm="1">
        <f t="array" ref="F1227">_xlfn.IFS(Healthcare!$E1227&lt;5.7,"normal",Healthcare!$E1227&lt;=6.4,"prediabetes",Healthcare!$E1227&gt;=6.5,"diabetes")</f>
        <v>prediabetes</v>
      </c>
      <c r="G1227" s="7" t="s">
        <v>19</v>
      </c>
      <c r="H1227" s="7" t="s">
        <v>19</v>
      </c>
      <c r="I1227" s="7" t="s">
        <v>19</v>
      </c>
      <c r="J1227" s="7">
        <v>0</v>
      </c>
      <c r="K1227" s="7" t="s">
        <v>19</v>
      </c>
      <c r="L1227" s="7" t="str">
        <f>VLOOKUP(Healthcare!$A1227,hospital_details,2,0)</f>
        <v>23-Aug-1990</v>
      </c>
      <c r="M1227" s="7">
        <f t="shared" ref="M1227:M1290" ca="1" si="7349">VLOOKUP(A1227,hospital_details,3,0)</f>
        <v>36</v>
      </c>
      <c r="N1227" s="7">
        <f t="shared" ref="N1227:N1290" si="7350">VLOOKUP($A1227,hospital_details,4,0)</f>
        <v>3</v>
      </c>
      <c r="O1227" s="8">
        <f t="shared" ref="O1227:O1290" si="7351">VLOOKUP($A1227,hospital_details,5,0)</f>
        <v>9159.51</v>
      </c>
      <c r="P1227" s="7" t="str">
        <f t="shared" ref="P1227:P1290" si="7352">VLOOKUP($A1227,hospital_details,6,0)</f>
        <v>tier - 2</v>
      </c>
      <c r="Q1227" s="7" t="str">
        <f t="shared" ref="Q1227:Q1290" si="7353">VLOOKUP($A1227,hospital_details,7,0)</f>
        <v>tier - 2</v>
      </c>
      <c r="R1227" s="7" t="str">
        <f t="shared" ref="R1227:R1290" si="7354">VLOOKUP($A1227,hospital_details,8,0)</f>
        <v>R1021</v>
      </c>
    </row>
    <row r="1228" spans="1:18" ht="14.4" customHeight="1" x14ac:dyDescent="0.3">
      <c r="A1228" s="5" t="s">
        <v>1248</v>
      </c>
      <c r="B1228" s="5" t="str">
        <f>VLOOKUP($A1228,[1]!Customer_Names[#Data],3,0)</f>
        <v xml:space="preserve">  Kelsey J</v>
      </c>
      <c r="C1228" s="5">
        <v>28.71</v>
      </c>
      <c r="D1228" s="5" t="str" cm="1">
        <f t="array" ref="D1228">_xlfn.IFS(Healthcare!$C1228&lt;18.5,"under weight",Healthcare!$C1228&lt;=24.9,"Normal Weight",Healthcare!$C1228&gt;=25,"overweight",Healthcare!$C1228&gt;=30,"obese")</f>
        <v>overweight</v>
      </c>
      <c r="E1228" s="5">
        <v>5.71</v>
      </c>
      <c r="F1228" s="5" t="str" cm="1">
        <f t="array" ref="F1228">_xlfn.IFS(Healthcare!$E1228&lt;5.7,"normal",Healthcare!$E1228&lt;=6.4,"prediabetes",Healthcare!$E1228&gt;=6.5,"diabetes")</f>
        <v>prediabetes</v>
      </c>
      <c r="G1228" s="5" t="s">
        <v>19</v>
      </c>
      <c r="H1228" s="5" t="s">
        <v>19</v>
      </c>
      <c r="I1228" s="5" t="s">
        <v>19</v>
      </c>
      <c r="J1228" s="5">
        <v>0</v>
      </c>
      <c r="K1228" s="5" t="s">
        <v>19</v>
      </c>
      <c r="L1228" s="5" t="str">
        <f>VLOOKUP(Healthcare!$A1228,hospital_details,2,0)</f>
        <v>8-Dec-1982</v>
      </c>
      <c r="M1228" s="5">
        <f t="shared" ref="M1228:M1291" ca="1" si="7355">VLOOKUP(A1228,hospital_details,3,0)</f>
        <v>43</v>
      </c>
      <c r="N1228" s="5">
        <f t="shared" ref="N1228:N1291" si="7356">VLOOKUP($A1228,hospital_details,4,0)</f>
        <v>3</v>
      </c>
      <c r="O1228" s="6">
        <f t="shared" ref="O1228:O1291" si="7357">VLOOKUP($A1228,hospital_details,5,0)</f>
        <v>9147.5</v>
      </c>
      <c r="P1228" s="5" t="str">
        <f t="shared" ref="P1228:P1291" si="7358">VLOOKUP($A1228,hospital_details,6,0)</f>
        <v>tier - 2</v>
      </c>
      <c r="Q1228" s="5" t="str">
        <f t="shared" ref="Q1228:Q1291" si="7359">VLOOKUP($A1228,hospital_details,7,0)</f>
        <v>tier - 1</v>
      </c>
      <c r="R1228" s="5" t="str">
        <f t="shared" ref="R1228:R1291" si="7360">VLOOKUP($A1228,hospital_details,8,0)</f>
        <v>R1012</v>
      </c>
    </row>
    <row r="1229" spans="1:18" ht="14.4" customHeight="1" x14ac:dyDescent="0.3">
      <c r="A1229" s="7" t="s">
        <v>1249</v>
      </c>
      <c r="B1229" s="7" t="str">
        <f>VLOOKUP($A1229,[1]!Customer_Names[#Data],3,0)</f>
        <v xml:space="preserve">  Stephen A</v>
      </c>
      <c r="C1229" s="7">
        <v>36.700000000000003</v>
      </c>
      <c r="D1229" s="7" t="str" cm="1">
        <f t="array" ref="D1229">_xlfn.IFS(Healthcare!$C1229&lt;18.5,"under weight",Healthcare!$C1229&lt;=24.9,"Normal Weight",Healthcare!$C1229&gt;=25,"overweight",Healthcare!$C1229&gt;=30,"obese")</f>
        <v>overweight</v>
      </c>
      <c r="E1229" s="7">
        <v>8.6999999999999993</v>
      </c>
      <c r="F1229" s="7" t="str" cm="1">
        <f t="array" ref="F1229">_xlfn.IFS(Healthcare!$E1229&lt;5.7,"normal",Healthcare!$E1229&lt;=6.4,"prediabetes",Healthcare!$E1229&gt;=6.5,"diabetes")</f>
        <v>diabetes</v>
      </c>
      <c r="G1229" s="7" t="s">
        <v>20</v>
      </c>
      <c r="H1229" s="7" t="s">
        <v>19</v>
      </c>
      <c r="I1229" s="7" t="s">
        <v>19</v>
      </c>
      <c r="J1229" s="7">
        <v>2</v>
      </c>
      <c r="K1229" s="7" t="s">
        <v>19</v>
      </c>
      <c r="L1229" s="7" t="str">
        <f>VLOOKUP(Healthcare!$A1229,hospital_details,2,0)</f>
        <v>18-Oct-1970</v>
      </c>
      <c r="M1229" s="7">
        <f t="shared" ref="M1229:M1292" ca="1" si="7361">VLOOKUP(A1229,hospital_details,3,0)</f>
        <v>56</v>
      </c>
      <c r="N1229" s="7">
        <f t="shared" ref="N1229:N1292" si="7362">VLOOKUP($A1229,hospital_details,4,0)</f>
        <v>0</v>
      </c>
      <c r="O1229" s="8">
        <f t="shared" ref="O1229:O1292" si="7363">VLOOKUP($A1229,hospital_details,5,0)</f>
        <v>9144.57</v>
      </c>
      <c r="P1229" s="7" t="str">
        <f t="shared" ref="P1229:P1292" si="7364">VLOOKUP($A1229,hospital_details,6,0)</f>
        <v>tier - 3</v>
      </c>
      <c r="Q1229" s="7" t="str">
        <f t="shared" ref="Q1229:Q1292" si="7365">VLOOKUP($A1229,hospital_details,7,0)</f>
        <v>tier - 2</v>
      </c>
      <c r="R1229" s="7" t="str">
        <f t="shared" ref="R1229:R1292" si="7366">VLOOKUP($A1229,hospital_details,8,0)</f>
        <v>R1011</v>
      </c>
    </row>
    <row r="1230" spans="1:18" ht="14.4" customHeight="1" x14ac:dyDescent="0.3">
      <c r="A1230" s="5" t="s">
        <v>1250</v>
      </c>
      <c r="B1230" s="5" t="str">
        <f>VLOOKUP($A1230,[1]!Customer_Names[#Data],3,0)</f>
        <v xml:space="preserve">  Dan</v>
      </c>
      <c r="C1230" s="5">
        <v>34.1</v>
      </c>
      <c r="D1230" s="5" t="str" cm="1">
        <f t="array" ref="D1230">_xlfn.IFS(Healthcare!$C1230&lt;18.5,"under weight",Healthcare!$C1230&lt;=24.9,"Normal Weight",Healthcare!$C1230&gt;=25,"overweight",Healthcare!$C1230&gt;=30,"obese")</f>
        <v>overweight</v>
      </c>
      <c r="E1230" s="5">
        <v>9.0399999999999991</v>
      </c>
      <c r="F1230" s="5" t="str" cm="1">
        <f t="array" ref="F1230">_xlfn.IFS(Healthcare!$E1230&lt;5.7,"normal",Healthcare!$E1230&lt;=6.4,"prediabetes",Healthcare!$E1230&gt;=6.5,"diabetes")</f>
        <v>diabetes</v>
      </c>
      <c r="G1230" s="5" t="s">
        <v>20</v>
      </c>
      <c r="H1230" s="5" t="s">
        <v>19</v>
      </c>
      <c r="I1230" s="5" t="s">
        <v>19</v>
      </c>
      <c r="J1230" s="5">
        <v>2</v>
      </c>
      <c r="K1230" s="5" t="s">
        <v>19</v>
      </c>
      <c r="L1230" s="5" t="str">
        <f>VLOOKUP(Healthcare!$A1230,hospital_details,2,0)</f>
        <v>12-Aug-1970</v>
      </c>
      <c r="M1230" s="5">
        <f t="shared" ref="M1230:M1293" ca="1" si="7367">VLOOKUP(A1230,hospital_details,3,0)</f>
        <v>56</v>
      </c>
      <c r="N1230" s="5">
        <f t="shared" ref="N1230:N1293" si="7368">VLOOKUP($A1230,hospital_details,4,0)</f>
        <v>0</v>
      </c>
      <c r="O1230" s="6">
        <f t="shared" ref="O1230:O1293" si="7369">VLOOKUP($A1230,hospital_details,5,0)</f>
        <v>9140.9500000000007</v>
      </c>
      <c r="P1230" s="5" t="str">
        <f t="shared" ref="P1230:P1293" si="7370">VLOOKUP($A1230,hospital_details,6,0)</f>
        <v>tier - 3</v>
      </c>
      <c r="Q1230" s="5" t="str">
        <f t="shared" ref="Q1230:Q1293" si="7371">VLOOKUP($A1230,hospital_details,7,0)</f>
        <v>tier - 3</v>
      </c>
      <c r="R1230" s="5" t="str">
        <f t="shared" ref="R1230:R1293" si="7372">VLOOKUP($A1230,hospital_details,8,0)</f>
        <v>R1013</v>
      </c>
    </row>
    <row r="1231" spans="1:18" ht="14.4" customHeight="1" x14ac:dyDescent="0.3">
      <c r="A1231" s="7" t="s">
        <v>1251</v>
      </c>
      <c r="B1231" s="7" t="str">
        <f>VLOOKUP($A1231,[1]!Customer_Names[#Data],3,0)</f>
        <v xml:space="preserve">  Katie C</v>
      </c>
      <c r="C1231" s="7">
        <v>25.7</v>
      </c>
      <c r="D1231" s="7" t="str" cm="1">
        <f t="array" ref="D1231">_xlfn.IFS(Healthcare!$C1231&lt;18.5,"under weight",Healthcare!$C1231&lt;=24.9,"Normal Weight",Healthcare!$C1231&gt;=25,"overweight",Healthcare!$C1231&gt;=30,"obese")</f>
        <v>overweight</v>
      </c>
      <c r="E1231" s="7">
        <v>5.61</v>
      </c>
      <c r="F1231" s="7" t="str" cm="1">
        <f t="array" ref="F1231">_xlfn.IFS(Healthcare!$E1231&lt;5.7,"normal",Healthcare!$E1231&lt;=6.4,"prediabetes",Healthcare!$E1231&gt;=6.5,"diabetes")</f>
        <v>normal</v>
      </c>
      <c r="G1231" s="7" t="s">
        <v>19</v>
      </c>
      <c r="H1231" s="7" t="s">
        <v>19</v>
      </c>
      <c r="I1231" s="7" t="s">
        <v>19</v>
      </c>
      <c r="J1231" s="7">
        <v>0</v>
      </c>
      <c r="K1231" s="7" t="s">
        <v>19</v>
      </c>
      <c r="L1231" s="7" t="str">
        <f>VLOOKUP(Healthcare!$A1231,hospital_details,2,0)</f>
        <v>2-Dec-1977</v>
      </c>
      <c r="M1231" s="7">
        <f t="shared" ref="M1231:M1294" ca="1" si="7373">VLOOKUP(A1231,hospital_details,3,0)</f>
        <v>48</v>
      </c>
      <c r="N1231" s="7">
        <f t="shared" ref="N1231:N1294" si="7374">VLOOKUP($A1231,hospital_details,4,0)</f>
        <v>3</v>
      </c>
      <c r="O1231" s="8">
        <f t="shared" ref="O1231:O1294" si="7375">VLOOKUP($A1231,hospital_details,5,0)</f>
        <v>9101.7999999999993</v>
      </c>
      <c r="P1231" s="7" t="str">
        <f t="shared" ref="P1231:P1294" si="7376">VLOOKUP($A1231,hospital_details,6,0)</f>
        <v>tier - 2</v>
      </c>
      <c r="Q1231" s="7" t="str">
        <f t="shared" ref="Q1231:Q1294" si="7377">VLOOKUP($A1231,hospital_details,7,0)</f>
        <v>tier - 1</v>
      </c>
      <c r="R1231" s="7" t="str">
        <f t="shared" ref="R1231:R1294" si="7378">VLOOKUP($A1231,hospital_details,8,0)</f>
        <v>R1011</v>
      </c>
    </row>
    <row r="1232" spans="1:18" ht="14.4" customHeight="1" x14ac:dyDescent="0.3">
      <c r="A1232" s="5" t="s">
        <v>1252</v>
      </c>
      <c r="B1232" s="5" t="str">
        <f>VLOOKUP($A1232,[1]!Customer_Names[#Data],3,0)</f>
        <v xml:space="preserve">  Melissa K</v>
      </c>
      <c r="C1232" s="5">
        <v>21.68</v>
      </c>
      <c r="D1232" s="5" t="str" cm="1">
        <f t="array" ref="D1232">_xlfn.IFS(Healthcare!$C1232&lt;18.5,"under weight",Healthcare!$C1232&lt;=24.9,"Normal Weight",Healthcare!$C1232&gt;=25,"overweight",Healthcare!$C1232&gt;=30,"obese")</f>
        <v>Normal Weight</v>
      </c>
      <c r="E1232" s="5">
        <v>8.1199999999999992</v>
      </c>
      <c r="F1232" s="5" t="str" cm="1">
        <f t="array" ref="F1232">_xlfn.IFS(Healthcare!$E1232&lt;5.7,"normal",Healthcare!$E1232&lt;=6.4,"prediabetes",Healthcare!$E1232&gt;=6.5,"diabetes")</f>
        <v>diabetes</v>
      </c>
      <c r="G1232" s="5" t="s">
        <v>19</v>
      </c>
      <c r="H1232" s="5" t="s">
        <v>19</v>
      </c>
      <c r="I1232" s="5" t="s">
        <v>19</v>
      </c>
      <c r="J1232" s="5">
        <v>0</v>
      </c>
      <c r="K1232" s="5" t="s">
        <v>19</v>
      </c>
      <c r="L1232" s="5" t="str">
        <f>VLOOKUP(Healthcare!$A1232,hospital_details,2,0)</f>
        <v>9-Nov-1965</v>
      </c>
      <c r="M1232" s="5">
        <f t="shared" ref="M1232:M1295" ca="1" si="7379">VLOOKUP(A1232,hospital_details,3,0)</f>
        <v>60</v>
      </c>
      <c r="N1232" s="5">
        <f t="shared" ref="N1232:N1295" si="7380">VLOOKUP($A1232,hospital_details,4,0)</f>
        <v>0</v>
      </c>
      <c r="O1232" s="6">
        <f t="shared" ref="O1232:O1295" si="7381">VLOOKUP($A1232,hospital_details,5,0)</f>
        <v>9095.94</v>
      </c>
      <c r="P1232" s="5" t="str">
        <f t="shared" ref="P1232:P1295" si="7382">VLOOKUP($A1232,hospital_details,6,0)</f>
        <v>tier - 3</v>
      </c>
      <c r="Q1232" s="5" t="str">
        <f t="shared" ref="Q1232:Q1295" si="7383">VLOOKUP($A1232,hospital_details,7,0)</f>
        <v>tier - 1</v>
      </c>
      <c r="R1232" s="5" t="str">
        <f t="shared" ref="R1232:R1295" si="7384">VLOOKUP($A1232,hospital_details,8,0)</f>
        <v>R1011</v>
      </c>
    </row>
    <row r="1233" spans="1:18" ht="14.4" customHeight="1" x14ac:dyDescent="0.3">
      <c r="A1233" s="7" t="s">
        <v>1253</v>
      </c>
      <c r="B1233" s="7" t="str">
        <f>VLOOKUP($A1233,[1]!Customer_Names[#Data],3,0)</f>
        <v xml:space="preserve">  Kara H</v>
      </c>
      <c r="C1233" s="7">
        <v>25.175000000000001</v>
      </c>
      <c r="D1233" s="7" t="str" cm="1">
        <f t="array" ref="D1233">_xlfn.IFS(Healthcare!$C1233&lt;18.5,"under weight",Healthcare!$C1233&lt;=24.9,"Normal Weight",Healthcare!$C1233&gt;=25,"overweight",Healthcare!$C1233&gt;=30,"obese")</f>
        <v>overweight</v>
      </c>
      <c r="E1233" s="7">
        <v>4.74</v>
      </c>
      <c r="F1233" s="7" t="str" cm="1">
        <f t="array" ref="F1233">_xlfn.IFS(Healthcare!$E1233&lt;5.7,"normal",Healthcare!$E1233&lt;=6.4,"prediabetes",Healthcare!$E1233&gt;=6.5,"diabetes")</f>
        <v>normal</v>
      </c>
      <c r="G1233" s="7" t="s">
        <v>19</v>
      </c>
      <c r="H1233" s="7" t="s">
        <v>19</v>
      </c>
      <c r="I1233" s="7" t="s">
        <v>19</v>
      </c>
      <c r="J1233" s="7">
        <v>0</v>
      </c>
      <c r="K1233" s="7" t="s">
        <v>19</v>
      </c>
      <c r="L1233" s="7" t="str">
        <f>VLOOKUP(Healthcare!$A1233,hospital_details,2,0)</f>
        <v>4-Nov-1977</v>
      </c>
      <c r="M1233" s="7">
        <f t="shared" ref="M1233:M1296" ca="1" si="7385">VLOOKUP(A1233,hospital_details,3,0)</f>
        <v>48</v>
      </c>
      <c r="N1233" s="7">
        <f t="shared" ref="N1233:N1296" si="7386">VLOOKUP($A1233,hospital_details,4,0)</f>
        <v>2</v>
      </c>
      <c r="O1233" s="8">
        <f t="shared" ref="O1233:O1296" si="7387">VLOOKUP($A1233,hospital_details,5,0)</f>
        <v>9095.07</v>
      </c>
      <c r="P1233" s="7" t="str">
        <f t="shared" ref="P1233:P1296" si="7388">VLOOKUP($A1233,hospital_details,6,0)</f>
        <v>tier - 2</v>
      </c>
      <c r="Q1233" s="7" t="str">
        <f t="shared" ref="Q1233:Q1296" si="7389">VLOOKUP($A1233,hospital_details,7,0)</f>
        <v>tier - 2</v>
      </c>
      <c r="R1233" s="7" t="str">
        <f t="shared" ref="R1233:R1296" si="7390">VLOOKUP($A1233,hospital_details,8,0)</f>
        <v>R1024</v>
      </c>
    </row>
    <row r="1234" spans="1:18" ht="14.4" customHeight="1" x14ac:dyDescent="0.3">
      <c r="A1234" s="5" t="s">
        <v>1254</v>
      </c>
      <c r="B1234" s="5" t="str">
        <f>VLOOKUP($A1234,[1]!Customer_Names[#Data],3,0)</f>
        <v xml:space="preserve">  Juan Carlos</v>
      </c>
      <c r="C1234" s="5">
        <v>44.77</v>
      </c>
      <c r="D1234" s="5" t="str" cm="1">
        <f t="array" ref="D1234">_xlfn.IFS(Healthcare!$C1234&lt;18.5,"under weight",Healthcare!$C1234&lt;=24.9,"Normal Weight",Healthcare!$C1234&gt;=25,"overweight",Healthcare!$C1234&gt;=30,"obese")</f>
        <v>overweight</v>
      </c>
      <c r="E1234" s="5">
        <v>4.0599999999999996</v>
      </c>
      <c r="F1234" s="5" t="str" cm="1">
        <f t="array" ref="F1234">_xlfn.IFS(Healthcare!$E1234&lt;5.7,"normal",Healthcare!$E1234&lt;=6.4,"prediabetes",Healthcare!$E1234&gt;=6.5,"diabetes")</f>
        <v>normal</v>
      </c>
      <c r="G1234" s="5" t="s">
        <v>19</v>
      </c>
      <c r="H1234" s="5" t="s">
        <v>19</v>
      </c>
      <c r="I1234" s="5" t="s">
        <v>19</v>
      </c>
      <c r="J1234" s="5">
        <v>2</v>
      </c>
      <c r="K1234" s="5" t="s">
        <v>19</v>
      </c>
      <c r="L1234" s="5" t="str">
        <f>VLOOKUP(Healthcare!$A1234,hospital_details,2,0)</f>
        <v>2-Dec-1972</v>
      </c>
      <c r="M1234" s="5">
        <f t="shared" ref="M1234:M1297" ca="1" si="7391">VLOOKUP(A1234,hospital_details,3,0)</f>
        <v>53</v>
      </c>
      <c r="N1234" s="5">
        <f t="shared" ref="N1234:N1297" si="7392">VLOOKUP($A1234,hospital_details,4,0)</f>
        <v>1</v>
      </c>
      <c r="O1234" s="6">
        <f t="shared" ref="O1234:O1297" si="7393">VLOOKUP($A1234,hospital_details,5,0)</f>
        <v>9058.73</v>
      </c>
      <c r="P1234" s="5" t="str">
        <f t="shared" ref="P1234:P1297" si="7394">VLOOKUP($A1234,hospital_details,6,0)</f>
        <v>tier - 3</v>
      </c>
      <c r="Q1234" s="5" t="str">
        <f t="shared" ref="Q1234:Q1297" si="7395">VLOOKUP($A1234,hospital_details,7,0)</f>
        <v>tier - 2</v>
      </c>
      <c r="R1234" s="5" t="str">
        <f t="shared" ref="R1234:R1297" si="7396">VLOOKUP($A1234,hospital_details,8,0)</f>
        <v>R1013</v>
      </c>
    </row>
    <row r="1235" spans="1:18" ht="14.4" customHeight="1" x14ac:dyDescent="0.3">
      <c r="A1235" s="7" t="s">
        <v>1255</v>
      </c>
      <c r="B1235" s="7" t="str">
        <f>VLOOKUP($A1235,[1]!Customer_Names[#Data],3,0)</f>
        <v xml:space="preserve">  John III</v>
      </c>
      <c r="C1235" s="7">
        <v>37.07</v>
      </c>
      <c r="D1235" s="7" t="str" cm="1">
        <f t="array" ref="D1235">_xlfn.IFS(Healthcare!$C1235&lt;18.5,"under weight",Healthcare!$C1235&lt;=24.9,"Normal Weight",Healthcare!$C1235&gt;=25,"overweight",Healthcare!$C1235&gt;=30,"obese")</f>
        <v>overweight</v>
      </c>
      <c r="E1235" s="7">
        <v>5.69</v>
      </c>
      <c r="F1235" s="7" t="str" cm="1">
        <f t="array" ref="F1235">_xlfn.IFS(Healthcare!$E1235&lt;5.7,"normal",Healthcare!$E1235&lt;=6.4,"prediabetes",Healthcare!$E1235&gt;=6.5,"diabetes")</f>
        <v>normal</v>
      </c>
      <c r="G1235" s="7" t="s">
        <v>19</v>
      </c>
      <c r="H1235" s="7" t="s">
        <v>19</v>
      </c>
      <c r="I1235" s="7" t="s">
        <v>19</v>
      </c>
      <c r="J1235" s="7">
        <v>2</v>
      </c>
      <c r="K1235" s="7" t="s">
        <v>19</v>
      </c>
      <c r="L1235" s="7" t="str">
        <f>VLOOKUP(Healthcare!$A1235,hospital_details,2,0)</f>
        <v>7-Dec-1972</v>
      </c>
      <c r="M1235" s="7">
        <f t="shared" ref="M1235:M1298" ca="1" si="7397">VLOOKUP(A1235,hospital_details,3,0)</f>
        <v>53</v>
      </c>
      <c r="N1235" s="7">
        <f t="shared" ref="N1235:N1298" si="7398">VLOOKUP($A1235,hospital_details,4,0)</f>
        <v>1</v>
      </c>
      <c r="O1235" s="8">
        <f t="shared" ref="O1235:O1298" si="7399">VLOOKUP($A1235,hospital_details,5,0)</f>
        <v>9048.0300000000007</v>
      </c>
      <c r="P1235" s="7" t="str">
        <f t="shared" ref="P1235:P1298" si="7400">VLOOKUP($A1235,hospital_details,6,0)</f>
        <v>tier - 2</v>
      </c>
      <c r="Q1235" s="7" t="str">
        <f t="shared" ref="Q1235:Q1298" si="7401">VLOOKUP($A1235,hospital_details,7,0)</f>
        <v>tier - 2</v>
      </c>
      <c r="R1235" s="7" t="str">
        <f t="shared" ref="R1235:R1298" si="7402">VLOOKUP($A1235,hospital_details,8,0)</f>
        <v>R1013</v>
      </c>
    </row>
    <row r="1236" spans="1:18" ht="14.4" customHeight="1" x14ac:dyDescent="0.3">
      <c r="A1236" s="5" t="s">
        <v>1256</v>
      </c>
      <c r="B1236" s="5" t="str">
        <f>VLOOKUP($A1236,[1]!Customer_Names[#Data],3,0)</f>
        <v xml:space="preserve">  Sarah M</v>
      </c>
      <c r="C1236" s="5">
        <v>39.799999999999997</v>
      </c>
      <c r="D1236" s="5" t="str" cm="1">
        <f t="array" ref="D1236">_xlfn.IFS(Healthcare!$C1236&lt;18.5,"under weight",Healthcare!$C1236&lt;=24.9,"Normal Weight",Healthcare!$C1236&gt;=25,"overweight",Healthcare!$C1236&gt;=30,"obese")</f>
        <v>overweight</v>
      </c>
      <c r="E1236" s="5">
        <v>5.66</v>
      </c>
      <c r="F1236" s="5" t="str" cm="1">
        <f t="array" ref="F1236">_xlfn.IFS(Healthcare!$E1236&lt;5.7,"normal",Healthcare!$E1236&lt;=6.4,"prediabetes",Healthcare!$E1236&gt;=6.5,"diabetes")</f>
        <v>normal</v>
      </c>
      <c r="G1236" s="5" t="s">
        <v>19</v>
      </c>
      <c r="H1236" s="5" t="s">
        <v>19</v>
      </c>
      <c r="I1236" s="5" t="s">
        <v>29</v>
      </c>
      <c r="J1236" s="5">
        <v>1</v>
      </c>
      <c r="K1236" s="5" t="s">
        <v>19</v>
      </c>
      <c r="L1236" s="5" t="str">
        <f>VLOOKUP(Healthcare!$A1236,hospital_details,2,0)</f>
        <v>1-Dec-1993</v>
      </c>
      <c r="M1236" s="5">
        <f t="shared" ref="M1236:M1299" ca="1" si="7403">VLOOKUP(A1236,hospital_details,3,0)</f>
        <v>32</v>
      </c>
      <c r="N1236" s="5">
        <f t="shared" ref="N1236:N1299" si="7404">VLOOKUP($A1236,hospital_details,4,0)</f>
        <v>0</v>
      </c>
      <c r="O1236" s="6">
        <f t="shared" ref="O1236:O1299" si="7405">VLOOKUP($A1236,hospital_details,5,0)</f>
        <v>9010.2000000000007</v>
      </c>
      <c r="P1236" s="5" t="str">
        <f t="shared" ref="P1236:P1299" si="7406">VLOOKUP($A1236,hospital_details,6,0)</f>
        <v>tier - 2</v>
      </c>
      <c r="Q1236" s="5" t="str">
        <f t="shared" ref="Q1236:Q1299" si="7407">VLOOKUP($A1236,hospital_details,7,0)</f>
        <v>tier - 3</v>
      </c>
      <c r="R1236" s="5" t="str">
        <f t="shared" ref="R1236:R1299" si="7408">VLOOKUP($A1236,hospital_details,8,0)</f>
        <v>R1026</v>
      </c>
    </row>
    <row r="1237" spans="1:18" ht="14.4" customHeight="1" x14ac:dyDescent="0.3">
      <c r="A1237" s="7" t="s">
        <v>1257</v>
      </c>
      <c r="B1237" s="7" t="str">
        <f>VLOOKUP($A1237,[1]!Customer_Names[#Data],3,0)</f>
        <v xml:space="preserve">  Kristin C</v>
      </c>
      <c r="C1237" s="7">
        <v>26.36</v>
      </c>
      <c r="D1237" s="7" t="str" cm="1">
        <f t="array" ref="D1237">_xlfn.IFS(Healthcare!$C1237&lt;18.5,"under weight",Healthcare!$C1237&lt;=24.9,"Normal Weight",Healthcare!$C1237&gt;=25,"overweight",Healthcare!$C1237&gt;=30,"obese")</f>
        <v>overweight</v>
      </c>
      <c r="E1237" s="7">
        <v>4.32</v>
      </c>
      <c r="F1237" s="7" t="str" cm="1">
        <f t="array" ref="F1237">_xlfn.IFS(Healthcare!$E1237&lt;5.7,"normal",Healthcare!$E1237&lt;=6.4,"prediabetes",Healthcare!$E1237&gt;=6.5,"diabetes")</f>
        <v>normal</v>
      </c>
      <c r="G1237" s="7" t="s">
        <v>19</v>
      </c>
      <c r="H1237" s="7" t="s">
        <v>19</v>
      </c>
      <c r="I1237" s="7" t="s">
        <v>29</v>
      </c>
      <c r="J1237" s="7">
        <v>1</v>
      </c>
      <c r="K1237" s="7" t="s">
        <v>19</v>
      </c>
      <c r="L1237" s="7" t="str">
        <f>VLOOKUP(Healthcare!$A1237,hospital_details,2,0)</f>
        <v>16-Dec-1979</v>
      </c>
      <c r="M1237" s="7">
        <f t="shared" ref="M1237:M1300" ca="1" si="7409">VLOOKUP(A1237,hospital_details,3,0)</f>
        <v>46</v>
      </c>
      <c r="N1237" s="7">
        <f t="shared" ref="N1237:N1300" si="7410">VLOOKUP($A1237,hospital_details,4,0)</f>
        <v>2</v>
      </c>
      <c r="O1237" s="8">
        <f t="shared" ref="O1237:O1300" si="7411">VLOOKUP($A1237,hospital_details,5,0)</f>
        <v>8998.43</v>
      </c>
      <c r="P1237" s="7" t="str">
        <f t="shared" ref="P1237:P1300" si="7412">VLOOKUP($A1237,hospital_details,6,0)</f>
        <v>tier - 2</v>
      </c>
      <c r="Q1237" s="7" t="str">
        <f t="shared" ref="Q1237:Q1300" si="7413">VLOOKUP($A1237,hospital_details,7,0)</f>
        <v>tier - 1</v>
      </c>
      <c r="R1237" s="7" t="str">
        <f t="shared" ref="R1237:R1300" si="7414">VLOOKUP($A1237,hospital_details,8,0)</f>
        <v>R1025</v>
      </c>
    </row>
    <row r="1238" spans="1:18" ht="14.4" customHeight="1" x14ac:dyDescent="0.3">
      <c r="A1238" s="5" t="s">
        <v>1258</v>
      </c>
      <c r="B1238" s="5" t="str">
        <f>VLOOKUP($A1238,[1]!Customer_Names[#Data],3,0)</f>
        <v xml:space="preserve">  Casey M</v>
      </c>
      <c r="C1238" s="5">
        <v>29.925000000000001</v>
      </c>
      <c r="D1238" s="5" t="str" cm="1">
        <f t="array" ref="D1238">_xlfn.IFS(Healthcare!$C1238&lt;18.5,"under weight",Healthcare!$C1238&lt;=24.9,"Normal Weight",Healthcare!$C1238&gt;=25,"overweight",Healthcare!$C1238&gt;=30,"obese")</f>
        <v>overweight</v>
      </c>
      <c r="E1238" s="5">
        <v>8.2899999999999991</v>
      </c>
      <c r="F1238" s="5" t="str" cm="1">
        <f t="array" ref="F1238">_xlfn.IFS(Healthcare!$E1238&lt;5.7,"normal",Healthcare!$E1238&lt;=6.4,"prediabetes",Healthcare!$E1238&gt;=6.5,"diabetes")</f>
        <v>diabetes</v>
      </c>
      <c r="G1238" s="5" t="s">
        <v>19</v>
      </c>
      <c r="H1238" s="5" t="s">
        <v>19</v>
      </c>
      <c r="I1238" s="5" t="s">
        <v>19</v>
      </c>
      <c r="J1238" s="5">
        <v>2</v>
      </c>
      <c r="K1238" s="5" t="s">
        <v>19</v>
      </c>
      <c r="L1238" s="5" t="str">
        <f>VLOOKUP(Healthcare!$A1238,hospital_details,2,0)</f>
        <v>11-Oct-1973</v>
      </c>
      <c r="M1238" s="5">
        <f t="shared" ref="M1238:M1301" ca="1" si="7415">VLOOKUP(A1238,hospital_details,3,0)</f>
        <v>53</v>
      </c>
      <c r="N1238" s="5">
        <f t="shared" ref="N1238:N1301" si="7416">VLOOKUP($A1238,hospital_details,4,0)</f>
        <v>0</v>
      </c>
      <c r="O1238" s="6">
        <f t="shared" ref="O1238:O1301" si="7417">VLOOKUP($A1238,hospital_details,5,0)</f>
        <v>8988.16</v>
      </c>
      <c r="P1238" s="5" t="str">
        <f t="shared" ref="P1238:P1301" si="7418">VLOOKUP($A1238,hospital_details,6,0)</f>
        <v>tier - 2</v>
      </c>
      <c r="Q1238" s="5" t="str">
        <f t="shared" ref="Q1238:Q1301" si="7419">VLOOKUP($A1238,hospital_details,7,0)</f>
        <v>tier - 1</v>
      </c>
      <c r="R1238" s="5" t="str">
        <f t="shared" ref="R1238:R1301" si="7420">VLOOKUP($A1238,hospital_details,8,0)</f>
        <v>R1012</v>
      </c>
    </row>
    <row r="1239" spans="1:18" ht="14.4" customHeight="1" x14ac:dyDescent="0.3">
      <c r="A1239" s="7" t="s">
        <v>1259</v>
      </c>
      <c r="B1239" s="7" t="str">
        <f>VLOOKUP($A1239,[1]!Customer_Names[#Data],3,0)</f>
        <v xml:space="preserve">  Samuel</v>
      </c>
      <c r="C1239" s="7">
        <v>37.29</v>
      </c>
      <c r="D1239" s="7" t="str" cm="1">
        <f t="array" ref="D1239">_xlfn.IFS(Healthcare!$C1239&lt;18.5,"under weight",Healthcare!$C1239&lt;=24.9,"Normal Weight",Healthcare!$C1239&gt;=25,"overweight",Healthcare!$C1239&gt;=30,"obese")</f>
        <v>overweight</v>
      </c>
      <c r="E1239" s="7">
        <v>10.46</v>
      </c>
      <c r="F1239" s="7" t="str" cm="1">
        <f t="array" ref="F1239">_xlfn.IFS(Healthcare!$E1239&lt;5.7,"normal",Healthcare!$E1239&lt;=6.4,"prediabetes",Healthcare!$E1239&gt;=6.5,"diabetes")</f>
        <v>diabetes</v>
      </c>
      <c r="G1239" s="7" t="s">
        <v>19</v>
      </c>
      <c r="H1239" s="7" t="s">
        <v>19</v>
      </c>
      <c r="I1239" s="7" t="s">
        <v>19</v>
      </c>
      <c r="J1239" s="7">
        <v>0</v>
      </c>
      <c r="K1239" s="7" t="s">
        <v>19</v>
      </c>
      <c r="L1239" s="7" t="str">
        <f>VLOOKUP(Healthcare!$A1239,hospital_details,2,0)</f>
        <v>21-Jul-1974</v>
      </c>
      <c r="M1239" s="7">
        <f t="shared" ref="M1239:M1302" ca="1" si="7421">VLOOKUP(A1239,hospital_details,3,0)</f>
        <v>52</v>
      </c>
      <c r="N1239" s="7">
        <f t="shared" ref="N1239:N1302" si="7422">VLOOKUP($A1239,hospital_details,4,0)</f>
        <v>2</v>
      </c>
      <c r="O1239" s="8">
        <f t="shared" ref="O1239:O1302" si="7423">VLOOKUP($A1239,hospital_details,5,0)</f>
        <v>8978.19</v>
      </c>
      <c r="P1239" s="7" t="str">
        <f t="shared" ref="P1239:P1302" si="7424">VLOOKUP($A1239,hospital_details,6,0)</f>
        <v>tier - 2</v>
      </c>
      <c r="Q1239" s="7" t="str">
        <f t="shared" ref="Q1239:Q1302" si="7425">VLOOKUP($A1239,hospital_details,7,0)</f>
        <v>tier - 2</v>
      </c>
      <c r="R1239" s="7" t="str">
        <f t="shared" ref="R1239:R1302" si="7426">VLOOKUP($A1239,hospital_details,8,0)</f>
        <v>R1013</v>
      </c>
    </row>
    <row r="1240" spans="1:18" ht="14.4" customHeight="1" x14ac:dyDescent="0.3">
      <c r="A1240" s="5" t="s">
        <v>1260</v>
      </c>
      <c r="B1240" s="5" t="str">
        <f>VLOOKUP($A1240,[1]!Customer_Names[#Data],3,0)</f>
        <v xml:space="preserve">  Braulio</v>
      </c>
      <c r="C1240" s="5">
        <v>30.2</v>
      </c>
      <c r="D1240" s="5" t="str" cm="1">
        <f t="array" ref="D1240">_xlfn.IFS(Healthcare!$C1240&lt;18.5,"under weight",Healthcare!$C1240&lt;=24.9,"Normal Weight",Healthcare!$C1240&gt;=25,"overweight",Healthcare!$C1240&gt;=30,"obese")</f>
        <v>overweight</v>
      </c>
      <c r="E1240" s="5">
        <v>11.96</v>
      </c>
      <c r="F1240" s="5" t="str" cm="1">
        <f t="array" ref="F1240">_xlfn.IFS(Healthcare!$E1240&lt;5.7,"normal",Healthcare!$E1240&lt;=6.4,"prediabetes",Healthcare!$E1240&gt;=6.5,"diabetes")</f>
        <v>diabetes</v>
      </c>
      <c r="G1240" s="5" t="s">
        <v>19</v>
      </c>
      <c r="H1240" s="5" t="s">
        <v>19</v>
      </c>
      <c r="I1240" s="5" t="s">
        <v>19</v>
      </c>
      <c r="J1240" s="5">
        <v>0</v>
      </c>
      <c r="K1240" s="5" t="s">
        <v>19</v>
      </c>
      <c r="L1240" s="5" t="str">
        <f>VLOOKUP(Healthcare!$A1240,hospital_details,2,0)</f>
        <v>8-Sep-1974</v>
      </c>
      <c r="M1240" s="5">
        <f t="shared" ref="M1240:M1303" ca="1" si="7427">VLOOKUP(A1240,hospital_details,3,0)</f>
        <v>52</v>
      </c>
      <c r="N1240" s="5">
        <f t="shared" ref="N1240:N1303" si="7428">VLOOKUP($A1240,hospital_details,4,0)</f>
        <v>2</v>
      </c>
      <c r="O1240" s="6">
        <f t="shared" ref="O1240:O1303" si="7429">VLOOKUP($A1240,hospital_details,5,0)</f>
        <v>8968.33</v>
      </c>
      <c r="P1240" s="5" t="str">
        <f t="shared" ref="P1240:P1303" si="7430">VLOOKUP($A1240,hospital_details,6,0)</f>
        <v>tier - 3</v>
      </c>
      <c r="Q1240" s="5" t="str">
        <f t="shared" ref="Q1240:Q1303" si="7431">VLOOKUP($A1240,hospital_details,7,0)</f>
        <v>tier - 2</v>
      </c>
      <c r="R1240" s="5" t="str">
        <f t="shared" ref="R1240:R1303" si="7432">VLOOKUP($A1240,hospital_details,8,0)</f>
        <v>R1011</v>
      </c>
    </row>
    <row r="1241" spans="1:18" ht="14.4" customHeight="1" x14ac:dyDescent="0.3">
      <c r="A1241" s="7" t="s">
        <v>1261</v>
      </c>
      <c r="B1241" s="7" t="str">
        <f>VLOOKUP($A1241,[1]!Customer_Names[#Data],3,0)</f>
        <v xml:space="preserve">  Anne-Marie</v>
      </c>
      <c r="C1241" s="7">
        <v>24.225000000000001</v>
      </c>
      <c r="D1241" s="7" t="str" cm="1">
        <f t="array" ref="D1241">_xlfn.IFS(Healthcare!$C1241&lt;18.5,"under weight",Healthcare!$C1241&lt;=24.9,"Normal Weight",Healthcare!$C1241&gt;=25,"overweight",Healthcare!$C1241&gt;=30,"obese")</f>
        <v>Normal Weight</v>
      </c>
      <c r="E1241" s="7">
        <v>4.25</v>
      </c>
      <c r="F1241" s="7" t="str" cm="1">
        <f t="array" ref="F1241">_xlfn.IFS(Healthcare!$E1241&lt;5.7,"normal",Healthcare!$E1241&lt;=6.4,"prediabetes",Healthcare!$E1241&gt;=6.5,"diabetes")</f>
        <v>normal</v>
      </c>
      <c r="G1241" s="7" t="s">
        <v>20</v>
      </c>
      <c r="H1241" s="7" t="s">
        <v>19</v>
      </c>
      <c r="I1241" s="7" t="s">
        <v>29</v>
      </c>
      <c r="J1241" s="7">
        <v>1</v>
      </c>
      <c r="K1241" s="7" t="s">
        <v>19</v>
      </c>
      <c r="L1241" s="7" t="str">
        <f>VLOOKUP(Healthcare!$A1241,hospital_details,2,0)</f>
        <v>15-Jul-1983</v>
      </c>
      <c r="M1241" s="7">
        <f t="shared" ref="M1241:M1304" ca="1" si="7433">VLOOKUP(A1241,hospital_details,3,0)</f>
        <v>43</v>
      </c>
      <c r="N1241" s="7">
        <f t="shared" ref="N1241:N1304" si="7434">VLOOKUP($A1241,hospital_details,4,0)</f>
        <v>5</v>
      </c>
      <c r="O1241" s="8">
        <f t="shared" ref="O1241:O1304" si="7435">VLOOKUP($A1241,hospital_details,5,0)</f>
        <v>8965.7999999999993</v>
      </c>
      <c r="P1241" s="7" t="str">
        <f t="shared" ref="P1241:P1304" si="7436">VLOOKUP($A1241,hospital_details,6,0)</f>
        <v>tier - 2</v>
      </c>
      <c r="Q1241" s="7" t="str">
        <f t="shared" ref="Q1241:Q1304" si="7437">VLOOKUP($A1241,hospital_details,7,0)</f>
        <v>tier - 3</v>
      </c>
      <c r="R1241" s="7" t="str">
        <f t="shared" ref="R1241:R1304" si="7438">VLOOKUP($A1241,hospital_details,8,0)</f>
        <v>R1012</v>
      </c>
    </row>
    <row r="1242" spans="1:18" ht="14.4" customHeight="1" x14ac:dyDescent="0.3">
      <c r="A1242" s="5" t="s">
        <v>1262</v>
      </c>
      <c r="B1242" s="5" t="str">
        <f>VLOOKUP($A1242,[1]!Customer_Names[#Data],3,0)</f>
        <v xml:space="preserve">  Samuel K</v>
      </c>
      <c r="C1242" s="5">
        <v>31.445</v>
      </c>
      <c r="D1242" s="5" t="str" cm="1">
        <f t="array" ref="D1242">_xlfn.IFS(Healthcare!$C1242&lt;18.5,"under weight",Healthcare!$C1242&lt;=24.9,"Normal Weight",Healthcare!$C1242&gt;=25,"overweight",Healthcare!$C1242&gt;=30,"obese")</f>
        <v>overweight</v>
      </c>
      <c r="E1242" s="5">
        <v>8.33</v>
      </c>
      <c r="F1242" s="5" t="str" cm="1">
        <f t="array" ref="F1242">_xlfn.IFS(Healthcare!$E1242&lt;5.7,"normal",Healthcare!$E1242&lt;=6.4,"prediabetes",Healthcare!$E1242&gt;=6.5,"diabetes")</f>
        <v>diabetes</v>
      </c>
      <c r="G1242" s="5" t="s">
        <v>19</v>
      </c>
      <c r="H1242" s="5" t="s">
        <v>19</v>
      </c>
      <c r="I1242" s="5" t="s">
        <v>19</v>
      </c>
      <c r="J1242" s="5">
        <v>0</v>
      </c>
      <c r="K1242" s="5" t="s">
        <v>19</v>
      </c>
      <c r="L1242" s="5" t="str">
        <f>VLOOKUP(Healthcare!$A1242,hospital_details,2,0)</f>
        <v>17-Aug-1974</v>
      </c>
      <c r="M1242" s="5">
        <f t="shared" ref="M1242:M1305" ca="1" si="7439">VLOOKUP(A1242,hospital_details,3,0)</f>
        <v>52</v>
      </c>
      <c r="N1242" s="5">
        <f t="shared" ref="N1242:N1305" si="7440">VLOOKUP($A1242,hospital_details,4,0)</f>
        <v>1</v>
      </c>
      <c r="O1242" s="6">
        <f t="shared" ref="O1242:O1305" si="7441">VLOOKUP($A1242,hospital_details,5,0)</f>
        <v>8964.06</v>
      </c>
      <c r="P1242" s="5" t="str">
        <f t="shared" ref="P1242:P1305" si="7442">VLOOKUP($A1242,hospital_details,6,0)</f>
        <v>tier - 3</v>
      </c>
      <c r="Q1242" s="5" t="str">
        <f t="shared" ref="Q1242:Q1305" si="7443">VLOOKUP($A1242,hospital_details,7,0)</f>
        <v>tier - 2</v>
      </c>
      <c r="R1242" s="5" t="str">
        <f t="shared" ref="R1242:R1305" si="7444">VLOOKUP($A1242,hospital_details,8,0)</f>
        <v>R1016</v>
      </c>
    </row>
    <row r="1243" spans="1:18" ht="14.4" customHeight="1" x14ac:dyDescent="0.3">
      <c r="A1243" s="7" t="s">
        <v>1263</v>
      </c>
      <c r="B1243" s="7" t="str">
        <f>VLOOKUP($A1243,[1]!Customer_Names[#Data],3,0)</f>
        <v xml:space="preserve">  Yuki</v>
      </c>
      <c r="C1243" s="7">
        <v>38.880000000000003</v>
      </c>
      <c r="D1243" s="7" t="str" cm="1">
        <f t="array" ref="D1243">_xlfn.IFS(Healthcare!$C1243&lt;18.5,"under weight",Healthcare!$C1243&lt;=24.9,"Normal Weight",Healthcare!$C1243&gt;=25,"overweight",Healthcare!$C1243&gt;=30,"obese")</f>
        <v>overweight</v>
      </c>
      <c r="E1243" s="7">
        <v>4.29</v>
      </c>
      <c r="F1243" s="7" t="str" cm="1">
        <f t="array" ref="F1243">_xlfn.IFS(Healthcare!$E1243&lt;5.7,"normal",Healthcare!$E1243&lt;=6.4,"prediabetes",Healthcare!$E1243&gt;=6.5,"diabetes")</f>
        <v>normal</v>
      </c>
      <c r="G1243" s="7" t="s">
        <v>19</v>
      </c>
      <c r="H1243" s="7" t="s">
        <v>19</v>
      </c>
      <c r="I1243" s="7" t="s">
        <v>19</v>
      </c>
      <c r="J1243" s="7">
        <v>1</v>
      </c>
      <c r="K1243" s="7" t="s">
        <v>19</v>
      </c>
      <c r="L1243" s="7" t="str">
        <f>VLOOKUP(Healthcare!$A1243,hospital_details,2,0)</f>
        <v>27-Sep-1992</v>
      </c>
      <c r="M1243" s="7">
        <f t="shared" ref="M1243:M1306" ca="1" si="7445">VLOOKUP(A1243,hospital_details,3,0)</f>
        <v>34</v>
      </c>
      <c r="N1243" s="7">
        <f t="shared" ref="N1243:N1306" si="7446">VLOOKUP($A1243,hospital_details,4,0)</f>
        <v>0</v>
      </c>
      <c r="O1243" s="8">
        <f t="shared" ref="O1243:O1306" si="7447">VLOOKUP($A1243,hospital_details,5,0)</f>
        <v>8954.99</v>
      </c>
      <c r="P1243" s="7" t="str">
        <f t="shared" ref="P1243:P1306" si="7448">VLOOKUP($A1243,hospital_details,6,0)</f>
        <v>tier - 2</v>
      </c>
      <c r="Q1243" s="7" t="str">
        <f t="shared" ref="Q1243:Q1306" si="7449">VLOOKUP($A1243,hospital_details,7,0)</f>
        <v>tier - 3</v>
      </c>
      <c r="R1243" s="7" t="str">
        <f t="shared" ref="R1243:R1306" si="7450">VLOOKUP($A1243,hospital_details,8,0)</f>
        <v>R1026</v>
      </c>
    </row>
    <row r="1244" spans="1:18" ht="14.4" customHeight="1" x14ac:dyDescent="0.3">
      <c r="A1244" s="5" t="s">
        <v>1264</v>
      </c>
      <c r="B1244" s="5" t="str">
        <f>VLOOKUP($A1244,[1]!Customer_Names[#Data],3,0)</f>
        <v xml:space="preserve">  Rafer</v>
      </c>
      <c r="C1244" s="5">
        <v>43.89</v>
      </c>
      <c r="D1244" s="5" t="str" cm="1">
        <f t="array" ref="D1244">_xlfn.IFS(Healthcare!$C1244&lt;18.5,"under weight",Healthcare!$C1244&lt;=24.9,"Normal Weight",Healthcare!$C1244&gt;=25,"overweight",Healthcare!$C1244&gt;=30,"obese")</f>
        <v>overweight</v>
      </c>
      <c r="E1244" s="5">
        <v>6.32</v>
      </c>
      <c r="F1244" s="5" t="str" cm="1">
        <f t="array" ref="F1244">_xlfn.IFS(Healthcare!$E1244&lt;5.7,"normal",Healthcare!$E1244&lt;=6.4,"prediabetes",Healthcare!$E1244&gt;=6.5,"diabetes")</f>
        <v>prediabetes</v>
      </c>
      <c r="G1244" s="5" t="s">
        <v>20</v>
      </c>
      <c r="H1244" s="5" t="s">
        <v>19</v>
      </c>
      <c r="I1244" s="5" t="s">
        <v>19</v>
      </c>
      <c r="J1244" s="5">
        <v>0</v>
      </c>
      <c r="K1244" s="5" t="s">
        <v>19</v>
      </c>
      <c r="L1244" s="5" t="str">
        <f>VLOOKUP(Healthcare!$A1244,hospital_details,2,0)</f>
        <v>25-Dec-1976</v>
      </c>
      <c r="M1244" s="5">
        <f t="shared" ref="M1244:M1307" ca="1" si="7451">VLOOKUP(A1244,hospital_details,3,0)</f>
        <v>49</v>
      </c>
      <c r="N1244" s="5">
        <f t="shared" ref="N1244:N1307" si="7452">VLOOKUP($A1244,hospital_details,4,0)</f>
        <v>3</v>
      </c>
      <c r="O1244" s="6">
        <f t="shared" ref="O1244:O1307" si="7453">VLOOKUP($A1244,hospital_details,5,0)</f>
        <v>8944.1200000000008</v>
      </c>
      <c r="P1244" s="5" t="str">
        <f t="shared" ref="P1244:P1307" si="7454">VLOOKUP($A1244,hospital_details,6,0)</f>
        <v>tier - 3</v>
      </c>
      <c r="Q1244" s="5" t="str">
        <f t="shared" ref="Q1244:Q1307" si="7455">VLOOKUP($A1244,hospital_details,7,0)</f>
        <v>tier - 2</v>
      </c>
      <c r="R1244" s="5" t="str">
        <f t="shared" ref="R1244:R1307" si="7456">VLOOKUP($A1244,hospital_details,8,0)</f>
        <v>R1013</v>
      </c>
    </row>
    <row r="1245" spans="1:18" ht="14.4" customHeight="1" x14ac:dyDescent="0.3">
      <c r="A1245" s="7" t="s">
        <v>1265</v>
      </c>
      <c r="B1245" s="7" t="str">
        <f>VLOOKUP($A1245,[1]!Customer_Names[#Data],3,0)</f>
        <v xml:space="preserve">  Claire</v>
      </c>
      <c r="C1245" s="7">
        <v>25.6</v>
      </c>
      <c r="D1245" s="7" t="str" cm="1">
        <f t="array" ref="D1245">_xlfn.IFS(Healthcare!$C1245&lt;18.5,"under weight",Healthcare!$C1245&lt;=24.9,"Normal Weight",Healthcare!$C1245&gt;=25,"overweight",Healthcare!$C1245&gt;=30,"obese")</f>
        <v>overweight</v>
      </c>
      <c r="E1245" s="7">
        <v>5.65</v>
      </c>
      <c r="F1245" s="7" t="str" cm="1">
        <f t="array" ref="F1245">_xlfn.IFS(Healthcare!$E1245&lt;5.7,"normal",Healthcare!$E1245&lt;=6.4,"prediabetes",Healthcare!$E1245&gt;=6.5,"diabetes")</f>
        <v>normal</v>
      </c>
      <c r="G1245" s="7" t="s">
        <v>19</v>
      </c>
      <c r="H1245" s="7" t="s">
        <v>19</v>
      </c>
      <c r="I1245" s="7" t="s">
        <v>19</v>
      </c>
      <c r="J1245" s="7">
        <v>2</v>
      </c>
      <c r="K1245" s="7" t="s">
        <v>19</v>
      </c>
      <c r="L1245" s="7" t="str">
        <f>VLOOKUP(Healthcare!$A1245,hospital_details,2,0)</f>
        <v>6-Jun-1972</v>
      </c>
      <c r="M1245" s="7">
        <f t="shared" ref="M1245:M1308" ca="1" si="7457">VLOOKUP(A1245,hospital_details,3,0)</f>
        <v>54</v>
      </c>
      <c r="N1245" s="7">
        <f t="shared" ref="N1245:N1308" si="7458">VLOOKUP($A1245,hospital_details,4,0)</f>
        <v>0</v>
      </c>
      <c r="O1245" s="8">
        <f t="shared" ref="O1245:O1308" si="7459">VLOOKUP($A1245,hospital_details,5,0)</f>
        <v>8932.08</v>
      </c>
      <c r="P1245" s="7" t="str">
        <f t="shared" ref="P1245:P1308" si="7460">VLOOKUP($A1245,hospital_details,6,0)</f>
        <v>tier - 2</v>
      </c>
      <c r="Q1245" s="7" t="str">
        <f t="shared" ref="Q1245:Q1308" si="7461">VLOOKUP($A1245,hospital_details,7,0)</f>
        <v>tier - 1</v>
      </c>
      <c r="R1245" s="7" t="str">
        <f t="shared" ref="R1245:R1308" si="7462">VLOOKUP($A1245,hospital_details,8,0)</f>
        <v>R1011</v>
      </c>
    </row>
    <row r="1246" spans="1:18" ht="14.4" customHeight="1" x14ac:dyDescent="0.3">
      <c r="A1246" s="5" t="s">
        <v>1266</v>
      </c>
      <c r="B1246" s="5" t="str">
        <f>VLOOKUP($A1246,[1]!Customer_Names[#Data],3,0)</f>
        <v xml:space="preserve">  Erynn J</v>
      </c>
      <c r="C1246" s="5">
        <v>29.545000000000002</v>
      </c>
      <c r="D1246" s="5" t="str" cm="1">
        <f t="array" ref="D1246">_xlfn.IFS(Healthcare!$C1246&lt;18.5,"under weight",Healthcare!$C1246&lt;=24.9,"Normal Weight",Healthcare!$C1246&gt;=25,"overweight",Healthcare!$C1246&gt;=30,"obese")</f>
        <v>overweight</v>
      </c>
      <c r="E1246" s="5">
        <v>8.41</v>
      </c>
      <c r="F1246" s="5" t="str" cm="1">
        <f t="array" ref="F1246">_xlfn.IFS(Healthcare!$E1246&lt;5.7,"normal",Healthcare!$E1246&lt;=6.4,"prediabetes",Healthcare!$E1246&gt;=6.5,"diabetes")</f>
        <v>diabetes</v>
      </c>
      <c r="G1246" s="5" t="s">
        <v>20</v>
      </c>
      <c r="H1246" s="5" t="s">
        <v>19</v>
      </c>
      <c r="I1246" s="5" t="s">
        <v>19</v>
      </c>
      <c r="J1246" s="5">
        <v>1</v>
      </c>
      <c r="K1246" s="5" t="s">
        <v>19</v>
      </c>
      <c r="L1246" s="5" t="str">
        <f>VLOOKUP(Healthcare!$A1246,hospital_details,2,0)</f>
        <v>7-Jul-1975</v>
      </c>
      <c r="M1246" s="5">
        <f t="shared" ref="M1246:M1309" ca="1" si="7463">VLOOKUP(A1246,hospital_details,3,0)</f>
        <v>51</v>
      </c>
      <c r="N1246" s="5">
        <f t="shared" ref="N1246:N1309" si="7464">VLOOKUP($A1246,hospital_details,4,0)</f>
        <v>1</v>
      </c>
      <c r="O1246" s="6">
        <f t="shared" ref="O1246:O1309" si="7465">VLOOKUP($A1246,hospital_details,5,0)</f>
        <v>8930.93</v>
      </c>
      <c r="P1246" s="5" t="str">
        <f t="shared" ref="P1246:P1309" si="7466">VLOOKUP($A1246,hospital_details,6,0)</f>
        <v>tier - 2</v>
      </c>
      <c r="Q1246" s="5" t="str">
        <f t="shared" ref="Q1246:Q1309" si="7467">VLOOKUP($A1246,hospital_details,7,0)</f>
        <v>tier - 2</v>
      </c>
      <c r="R1246" s="5" t="str">
        <f t="shared" ref="R1246:R1309" si="7468">VLOOKUP($A1246,hospital_details,8,0)</f>
        <v>R1012</v>
      </c>
    </row>
    <row r="1247" spans="1:18" ht="14.4" customHeight="1" x14ac:dyDescent="0.3">
      <c r="A1247" s="7" t="s">
        <v>1267</v>
      </c>
      <c r="B1247" s="7" t="str">
        <f>VLOOKUP($A1247,[1]!Customer_Names[#Data],3,0)</f>
        <v xml:space="preserve">  Mahesh</v>
      </c>
      <c r="C1247" s="7">
        <v>23.25</v>
      </c>
      <c r="D1247" s="7" t="str" cm="1">
        <f t="array" ref="D1247">_xlfn.IFS(Healthcare!$C1247&lt;18.5,"under weight",Healthcare!$C1247&lt;=24.9,"Normal Weight",Healthcare!$C1247&gt;=25,"overweight",Healthcare!$C1247&gt;=30,"obese")</f>
        <v>Normal Weight</v>
      </c>
      <c r="E1247" s="7">
        <v>11.96</v>
      </c>
      <c r="F1247" s="7" t="str" cm="1">
        <f t="array" ref="F1247">_xlfn.IFS(Healthcare!$E1247&lt;5.7,"normal",Healthcare!$E1247&lt;=6.4,"prediabetes",Healthcare!$E1247&gt;=6.5,"diabetes")</f>
        <v>diabetes</v>
      </c>
      <c r="G1247" s="7" t="s">
        <v>20</v>
      </c>
      <c r="H1247" s="7" t="s">
        <v>19</v>
      </c>
      <c r="I1247" s="7" t="s">
        <v>19</v>
      </c>
      <c r="J1247" s="7">
        <v>0</v>
      </c>
      <c r="K1247" s="7" t="s">
        <v>19</v>
      </c>
      <c r="L1247" s="7" t="str">
        <f>VLOOKUP(Healthcare!$A1247,hospital_details,2,0)</f>
        <v>6-Sep-1967</v>
      </c>
      <c r="M1247" s="7">
        <f t="shared" ref="M1247:M1310" ca="1" si="7469">VLOOKUP(A1247,hospital_details,3,0)</f>
        <v>59</v>
      </c>
      <c r="N1247" s="7">
        <f t="shared" ref="N1247:N1310" si="7470">VLOOKUP($A1247,hospital_details,4,0)</f>
        <v>0</v>
      </c>
      <c r="O1247" s="8">
        <f t="shared" ref="O1247:O1310" si="7471">VLOOKUP($A1247,hospital_details,5,0)</f>
        <v>8908.4699999999993</v>
      </c>
      <c r="P1247" s="7" t="str">
        <f t="shared" ref="P1247:P1310" si="7472">VLOOKUP($A1247,hospital_details,6,0)</f>
        <v>tier - 3</v>
      </c>
      <c r="Q1247" s="7" t="str">
        <f t="shared" ref="Q1247:Q1310" si="7473">VLOOKUP($A1247,hospital_details,7,0)</f>
        <v>tier - 2</v>
      </c>
      <c r="R1247" s="7" t="str">
        <f t="shared" ref="R1247:R1310" si="7474">VLOOKUP($A1247,hospital_details,8,0)</f>
        <v>R1013</v>
      </c>
    </row>
    <row r="1248" spans="1:18" ht="14.4" customHeight="1" x14ac:dyDescent="0.3">
      <c r="A1248" s="5" t="s">
        <v>1268</v>
      </c>
      <c r="B1248" s="5" t="str">
        <f>VLOOKUP($A1248,[1]!Customer_Names[#Data],3,0)</f>
        <v xml:space="preserve">  Stanley</v>
      </c>
      <c r="C1248" s="5">
        <v>43.95</v>
      </c>
      <c r="D1248" s="5" t="str" cm="1">
        <f t="array" ref="D1248">_xlfn.IFS(Healthcare!$C1248&lt;18.5,"under weight",Healthcare!$C1248&lt;=24.9,"Normal Weight",Healthcare!$C1248&gt;=25,"overweight",Healthcare!$C1248&gt;=30,"obese")</f>
        <v>overweight</v>
      </c>
      <c r="E1248" s="5">
        <v>5.17</v>
      </c>
      <c r="F1248" s="5" t="str" cm="1">
        <f t="array" ref="F1248">_xlfn.IFS(Healthcare!$E1248&lt;5.7,"normal",Healthcare!$E1248&lt;=6.4,"prediabetes",Healthcare!$E1248&gt;=6.5,"diabetes")</f>
        <v>normal</v>
      </c>
      <c r="G1248" s="5" t="s">
        <v>20</v>
      </c>
      <c r="H1248" s="5" t="s">
        <v>19</v>
      </c>
      <c r="I1248" s="5" t="s">
        <v>29</v>
      </c>
      <c r="J1248" s="5">
        <v>1</v>
      </c>
      <c r="K1248" s="5" t="s">
        <v>19</v>
      </c>
      <c r="L1248" s="5" t="str">
        <f>VLOOKUP(Healthcare!$A1248,hospital_details,2,0)</f>
        <v>28-Nov-1997</v>
      </c>
      <c r="M1248" s="5">
        <f t="shared" ref="M1248:M1311" ca="1" si="7475">VLOOKUP(A1248,hospital_details,3,0)</f>
        <v>28</v>
      </c>
      <c r="N1248" s="5">
        <f t="shared" ref="N1248:N1311" si="7476">VLOOKUP($A1248,hospital_details,4,0)</f>
        <v>0</v>
      </c>
      <c r="O1248" s="6">
        <f t="shared" ref="O1248:O1311" si="7477">VLOOKUP($A1248,hospital_details,5,0)</f>
        <v>8906.14</v>
      </c>
      <c r="P1248" s="5" t="str">
        <f t="shared" ref="P1248:P1311" si="7478">VLOOKUP($A1248,hospital_details,6,0)</f>
        <v>tier - 2</v>
      </c>
      <c r="Q1248" s="5" t="str">
        <f t="shared" ref="Q1248:Q1311" si="7479">VLOOKUP($A1248,hospital_details,7,0)</f>
        <v>tier - 2</v>
      </c>
      <c r="R1248" s="5" t="str">
        <f t="shared" ref="R1248:R1311" si="7480">VLOOKUP($A1248,hospital_details,8,0)</f>
        <v>R1012</v>
      </c>
    </row>
    <row r="1249" spans="1:18" ht="14.4" customHeight="1" x14ac:dyDescent="0.3">
      <c r="A1249" s="7" t="s">
        <v>1269</v>
      </c>
      <c r="B1249" s="7" t="str">
        <f>VLOOKUP($A1249,[1]!Customer_Names[#Data],3,0)</f>
        <v xml:space="preserve">  Gregory</v>
      </c>
      <c r="C1249" s="7">
        <v>21.85</v>
      </c>
      <c r="D1249" s="7" t="str" cm="1">
        <f t="array" ref="D1249">_xlfn.IFS(Healthcare!$C1249&lt;18.5,"under weight",Healthcare!$C1249&lt;=24.9,"Normal Weight",Healthcare!$C1249&gt;=25,"overweight",Healthcare!$C1249&gt;=30,"obese")</f>
        <v>Normal Weight</v>
      </c>
      <c r="E1249" s="7">
        <v>8.76</v>
      </c>
      <c r="F1249" s="7" t="str" cm="1">
        <f t="array" ref="F1249">_xlfn.IFS(Healthcare!$E1249&lt;5.7,"normal",Healthcare!$E1249&lt;=6.4,"prediabetes",Healthcare!$E1249&gt;=6.5,"diabetes")</f>
        <v>diabetes</v>
      </c>
      <c r="G1249" s="7" t="s">
        <v>19</v>
      </c>
      <c r="H1249" s="7" t="s">
        <v>19</v>
      </c>
      <c r="I1249" s="7" t="s">
        <v>19</v>
      </c>
      <c r="J1249" s="7">
        <v>0</v>
      </c>
      <c r="K1249" s="7" t="s">
        <v>19</v>
      </c>
      <c r="L1249" s="7" t="str">
        <f>VLOOKUP(Healthcare!$A1249,hospital_details,2,0)</f>
        <v>16-Dec-1978</v>
      </c>
      <c r="M1249" s="7">
        <f t="shared" ref="M1249:M1312" ca="1" si="7481">VLOOKUP(A1249,hospital_details,3,0)</f>
        <v>47</v>
      </c>
      <c r="N1249" s="7">
        <f t="shared" ref="N1249:N1312" si="7482">VLOOKUP($A1249,hospital_details,4,0)</f>
        <v>3</v>
      </c>
      <c r="O1249" s="8">
        <f t="shared" ref="O1249:O1312" si="7483">VLOOKUP($A1249,hospital_details,5,0)</f>
        <v>8891.14</v>
      </c>
      <c r="P1249" s="7" t="str">
        <f t="shared" ref="P1249:P1312" si="7484">VLOOKUP($A1249,hospital_details,6,0)</f>
        <v>tier - 2</v>
      </c>
      <c r="Q1249" s="7" t="str">
        <f t="shared" ref="Q1249:Q1312" si="7485">VLOOKUP($A1249,hospital_details,7,0)</f>
        <v>tier - 3</v>
      </c>
      <c r="R1249" s="7" t="str">
        <f t="shared" ref="R1249:R1312" si="7486">VLOOKUP($A1249,hospital_details,8,0)</f>
        <v>R1017</v>
      </c>
    </row>
    <row r="1250" spans="1:18" ht="14.4" customHeight="1" x14ac:dyDescent="0.3">
      <c r="A1250" s="5" t="s">
        <v>1270</v>
      </c>
      <c r="B1250" s="5" t="str">
        <f>VLOOKUP($A1250,[1]!Customer_Names[#Data],3,0)</f>
        <v xml:space="preserve">  Eric</v>
      </c>
      <c r="C1250" s="5">
        <v>25.73</v>
      </c>
      <c r="D1250" s="5" t="str" cm="1">
        <f t="array" ref="D1250">_xlfn.IFS(Healthcare!$C1250&lt;18.5,"under weight",Healthcare!$C1250&lt;=24.9,"Normal Weight",Healthcare!$C1250&gt;=25,"overweight",Healthcare!$C1250&gt;=30,"obese")</f>
        <v>overweight</v>
      </c>
      <c r="E1250" s="5">
        <v>7.99</v>
      </c>
      <c r="F1250" s="5" t="str" cm="1">
        <f t="array" ref="F1250">_xlfn.IFS(Healthcare!$E1250&lt;5.7,"normal",Healthcare!$E1250&lt;=6.4,"prediabetes",Healthcare!$E1250&gt;=6.5,"diabetes")</f>
        <v>diabetes</v>
      </c>
      <c r="G1250" s="5" t="s">
        <v>19</v>
      </c>
      <c r="H1250" s="5" t="s">
        <v>19</v>
      </c>
      <c r="I1250" s="5" t="s">
        <v>19</v>
      </c>
      <c r="J1250" s="5">
        <v>2</v>
      </c>
      <c r="K1250" s="5" t="s">
        <v>19</v>
      </c>
      <c r="L1250" s="5" t="str">
        <f>VLOOKUP(Healthcare!$A1250,hospital_details,2,0)</f>
        <v>9-Sep-1973</v>
      </c>
      <c r="M1250" s="5">
        <f t="shared" ref="M1250:M1313" ca="1" si="7487">VLOOKUP(A1250,hospital_details,3,0)</f>
        <v>53</v>
      </c>
      <c r="N1250" s="5">
        <f t="shared" ref="N1250:N1313" si="7488">VLOOKUP($A1250,hospital_details,4,0)</f>
        <v>0</v>
      </c>
      <c r="O1250" s="6">
        <f t="shared" ref="O1250:O1313" si="7489">VLOOKUP($A1250,hospital_details,5,0)</f>
        <v>8890.59</v>
      </c>
      <c r="P1250" s="5" t="str">
        <f t="shared" ref="P1250:P1313" si="7490">VLOOKUP($A1250,hospital_details,6,0)</f>
        <v>tier - 2</v>
      </c>
      <c r="Q1250" s="5" t="str">
        <f t="shared" ref="Q1250:Q1313" si="7491">VLOOKUP($A1250,hospital_details,7,0)</f>
        <v>tier - 3</v>
      </c>
      <c r="R1250" s="5" t="str">
        <f t="shared" ref="R1250:R1313" si="7492">VLOOKUP($A1250,hospital_details,8,0)</f>
        <v>R1012</v>
      </c>
    </row>
    <row r="1251" spans="1:18" ht="14.4" customHeight="1" x14ac:dyDescent="0.3">
      <c r="A1251" s="7" t="s">
        <v>1271</v>
      </c>
      <c r="B1251" s="7" t="str">
        <f>VLOOKUP($A1251,[1]!Customer_Names[#Data],3,0)</f>
        <v xml:space="preserve">  Rachel M</v>
      </c>
      <c r="C1251" s="7">
        <v>32.229999999999997</v>
      </c>
      <c r="D1251" s="7" t="str" cm="1">
        <f t="array" ref="D1251">_xlfn.IFS(Healthcare!$C1251&lt;18.5,"under weight",Healthcare!$C1251&lt;=24.9,"Normal Weight",Healthcare!$C1251&gt;=25,"overweight",Healthcare!$C1251&gt;=30,"obese")</f>
        <v>overweight</v>
      </c>
      <c r="E1251" s="7">
        <v>8.59</v>
      </c>
      <c r="F1251" s="7" t="str" cm="1">
        <f t="array" ref="F1251">_xlfn.IFS(Healthcare!$E1251&lt;5.7,"normal",Healthcare!$E1251&lt;=6.4,"prediabetes",Healthcare!$E1251&gt;=6.5,"diabetes")</f>
        <v>diabetes</v>
      </c>
      <c r="G1251" s="7" t="s">
        <v>19</v>
      </c>
      <c r="H1251" s="7" t="s">
        <v>19</v>
      </c>
      <c r="I1251" s="7" t="s">
        <v>19</v>
      </c>
      <c r="J1251" s="7">
        <v>0</v>
      </c>
      <c r="K1251" s="7" t="s">
        <v>19</v>
      </c>
      <c r="L1251" s="7" t="str">
        <f>VLOOKUP(Healthcare!$A1251,hospital_details,2,0)</f>
        <v>18-Jun-1974</v>
      </c>
      <c r="M1251" s="7">
        <f t="shared" ref="M1251:M1314" ca="1" si="7493">VLOOKUP(A1251,hospital_details,3,0)</f>
        <v>52</v>
      </c>
      <c r="N1251" s="7">
        <f t="shared" ref="N1251:N1314" si="7494">VLOOKUP($A1251,hospital_details,4,0)</f>
        <v>1</v>
      </c>
      <c r="O1251" s="8">
        <f t="shared" ref="O1251:O1314" si="7495">VLOOKUP($A1251,hospital_details,5,0)</f>
        <v>8871.15</v>
      </c>
      <c r="P1251" s="7" t="str">
        <f t="shared" ref="P1251:P1314" si="7496">VLOOKUP($A1251,hospital_details,6,0)</f>
        <v>tier - 2</v>
      </c>
      <c r="Q1251" s="7" t="str">
        <f t="shared" ref="Q1251:Q1314" si="7497">VLOOKUP($A1251,hospital_details,7,0)</f>
        <v>tier - 3</v>
      </c>
      <c r="R1251" s="7" t="str">
        <f t="shared" ref="R1251:R1314" si="7498">VLOOKUP($A1251,hospital_details,8,0)</f>
        <v>R1013</v>
      </c>
    </row>
    <row r="1252" spans="1:18" ht="14.4" customHeight="1" x14ac:dyDescent="0.3">
      <c r="A1252" s="5" t="s">
        <v>1272</v>
      </c>
      <c r="B1252" s="5" t="str">
        <f>VLOOKUP($A1252,[1]!Customer_Names[#Data],3,0)</f>
        <v xml:space="preserve">  Fritz</v>
      </c>
      <c r="C1252" s="5">
        <v>32.204999999999998</v>
      </c>
      <c r="D1252" s="5" t="str" cm="1">
        <f t="array" ref="D1252">_xlfn.IFS(Healthcare!$C1252&lt;18.5,"under weight",Healthcare!$C1252&lt;=24.9,"Normal Weight",Healthcare!$C1252&gt;=25,"overweight",Healthcare!$C1252&gt;=30,"obese")</f>
        <v>overweight</v>
      </c>
      <c r="E1252" s="5">
        <v>6.14</v>
      </c>
      <c r="F1252" s="5" t="str" cm="1">
        <f t="array" ref="F1252">_xlfn.IFS(Healthcare!$E1252&lt;5.7,"normal",Healthcare!$E1252&lt;=6.4,"prediabetes",Healthcare!$E1252&gt;=6.5,"diabetes")</f>
        <v>prediabetes</v>
      </c>
      <c r="G1252" s="5" t="s">
        <v>19</v>
      </c>
      <c r="H1252" s="5" t="s">
        <v>19</v>
      </c>
      <c r="I1252" s="5" t="s">
        <v>19</v>
      </c>
      <c r="J1252" s="5">
        <v>2</v>
      </c>
      <c r="K1252" s="5" t="s">
        <v>19</v>
      </c>
      <c r="L1252" s="5" t="str">
        <f>VLOOKUP(Healthcare!$A1252,hospital_details,2,0)</f>
        <v>22-Nov-1972</v>
      </c>
      <c r="M1252" s="5">
        <f t="shared" ref="M1252:M1315" ca="1" si="7499">VLOOKUP(A1252,hospital_details,3,0)</f>
        <v>53</v>
      </c>
      <c r="N1252" s="5">
        <f t="shared" ref="N1252:N1315" si="7500">VLOOKUP($A1252,hospital_details,4,0)</f>
        <v>0</v>
      </c>
      <c r="O1252" s="6">
        <f t="shared" ref="O1252:O1315" si="7501">VLOOKUP($A1252,hospital_details,5,0)</f>
        <v>8835.26</v>
      </c>
      <c r="P1252" s="5" t="str">
        <f t="shared" ref="P1252:P1315" si="7502">VLOOKUP($A1252,hospital_details,6,0)</f>
        <v>tier - 3</v>
      </c>
      <c r="Q1252" s="5" t="str">
        <f t="shared" ref="Q1252:Q1315" si="7503">VLOOKUP($A1252,hospital_details,7,0)</f>
        <v>tier - 2</v>
      </c>
      <c r="R1252" s="5" t="str">
        <f t="shared" ref="R1252:R1315" si="7504">VLOOKUP($A1252,hospital_details,8,0)</f>
        <v>R1012</v>
      </c>
    </row>
    <row r="1253" spans="1:18" ht="14.4" customHeight="1" x14ac:dyDescent="0.3">
      <c r="A1253" s="7" t="s">
        <v>1273</v>
      </c>
      <c r="B1253" s="7" t="str">
        <f>VLOOKUP($A1253,[1]!Customer_Names[#Data],3,0)</f>
        <v xml:space="preserve">  Brad</v>
      </c>
      <c r="C1253" s="7">
        <v>26.41</v>
      </c>
      <c r="D1253" s="7" t="str" cm="1">
        <f t="array" ref="D1253">_xlfn.IFS(Healthcare!$C1253&lt;18.5,"under weight",Healthcare!$C1253&lt;=24.9,"Normal Weight",Healthcare!$C1253&gt;=25,"overweight",Healthcare!$C1253&gt;=30,"obese")</f>
        <v>overweight</v>
      </c>
      <c r="E1253" s="7">
        <v>4.08</v>
      </c>
      <c r="F1253" s="7" t="str" cm="1">
        <f t="array" ref="F1253">_xlfn.IFS(Healthcare!$E1253&lt;5.7,"normal",Healthcare!$E1253&lt;=6.4,"prediabetes",Healthcare!$E1253&gt;=6.5,"diabetes")</f>
        <v>normal</v>
      </c>
      <c r="G1253" s="7" t="s">
        <v>19</v>
      </c>
      <c r="H1253" s="7" t="s">
        <v>19</v>
      </c>
      <c r="I1253" s="7" t="s">
        <v>19</v>
      </c>
      <c r="J1253" s="7">
        <v>2</v>
      </c>
      <c r="K1253" s="7" t="s">
        <v>19</v>
      </c>
      <c r="L1253" s="7" t="str">
        <f>VLOOKUP(Healthcare!$A1253,hospital_details,2,0)</f>
        <v>14-Nov-1972</v>
      </c>
      <c r="M1253" s="7">
        <f t="shared" ref="M1253:M1316" ca="1" si="7505">VLOOKUP(A1253,hospital_details,3,0)</f>
        <v>53</v>
      </c>
      <c r="N1253" s="7">
        <f t="shared" ref="N1253:N1316" si="7506">VLOOKUP($A1253,hospital_details,4,0)</f>
        <v>0</v>
      </c>
      <c r="O1253" s="8">
        <f t="shared" ref="O1253:O1316" si="7507">VLOOKUP($A1253,hospital_details,5,0)</f>
        <v>8827.2099999999991</v>
      </c>
      <c r="P1253" s="7" t="str">
        <f t="shared" ref="P1253:P1316" si="7508">VLOOKUP($A1253,hospital_details,6,0)</f>
        <v>tier - 3</v>
      </c>
      <c r="Q1253" s="7" t="str">
        <f t="shared" ref="Q1253:Q1316" si="7509">VLOOKUP($A1253,hospital_details,7,0)</f>
        <v>tier - 1</v>
      </c>
      <c r="R1253" s="7" t="str">
        <f t="shared" ref="R1253:R1316" si="7510">VLOOKUP($A1253,hospital_details,8,0)</f>
        <v>R1012</v>
      </c>
    </row>
    <row r="1254" spans="1:18" ht="14.4" customHeight="1" x14ac:dyDescent="0.3">
      <c r="A1254" s="5" t="s">
        <v>1274</v>
      </c>
      <c r="B1254" s="5" t="str">
        <f>VLOOKUP($A1254,[1]!Customer_Names[#Data],3,0)</f>
        <v xml:space="preserve">  Claire M</v>
      </c>
      <c r="C1254" s="5">
        <v>30.2</v>
      </c>
      <c r="D1254" s="5" t="str" cm="1">
        <f t="array" ref="D1254">_xlfn.IFS(Healthcare!$C1254&lt;18.5,"under weight",Healthcare!$C1254&lt;=24.9,"Normal Weight",Healthcare!$C1254&gt;=25,"overweight",Healthcare!$C1254&gt;=30,"obese")</f>
        <v>overweight</v>
      </c>
      <c r="E1254" s="5">
        <v>6.25</v>
      </c>
      <c r="F1254" s="5" t="str" cm="1">
        <f t="array" ref="F1254">_xlfn.IFS(Healthcare!$E1254&lt;5.7,"normal",Healthcare!$E1254&lt;=6.4,"prediabetes",Healthcare!$E1254&gt;=6.5,"diabetes")</f>
        <v>prediabetes</v>
      </c>
      <c r="G1254" s="5" t="s">
        <v>20</v>
      </c>
      <c r="H1254" s="5" t="s">
        <v>19</v>
      </c>
      <c r="I1254" s="5" t="s">
        <v>19</v>
      </c>
      <c r="J1254" s="5">
        <v>0</v>
      </c>
      <c r="K1254" s="5" t="s">
        <v>19</v>
      </c>
      <c r="L1254" s="5" t="str">
        <f>VLOOKUP(Healthcare!$A1254,hospital_details,2,0)</f>
        <v>14-Jul-1976</v>
      </c>
      <c r="M1254" s="5">
        <f t="shared" ref="M1254:M1317" ca="1" si="7511">VLOOKUP(A1254,hospital_details,3,0)</f>
        <v>50</v>
      </c>
      <c r="N1254" s="5">
        <f t="shared" ref="N1254:N1317" si="7512">VLOOKUP($A1254,hospital_details,4,0)</f>
        <v>2</v>
      </c>
      <c r="O1254" s="6">
        <f t="shared" ref="O1254:O1317" si="7513">VLOOKUP($A1254,hospital_details,5,0)</f>
        <v>8825.09</v>
      </c>
      <c r="P1254" s="5" t="str">
        <f t="shared" ref="P1254:P1317" si="7514">VLOOKUP($A1254,hospital_details,6,0)</f>
        <v>tier - 2</v>
      </c>
      <c r="Q1254" s="5" t="str">
        <f t="shared" ref="Q1254:Q1317" si="7515">VLOOKUP($A1254,hospital_details,7,0)</f>
        <v>tier - 3</v>
      </c>
      <c r="R1254" s="5" t="str">
        <f t="shared" ref="R1254:R1317" si="7516">VLOOKUP($A1254,hospital_details,8,0)</f>
        <v>R1011</v>
      </c>
    </row>
    <row r="1255" spans="1:18" ht="14.4" customHeight="1" x14ac:dyDescent="0.3">
      <c r="A1255" s="7" t="s">
        <v>1275</v>
      </c>
      <c r="B1255" s="7" t="str">
        <f>VLOOKUP($A1255,[1]!Customer_Names[#Data],3,0)</f>
        <v xml:space="preserve">  Jennifer</v>
      </c>
      <c r="C1255" s="7">
        <v>31.26</v>
      </c>
      <c r="D1255" s="7" t="str" cm="1">
        <f t="array" ref="D1255">_xlfn.IFS(Healthcare!$C1255&lt;18.5,"under weight",Healthcare!$C1255&lt;=24.9,"Normal Weight",Healthcare!$C1255&gt;=25,"overweight",Healthcare!$C1255&gt;=30,"obese")</f>
        <v>overweight</v>
      </c>
      <c r="E1255" s="7">
        <v>5.94</v>
      </c>
      <c r="F1255" s="7" t="str" cm="1">
        <f t="array" ref="F1255">_xlfn.IFS(Healthcare!$E1255&lt;5.7,"normal",Healthcare!$E1255&lt;=6.4,"prediabetes",Healthcare!$E1255&gt;=6.5,"diabetes")</f>
        <v>prediabetes</v>
      </c>
      <c r="G1255" s="7" t="s">
        <v>20</v>
      </c>
      <c r="H1255" s="7" t="s">
        <v>19</v>
      </c>
      <c r="I1255" s="7" t="s">
        <v>19</v>
      </c>
      <c r="J1255" s="7">
        <v>1</v>
      </c>
      <c r="K1255" s="7" t="s">
        <v>19</v>
      </c>
      <c r="L1255" s="7" t="str">
        <f>VLOOKUP(Healthcare!$A1255,hospital_details,2,0)</f>
        <v>22-Aug-1988</v>
      </c>
      <c r="M1255" s="7">
        <f t="shared" ref="M1255:M1318" ca="1" si="7517">VLOOKUP(A1255,hospital_details,3,0)</f>
        <v>38</v>
      </c>
      <c r="N1255" s="7">
        <f t="shared" ref="N1255:N1318" si="7518">VLOOKUP($A1255,hospital_details,4,0)</f>
        <v>3</v>
      </c>
      <c r="O1255" s="8">
        <f t="shared" ref="O1255:O1318" si="7519">VLOOKUP($A1255,hospital_details,5,0)</f>
        <v>8824.27</v>
      </c>
      <c r="P1255" s="7" t="str">
        <f t="shared" ref="P1255:P1318" si="7520">VLOOKUP($A1255,hospital_details,6,0)</f>
        <v>tier - 2</v>
      </c>
      <c r="Q1255" s="7" t="str">
        <f t="shared" ref="Q1255:Q1318" si="7521">VLOOKUP($A1255,hospital_details,7,0)</f>
        <v>tier - 1</v>
      </c>
      <c r="R1255" s="7" t="str">
        <f t="shared" ref="R1255:R1318" si="7522">VLOOKUP($A1255,hospital_details,8,0)</f>
        <v>R1025</v>
      </c>
    </row>
    <row r="1256" spans="1:18" ht="14.4" customHeight="1" x14ac:dyDescent="0.3">
      <c r="A1256" s="5" t="s">
        <v>1276</v>
      </c>
      <c r="B1256" s="5" t="str">
        <f>VLOOKUP($A1256,[1]!Customer_Names[#Data],3,0)</f>
        <v xml:space="preserve">  Maria S</v>
      </c>
      <c r="C1256" s="5">
        <v>33.725000000000001</v>
      </c>
      <c r="D1256" s="5" t="str" cm="1">
        <f t="array" ref="D1256">_xlfn.IFS(Healthcare!$C1256&lt;18.5,"under weight",Healthcare!$C1256&lt;=24.9,"Normal Weight",Healthcare!$C1256&gt;=25,"overweight",Healthcare!$C1256&gt;=30,"obese")</f>
        <v>overweight</v>
      </c>
      <c r="E1256" s="5">
        <v>6.45</v>
      </c>
      <c r="F1256" s="5" t="str" cm="1">
        <f t="array" ref="F1256">_xlfn.IFS(Healthcare!$E725&lt;5.7,"normal",Healthcare!$E725&lt;=6.4,"prediabetes",Healthcare!$E725&gt;=6.5,"diabetes")</f>
        <v>diabetes</v>
      </c>
      <c r="G1256" s="5" t="s">
        <v>20</v>
      </c>
      <c r="H1256" s="5" t="s">
        <v>19</v>
      </c>
      <c r="I1256" s="5" t="s">
        <v>19</v>
      </c>
      <c r="J1256" s="5">
        <v>0</v>
      </c>
      <c r="K1256" s="5" t="s">
        <v>19</v>
      </c>
      <c r="L1256" s="5" t="str">
        <f>VLOOKUP(Healthcare!$A1256,hospital_details,2,0)</f>
        <v>19-Oct-1976</v>
      </c>
      <c r="M1256" s="5">
        <f t="shared" ref="M1256:M1319" ca="1" si="7523">VLOOKUP(A1256,hospital_details,3,0)</f>
        <v>49</v>
      </c>
      <c r="N1256" s="5">
        <f t="shared" ref="N1256:N1319" si="7524">VLOOKUP($A1256,hospital_details,4,0)</f>
        <v>1</v>
      </c>
      <c r="O1256" s="6">
        <f t="shared" ref="O1256:O1319" si="7525">VLOOKUP($A1256,hospital_details,5,0)</f>
        <v>8823.99</v>
      </c>
      <c r="P1256" s="5" t="str">
        <f t="shared" ref="P1256:P1319" si="7526">VLOOKUP($A1256,hospital_details,6,0)</f>
        <v>tier - 2</v>
      </c>
      <c r="Q1256" s="5" t="str">
        <f t="shared" ref="Q1256:Q1319" si="7527">VLOOKUP($A1256,hospital_details,7,0)</f>
        <v>tier - 3</v>
      </c>
      <c r="R1256" s="5" t="str">
        <f t="shared" ref="R1256:R1319" si="7528">VLOOKUP($A1256,hospital_details,8,0)</f>
        <v>R1024</v>
      </c>
    </row>
    <row r="1257" spans="1:18" ht="14.4" customHeight="1" x14ac:dyDescent="0.3">
      <c r="A1257" s="7" t="s">
        <v>1277</v>
      </c>
      <c r="B1257" s="7" t="str">
        <f>VLOOKUP($A1257,[1]!Customer_Names[#Data],3,0)</f>
        <v xml:space="preserve">  Katherine E</v>
      </c>
      <c r="C1257" s="7">
        <v>28.9</v>
      </c>
      <c r="D1257" s="7" t="str" cm="1">
        <f t="array" ref="D1257">_xlfn.IFS(Healthcare!$C1257&lt;18.5,"under weight",Healthcare!$C1257&lt;=24.9,"Normal Weight",Healthcare!$C1257&gt;=25,"overweight",Healthcare!$C1257&gt;=30,"obese")</f>
        <v>overweight</v>
      </c>
      <c r="E1257" s="7">
        <v>5.74</v>
      </c>
      <c r="F1257" s="7" t="str" cm="1">
        <f t="array" ref="F1257">_xlfn.IFS(Healthcare!$E1257&lt;5.7,"normal",Healthcare!$E1257&lt;=6.4,"prediabetes",Healthcare!$E1257&gt;=6.5,"diabetes")</f>
        <v>prediabetes</v>
      </c>
      <c r="G1257" s="7" t="s">
        <v>20</v>
      </c>
      <c r="H1257" s="7" t="s">
        <v>19</v>
      </c>
      <c r="I1257" s="7" t="s">
        <v>19</v>
      </c>
      <c r="J1257" s="7">
        <v>0</v>
      </c>
      <c r="K1257" s="7" t="s">
        <v>19</v>
      </c>
      <c r="L1257" s="7" t="str">
        <f>VLOOKUP(Healthcare!$A1257,hospital_details,2,0)</f>
        <v>14-Jun-1976</v>
      </c>
      <c r="M1257" s="7">
        <f t="shared" ref="M1257:M1320" ca="1" si="7529">VLOOKUP(A1257,hospital_details,3,0)</f>
        <v>50</v>
      </c>
      <c r="N1257" s="7">
        <f t="shared" ref="N1257:N1320" si="7530">VLOOKUP($A1257,hospital_details,4,0)</f>
        <v>2</v>
      </c>
      <c r="O1257" s="8">
        <f t="shared" ref="O1257:O1320" si="7531">VLOOKUP($A1257,hospital_details,5,0)</f>
        <v>8823.2800000000007</v>
      </c>
      <c r="P1257" s="7" t="str">
        <f t="shared" ref="P1257:P1320" si="7532">VLOOKUP($A1257,hospital_details,6,0)</f>
        <v>tier - 2</v>
      </c>
      <c r="Q1257" s="7" t="str">
        <f t="shared" ref="Q1257:Q1320" si="7533">VLOOKUP($A1257,hospital_details,7,0)</f>
        <v>tier - 1</v>
      </c>
      <c r="R1257" s="7" t="str">
        <f t="shared" ref="R1257:R1320" si="7534">VLOOKUP($A1257,hospital_details,8,0)</f>
        <v>R1011</v>
      </c>
    </row>
    <row r="1258" spans="1:18" ht="14.4" customHeight="1" x14ac:dyDescent="0.3">
      <c r="A1258" s="5" t="s">
        <v>1278</v>
      </c>
      <c r="B1258" s="5" t="str">
        <f>VLOOKUP($A1258,[1]!Customer_Names[#Data],3,0)</f>
        <v xml:space="preserve">  Michael</v>
      </c>
      <c r="C1258" s="5">
        <v>45.69</v>
      </c>
      <c r="D1258" s="5" t="str" cm="1">
        <f t="array" ref="D1258">_xlfn.IFS(Healthcare!$C1258&lt;18.5,"under weight",Healthcare!$C1258&lt;=24.9,"Normal Weight",Healthcare!$C1258&gt;=25,"overweight",Healthcare!$C1258&gt;=30,"obese")</f>
        <v>overweight</v>
      </c>
      <c r="E1258" s="5">
        <v>4.43</v>
      </c>
      <c r="F1258" s="5" t="str" cm="1">
        <f t="array" ref="F1258">_xlfn.IFS(Healthcare!$E1258&lt;5.7,"normal",Healthcare!$E1258&lt;=6.4,"prediabetes",Healthcare!$E1258&gt;=6.5,"diabetes")</f>
        <v>normal</v>
      </c>
      <c r="G1258" s="5" t="s">
        <v>20</v>
      </c>
      <c r="H1258" s="5" t="s">
        <v>19</v>
      </c>
      <c r="I1258" s="5" t="s">
        <v>19</v>
      </c>
      <c r="J1258" s="5">
        <v>0</v>
      </c>
      <c r="K1258" s="5" t="s">
        <v>19</v>
      </c>
      <c r="L1258" s="5" t="str">
        <f>VLOOKUP(Healthcare!$A1258,hospital_details,2,0)</f>
        <v>7-Nov-2001</v>
      </c>
      <c r="M1258" s="5">
        <f t="shared" ref="M1258:M1321" ca="1" si="7535">VLOOKUP(A1258,hospital_details,3,0)</f>
        <v>24</v>
      </c>
      <c r="N1258" s="5">
        <f t="shared" ref="N1258:N1321" si="7536">VLOOKUP($A1258,hospital_details,4,0)</f>
        <v>0</v>
      </c>
      <c r="O1258" s="6">
        <f t="shared" ref="O1258:O1321" si="7537">VLOOKUP($A1258,hospital_details,5,0)</f>
        <v>8821.8799999999992</v>
      </c>
      <c r="P1258" s="5" t="str">
        <f t="shared" ref="P1258:P1321" si="7538">VLOOKUP($A1258,hospital_details,6,0)</f>
        <v>tier - 2</v>
      </c>
      <c r="Q1258" s="5" t="str">
        <f t="shared" ref="Q1258:Q1321" si="7539">VLOOKUP($A1258,hospital_details,7,0)</f>
        <v>tier - 3</v>
      </c>
      <c r="R1258" s="5" t="str">
        <f t="shared" ref="R1258:R1321" si="7540">VLOOKUP($A1258,hospital_details,8,0)</f>
        <v>R1023</v>
      </c>
    </row>
    <row r="1259" spans="1:18" ht="14.4" customHeight="1" x14ac:dyDescent="0.3">
      <c r="A1259" s="7" t="s">
        <v>1279</v>
      </c>
      <c r="B1259" s="7" t="str">
        <f>VLOOKUP($A1259,[1]!Customer_Names[#Data],3,0)</f>
        <v xml:space="preserve">  Roxanne</v>
      </c>
      <c r="C1259" s="7">
        <v>21.03</v>
      </c>
      <c r="D1259" s="7" t="str" cm="1">
        <f t="array" ref="D1259">_xlfn.IFS(Healthcare!$C1259&lt;18.5,"under weight",Healthcare!$C1259&lt;=24.9,"Normal Weight",Healthcare!$C1259&gt;=25,"overweight",Healthcare!$C1259&gt;=30,"obese")</f>
        <v>Normal Weight</v>
      </c>
      <c r="E1259" s="7">
        <v>6.5</v>
      </c>
      <c r="F1259" s="7" t="str" cm="1">
        <f t="array" ref="F1259">_xlfn.IFS(Healthcare!$E1259&lt;5.7,"normal",Healthcare!$E1259&lt;=6.4,"prediabetes",Healthcare!$E1259&gt;=6.5,"diabetes")</f>
        <v>diabetes</v>
      </c>
      <c r="G1259" s="7" t="s">
        <v>19</v>
      </c>
      <c r="H1259" s="7" t="s">
        <v>19</v>
      </c>
      <c r="I1259" s="7" t="s">
        <v>19</v>
      </c>
      <c r="J1259" s="7">
        <v>0</v>
      </c>
      <c r="K1259" s="7" t="s">
        <v>19</v>
      </c>
      <c r="L1259" s="7" t="str">
        <f>VLOOKUP(Healthcare!$A1259,hospital_details,2,0)</f>
        <v>29-Aug-1965</v>
      </c>
      <c r="M1259" s="7">
        <f t="shared" ref="M1259:M1322" ca="1" si="7541">VLOOKUP(A1259,hospital_details,3,0)</f>
        <v>61</v>
      </c>
      <c r="N1259" s="7">
        <f t="shared" ref="N1259:N1322" si="7542">VLOOKUP($A1259,hospital_details,4,0)</f>
        <v>0</v>
      </c>
      <c r="O1259" s="8">
        <f t="shared" ref="O1259:O1322" si="7543">VLOOKUP($A1259,hospital_details,5,0)</f>
        <v>8800.49</v>
      </c>
      <c r="P1259" s="7" t="str">
        <f t="shared" ref="P1259:P1322" si="7544">VLOOKUP($A1259,hospital_details,6,0)</f>
        <v>tier - 3</v>
      </c>
      <c r="Q1259" s="7" t="str">
        <f t="shared" ref="Q1259:Q1322" si="7545">VLOOKUP($A1259,hospital_details,7,0)</f>
        <v>tier - 2</v>
      </c>
      <c r="R1259" s="7" t="str">
        <f t="shared" ref="R1259:R1322" si="7546">VLOOKUP($A1259,hospital_details,8,0)</f>
        <v>R1013</v>
      </c>
    </row>
    <row r="1260" spans="1:18" ht="14.4" customHeight="1" x14ac:dyDescent="0.3">
      <c r="A1260" s="5" t="s">
        <v>1280</v>
      </c>
      <c r="B1260" s="5" t="str">
        <f>VLOOKUP($A1260,[1]!Customer_Names[#Data],3,0)</f>
        <v xml:space="preserve">  Israel</v>
      </c>
      <c r="C1260" s="5">
        <v>37</v>
      </c>
      <c r="D1260" s="5" t="str" cm="1">
        <f t="array" ref="D1260">_xlfn.IFS(Healthcare!$C1260&lt;18.5,"under weight",Healthcare!$C1260&lt;=24.9,"Normal Weight",Healthcare!$C1260&gt;=25,"overweight",Healthcare!$C1260&gt;=30,"obese")</f>
        <v>overweight</v>
      </c>
      <c r="E1260" s="5">
        <v>8.75</v>
      </c>
      <c r="F1260" s="5" t="str" cm="1">
        <f t="array" ref="F1260">_xlfn.IFS(Healthcare!$E1260&lt;5.7,"normal",Healthcare!$E1260&lt;=6.4,"prediabetes",Healthcare!$E1260&gt;=6.5,"diabetes")</f>
        <v>diabetes</v>
      </c>
      <c r="G1260" s="5" t="s">
        <v>19</v>
      </c>
      <c r="H1260" s="5" t="s">
        <v>19</v>
      </c>
      <c r="I1260" s="5" t="s">
        <v>19</v>
      </c>
      <c r="J1260" s="5">
        <v>0</v>
      </c>
      <c r="K1260" s="5" t="s">
        <v>19</v>
      </c>
      <c r="L1260" s="5" t="str">
        <f>VLOOKUP(Healthcare!$A1260,hospital_details,2,0)</f>
        <v>18-Jun-1971</v>
      </c>
      <c r="M1260" s="5">
        <f t="shared" ref="M1260:M1323" ca="1" si="7547">VLOOKUP(A1260,hospital_details,3,0)</f>
        <v>55</v>
      </c>
      <c r="N1260" s="5">
        <f t="shared" ref="N1260:N1323" si="7548">VLOOKUP($A1260,hospital_details,4,0)</f>
        <v>0</v>
      </c>
      <c r="O1260" s="6">
        <f t="shared" ref="O1260:O1323" si="7549">VLOOKUP($A1260,hospital_details,5,0)</f>
        <v>8798.59</v>
      </c>
      <c r="P1260" s="5" t="str">
        <f t="shared" ref="P1260:P1323" si="7550">VLOOKUP($A1260,hospital_details,6,0)</f>
        <v>tier - 2</v>
      </c>
      <c r="Q1260" s="5" t="str">
        <f t="shared" ref="Q1260:Q1323" si="7551">VLOOKUP($A1260,hospital_details,7,0)</f>
        <v>tier - 1</v>
      </c>
      <c r="R1260" s="5" t="str">
        <f t="shared" ref="R1260:R1323" si="7552">VLOOKUP($A1260,hospital_details,8,0)</f>
        <v>R1011</v>
      </c>
    </row>
    <row r="1261" spans="1:18" ht="14.4" customHeight="1" x14ac:dyDescent="0.3">
      <c r="A1261" s="7" t="s">
        <v>1281</v>
      </c>
      <c r="B1261" s="7" t="str">
        <f>VLOOKUP($A1261,[1]!Customer_Names[#Data],3,0)</f>
        <v xml:space="preserve">  Samalya</v>
      </c>
      <c r="C1261" s="7">
        <v>25.4</v>
      </c>
      <c r="D1261" s="7" t="str" cm="1">
        <f t="array" ref="D1261">_xlfn.IFS(Healthcare!$C1261&lt;18.5,"under weight",Healthcare!$C1261&lt;=24.9,"Normal Weight",Healthcare!$C1261&gt;=25,"overweight",Healthcare!$C1261&gt;=30,"obese")</f>
        <v>overweight</v>
      </c>
      <c r="E1261" s="7">
        <v>11.96</v>
      </c>
      <c r="F1261" s="7" t="str" cm="1">
        <f t="array" ref="F1261">_xlfn.IFS(Healthcare!$E1261&lt;5.7,"normal",Healthcare!$E1261&lt;=6.4,"prediabetes",Healthcare!$E1261&gt;=6.5,"diabetes")</f>
        <v>diabetes</v>
      </c>
      <c r="G1261" s="7" t="s">
        <v>19</v>
      </c>
      <c r="H1261" s="7" t="s">
        <v>19</v>
      </c>
      <c r="I1261" s="7" t="s">
        <v>19</v>
      </c>
      <c r="J1261" s="7">
        <v>0</v>
      </c>
      <c r="K1261" s="7" t="s">
        <v>19</v>
      </c>
      <c r="L1261" s="7" t="str">
        <f>VLOOKUP(Healthcare!$A1261,hospital_details,2,0)</f>
        <v>23-Aug-1971</v>
      </c>
      <c r="M1261" s="7">
        <f t="shared" ref="M1261:M1324" ca="1" si="7553">VLOOKUP(A1261,hospital_details,3,0)</f>
        <v>55</v>
      </c>
      <c r="N1261" s="7">
        <f t="shared" ref="N1261:N1324" si="7554">VLOOKUP($A1261,hospital_details,4,0)</f>
        <v>0</v>
      </c>
      <c r="O1261" s="8">
        <f t="shared" ref="O1261:O1324" si="7555">VLOOKUP($A1261,hospital_details,5,0)</f>
        <v>8782.4699999999993</v>
      </c>
      <c r="P1261" s="7" t="str">
        <f t="shared" ref="P1261:P1324" si="7556">VLOOKUP($A1261,hospital_details,6,0)</f>
        <v>tier - 2</v>
      </c>
      <c r="Q1261" s="7" t="str">
        <f t="shared" ref="Q1261:Q1324" si="7557">VLOOKUP($A1261,hospital_details,7,0)</f>
        <v>tier - 3</v>
      </c>
      <c r="R1261" s="7" t="str">
        <f t="shared" ref="R1261:R1324" si="7558">VLOOKUP($A1261,hospital_details,8,0)</f>
        <v>R1011</v>
      </c>
    </row>
    <row r="1262" spans="1:18" ht="14.4" customHeight="1" x14ac:dyDescent="0.3">
      <c r="A1262" s="5" t="s">
        <v>1282</v>
      </c>
      <c r="B1262" s="5" t="str">
        <f>VLOOKUP($A1262,[1]!Customer_Names[#Data],3,0)</f>
        <v xml:space="preserve">  Peter</v>
      </c>
      <c r="C1262" s="5">
        <v>32.299999999999997</v>
      </c>
      <c r="D1262" s="5" t="str" cm="1">
        <f t="array" ref="D1262">_xlfn.IFS(Healthcare!$C1262&lt;18.5,"under weight",Healthcare!$C1262&lt;=24.9,"Normal Weight",Healthcare!$C1262&gt;=25,"overweight",Healthcare!$C1262&gt;=30,"obese")</f>
        <v>overweight</v>
      </c>
      <c r="E1262" s="5">
        <v>10.54</v>
      </c>
      <c r="F1262" s="5" t="str" cm="1">
        <f t="array" ref="F1262">_xlfn.IFS(Healthcare!$E1262&lt;5.7,"normal",Healthcare!$E1262&lt;=6.4,"prediabetes",Healthcare!$E1262&gt;=6.5,"diabetes")</f>
        <v>diabetes</v>
      </c>
      <c r="G1262" s="5" t="s">
        <v>19</v>
      </c>
      <c r="H1262" s="5" t="s">
        <v>19</v>
      </c>
      <c r="I1262" s="5" t="s">
        <v>19</v>
      </c>
      <c r="J1262" s="5">
        <v>0</v>
      </c>
      <c r="K1262" s="5" t="s">
        <v>19</v>
      </c>
      <c r="L1262" s="5" t="str">
        <f>VLOOKUP(Healthcare!$A1262,hospital_details,2,0)</f>
        <v>6-Sep-1974</v>
      </c>
      <c r="M1262" s="5">
        <f t="shared" ref="M1262:M1325" ca="1" si="7559">VLOOKUP(A1262,hospital_details,3,0)</f>
        <v>52</v>
      </c>
      <c r="N1262" s="5">
        <f t="shared" ref="N1262:N1325" si="7560">VLOOKUP($A1262,hospital_details,4,0)</f>
        <v>1</v>
      </c>
      <c r="O1262" s="6">
        <f t="shared" ref="O1262:O1325" si="7561">VLOOKUP($A1262,hospital_details,5,0)</f>
        <v>8765.25</v>
      </c>
      <c r="P1262" s="5" t="str">
        <f t="shared" ref="P1262:P1325" si="7562">VLOOKUP($A1262,hospital_details,6,0)</f>
        <v>tier - 2</v>
      </c>
      <c r="Q1262" s="5" t="str">
        <f t="shared" ref="Q1262:Q1325" si="7563">VLOOKUP($A1262,hospital_details,7,0)</f>
        <v>tier - 3</v>
      </c>
      <c r="R1262" s="5" t="str">
        <f t="shared" ref="R1262:R1325" si="7564">VLOOKUP($A1262,hospital_details,8,0)</f>
        <v>R1012</v>
      </c>
    </row>
    <row r="1263" spans="1:18" ht="14.4" customHeight="1" x14ac:dyDescent="0.3">
      <c r="A1263" s="7" t="s">
        <v>1283</v>
      </c>
      <c r="B1263" s="7" t="str">
        <f>VLOOKUP($A1263,[1]!Customer_Names[#Data],3,0)</f>
        <v xml:space="preserve">  Alicia</v>
      </c>
      <c r="C1263" s="7">
        <v>23.94</v>
      </c>
      <c r="D1263" s="7" t="str" cm="1">
        <f t="array" ref="D1263">_xlfn.IFS(Healthcare!$C1263&lt;18.5,"under weight",Healthcare!$C1263&lt;=24.9,"Normal Weight",Healthcare!$C1263&gt;=25,"overweight",Healthcare!$C1263&gt;=30,"obese")</f>
        <v>Normal Weight</v>
      </c>
      <c r="E1263" s="7">
        <v>4.54</v>
      </c>
      <c r="F1263" s="7" t="str" cm="1">
        <f t="array" ref="F1263">_xlfn.IFS(Healthcare!$E1263&lt;5.7,"normal",Healthcare!$E1263&lt;=6.4,"prediabetes",Healthcare!$E1263&gt;=6.5,"diabetes")</f>
        <v>normal</v>
      </c>
      <c r="G1263" s="7" t="s">
        <v>20</v>
      </c>
      <c r="H1263" s="7" t="s">
        <v>19</v>
      </c>
      <c r="I1263" s="7" t="s">
        <v>29</v>
      </c>
      <c r="J1263" s="7">
        <v>1</v>
      </c>
      <c r="K1263" s="7" t="s">
        <v>19</v>
      </c>
      <c r="L1263" s="7" t="str">
        <f>VLOOKUP(Healthcare!$A1263,hospital_details,2,0)</f>
        <v>9-Sep-1969</v>
      </c>
      <c r="M1263" s="7">
        <f t="shared" ref="M1263:M1326" ca="1" si="7565">VLOOKUP(A1263,hospital_details,3,0)</f>
        <v>57</v>
      </c>
      <c r="N1263" s="7">
        <f t="shared" ref="N1263:N1326" si="7566">VLOOKUP($A1263,hospital_details,4,0)</f>
        <v>0</v>
      </c>
      <c r="O1263" s="8">
        <f t="shared" ref="O1263:O1326" si="7567">VLOOKUP($A1263,hospital_details,5,0)</f>
        <v>8760.1200000000008</v>
      </c>
      <c r="P1263" s="7" t="str">
        <f t="shared" ref="P1263:P1326" si="7568">VLOOKUP($A1263,hospital_details,6,0)</f>
        <v>tier - 2</v>
      </c>
      <c r="Q1263" s="7" t="str">
        <f t="shared" ref="Q1263:Q1326" si="7569">VLOOKUP($A1263,hospital_details,7,0)</f>
        <v>tier - 1</v>
      </c>
      <c r="R1263" s="7" t="str">
        <f t="shared" ref="R1263:R1326" si="7570">VLOOKUP($A1263,hospital_details,8,0)</f>
        <v>R1013</v>
      </c>
    </row>
    <row r="1264" spans="1:18" ht="14.4" customHeight="1" x14ac:dyDescent="0.3">
      <c r="A1264" s="5" t="s">
        <v>1284</v>
      </c>
      <c r="B1264" s="5" t="str">
        <f>VLOOKUP($A1264,[1]!Customer_Names[#Data],3,0)</f>
        <v xml:space="preserve">  Sarah K</v>
      </c>
      <c r="C1264" s="5">
        <v>46.4</v>
      </c>
      <c r="D1264" s="5" t="str" cm="1">
        <f t="array" ref="D1264">_xlfn.IFS(Healthcare!$C1264&lt;18.5,"under weight",Healthcare!$C1264&lt;=24.9,"Normal Weight",Healthcare!$C1264&gt;=25,"overweight",Healthcare!$C1264&gt;=30,"obese")</f>
        <v>overweight</v>
      </c>
      <c r="E1264" s="5">
        <v>5.71</v>
      </c>
      <c r="F1264" s="5" t="str" cm="1">
        <f t="array" ref="F1264">_xlfn.IFS(Healthcare!$E1264&lt;5.7,"normal",Healthcare!$E1264&lt;=6.4,"prediabetes",Healthcare!$E1264&gt;=6.5,"diabetes")</f>
        <v>prediabetes</v>
      </c>
      <c r="G1264" s="5" t="s">
        <v>19</v>
      </c>
      <c r="H1264" s="5" t="s">
        <v>19</v>
      </c>
      <c r="I1264" s="5" t="s">
        <v>19</v>
      </c>
      <c r="J1264" s="5">
        <v>0</v>
      </c>
      <c r="K1264" s="5" t="s">
        <v>19</v>
      </c>
      <c r="L1264" s="5" t="str">
        <f>VLOOKUP(Healthcare!$A1264,hospital_details,2,0)</f>
        <v>23-Aug-1999</v>
      </c>
      <c r="M1264" s="5">
        <f t="shared" ref="M1264:M1327" ca="1" si="7571">VLOOKUP(A1264,hospital_details,3,0)</f>
        <v>27</v>
      </c>
      <c r="N1264" s="5">
        <f t="shared" ref="N1264:N1327" si="7572">VLOOKUP($A1264,hospital_details,4,0)</f>
        <v>0</v>
      </c>
      <c r="O1264" s="6">
        <f t="shared" ref="O1264:O1327" si="7573">VLOOKUP($A1264,hospital_details,5,0)</f>
        <v>8747.68</v>
      </c>
      <c r="P1264" s="5" t="str">
        <f t="shared" ref="P1264:P1327" si="7574">VLOOKUP($A1264,hospital_details,6,0)</f>
        <v>tier - 2</v>
      </c>
      <c r="Q1264" s="5" t="str">
        <f t="shared" ref="Q1264:Q1327" si="7575">VLOOKUP($A1264,hospital_details,7,0)</f>
        <v>tier - 3</v>
      </c>
      <c r="R1264" s="5" t="str">
        <f t="shared" ref="R1264:R1327" si="7576">VLOOKUP($A1264,hospital_details,8,0)</f>
        <v>R1011</v>
      </c>
    </row>
    <row r="1265" spans="1:18" ht="14.4" customHeight="1" x14ac:dyDescent="0.3">
      <c r="A1265" s="7" t="s">
        <v>1285</v>
      </c>
      <c r="B1265" s="7" t="str">
        <f>VLOOKUP($A1265,[1]!Customer_Names[#Data],3,0)</f>
        <v xml:space="preserve">  Guomin</v>
      </c>
      <c r="C1265" s="7">
        <v>40.375</v>
      </c>
      <c r="D1265" s="7" t="str" cm="1">
        <f t="array" ref="D1265">_xlfn.IFS(Healthcare!$C1265&lt;18.5,"under weight",Healthcare!$C1265&lt;=24.9,"Normal Weight",Healthcare!$C1265&gt;=25,"overweight",Healthcare!$C1265&gt;=30,"obese")</f>
        <v>overweight</v>
      </c>
      <c r="E1265" s="7">
        <v>6.25</v>
      </c>
      <c r="F1265" s="7" t="str" cm="1">
        <f t="array" ref="F1265">_xlfn.IFS(Healthcare!$E1265&lt;5.7,"normal",Healthcare!$E1265&lt;=6.4,"prediabetes",Healthcare!$E1265&gt;=6.5,"diabetes")</f>
        <v>prediabetes</v>
      </c>
      <c r="G1265" s="7" t="s">
        <v>20</v>
      </c>
      <c r="H1265" s="7" t="s">
        <v>19</v>
      </c>
      <c r="I1265" s="7" t="s">
        <v>19</v>
      </c>
      <c r="J1265" s="7">
        <v>0</v>
      </c>
      <c r="K1265" s="7" t="s">
        <v>19</v>
      </c>
      <c r="L1265" s="7" t="str">
        <f>VLOOKUP(Healthcare!$A1265,hospital_details,2,0)</f>
        <v>17-Jun-1976</v>
      </c>
      <c r="M1265" s="7">
        <f t="shared" ref="M1265:M1328" ca="1" si="7577">VLOOKUP(A1265,hospital_details,3,0)</f>
        <v>50</v>
      </c>
      <c r="N1265" s="7">
        <f t="shared" ref="N1265:N1328" si="7578">VLOOKUP($A1265,hospital_details,4,0)</f>
        <v>2</v>
      </c>
      <c r="O1265" s="8">
        <f t="shared" ref="O1265:O1328" si="7579">VLOOKUP($A1265,hospital_details,5,0)</f>
        <v>8733.23</v>
      </c>
      <c r="P1265" s="7" t="str">
        <f t="shared" ref="P1265:P1328" si="7580">VLOOKUP($A1265,hospital_details,6,0)</f>
        <v>tier - 2</v>
      </c>
      <c r="Q1265" s="7" t="str">
        <f t="shared" ref="Q1265:Q1328" si="7581">VLOOKUP($A1265,hospital_details,7,0)</f>
        <v>tier - 3</v>
      </c>
      <c r="R1265" s="7" t="str">
        <f t="shared" ref="R1265:R1328" si="7582">VLOOKUP($A1265,hospital_details,8,0)</f>
        <v>R1012</v>
      </c>
    </row>
    <row r="1266" spans="1:18" ht="14.4" customHeight="1" x14ac:dyDescent="0.3">
      <c r="A1266" s="5" t="s">
        <v>1286</v>
      </c>
      <c r="B1266" s="5" t="str">
        <f>VLOOKUP($A1266,[1]!Customer_Names[#Data],3,0)</f>
        <v xml:space="preserve">  Javier</v>
      </c>
      <c r="C1266" s="5">
        <v>28.7</v>
      </c>
      <c r="D1266" s="5" t="str" cm="1">
        <f t="array" ref="D1266">_xlfn.IFS(Healthcare!$C1266&lt;18.5,"under weight",Healthcare!$C1266&lt;=24.9,"Normal Weight",Healthcare!$C1266&gt;=25,"overweight",Healthcare!$C1266&gt;=30,"obese")</f>
        <v>overweight</v>
      </c>
      <c r="E1266" s="5">
        <v>9.4700000000000006</v>
      </c>
      <c r="F1266" s="5" t="str" cm="1">
        <f t="array" ref="F1266">_xlfn.IFS(Healthcare!$E1266&lt;5.7,"normal",Healthcare!$E1266&lt;=6.4,"prediabetes",Healthcare!$E1266&gt;=6.5,"diabetes")</f>
        <v>diabetes</v>
      </c>
      <c r="G1266" s="5" t="s">
        <v>19</v>
      </c>
      <c r="H1266" s="5" t="s">
        <v>19</v>
      </c>
      <c r="I1266" s="5" t="s">
        <v>19</v>
      </c>
      <c r="J1266" s="5">
        <v>2</v>
      </c>
      <c r="K1266" s="5" t="s">
        <v>19</v>
      </c>
      <c r="L1266" s="5" t="str">
        <f>VLOOKUP(Healthcare!$A1266,hospital_details,2,0)</f>
        <v>25-Jun-1973</v>
      </c>
      <c r="M1266" s="5">
        <f t="shared" ref="M1266:M1329" ca="1" si="7583">VLOOKUP(A1266,hospital_details,3,0)</f>
        <v>53</v>
      </c>
      <c r="N1266" s="5">
        <f t="shared" ref="N1266:N1329" si="7584">VLOOKUP($A1266,hospital_details,4,0)</f>
        <v>1</v>
      </c>
      <c r="O1266" s="6">
        <f t="shared" ref="O1266:O1329" si="7585">VLOOKUP($A1266,hospital_details,5,0)</f>
        <v>8703.4599999999991</v>
      </c>
      <c r="P1266" s="5" t="str">
        <f t="shared" ref="P1266:P1329" si="7586">VLOOKUP($A1266,hospital_details,6,0)</f>
        <v>tier - 3</v>
      </c>
      <c r="Q1266" s="5" t="str">
        <f t="shared" ref="Q1266:Q1329" si="7587">VLOOKUP($A1266,hospital_details,7,0)</f>
        <v>tier - 3</v>
      </c>
      <c r="R1266" s="5" t="str">
        <f t="shared" ref="R1266:R1329" si="7588">VLOOKUP($A1266,hospital_details,8,0)</f>
        <v>R1011</v>
      </c>
    </row>
    <row r="1267" spans="1:18" ht="14.4" customHeight="1" x14ac:dyDescent="0.3">
      <c r="A1267" s="7" t="s">
        <v>1287</v>
      </c>
      <c r="B1267" s="7" t="str">
        <f>VLOOKUP($A1267,[1]!Customer_Names[#Data],3,0)</f>
        <v xml:space="preserve">  Matt</v>
      </c>
      <c r="C1267" s="7">
        <v>26.63</v>
      </c>
      <c r="D1267" s="7" t="str" cm="1">
        <f t="array" ref="D1267">_xlfn.IFS(Healthcare!$C1267&lt;18.5,"under weight",Healthcare!$C1267&lt;=24.9,"Normal Weight",Healthcare!$C1267&gt;=25,"overweight",Healthcare!$C1267&gt;=30,"obese")</f>
        <v>overweight</v>
      </c>
      <c r="E1267" s="7">
        <v>5.7</v>
      </c>
      <c r="F1267" s="7" t="str" cm="1">
        <f t="array" ref="F1267">_xlfn.IFS(Healthcare!$E1267&lt;5.7,"normal",Healthcare!$E1267&lt;=6.4,"prediabetes",Healthcare!$E1267&gt;=6.5,"diabetes")</f>
        <v>prediabetes</v>
      </c>
      <c r="G1267" s="7" t="s">
        <v>19</v>
      </c>
      <c r="H1267" s="7" t="s">
        <v>19</v>
      </c>
      <c r="I1267" s="7" t="s">
        <v>19</v>
      </c>
      <c r="J1267" s="7">
        <v>0</v>
      </c>
      <c r="K1267" s="7" t="s">
        <v>19</v>
      </c>
      <c r="L1267" s="7" t="str">
        <f>VLOOKUP(Healthcare!$A1267,hospital_details,2,0)</f>
        <v>28-Oct-1980</v>
      </c>
      <c r="M1267" s="7">
        <f t="shared" ref="M1267:M1330" ca="1" si="7589">VLOOKUP(A1267,hospital_details,3,0)</f>
        <v>45</v>
      </c>
      <c r="N1267" s="7">
        <f t="shared" ref="N1267:N1330" si="7590">VLOOKUP($A1267,hospital_details,4,0)</f>
        <v>2</v>
      </c>
      <c r="O1267" s="8">
        <f t="shared" ref="O1267:O1330" si="7591">VLOOKUP($A1267,hospital_details,5,0)</f>
        <v>8701.84</v>
      </c>
      <c r="P1267" s="7" t="str">
        <f t="shared" ref="P1267:P1330" si="7592">VLOOKUP($A1267,hospital_details,6,0)</f>
        <v>tier - 2</v>
      </c>
      <c r="Q1267" s="7" t="str">
        <f t="shared" ref="Q1267:Q1330" si="7593">VLOOKUP($A1267,hospital_details,7,0)</f>
        <v>tier - 3</v>
      </c>
      <c r="R1267" s="7" t="str">
        <f t="shared" ref="R1267:R1330" si="7594">VLOOKUP($A1267,hospital_details,8,0)</f>
        <v>R1021</v>
      </c>
    </row>
    <row r="1268" spans="1:18" ht="14.4" customHeight="1" x14ac:dyDescent="0.3">
      <c r="A1268" s="5" t="s">
        <v>1288</v>
      </c>
      <c r="B1268" s="5" t="str">
        <f>VLOOKUP($A1268,[1]!Customer_Names[#Data],3,0)</f>
        <v xml:space="preserve">  Thomas S</v>
      </c>
      <c r="C1268" s="5">
        <v>22.515000000000001</v>
      </c>
      <c r="D1268" s="5" t="str" cm="1">
        <f t="array" ref="D1268">_xlfn.IFS(Healthcare!$C1268&lt;18.5,"under weight",Healthcare!$C1268&lt;=24.9,"Normal Weight",Healthcare!$C1268&gt;=25,"overweight",Healthcare!$C1268&gt;=30,"obese")</f>
        <v>Normal Weight</v>
      </c>
      <c r="E1268" s="5">
        <v>11.18</v>
      </c>
      <c r="F1268" s="5" t="str" cm="1">
        <f t="array" ref="F1268">_xlfn.IFS(Healthcare!$E1268&lt;5.7,"normal",Healthcare!$E1268&lt;=6.4,"prediabetes",Healthcare!$E1268&gt;=6.5,"diabetes")</f>
        <v>diabetes</v>
      </c>
      <c r="G1268" s="5" t="s">
        <v>19</v>
      </c>
      <c r="H1268" s="5" t="s">
        <v>19</v>
      </c>
      <c r="I1268" s="5" t="s">
        <v>19</v>
      </c>
      <c r="J1268" s="5">
        <v>2</v>
      </c>
      <c r="K1268" s="5" t="s">
        <v>19</v>
      </c>
      <c r="L1268" s="5" t="str">
        <f>VLOOKUP(Healthcare!$A1268,hospital_details,2,0)</f>
        <v>11-Oct-1973</v>
      </c>
      <c r="M1268" s="5">
        <f t="shared" ref="M1268:M1331" ca="1" si="7595">VLOOKUP(A1268,hospital_details,3,0)</f>
        <v>53</v>
      </c>
      <c r="N1268" s="5">
        <f t="shared" ref="N1268:N1331" si="7596">VLOOKUP($A1268,hospital_details,4,0)</f>
        <v>0</v>
      </c>
      <c r="O1268" s="6">
        <f t="shared" ref="O1268:O1331" si="7597">VLOOKUP($A1268,hospital_details,5,0)</f>
        <v>8688.86</v>
      </c>
      <c r="P1268" s="5" t="str">
        <f t="shared" ref="P1268:P1331" si="7598">VLOOKUP($A1268,hospital_details,6,0)</f>
        <v>tier - 2</v>
      </c>
      <c r="Q1268" s="5" t="str">
        <f t="shared" ref="Q1268:Q1331" si="7599">VLOOKUP($A1268,hospital_details,7,0)</f>
        <v>tier - 1</v>
      </c>
      <c r="R1268" s="5" t="str">
        <f t="shared" ref="R1268:R1331" si="7600">VLOOKUP($A1268,hospital_details,8,0)</f>
        <v>R1017</v>
      </c>
    </row>
    <row r="1269" spans="1:18" ht="14.4" customHeight="1" x14ac:dyDescent="0.3">
      <c r="A1269" s="7" t="s">
        <v>1289</v>
      </c>
      <c r="B1269" s="7" t="str">
        <f>VLOOKUP($A1269,[1]!Customer_Names[#Data],3,0)</f>
        <v xml:space="preserve">  Martha Patricia</v>
      </c>
      <c r="C1269" s="7">
        <v>36.575000000000003</v>
      </c>
      <c r="D1269" s="7" t="str" cm="1">
        <f t="array" ref="D1269">_xlfn.IFS(Healthcare!$C1269&lt;18.5,"under weight",Healthcare!$C1269&lt;=24.9,"Normal Weight",Healthcare!$C1269&gt;=25,"overweight",Healthcare!$C1269&gt;=30,"obese")</f>
        <v>overweight</v>
      </c>
      <c r="E1269" s="7">
        <v>10.98</v>
      </c>
      <c r="F1269" s="7" t="str" cm="1">
        <f t="array" ref="F1269">_xlfn.IFS(Healthcare!$E1269&lt;5.7,"normal",Healthcare!$E1269&lt;=6.4,"prediabetes",Healthcare!$E1269&gt;=6.5,"diabetes")</f>
        <v>diabetes</v>
      </c>
      <c r="G1269" s="7" t="s">
        <v>19</v>
      </c>
      <c r="H1269" s="7" t="s">
        <v>19</v>
      </c>
      <c r="I1269" s="7" t="s">
        <v>19</v>
      </c>
      <c r="J1269" s="7">
        <v>0</v>
      </c>
      <c r="K1269" s="7" t="s">
        <v>19</v>
      </c>
      <c r="L1269" s="7" t="str">
        <f>VLOOKUP(Healthcare!$A1269,hospital_details,2,0)</f>
        <v>16-Aug-1974</v>
      </c>
      <c r="M1269" s="7">
        <f t="shared" ref="M1269:M1332" ca="1" si="7601">VLOOKUP(A1269,hospital_details,3,0)</f>
        <v>52</v>
      </c>
      <c r="N1269" s="7">
        <f t="shared" ref="N1269:N1332" si="7602">VLOOKUP($A1269,hospital_details,4,0)</f>
        <v>0</v>
      </c>
      <c r="O1269" s="8">
        <f t="shared" ref="O1269:O1332" si="7603">VLOOKUP($A1269,hospital_details,5,0)</f>
        <v>8671.19</v>
      </c>
      <c r="P1269" s="7" t="str">
        <f t="shared" ref="P1269:P1332" si="7604">VLOOKUP($A1269,hospital_details,6,0)</f>
        <v>tier - 2</v>
      </c>
      <c r="Q1269" s="7" t="str">
        <f t="shared" ref="Q1269:Q1332" si="7605">VLOOKUP($A1269,hospital_details,7,0)</f>
        <v>tier - 1</v>
      </c>
      <c r="R1269" s="7" t="str">
        <f t="shared" ref="R1269:R1332" si="7606">VLOOKUP($A1269,hospital_details,8,0)</f>
        <v>R1012</v>
      </c>
    </row>
    <row r="1270" spans="1:18" ht="14.4" customHeight="1" x14ac:dyDescent="0.3">
      <c r="A1270" s="5" t="s">
        <v>1290</v>
      </c>
      <c r="B1270" s="5" t="str">
        <f>VLOOKUP($A1270,[1]!Customer_Names[#Data],3,0)</f>
        <v xml:space="preserve">  Alicia</v>
      </c>
      <c r="C1270" s="5">
        <v>23.66</v>
      </c>
      <c r="D1270" s="5" t="str" cm="1">
        <f t="array" ref="D1270">_xlfn.IFS(Healthcare!$C1270&lt;18.5,"under weight",Healthcare!$C1270&lt;=24.9,"Normal Weight",Healthcare!$C1270&gt;=25,"overweight",Healthcare!$C1270&gt;=30,"obese")</f>
        <v>Normal Weight</v>
      </c>
      <c r="E1270" s="5">
        <v>5.1100000000000003</v>
      </c>
      <c r="F1270" s="5" t="str" cm="1">
        <f t="array" ref="F1270">_xlfn.IFS(Healthcare!$E1270&lt;5.7,"normal",Healthcare!$E1270&lt;=6.4,"prediabetes",Healthcare!$E1270&gt;=6.5,"diabetes")</f>
        <v>normal</v>
      </c>
      <c r="G1270" s="5" t="s">
        <v>20</v>
      </c>
      <c r="H1270" s="5" t="s">
        <v>19</v>
      </c>
      <c r="I1270" s="5" t="s">
        <v>29</v>
      </c>
      <c r="J1270" s="5">
        <v>1</v>
      </c>
      <c r="K1270" s="5" t="s">
        <v>19</v>
      </c>
      <c r="L1270" s="5" t="str">
        <f>VLOOKUP(Healthcare!$A1270,hospital_details,2,0)</f>
        <v>10-Aug-1969</v>
      </c>
      <c r="M1270" s="5">
        <f t="shared" ref="M1270:M1333" ca="1" si="7607">VLOOKUP(A1270,hospital_details,3,0)</f>
        <v>57</v>
      </c>
      <c r="N1270" s="5">
        <f t="shared" ref="N1270:N1333" si="7608">VLOOKUP($A1270,hospital_details,4,0)</f>
        <v>0</v>
      </c>
      <c r="O1270" s="6">
        <f t="shared" ref="O1270:O1333" si="7609">VLOOKUP($A1270,hospital_details,5,0)</f>
        <v>8665.14</v>
      </c>
      <c r="P1270" s="5" t="str">
        <f t="shared" ref="P1270:P1333" si="7610">VLOOKUP($A1270,hospital_details,6,0)</f>
        <v>tier - 2</v>
      </c>
      <c r="Q1270" s="5" t="str">
        <f t="shared" ref="Q1270:Q1333" si="7611">VLOOKUP($A1270,hospital_details,7,0)</f>
        <v>tier - 3</v>
      </c>
      <c r="R1270" s="5" t="str">
        <f t="shared" ref="R1270:R1333" si="7612">VLOOKUP($A1270,hospital_details,8,0)</f>
        <v>R1013</v>
      </c>
    </row>
    <row r="1271" spans="1:18" ht="14.4" customHeight="1" x14ac:dyDescent="0.3">
      <c r="A1271" s="7" t="s">
        <v>1291</v>
      </c>
      <c r="B1271" s="7" t="str">
        <f>VLOOKUP($A1271,[1]!Customer_Names[#Data],3,0)</f>
        <v xml:space="preserve">  Jennifer V</v>
      </c>
      <c r="C1271" s="7">
        <v>18.62</v>
      </c>
      <c r="D1271" s="7" t="str" cm="1">
        <f t="array" ref="D1271">_xlfn.IFS(Healthcare!$C1271&lt;18.5,"under weight",Healthcare!$C1271&lt;=24.9,"Normal Weight",Healthcare!$C1271&gt;=25,"overweight",Healthcare!$C1271&gt;=30,"obese")</f>
        <v>Normal Weight</v>
      </c>
      <c r="E1271" s="7">
        <v>10.24</v>
      </c>
      <c r="F1271" s="7" t="str" cm="1">
        <f t="array" ref="F1271">_xlfn.IFS(Healthcare!$E1271&lt;5.7,"normal",Healthcare!$E1271&lt;=6.4,"prediabetes",Healthcare!$E1271&gt;=6.5,"diabetes")</f>
        <v>diabetes</v>
      </c>
      <c r="G1271" s="7" t="s">
        <v>19</v>
      </c>
      <c r="H1271" s="7" t="s">
        <v>19</v>
      </c>
      <c r="I1271" s="7" t="s">
        <v>19</v>
      </c>
      <c r="J1271" s="7">
        <v>0</v>
      </c>
      <c r="K1271" s="7" t="s">
        <v>19</v>
      </c>
      <c r="L1271" s="7" t="str">
        <f>VLOOKUP(Healthcare!$A1271,hospital_details,2,0)</f>
        <v>21-Oct-1965</v>
      </c>
      <c r="M1271" s="7">
        <f t="shared" ref="M1271:M1334" ca="1" si="7613">VLOOKUP(A1271,hospital_details,3,0)</f>
        <v>60</v>
      </c>
      <c r="N1271" s="7">
        <f t="shared" ref="N1271:N1334" si="7614">VLOOKUP($A1271,hospital_details,4,0)</f>
        <v>0</v>
      </c>
      <c r="O1271" s="8">
        <f t="shared" ref="O1271:O1334" si="7615">VLOOKUP($A1271,hospital_details,5,0)</f>
        <v>8665.09</v>
      </c>
      <c r="P1271" s="7" t="str">
        <f t="shared" ref="P1271:P1334" si="7616">VLOOKUP($A1271,hospital_details,6,0)</f>
        <v>tier - 3</v>
      </c>
      <c r="Q1271" s="7" t="str">
        <f t="shared" ref="Q1271:Q1334" si="7617">VLOOKUP($A1271,hospital_details,7,0)</f>
        <v>tier - 2</v>
      </c>
      <c r="R1271" s="7" t="str">
        <f t="shared" ref="R1271:R1334" si="7618">VLOOKUP($A1271,hospital_details,8,0)</f>
        <v>R1012</v>
      </c>
    </row>
    <row r="1272" spans="1:18" ht="14.4" customHeight="1" x14ac:dyDescent="0.3">
      <c r="A1272" s="5" t="s">
        <v>1292</v>
      </c>
      <c r="B1272" s="5" t="str">
        <f>VLOOKUP($A1272,[1]!Customer_Names[#Data],3,0)</f>
        <v xml:space="preserve">  Michael W</v>
      </c>
      <c r="C1272" s="5">
        <v>19.190000000000001</v>
      </c>
      <c r="D1272" s="5" t="str" cm="1">
        <f t="array" ref="D1272">_xlfn.IFS(Healthcare!$C1272&lt;18.5,"under weight",Healthcare!$C1272&lt;=24.9,"Normal Weight",Healthcare!$C1272&gt;=25,"overweight",Healthcare!$C1272&gt;=30,"obese")</f>
        <v>Normal Weight</v>
      </c>
      <c r="E1272" s="5">
        <v>7.71</v>
      </c>
      <c r="F1272" s="5" t="str" cm="1">
        <f t="array" ref="F1272">_xlfn.IFS(Healthcare!$E1272&lt;5.7,"normal",Healthcare!$E1272&lt;=6.4,"prediabetes",Healthcare!$E1272&gt;=6.5,"diabetes")</f>
        <v>diabetes</v>
      </c>
      <c r="G1272" s="5" t="s">
        <v>20</v>
      </c>
      <c r="H1272" s="5" t="s">
        <v>19</v>
      </c>
      <c r="I1272" s="5" t="s">
        <v>19</v>
      </c>
      <c r="J1272" s="5">
        <v>1</v>
      </c>
      <c r="K1272" s="5" t="s">
        <v>19</v>
      </c>
      <c r="L1272" s="5" t="str">
        <f>VLOOKUP(Healthcare!$A1272,hospital_details,2,0)</f>
        <v>3-Aug-1975</v>
      </c>
      <c r="M1272" s="5">
        <f t="shared" ref="M1272:M1335" ca="1" si="7619">VLOOKUP(A1272,hospital_details,3,0)</f>
        <v>51</v>
      </c>
      <c r="N1272" s="5">
        <f t="shared" ref="N1272:N1335" si="7620">VLOOKUP($A1272,hospital_details,4,0)</f>
        <v>1</v>
      </c>
      <c r="O1272" s="6">
        <f t="shared" ref="O1272:O1335" si="7621">VLOOKUP($A1272,hospital_details,5,0)</f>
        <v>8627.5400000000009</v>
      </c>
      <c r="P1272" s="5" t="str">
        <f t="shared" ref="P1272:P1335" si="7622">VLOOKUP($A1272,hospital_details,6,0)</f>
        <v>tier - 2</v>
      </c>
      <c r="Q1272" s="5" t="str">
        <f t="shared" ref="Q1272:Q1335" si="7623">VLOOKUP($A1272,hospital_details,7,0)</f>
        <v>tier - 2</v>
      </c>
      <c r="R1272" s="5" t="str">
        <f t="shared" ref="R1272:R1335" si="7624">VLOOKUP($A1272,hospital_details,8,0)</f>
        <v>R1017</v>
      </c>
    </row>
    <row r="1273" spans="1:18" ht="14.4" customHeight="1" x14ac:dyDescent="0.3">
      <c r="A1273" s="7" t="s">
        <v>1293</v>
      </c>
      <c r="B1273" s="7" t="str">
        <f>VLOOKUP($A1273,[1]!Customer_Names[#Data],3,0)</f>
        <v xml:space="preserve">  Eddie C</v>
      </c>
      <c r="C1273" s="7">
        <v>27.5</v>
      </c>
      <c r="D1273" s="7" t="str" cm="1">
        <f t="array" ref="D1273">_xlfn.IFS(Healthcare!$C1273&lt;18.5,"under weight",Healthcare!$C1273&lt;=24.9,"Normal Weight",Healthcare!$C1273&gt;=25,"overweight",Healthcare!$C1273&gt;=30,"obese")</f>
        <v>overweight</v>
      </c>
      <c r="E1273" s="7">
        <v>6.03</v>
      </c>
      <c r="F1273" s="7" t="str" cm="1">
        <f t="array" ref="F1273">_xlfn.IFS(Healthcare!$E1273&lt;5.7,"normal",Healthcare!$E1273&lt;=6.4,"prediabetes",Healthcare!$E1273&gt;=6.5,"diabetes")</f>
        <v>prediabetes</v>
      </c>
      <c r="G1273" s="7" t="s">
        <v>19</v>
      </c>
      <c r="H1273" s="7" t="s">
        <v>19</v>
      </c>
      <c r="I1273" s="7" t="s">
        <v>19</v>
      </c>
      <c r="J1273" s="7">
        <v>0</v>
      </c>
      <c r="K1273" s="7" t="s">
        <v>19</v>
      </c>
      <c r="L1273" s="7" t="str">
        <f>VLOOKUP(Healthcare!$A1273,hospital_details,2,0)</f>
        <v>2-Sep-1977</v>
      </c>
      <c r="M1273" s="7">
        <f t="shared" ref="M1273:M1336" ca="1" si="7625">VLOOKUP(A1273,hospital_details,3,0)</f>
        <v>49</v>
      </c>
      <c r="N1273" s="7">
        <f t="shared" ref="N1273:N1336" si="7626">VLOOKUP($A1273,hospital_details,4,0)</f>
        <v>3</v>
      </c>
      <c r="O1273" s="8">
        <f t="shared" ref="O1273:O1336" si="7627">VLOOKUP($A1273,hospital_details,5,0)</f>
        <v>8615.2999999999993</v>
      </c>
      <c r="P1273" s="7" t="str">
        <f t="shared" ref="P1273:P1336" si="7628">VLOOKUP($A1273,hospital_details,6,0)</f>
        <v>tier - 2</v>
      </c>
      <c r="Q1273" s="7" t="str">
        <f t="shared" ref="Q1273:Q1336" si="7629">VLOOKUP($A1273,hospital_details,7,0)</f>
        <v>tier - 3</v>
      </c>
      <c r="R1273" s="7" t="str">
        <f t="shared" ref="R1273:R1336" si="7630">VLOOKUP($A1273,hospital_details,8,0)</f>
        <v>R1011</v>
      </c>
    </row>
    <row r="1274" spans="1:18" ht="14.4" customHeight="1" x14ac:dyDescent="0.3">
      <c r="A1274" s="5" t="s">
        <v>1294</v>
      </c>
      <c r="B1274" s="5" t="str">
        <f>VLOOKUP($A1274,[1]!Customer_Names[#Data],3,0)</f>
        <v xml:space="preserve">  Maxime M</v>
      </c>
      <c r="C1274" s="5">
        <v>27.36</v>
      </c>
      <c r="D1274" s="5" t="str" cm="1">
        <f t="array" ref="D1274">_xlfn.IFS(Healthcare!$C1274&lt;18.5,"under weight",Healthcare!$C1274&lt;=24.9,"Normal Weight",Healthcare!$C1274&gt;=25,"overweight",Healthcare!$C1274&gt;=30,"obese")</f>
        <v>overweight</v>
      </c>
      <c r="E1274" s="5">
        <v>5.96</v>
      </c>
      <c r="F1274" s="5" t="str" cm="1">
        <f t="array" ref="F1274">_xlfn.IFS(Healthcare!$E1274&lt;5.7,"normal",Healthcare!$E1274&lt;=6.4,"prediabetes",Healthcare!$E1274&gt;=6.5,"diabetes")</f>
        <v>prediabetes</v>
      </c>
      <c r="G1274" s="5" t="s">
        <v>19</v>
      </c>
      <c r="H1274" s="5" t="s">
        <v>19</v>
      </c>
      <c r="I1274" s="5" t="s">
        <v>29</v>
      </c>
      <c r="J1274" s="5">
        <v>1</v>
      </c>
      <c r="K1274" s="5" t="s">
        <v>19</v>
      </c>
      <c r="L1274" s="5" t="str">
        <f>VLOOKUP(Healthcare!$A1274,hospital_details,2,0)</f>
        <v>17-Jul-1979</v>
      </c>
      <c r="M1274" s="5">
        <f t="shared" ref="M1274:M1337" ca="1" si="7631">VLOOKUP(A1274,hospital_details,3,0)</f>
        <v>47</v>
      </c>
      <c r="N1274" s="5">
        <f t="shared" ref="N1274:N1337" si="7632">VLOOKUP($A1274,hospital_details,4,0)</f>
        <v>3</v>
      </c>
      <c r="O1274" s="6">
        <f t="shared" ref="O1274:O1337" si="7633">VLOOKUP($A1274,hospital_details,5,0)</f>
        <v>8606.2199999999993</v>
      </c>
      <c r="P1274" s="5" t="str">
        <f t="shared" ref="P1274:P1337" si="7634">VLOOKUP($A1274,hospital_details,6,0)</f>
        <v>tier - 1</v>
      </c>
      <c r="Q1274" s="5" t="str">
        <f t="shared" ref="Q1274:Q1337" si="7635">VLOOKUP($A1274,hospital_details,7,0)</f>
        <v>tier - 2</v>
      </c>
      <c r="R1274" s="5" t="str">
        <f t="shared" ref="R1274:R1337" si="7636">VLOOKUP($A1274,hospital_details,8,0)</f>
        <v>R1014</v>
      </c>
    </row>
    <row r="1275" spans="1:18" ht="14.4" customHeight="1" x14ac:dyDescent="0.3">
      <c r="A1275" s="7" t="s">
        <v>1295</v>
      </c>
      <c r="B1275" s="7" t="str">
        <f>VLOOKUP($A1275,[1]!Customer_Names[#Data],3,0)</f>
        <v xml:space="preserve">  Mark D</v>
      </c>
      <c r="C1275" s="7">
        <v>20.350000000000001</v>
      </c>
      <c r="D1275" s="7" t="str" cm="1">
        <f t="array" ref="D1275">_xlfn.IFS(Healthcare!$C1275&lt;18.5,"under weight",Healthcare!$C1275&lt;=24.9,"Normal Weight",Healthcare!$C1275&gt;=25,"overweight",Healthcare!$C1275&gt;=30,"obese")</f>
        <v>Normal Weight</v>
      </c>
      <c r="E1275" s="7">
        <v>4.16</v>
      </c>
      <c r="F1275" s="7" t="str" cm="1">
        <f t="array" ref="F1275">_xlfn.IFS(Healthcare!$E1275&lt;5.7,"normal",Healthcare!$E1275&lt;=6.4,"prediabetes",Healthcare!$E1275&gt;=6.5,"diabetes")</f>
        <v>normal</v>
      </c>
      <c r="G1275" s="7" t="s">
        <v>19</v>
      </c>
      <c r="H1275" s="7" t="s">
        <v>19</v>
      </c>
      <c r="I1275" s="7" t="s">
        <v>19</v>
      </c>
      <c r="J1275" s="7">
        <v>0</v>
      </c>
      <c r="K1275" s="7" t="s">
        <v>19</v>
      </c>
      <c r="L1275" s="7" t="str">
        <f>VLOOKUP(Healthcare!$A1275,hospital_details,2,0)</f>
        <v>15-Oct-1977</v>
      </c>
      <c r="M1275" s="7">
        <f t="shared" ref="M1275:M1338" ca="1" si="7637">VLOOKUP(A1275,hospital_details,3,0)</f>
        <v>49</v>
      </c>
      <c r="N1275" s="7">
        <f t="shared" ref="N1275:N1338" si="7638">VLOOKUP($A1275,hospital_details,4,0)</f>
        <v>3</v>
      </c>
      <c r="O1275" s="8">
        <f t="shared" ref="O1275:O1338" si="7639">VLOOKUP($A1275,hospital_details,5,0)</f>
        <v>8605.36</v>
      </c>
      <c r="P1275" s="7" t="str">
        <f t="shared" ref="P1275:P1338" si="7640">VLOOKUP($A1275,hospital_details,6,0)</f>
        <v>tier - 2</v>
      </c>
      <c r="Q1275" s="7" t="str">
        <f t="shared" ref="Q1275:Q1338" si="7641">VLOOKUP($A1275,hospital_details,7,0)</f>
        <v>tier - 2</v>
      </c>
      <c r="R1275" s="7" t="str">
        <f t="shared" ref="R1275:R1338" si="7642">VLOOKUP($A1275,hospital_details,8,0)</f>
        <v>R1013</v>
      </c>
    </row>
    <row r="1276" spans="1:18" ht="14.4" customHeight="1" x14ac:dyDescent="0.3">
      <c r="A1276" s="5" t="s">
        <v>1296</v>
      </c>
      <c r="B1276" s="5" t="str">
        <f>VLOOKUP($A1276,[1]!Customer_Names[#Data],3,0)</f>
        <v xml:space="preserve">  Adam</v>
      </c>
      <c r="C1276" s="5">
        <v>24.035</v>
      </c>
      <c r="D1276" s="5" t="str" cm="1">
        <f t="array" ref="D1276">_xlfn.IFS(Healthcare!$C1276&lt;18.5,"under weight",Healthcare!$C1276&lt;=24.9,"Normal Weight",Healthcare!$C1276&gt;=25,"overweight",Healthcare!$C1276&gt;=30,"obese")</f>
        <v>Normal Weight</v>
      </c>
      <c r="E1276" s="5">
        <v>6.11</v>
      </c>
      <c r="F1276" s="5" t="str" cm="1">
        <f t="array" ref="F1276">_xlfn.IFS(Healthcare!$E1276&lt;5.7,"normal",Healthcare!$E1276&lt;=6.4,"prediabetes",Healthcare!$E1276&gt;=6.5,"diabetes")</f>
        <v>prediabetes</v>
      </c>
      <c r="G1276" s="5" t="s">
        <v>19</v>
      </c>
      <c r="H1276" s="5" t="s">
        <v>19</v>
      </c>
      <c r="I1276" s="5" t="s">
        <v>19</v>
      </c>
      <c r="J1276" s="5">
        <v>0</v>
      </c>
      <c r="K1276" s="5" t="s">
        <v>19</v>
      </c>
      <c r="L1276" s="5" t="str">
        <f>VLOOKUP(Healthcare!$A1276,hospital_details,2,0)</f>
        <v>12-Nov-1977</v>
      </c>
      <c r="M1276" s="5">
        <f t="shared" ref="M1276:M1339" ca="1" si="7643">VLOOKUP(A1276,hospital_details,3,0)</f>
        <v>48</v>
      </c>
      <c r="N1276" s="5">
        <f t="shared" ref="N1276:N1339" si="7644">VLOOKUP($A1276,hospital_details,4,0)</f>
        <v>2</v>
      </c>
      <c r="O1276" s="6">
        <f t="shared" ref="O1276:O1339" si="7645">VLOOKUP($A1276,hospital_details,5,0)</f>
        <v>8604.48</v>
      </c>
      <c r="P1276" s="5" t="str">
        <f t="shared" ref="P1276:P1339" si="7646">VLOOKUP($A1276,hospital_details,6,0)</f>
        <v>tier - 3</v>
      </c>
      <c r="Q1276" s="5" t="str">
        <f t="shared" ref="Q1276:Q1339" si="7647">VLOOKUP($A1276,hospital_details,7,0)</f>
        <v>tier - 2</v>
      </c>
      <c r="R1276" s="5" t="str">
        <f t="shared" ref="R1276:R1339" si="7648">VLOOKUP($A1276,hospital_details,8,0)</f>
        <v>R1016</v>
      </c>
    </row>
    <row r="1277" spans="1:18" ht="14.4" customHeight="1" x14ac:dyDescent="0.3">
      <c r="A1277" s="7" t="s">
        <v>1297</v>
      </c>
      <c r="B1277" s="7" t="str">
        <f>VLOOKUP($A1277,[1]!Customer_Names[#Data],3,0)</f>
        <v xml:space="preserve">  Justin M</v>
      </c>
      <c r="C1277" s="7">
        <v>23.56</v>
      </c>
      <c r="D1277" s="7" t="str" cm="1">
        <f t="array" ref="D1277">_xlfn.IFS(Healthcare!$C1277&lt;18.5,"under weight",Healthcare!$C1277&lt;=24.9,"Normal Weight",Healthcare!$C1277&gt;=25,"overweight",Healthcare!$C1277&gt;=30,"obese")</f>
        <v>Normal Weight</v>
      </c>
      <c r="E1277" s="7">
        <v>5.97</v>
      </c>
      <c r="F1277" s="7" t="str" cm="1">
        <f t="array" ref="F1277">_xlfn.IFS(Healthcare!$E1277&lt;5.7,"normal",Healthcare!$E1277&lt;=6.4,"prediabetes",Healthcare!$E1277&gt;=6.5,"diabetes")</f>
        <v>prediabetes</v>
      </c>
      <c r="G1277" s="7" t="s">
        <v>19</v>
      </c>
      <c r="H1277" s="7" t="s">
        <v>19</v>
      </c>
      <c r="I1277" s="7" t="s">
        <v>19</v>
      </c>
      <c r="J1277" s="7">
        <v>0</v>
      </c>
      <c r="K1277" s="7" t="s">
        <v>19</v>
      </c>
      <c r="L1277" s="7" t="str">
        <f>VLOOKUP(Healthcare!$A1277,hospital_details,2,0)</f>
        <v>24-Sep-1977</v>
      </c>
      <c r="M1277" s="7">
        <f t="shared" ref="M1277:M1340" ca="1" si="7649">VLOOKUP(A1277,hospital_details,3,0)</f>
        <v>49</v>
      </c>
      <c r="N1277" s="7">
        <f t="shared" ref="N1277:N1340" si="7650">VLOOKUP($A1277,hospital_details,4,0)</f>
        <v>2</v>
      </c>
      <c r="O1277" s="8">
        <f t="shared" ref="O1277:O1340" si="7651">VLOOKUP($A1277,hospital_details,5,0)</f>
        <v>8603.82</v>
      </c>
      <c r="P1277" s="7" t="str">
        <f t="shared" ref="P1277:P1340" si="7652">VLOOKUP($A1277,hospital_details,6,0)</f>
        <v>tier - 2</v>
      </c>
      <c r="Q1277" s="7" t="str">
        <f t="shared" ref="Q1277:Q1340" si="7653">VLOOKUP($A1277,hospital_details,7,0)</f>
        <v>tier - 1</v>
      </c>
      <c r="R1277" s="7" t="str">
        <f t="shared" ref="R1277:R1340" si="7654">VLOOKUP($A1277,hospital_details,8,0)</f>
        <v>R1019</v>
      </c>
    </row>
    <row r="1278" spans="1:18" ht="14.4" customHeight="1" x14ac:dyDescent="0.3">
      <c r="A1278" s="5" t="s">
        <v>1298</v>
      </c>
      <c r="B1278" s="5" t="str">
        <f>VLOOKUP($A1278,[1]!Customer_Names[#Data],3,0)</f>
        <v xml:space="preserve">  Svetlana V</v>
      </c>
      <c r="C1278" s="5">
        <v>27.17</v>
      </c>
      <c r="D1278" s="5" t="str" cm="1">
        <f t="array" ref="D1278">_xlfn.IFS(Healthcare!$C1278&lt;18.5,"under weight",Healthcare!$C1278&lt;=24.9,"Normal Weight",Healthcare!$C1278&gt;=25,"overweight",Healthcare!$C1278&gt;=30,"obese")</f>
        <v>overweight</v>
      </c>
      <c r="E1278" s="5">
        <v>10.81</v>
      </c>
      <c r="F1278" s="5" t="str" cm="1">
        <f t="array" ref="F1278">_xlfn.IFS(Healthcare!$E1278&lt;5.7,"normal",Healthcare!$E1278&lt;=6.4,"prediabetes",Healthcare!$E1278&gt;=6.5,"diabetes")</f>
        <v>diabetes</v>
      </c>
      <c r="G1278" s="5" t="s">
        <v>19</v>
      </c>
      <c r="H1278" s="5" t="s">
        <v>19</v>
      </c>
      <c r="I1278" s="5" t="s">
        <v>19</v>
      </c>
      <c r="J1278" s="5">
        <v>2</v>
      </c>
      <c r="K1278" s="5" t="s">
        <v>19</v>
      </c>
      <c r="L1278" s="5" t="str">
        <f>VLOOKUP(Healthcare!$A1278,hospital_details,2,0)</f>
        <v>11-Jul-1973</v>
      </c>
      <c r="M1278" s="5">
        <f t="shared" ref="M1278:M1341" ca="1" si="7655">VLOOKUP(A1278,hospital_details,3,0)</f>
        <v>53</v>
      </c>
      <c r="N1278" s="5">
        <f t="shared" ref="N1278:N1341" si="7656">VLOOKUP($A1278,hospital_details,4,0)</f>
        <v>0</v>
      </c>
      <c r="O1278" s="6">
        <f t="shared" ref="O1278:O1341" si="7657">VLOOKUP($A1278,hospital_details,5,0)</f>
        <v>8601.33</v>
      </c>
      <c r="P1278" s="5" t="str">
        <f t="shared" ref="P1278:P1341" si="7658">VLOOKUP($A1278,hospital_details,6,0)</f>
        <v>tier - 2</v>
      </c>
      <c r="Q1278" s="5" t="str">
        <f t="shared" ref="Q1278:Q1341" si="7659">VLOOKUP($A1278,hospital_details,7,0)</f>
        <v>tier - 1</v>
      </c>
      <c r="R1278" s="5" t="str">
        <f t="shared" ref="R1278:R1341" si="7660">VLOOKUP($A1278,hospital_details,8,0)</f>
        <v>R1013</v>
      </c>
    </row>
    <row r="1279" spans="1:18" ht="14.4" customHeight="1" x14ac:dyDescent="0.3">
      <c r="A1279" s="7" t="s">
        <v>1299</v>
      </c>
      <c r="B1279" s="7" t="str">
        <f>VLOOKUP($A1279,[1]!Customer_Names[#Data],3,0)</f>
        <v xml:space="preserve">  Jana L</v>
      </c>
      <c r="C1279" s="7">
        <v>34.32</v>
      </c>
      <c r="D1279" s="7" t="str" cm="1">
        <f t="array" ref="D1279">_xlfn.IFS(Healthcare!$C1279&lt;18.5,"under weight",Healthcare!$C1279&lt;=24.9,"Normal Weight",Healthcare!$C1279&gt;=25,"overweight",Healthcare!$C1279&gt;=30,"obese")</f>
        <v>overweight</v>
      </c>
      <c r="E1279" s="7">
        <v>5.7</v>
      </c>
      <c r="F1279" s="7" t="str" cm="1">
        <f t="array" ref="F1279">_xlfn.IFS(Healthcare!$E1279&lt;5.7,"normal",Healthcare!$E1279&lt;=6.4,"prediabetes",Healthcare!$E1279&gt;=6.5,"diabetes")</f>
        <v>prediabetes</v>
      </c>
      <c r="G1279" s="7" t="s">
        <v>20</v>
      </c>
      <c r="H1279" s="7" t="s">
        <v>19</v>
      </c>
      <c r="I1279" s="7" t="s">
        <v>29</v>
      </c>
      <c r="J1279" s="7">
        <v>1</v>
      </c>
      <c r="K1279" s="7" t="s">
        <v>19</v>
      </c>
      <c r="L1279" s="7" t="str">
        <f>VLOOKUP(Healthcare!$A1279,hospital_details,2,0)</f>
        <v>25-Jul-1983</v>
      </c>
      <c r="M1279" s="7">
        <f t="shared" ref="M1279:M1342" ca="1" si="7661">VLOOKUP(A1279,hospital_details,3,0)</f>
        <v>43</v>
      </c>
      <c r="N1279" s="7">
        <f t="shared" ref="N1279:N1342" si="7662">VLOOKUP($A1279,hospital_details,4,0)</f>
        <v>5</v>
      </c>
      <c r="O1279" s="8">
        <f t="shared" ref="O1279:O1342" si="7663">VLOOKUP($A1279,hospital_details,5,0)</f>
        <v>8596.83</v>
      </c>
      <c r="P1279" s="7" t="str">
        <f t="shared" ref="P1279:P1342" si="7664">VLOOKUP($A1279,hospital_details,6,0)</f>
        <v>tier - 2</v>
      </c>
      <c r="Q1279" s="7" t="str">
        <f t="shared" ref="Q1279:Q1342" si="7665">VLOOKUP($A1279,hospital_details,7,0)</f>
        <v>tier - 3</v>
      </c>
      <c r="R1279" s="7" t="str">
        <f t="shared" ref="R1279:R1342" si="7666">VLOOKUP($A1279,hospital_details,8,0)</f>
        <v>R1013</v>
      </c>
    </row>
    <row r="1280" spans="1:18" ht="14.4" customHeight="1" x14ac:dyDescent="0.3">
      <c r="A1280" s="5" t="s">
        <v>1300</v>
      </c>
      <c r="B1280" s="5" t="str">
        <f>VLOOKUP($A1280,[1]!Customer_Names[#Data],3,0)</f>
        <v xml:space="preserve">  Laura</v>
      </c>
      <c r="C1280" s="5">
        <v>23.87</v>
      </c>
      <c r="D1280" s="5" t="str" cm="1">
        <f t="array" ref="D1280">_xlfn.IFS(Healthcare!$C1280&lt;18.5,"under weight",Healthcare!$C1280&lt;=24.9,"Normal Weight",Healthcare!$C1280&gt;=25,"overweight",Healthcare!$C1280&gt;=30,"obese")</f>
        <v>Normal Weight</v>
      </c>
      <c r="E1280" s="5">
        <v>4.7699999999999996</v>
      </c>
      <c r="F1280" s="5" t="str" cm="1">
        <f t="array" ref="F1280">_xlfn.IFS(Healthcare!$E1280&lt;5.7,"normal",Healthcare!$E1280&lt;=6.4,"prediabetes",Healthcare!$E1280&gt;=6.5,"diabetes")</f>
        <v>normal</v>
      </c>
      <c r="G1280" s="5" t="s">
        <v>20</v>
      </c>
      <c r="H1280" s="5" t="s">
        <v>19</v>
      </c>
      <c r="I1280" s="5" t="s">
        <v>29</v>
      </c>
      <c r="J1280" s="5">
        <v>1</v>
      </c>
      <c r="K1280" s="5" t="s">
        <v>19</v>
      </c>
      <c r="L1280" s="5" t="str">
        <f>VLOOKUP(Healthcare!$A1280,hospital_details,2,0)</f>
        <v>30-Dec-1983</v>
      </c>
      <c r="M1280" s="5">
        <f t="shared" ref="M1280:M1343" ca="1" si="7667">VLOOKUP(A1280,hospital_details,3,0)</f>
        <v>42</v>
      </c>
      <c r="N1280" s="5">
        <f t="shared" ref="N1280:N1343" si="7668">VLOOKUP($A1280,hospital_details,4,0)</f>
        <v>5</v>
      </c>
      <c r="O1280" s="6">
        <f t="shared" ref="O1280:O1343" si="7669">VLOOKUP($A1280,hospital_details,5,0)</f>
        <v>8582.2999999999993</v>
      </c>
      <c r="P1280" s="5" t="str">
        <f t="shared" ref="P1280:P1343" si="7670">VLOOKUP($A1280,hospital_details,6,0)</f>
        <v>tier - 2</v>
      </c>
      <c r="Q1280" s="5" t="str">
        <f t="shared" ref="Q1280:Q1343" si="7671">VLOOKUP($A1280,hospital_details,7,0)</f>
        <v>tier - 1</v>
      </c>
      <c r="R1280" s="5" t="str">
        <f t="shared" ref="R1280:R1343" si="7672">VLOOKUP($A1280,hospital_details,8,0)</f>
        <v>R1013</v>
      </c>
    </row>
    <row r="1281" spans="1:18" ht="14.4" customHeight="1" x14ac:dyDescent="0.3">
      <c r="A1281" s="7" t="s">
        <v>1301</v>
      </c>
      <c r="B1281" s="7" t="str">
        <f>VLOOKUP($A1281,[1]!Customer_Names[#Data],3,0)</f>
        <v xml:space="preserve">  Torrey C III</v>
      </c>
      <c r="C1281" s="7">
        <v>30.15</v>
      </c>
      <c r="D1281" s="7" t="str" cm="1">
        <f t="array" ref="D1281">_xlfn.IFS(Healthcare!$C1281&lt;18.5,"under weight",Healthcare!$C1281&lt;=24.9,"Normal Weight",Healthcare!$C1281&gt;=25,"overweight",Healthcare!$C1281&gt;=30,"obese")</f>
        <v>overweight</v>
      </c>
      <c r="E1281" s="7">
        <v>4.25</v>
      </c>
      <c r="F1281" s="7" t="str" cm="1">
        <f t="array" ref="F1281">_xlfn.IFS(Healthcare!$E1281&lt;5.7,"normal",Healthcare!$E1281&lt;=6.4,"prediabetes",Healthcare!$E1281&gt;=6.5,"diabetes")</f>
        <v>normal</v>
      </c>
      <c r="G1281" s="7" t="s">
        <v>19</v>
      </c>
      <c r="H1281" s="7" t="s">
        <v>19</v>
      </c>
      <c r="I1281" s="7" t="s">
        <v>19</v>
      </c>
      <c r="J1281" s="7">
        <v>1</v>
      </c>
      <c r="K1281" s="7" t="s">
        <v>19</v>
      </c>
      <c r="L1281" s="7" t="str">
        <f>VLOOKUP(Healthcare!$A1281,hospital_details,2,0)</f>
        <v>11-Nov-1987</v>
      </c>
      <c r="M1281" s="7">
        <f t="shared" ref="M1281:M1344" ca="1" si="7673">VLOOKUP(A1281,hospital_details,3,0)</f>
        <v>38</v>
      </c>
      <c r="N1281" s="7">
        <f t="shared" ref="N1281:N1344" si="7674">VLOOKUP($A1281,hospital_details,4,0)</f>
        <v>3</v>
      </c>
      <c r="O1281" s="8">
        <f t="shared" ref="O1281:O1344" si="7675">VLOOKUP($A1281,hospital_details,5,0)</f>
        <v>8573.2999999999993</v>
      </c>
      <c r="P1281" s="7" t="str">
        <f t="shared" ref="P1281:P1344" si="7676">VLOOKUP($A1281,hospital_details,6,0)</f>
        <v>tier - 2</v>
      </c>
      <c r="Q1281" s="7" t="str">
        <f t="shared" ref="Q1281:Q1344" si="7677">VLOOKUP($A1281,hospital_details,7,0)</f>
        <v>tier - 2</v>
      </c>
      <c r="R1281" s="7" t="str">
        <f t="shared" ref="R1281:R1344" si="7678">VLOOKUP($A1281,hospital_details,8,0)</f>
        <v>R1021</v>
      </c>
    </row>
    <row r="1282" spans="1:18" ht="14.4" customHeight="1" x14ac:dyDescent="0.3">
      <c r="A1282" s="5" t="s">
        <v>1302</v>
      </c>
      <c r="B1282" s="5" t="str">
        <f>VLOOKUP($A1282,[1]!Customer_Names[#Data],3,0)</f>
        <v xml:space="preserve">  Paul</v>
      </c>
      <c r="C1282" s="5">
        <v>26.36</v>
      </c>
      <c r="D1282" s="5" t="str" cm="1">
        <f t="array" ref="D1282">_xlfn.IFS(Healthcare!$C1282&lt;18.5,"under weight",Healthcare!$C1282&lt;=24.9,"Normal Weight",Healthcare!$C1282&gt;=25,"overweight",Healthcare!$C1282&gt;=30,"obese")</f>
        <v>overweight</v>
      </c>
      <c r="E1282" s="5">
        <v>5.52</v>
      </c>
      <c r="F1282" s="5" t="str" cm="1">
        <f t="array" ref="F1282">_xlfn.IFS(Healthcare!$E1282&lt;5.7,"normal",Healthcare!$E1282&lt;=6.4,"prediabetes",Healthcare!$E1282&gt;=6.5,"diabetes")</f>
        <v>normal</v>
      </c>
      <c r="G1282" s="5" t="s">
        <v>19</v>
      </c>
      <c r="H1282" s="5" t="s">
        <v>19</v>
      </c>
      <c r="I1282" s="5" t="s">
        <v>19</v>
      </c>
      <c r="J1282" s="5">
        <v>0</v>
      </c>
      <c r="K1282" s="5" t="s">
        <v>19</v>
      </c>
      <c r="L1282" s="5" t="str">
        <f>VLOOKUP(Healthcare!$A1282,hospital_details,2,0)</f>
        <v>6-Dec-1982</v>
      </c>
      <c r="M1282" s="5">
        <f t="shared" ref="M1282:M1345" ca="1" si="7679">VLOOKUP(A1282,hospital_details,3,0)</f>
        <v>43</v>
      </c>
      <c r="N1282" s="5">
        <f t="shared" ref="N1282:N1345" si="7680">VLOOKUP($A1282,hospital_details,4,0)</f>
        <v>3</v>
      </c>
      <c r="O1282" s="6">
        <f t="shared" ref="O1282:O1345" si="7681">VLOOKUP($A1282,hospital_details,5,0)</f>
        <v>8572.0400000000009</v>
      </c>
      <c r="P1282" s="5" t="str">
        <f t="shared" ref="P1282:P1345" si="7682">VLOOKUP($A1282,hospital_details,6,0)</f>
        <v>tier - 2</v>
      </c>
      <c r="Q1282" s="5" t="str">
        <f t="shared" ref="Q1282:Q1345" si="7683">VLOOKUP($A1282,hospital_details,7,0)</f>
        <v>tier - 2</v>
      </c>
      <c r="R1282" s="5" t="str">
        <f t="shared" ref="R1282:R1345" si="7684">VLOOKUP($A1282,hospital_details,8,0)</f>
        <v>R1021</v>
      </c>
    </row>
    <row r="1283" spans="1:18" ht="14.4" customHeight="1" x14ac:dyDescent="0.3">
      <c r="A1283" s="7" t="s">
        <v>1303</v>
      </c>
      <c r="B1283" s="7" t="str">
        <f>VLOOKUP($A1283,[1]!Customer_Names[#Data],3,0)</f>
        <v xml:space="preserve">  Jennifer D</v>
      </c>
      <c r="C1283" s="7">
        <v>45.32</v>
      </c>
      <c r="D1283" s="7" t="str" cm="1">
        <f t="array" ref="D1283">_xlfn.IFS(Healthcare!$C1283&lt;18.5,"under weight",Healthcare!$C1283&lt;=24.9,"Normal Weight",Healthcare!$C1283&gt;=25,"overweight",Healthcare!$C1283&gt;=30,"obese")</f>
        <v>overweight</v>
      </c>
      <c r="E1283" s="7">
        <v>6.53</v>
      </c>
      <c r="F1283" s="7" t="str" cm="1">
        <f t="array" ref="F1283">_xlfn.IFS(Healthcare!$E1283&lt;5.7,"normal",Healthcare!$E1283&lt;=6.4,"prediabetes",Healthcare!$E1283&gt;=6.5,"diabetes")</f>
        <v>diabetes</v>
      </c>
      <c r="G1283" s="7" t="s">
        <v>20</v>
      </c>
      <c r="H1283" s="7" t="s">
        <v>19</v>
      </c>
      <c r="I1283" s="7" t="s">
        <v>19</v>
      </c>
      <c r="J1283" s="7">
        <v>1</v>
      </c>
      <c r="K1283" s="7" t="s">
        <v>19</v>
      </c>
      <c r="L1283" s="7" t="str">
        <f>VLOOKUP(Healthcare!$A1283,hospital_details,2,0)</f>
        <v>26-Sep-1975</v>
      </c>
      <c r="M1283" s="7">
        <f t="shared" ref="M1283:M1346" ca="1" si="7685">VLOOKUP(A1283,hospital_details,3,0)</f>
        <v>51</v>
      </c>
      <c r="N1283" s="7">
        <f t="shared" ref="N1283:N1346" si="7686">VLOOKUP($A1283,hospital_details,4,0)</f>
        <v>1</v>
      </c>
      <c r="O1283" s="8">
        <f t="shared" ref="O1283:O1346" si="7687">VLOOKUP($A1283,hospital_details,5,0)</f>
        <v>8569.86</v>
      </c>
      <c r="P1283" s="7" t="str">
        <f t="shared" ref="P1283:P1346" si="7688">VLOOKUP($A1283,hospital_details,6,0)</f>
        <v>tier - 2</v>
      </c>
      <c r="Q1283" s="7" t="str">
        <f t="shared" ref="Q1283:Q1346" si="7689">VLOOKUP($A1283,hospital_details,7,0)</f>
        <v>tier - 3</v>
      </c>
      <c r="R1283" s="7" t="str">
        <f t="shared" ref="R1283:R1346" si="7690">VLOOKUP($A1283,hospital_details,8,0)</f>
        <v>R1013</v>
      </c>
    </row>
    <row r="1284" spans="1:18" ht="14.4" customHeight="1" x14ac:dyDescent="0.3">
      <c r="A1284" s="5" t="s">
        <v>1304</v>
      </c>
      <c r="B1284" s="5" t="str">
        <f>VLOOKUP($A1284,[1]!Customer_Names[#Data],3,0)</f>
        <v xml:space="preserve">  Erik</v>
      </c>
      <c r="C1284" s="5">
        <v>31.93</v>
      </c>
      <c r="D1284" s="5" t="str" cm="1">
        <f t="array" ref="D1284">_xlfn.IFS(Healthcare!$C1284&lt;18.5,"under weight",Healthcare!$C1284&lt;=24.9,"Normal Weight",Healthcare!$C1284&gt;=25,"overweight",Healthcare!$C1284&gt;=30,"obese")</f>
        <v>overweight</v>
      </c>
      <c r="E1284" s="5">
        <v>4.82</v>
      </c>
      <c r="F1284" s="5" t="str" cm="1">
        <f t="array" ref="F1284">_xlfn.IFS(Healthcare!$E1284&lt;5.7,"normal",Healthcare!$E1284&lt;=6.4,"prediabetes",Healthcare!$E1284&gt;=6.5,"diabetes")</f>
        <v>normal</v>
      </c>
      <c r="G1284" s="5" t="s">
        <v>20</v>
      </c>
      <c r="H1284" s="5" t="s">
        <v>19</v>
      </c>
      <c r="I1284" s="5" t="s">
        <v>19</v>
      </c>
      <c r="J1284" s="5">
        <v>1</v>
      </c>
      <c r="K1284" s="5" t="s">
        <v>19</v>
      </c>
      <c r="L1284" s="5" t="str">
        <f>VLOOKUP(Healthcare!$A1284,hospital_details,2,0)</f>
        <v>21-Sep-1988</v>
      </c>
      <c r="M1284" s="5">
        <f t="shared" ref="M1284:M1347" ca="1" si="7691">VLOOKUP(A1284,hospital_details,3,0)</f>
        <v>38</v>
      </c>
      <c r="N1284" s="5">
        <f t="shared" ref="N1284:N1347" si="7692">VLOOKUP($A1284,hospital_details,4,0)</f>
        <v>3</v>
      </c>
      <c r="O1284" s="6">
        <f t="shared" ref="O1284:O1347" si="7693">VLOOKUP($A1284,hospital_details,5,0)</f>
        <v>8567.25</v>
      </c>
      <c r="P1284" s="5" t="str">
        <f t="shared" ref="P1284:P1347" si="7694">VLOOKUP($A1284,hospital_details,6,0)</f>
        <v>tier - 2</v>
      </c>
      <c r="Q1284" s="5" t="str">
        <f t="shared" ref="Q1284:Q1347" si="7695">VLOOKUP($A1284,hospital_details,7,0)</f>
        <v>tier - 1</v>
      </c>
      <c r="R1284" s="5" t="str">
        <f t="shared" ref="R1284:R1347" si="7696">VLOOKUP($A1284,hospital_details,8,0)</f>
        <v>R1012</v>
      </c>
    </row>
    <row r="1285" spans="1:18" ht="14.4" customHeight="1" x14ac:dyDescent="0.3">
      <c r="A1285" s="7" t="s">
        <v>1305</v>
      </c>
      <c r="B1285" s="7" t="str">
        <f>VLOOKUP($A1285,[1]!Customer_Names[#Data],3,0)</f>
        <v xml:space="preserve">  Lana J</v>
      </c>
      <c r="C1285" s="7">
        <v>36</v>
      </c>
      <c r="D1285" s="7" t="str" cm="1">
        <f t="array" ref="D1285">_xlfn.IFS(Healthcare!$C1285&lt;18.5,"under weight",Healthcare!$C1285&lt;=24.9,"Normal Weight",Healthcare!$C1285&gt;=25,"overweight",Healthcare!$C1285&gt;=30,"obese")</f>
        <v>overweight</v>
      </c>
      <c r="E1285" s="7">
        <v>11.94</v>
      </c>
      <c r="F1285" s="7" t="str" cm="1">
        <f t="array" ref="F1285">_xlfn.IFS(Healthcare!$E1285&lt;5.7,"normal",Healthcare!$E1285&lt;=6.4,"prediabetes",Healthcare!$E1285&gt;=6.5,"diabetes")</f>
        <v>diabetes</v>
      </c>
      <c r="G1285" s="7" t="s">
        <v>20</v>
      </c>
      <c r="H1285" s="7" t="s">
        <v>19</v>
      </c>
      <c r="I1285" s="7" t="s">
        <v>19</v>
      </c>
      <c r="J1285" s="7">
        <v>1</v>
      </c>
      <c r="K1285" s="7" t="s">
        <v>19</v>
      </c>
      <c r="L1285" s="7" t="str">
        <f>VLOOKUP(Healthcare!$A1285,hospital_details,2,0)</f>
        <v>21-Aug-1975</v>
      </c>
      <c r="M1285" s="7">
        <f t="shared" ref="M1285:M1348" ca="1" si="7697">VLOOKUP(A1285,hospital_details,3,0)</f>
        <v>51</v>
      </c>
      <c r="N1285" s="7">
        <f t="shared" ref="N1285:N1348" si="7698">VLOOKUP($A1285,hospital_details,4,0)</f>
        <v>1</v>
      </c>
      <c r="O1285" s="8">
        <f t="shared" ref="O1285:O1348" si="7699">VLOOKUP($A1285,hospital_details,5,0)</f>
        <v>8556.91</v>
      </c>
      <c r="P1285" s="7" t="str">
        <f t="shared" ref="P1285:P1348" si="7700">VLOOKUP($A1285,hospital_details,6,0)</f>
        <v>tier - 2</v>
      </c>
      <c r="Q1285" s="7" t="str">
        <f t="shared" ref="Q1285:Q1348" si="7701">VLOOKUP($A1285,hospital_details,7,0)</f>
        <v>tier - 1</v>
      </c>
      <c r="R1285" s="7" t="str">
        <f t="shared" ref="R1285:R1348" si="7702">VLOOKUP($A1285,hospital_details,8,0)</f>
        <v>R1011</v>
      </c>
    </row>
    <row r="1286" spans="1:18" ht="14.4" customHeight="1" x14ac:dyDescent="0.3">
      <c r="A1286" s="5" t="s">
        <v>1306</v>
      </c>
      <c r="B1286" s="5" t="str">
        <f>VLOOKUP($A1286,[1]!Customer_Names[#Data],3,0)</f>
        <v xml:space="preserve">  Rebecca E</v>
      </c>
      <c r="C1286" s="5">
        <v>32</v>
      </c>
      <c r="D1286" s="5" t="str" cm="1">
        <f t="array" ref="D1286">_xlfn.IFS(Healthcare!$C1286&lt;18.5,"under weight",Healthcare!$C1286&lt;=24.9,"Normal Weight",Healthcare!$C1286&gt;=25,"overweight",Healthcare!$C1286&gt;=30,"obese")</f>
        <v>overweight</v>
      </c>
      <c r="E1286" s="5">
        <v>7.85</v>
      </c>
      <c r="F1286" s="5" t="str" cm="1">
        <f t="array" ref="F1286">_xlfn.IFS(Healthcare!$E1286&lt;5.7,"normal",Healthcare!$E1286&lt;=6.4,"prediabetes",Healthcare!$E1286&gt;=6.5,"diabetes")</f>
        <v>diabetes</v>
      </c>
      <c r="G1286" s="5" t="s">
        <v>20</v>
      </c>
      <c r="H1286" s="5" t="s">
        <v>19</v>
      </c>
      <c r="I1286" s="5" t="s">
        <v>19</v>
      </c>
      <c r="J1286" s="5">
        <v>1</v>
      </c>
      <c r="K1286" s="5" t="s">
        <v>19</v>
      </c>
      <c r="L1286" s="5" t="str">
        <f>VLOOKUP(Healthcare!$A1286,hospital_details,2,0)</f>
        <v>6-Aug-1975</v>
      </c>
      <c r="M1286" s="5">
        <f t="shared" ref="M1286:M1349" ca="1" si="7703">VLOOKUP(A1286,hospital_details,3,0)</f>
        <v>51</v>
      </c>
      <c r="N1286" s="5">
        <f t="shared" ref="N1286:N1349" si="7704">VLOOKUP($A1286,hospital_details,4,0)</f>
        <v>1</v>
      </c>
      <c r="O1286" s="6">
        <f t="shared" ref="O1286:O1349" si="7705">VLOOKUP($A1286,hospital_details,5,0)</f>
        <v>8551.35</v>
      </c>
      <c r="P1286" s="5" t="str">
        <f t="shared" ref="P1286:P1349" si="7706">VLOOKUP($A1286,hospital_details,6,0)</f>
        <v>tier - 2</v>
      </c>
      <c r="Q1286" s="5" t="str">
        <f t="shared" ref="Q1286:Q1349" si="7707">VLOOKUP($A1286,hospital_details,7,0)</f>
        <v>tier - 2</v>
      </c>
      <c r="R1286" s="5" t="str">
        <f t="shared" ref="R1286:R1349" si="7708">VLOOKUP($A1286,hospital_details,8,0)</f>
        <v>R1011</v>
      </c>
    </row>
    <row r="1287" spans="1:18" ht="14.4" customHeight="1" x14ac:dyDescent="0.3">
      <c r="A1287" s="7" t="s">
        <v>1307</v>
      </c>
      <c r="B1287" s="7" t="str">
        <f>VLOOKUP($A1287,[1]!Customer_Names[#Data],3,0)</f>
        <v xml:space="preserve">  Katie M</v>
      </c>
      <c r="C1287" s="7">
        <v>29.37</v>
      </c>
      <c r="D1287" s="7" t="str" cm="1">
        <f t="array" ref="D1287">_xlfn.IFS(Healthcare!$C1287&lt;18.5,"under weight",Healthcare!$C1287&lt;=24.9,"Normal Weight",Healthcare!$C1287&gt;=25,"overweight",Healthcare!$C1287&gt;=30,"obese")</f>
        <v>overweight</v>
      </c>
      <c r="E1287" s="7">
        <v>8.01</v>
      </c>
      <c r="F1287" s="7" t="str" cm="1">
        <f t="array" ref="F1287">_xlfn.IFS(Healthcare!$E1287&lt;5.7,"normal",Healthcare!$E1287&lt;=6.4,"prediabetes",Healthcare!$E1287&gt;=6.5,"diabetes")</f>
        <v>diabetes</v>
      </c>
      <c r="G1287" s="7" t="s">
        <v>20</v>
      </c>
      <c r="H1287" s="7" t="s">
        <v>19</v>
      </c>
      <c r="I1287" s="7" t="s">
        <v>19</v>
      </c>
      <c r="J1287" s="7">
        <v>1</v>
      </c>
      <c r="K1287" s="7" t="s">
        <v>19</v>
      </c>
      <c r="L1287" s="7" t="str">
        <f>VLOOKUP(Healthcare!$A1287,hospital_details,2,0)</f>
        <v>12-Dec-</v>
      </c>
      <c r="M1287" s="7">
        <f ca="1">VLOOKUP(A2,hospital_details,3,0)</f>
        <v>58</v>
      </c>
      <c r="N1287" s="7">
        <f t="shared" ref="N1287:N1350" si="7709">VLOOKUP($A1287,hospital_details,4,0)</f>
        <v>1</v>
      </c>
      <c r="O1287" s="8">
        <f t="shared" ref="O1287:O1350" si="7710">VLOOKUP($A1287,hospital_details,5,0)</f>
        <v>8547.69</v>
      </c>
      <c r="P1287" s="7" t="str">
        <f t="shared" ref="P1287:P1350" si="7711">VLOOKUP($A1287,hospital_details,6,0)</f>
        <v>tier - 2</v>
      </c>
      <c r="Q1287" s="7" t="str">
        <f t="shared" ref="Q1287:Q1350" si="7712">VLOOKUP($A1287,hospital_details,7,0)</f>
        <v>tier - 1</v>
      </c>
      <c r="R1287" s="7" t="str">
        <f t="shared" ref="R1287:R1350" si="7713">VLOOKUP($A1287,hospital_details,8,0)</f>
        <v>R1013</v>
      </c>
    </row>
    <row r="1288" spans="1:18" ht="14.4" customHeight="1" x14ac:dyDescent="0.3">
      <c r="A1288" s="5" t="s">
        <v>1308</v>
      </c>
      <c r="B1288" s="5" t="str">
        <f>VLOOKUP($A1288,[1]!Customer_Names[#Data],3,0)</f>
        <v xml:space="preserve">  Elizabeth A</v>
      </c>
      <c r="C1288" s="5">
        <v>23.6</v>
      </c>
      <c r="D1288" s="5" t="str" cm="1">
        <f t="array" ref="D1288">_xlfn.IFS(Healthcare!$C1288&lt;18.5,"under weight",Healthcare!$C1288&lt;=24.9,"Normal Weight",Healthcare!$C1288&gt;=25,"overweight",Healthcare!$C1288&gt;=30,"obese")</f>
        <v>Normal Weight</v>
      </c>
      <c r="E1288" s="5">
        <v>7.4</v>
      </c>
      <c r="F1288" s="5" t="str" cm="1">
        <f t="array" ref="F1288">_xlfn.IFS(Healthcare!$E1288&lt;5.7,"normal",Healthcare!$E1288&lt;=6.4,"prediabetes",Healthcare!$E1288&gt;=6.5,"diabetes")</f>
        <v>diabetes</v>
      </c>
      <c r="G1288" s="5" t="s">
        <v>20</v>
      </c>
      <c r="H1288" s="5" t="s">
        <v>19</v>
      </c>
      <c r="I1288" s="5" t="s">
        <v>19</v>
      </c>
      <c r="J1288" s="5">
        <v>1</v>
      </c>
      <c r="K1288" s="5" t="s">
        <v>19</v>
      </c>
      <c r="L1288" s="5" t="str">
        <f>VLOOKUP(Healthcare!$A1288,hospital_details,2,0)</f>
        <v>6-Nov-1975</v>
      </c>
      <c r="M1288" s="5">
        <f t="shared" ref="M1288:M1351" ca="1" si="7714">VLOOKUP(A1288,hospital_details,3,0)</f>
        <v>50</v>
      </c>
      <c r="N1288" s="5">
        <f t="shared" ref="N1288:N1351" si="7715">VLOOKUP($A1288,hospital_details,4,0)</f>
        <v>1</v>
      </c>
      <c r="O1288" s="6">
        <f t="shared" ref="O1288:O1351" si="7716">VLOOKUP($A1288,hospital_details,5,0)</f>
        <v>8539.67</v>
      </c>
      <c r="P1288" s="5" t="str">
        <f t="shared" ref="P1288:P1351" si="7717">VLOOKUP($A1288,hospital_details,6,0)</f>
        <v>tier - 2</v>
      </c>
      <c r="Q1288" s="5" t="str">
        <f t="shared" ref="Q1288:Q1351" si="7718">VLOOKUP($A1288,hospital_details,7,0)</f>
        <v>tier - 3</v>
      </c>
      <c r="R1288" s="5" t="str">
        <f t="shared" ref="R1288:R1351" si="7719">VLOOKUP($A1288,hospital_details,8,0)</f>
        <v>R1011</v>
      </c>
    </row>
    <row r="1289" spans="1:18" ht="14.4" customHeight="1" x14ac:dyDescent="0.3">
      <c r="A1289" s="7" t="s">
        <v>1309</v>
      </c>
      <c r="B1289" s="7" t="str">
        <f>VLOOKUP($A1289,[1]!Customer_Names[#Data],3,0)</f>
        <v xml:space="preserve">  Sarah</v>
      </c>
      <c r="C1289" s="7">
        <v>33.155000000000001</v>
      </c>
      <c r="D1289" s="7" t="str" cm="1">
        <f t="array" ref="D1289">_xlfn.IFS(Healthcare!$C1289&lt;18.5,"under weight",Healthcare!$C1289&lt;=24.9,"Normal Weight",Healthcare!$C1289&gt;=25,"overweight",Healthcare!$C1289&gt;=30,"obese")</f>
        <v>overweight</v>
      </c>
      <c r="E1289" s="7">
        <v>8.3800000000000008</v>
      </c>
      <c r="F1289" s="7" t="str" cm="1">
        <f t="array" ref="F1289">_xlfn.IFS(Healthcare!$E1289&lt;5.7,"normal",Healthcare!$E1289&lt;=6.4,"prediabetes",Healthcare!$E1289&gt;=6.5,"diabetes")</f>
        <v>diabetes</v>
      </c>
      <c r="G1289" s="7" t="s">
        <v>20</v>
      </c>
      <c r="H1289" s="7" t="s">
        <v>19</v>
      </c>
      <c r="I1289" s="7" t="s">
        <v>19</v>
      </c>
      <c r="J1289" s="7">
        <v>0</v>
      </c>
      <c r="K1289" s="7" t="s">
        <v>19</v>
      </c>
      <c r="L1289" s="7" t="str">
        <f>VLOOKUP(Healthcare!$A1289,hospital_details,2,0)</f>
        <v>27-Dec-1981</v>
      </c>
      <c r="M1289" s="7">
        <f t="shared" ref="M1289:M1352" ca="1" si="7720">VLOOKUP(A1289,hospital_details,3,0)</f>
        <v>44</v>
      </c>
      <c r="N1289" s="7">
        <f t="shared" ref="N1289:N1352" si="7721">VLOOKUP($A1289,hospital_details,4,0)</f>
        <v>3</v>
      </c>
      <c r="O1289" s="8">
        <f t="shared" ref="O1289:O1352" si="7722">VLOOKUP($A1289,hospital_details,5,0)</f>
        <v>8538.2900000000009</v>
      </c>
      <c r="P1289" s="7" t="str">
        <f t="shared" ref="P1289:P1352" si="7723">VLOOKUP($A1289,hospital_details,6,0)</f>
        <v>tier - 2</v>
      </c>
      <c r="Q1289" s="7" t="str">
        <f t="shared" ref="Q1289:Q1352" si="7724">VLOOKUP($A1289,hospital_details,7,0)</f>
        <v>tier - 3</v>
      </c>
      <c r="R1289" s="7" t="str">
        <f t="shared" ref="R1289:R1352" si="7725">VLOOKUP($A1289,hospital_details,8,0)</f>
        <v>R1024</v>
      </c>
    </row>
    <row r="1290" spans="1:18" ht="14.4" customHeight="1" x14ac:dyDescent="0.3">
      <c r="A1290" s="5" t="s">
        <v>1310</v>
      </c>
      <c r="B1290" s="5" t="str">
        <f>VLOOKUP($A1290,[1]!Customer_Names[#Data],3,0)</f>
        <v xml:space="preserve">  Annie J</v>
      </c>
      <c r="C1290" s="5">
        <v>24.32</v>
      </c>
      <c r="D1290" s="5" t="str" cm="1">
        <f t="array" ref="D1290">_xlfn.IFS(Healthcare!$C1290&lt;18.5,"under weight",Healthcare!$C1290&lt;=24.9,"Normal Weight",Healthcare!$C1290&gt;=25,"overweight",Healthcare!$C1290&gt;=30,"obese")</f>
        <v>Normal Weight</v>
      </c>
      <c r="E1290" s="5">
        <v>11.56</v>
      </c>
      <c r="F1290" s="5" t="str" cm="1">
        <f t="array" ref="F1290">_xlfn.IFS(Healthcare!$E1290&lt;5.7,"normal",Healthcare!$E1290&lt;=6.4,"prediabetes",Healthcare!$E1290&gt;=6.5,"diabetes")</f>
        <v>diabetes</v>
      </c>
      <c r="G1290" s="5" t="s">
        <v>20</v>
      </c>
      <c r="H1290" s="5" t="s">
        <v>19</v>
      </c>
      <c r="I1290" s="5" t="s">
        <v>19</v>
      </c>
      <c r="J1290" s="5">
        <v>1</v>
      </c>
      <c r="K1290" s="5" t="s">
        <v>19</v>
      </c>
      <c r="L1290" s="5" t="str">
        <f>VLOOKUP(Healthcare!$A1290,hospital_details,2,0)</f>
        <v>24-Jul-</v>
      </c>
      <c r="M1290" s="7">
        <f ca="1">VLOOKUP(A5,hospital_details,3,0)</f>
        <v>35</v>
      </c>
      <c r="N1290" s="5">
        <f t="shared" ref="N1290:N1353" si="7726">VLOOKUP($A1290,hospital_details,4,0)</f>
        <v>0</v>
      </c>
      <c r="O1290" s="6">
        <f t="shared" ref="O1290:O1353" si="7727">VLOOKUP($A1290,hospital_details,5,0)</f>
        <v>8534.67</v>
      </c>
      <c r="P1290" s="5" t="str">
        <f t="shared" ref="P1290:P1353" si="7728">VLOOKUP($A1290,hospital_details,6,0)</f>
        <v>tier - 2</v>
      </c>
      <c r="Q1290" s="5" t="str">
        <f t="shared" ref="Q1290:Q1353" si="7729">VLOOKUP($A1290,hospital_details,7,0)</f>
        <v>tier - 3</v>
      </c>
      <c r="R1290" s="5" t="str">
        <f t="shared" ref="R1290:R1353" si="7730">VLOOKUP($A1290,hospital_details,8,0)</f>
        <v>R1024</v>
      </c>
    </row>
    <row r="1291" spans="1:18" ht="14.4" customHeight="1" x14ac:dyDescent="0.3">
      <c r="A1291" s="7" t="s">
        <v>1311</v>
      </c>
      <c r="B1291" s="7" t="str">
        <f>VLOOKUP($A1291,[1]!Customer_Names[#Data],3,0)</f>
        <v xml:space="preserve">  Annie</v>
      </c>
      <c r="C1291" s="7">
        <v>36.299999999999997</v>
      </c>
      <c r="D1291" s="7" t="str" cm="1">
        <f t="array" ref="D1291">_xlfn.IFS(Healthcare!$C1291&lt;18.5,"under weight",Healthcare!$C1291&lt;=24.9,"Normal Weight",Healthcare!$C1291&gt;=25,"overweight",Healthcare!$C1291&gt;=30,"obese")</f>
        <v>overweight</v>
      </c>
      <c r="E1291" s="7">
        <v>4.6100000000000003</v>
      </c>
      <c r="F1291" s="7" t="str" cm="1">
        <f t="array" ref="F1291">_xlfn.IFS(Healthcare!$E1291&lt;5.7,"normal",Healthcare!$E1291&lt;=6.4,"prediabetes",Healthcare!$E1291&gt;=6.5,"diabetes")</f>
        <v>normal</v>
      </c>
      <c r="G1291" s="7" t="s">
        <v>19</v>
      </c>
      <c r="H1291" s="7" t="s">
        <v>19</v>
      </c>
      <c r="I1291" s="7" t="s">
        <v>19</v>
      </c>
      <c r="J1291" s="7">
        <v>0</v>
      </c>
      <c r="K1291" s="7" t="s">
        <v>19</v>
      </c>
      <c r="L1291" s="7" t="str">
        <f>VLOOKUP(Healthcare!$A1291,hospital_details,2,0)</f>
        <v>26-Jul-1977</v>
      </c>
      <c r="M1291" s="7">
        <f t="shared" ref="M1291:M1354" ca="1" si="7731">VLOOKUP(A1291,hospital_details,3,0)</f>
        <v>49</v>
      </c>
      <c r="N1291" s="7">
        <f t="shared" ref="N1291:N1354" si="7732">VLOOKUP($A1291,hospital_details,4,0)</f>
        <v>2</v>
      </c>
      <c r="O1291" s="8">
        <f t="shared" ref="O1291:O1354" si="7733">VLOOKUP($A1291,hospital_details,5,0)</f>
        <v>8527.5300000000007</v>
      </c>
      <c r="P1291" s="7" t="str">
        <f t="shared" ref="P1291:P1354" si="7734">VLOOKUP($A1291,hospital_details,6,0)</f>
        <v>tier - 2</v>
      </c>
      <c r="Q1291" s="7" t="str">
        <f t="shared" ref="Q1291:Q1354" si="7735">VLOOKUP($A1291,hospital_details,7,0)</f>
        <v>tier - 2</v>
      </c>
      <c r="R1291" s="7" t="str">
        <f t="shared" ref="R1291:R1354" si="7736">VLOOKUP($A1291,hospital_details,8,0)</f>
        <v>R1013</v>
      </c>
    </row>
    <row r="1292" spans="1:18" ht="14.4" customHeight="1" x14ac:dyDescent="0.3">
      <c r="A1292" s="5" t="s">
        <v>1312</v>
      </c>
      <c r="B1292" s="5" t="str">
        <f>VLOOKUP($A1292,[1]!Customer_Names[#Data],3,0)</f>
        <v xml:space="preserve">  Lindsey</v>
      </c>
      <c r="C1292" s="5">
        <v>34.4</v>
      </c>
      <c r="D1292" s="5" t="str" cm="1">
        <f t="array" ref="D1292">_xlfn.IFS(Healthcare!$C1292&lt;18.5,"under weight",Healthcare!$C1292&lt;=24.9,"Normal Weight",Healthcare!$C1292&gt;=25,"overweight",Healthcare!$C1292&gt;=30,"obese")</f>
        <v>overweight</v>
      </c>
      <c r="E1292" s="5">
        <v>4.95</v>
      </c>
      <c r="F1292" s="5" t="str" cm="1">
        <f t="array" ref="F1292">_xlfn.IFS(Healthcare!$E1292&lt;5.7,"normal",Healthcare!$E1292&lt;=6.4,"prediabetes",Healthcare!$E1292&gt;=6.5,"diabetes")</f>
        <v>normal</v>
      </c>
      <c r="G1292" s="5" t="s">
        <v>19</v>
      </c>
      <c r="H1292" s="5" t="s">
        <v>19</v>
      </c>
      <c r="I1292" s="5" t="s">
        <v>29</v>
      </c>
      <c r="J1292" s="5">
        <v>1</v>
      </c>
      <c r="K1292" s="5" t="s">
        <v>19</v>
      </c>
      <c r="L1292" s="5" t="str">
        <f>VLOOKUP(Healthcare!$A1292,hospital_details,2,0)</f>
        <v>13-Aug-1979</v>
      </c>
      <c r="M1292" s="5">
        <f t="shared" ref="M1292:M1355" ca="1" si="7737">VLOOKUP(A1292,hospital_details,3,0)</f>
        <v>47</v>
      </c>
      <c r="N1292" s="5">
        <f t="shared" ref="N1292:N1355" si="7738">VLOOKUP($A1292,hospital_details,4,0)</f>
        <v>3</v>
      </c>
      <c r="O1292" s="6">
        <f t="shared" ref="O1292:O1355" si="7739">VLOOKUP($A1292,hospital_details,5,0)</f>
        <v>8522</v>
      </c>
      <c r="P1292" s="5" t="str">
        <f t="shared" ref="P1292:P1355" si="7740">VLOOKUP($A1292,hospital_details,6,0)</f>
        <v>tier - 2</v>
      </c>
      <c r="Q1292" s="5" t="str">
        <f t="shared" ref="Q1292:Q1355" si="7741">VLOOKUP($A1292,hospital_details,7,0)</f>
        <v>tier - 2</v>
      </c>
      <c r="R1292" s="5" t="str">
        <f t="shared" ref="R1292:R1355" si="7742">VLOOKUP($A1292,hospital_details,8,0)</f>
        <v>R1011</v>
      </c>
    </row>
    <row r="1293" spans="1:18" ht="14.4" customHeight="1" x14ac:dyDescent="0.3">
      <c r="A1293" s="7" t="s">
        <v>1313</v>
      </c>
      <c r="B1293" s="7" t="str">
        <f>VLOOKUP($A1293,[1]!Customer_Names[#Data],3,0)</f>
        <v xml:space="preserve">  Laura</v>
      </c>
      <c r="C1293" s="7">
        <v>30.9</v>
      </c>
      <c r="D1293" s="7" t="str" cm="1">
        <f t="array" ref="D1293">_xlfn.IFS(Healthcare!$C1293&lt;18.5,"under weight",Healthcare!$C1293&lt;=24.9,"Normal Weight",Healthcare!$C1293&gt;=25,"overweight",Healthcare!$C1293&gt;=30,"obese")</f>
        <v>overweight</v>
      </c>
      <c r="E1293" s="7">
        <v>5.04</v>
      </c>
      <c r="F1293" s="7" t="str" cm="1">
        <f t="array" ref="F1293">_xlfn.IFS(Healthcare!$E1293&lt;5.7,"normal",Healthcare!$E1293&lt;=6.4,"prediabetes",Healthcare!$E1293&gt;=6.5,"diabetes")</f>
        <v>normal</v>
      </c>
      <c r="G1293" s="7" t="s">
        <v>19</v>
      </c>
      <c r="H1293" s="7" t="s">
        <v>19</v>
      </c>
      <c r="I1293" s="7" t="s">
        <v>19</v>
      </c>
      <c r="J1293" s="7">
        <v>0</v>
      </c>
      <c r="K1293" s="7" t="s">
        <v>19</v>
      </c>
      <c r="L1293" s="7" t="str">
        <f>VLOOKUP(Healthcare!$A1293,hospital_details,2,0)</f>
        <v>29-Dec-1977</v>
      </c>
      <c r="M1293" s="7">
        <f t="shared" ref="M1293:M1356" ca="1" si="7743">VLOOKUP(A1293,hospital_details,3,0)</f>
        <v>48</v>
      </c>
      <c r="N1293" s="7">
        <f t="shared" ref="N1293:N1356" si="7744">VLOOKUP($A1293,hospital_details,4,0)</f>
        <v>2</v>
      </c>
      <c r="O1293" s="8">
        <f t="shared" ref="O1293:O1356" si="7745">VLOOKUP($A1293,hospital_details,5,0)</f>
        <v>8520.0300000000007</v>
      </c>
      <c r="P1293" s="7" t="str">
        <f t="shared" ref="P1293:P1356" si="7746">VLOOKUP($A1293,hospital_details,6,0)</f>
        <v>tier - 2</v>
      </c>
      <c r="Q1293" s="7" t="str">
        <f t="shared" ref="Q1293:Q1356" si="7747">VLOOKUP($A1293,hospital_details,7,0)</f>
        <v>tier - 3</v>
      </c>
      <c r="R1293" s="7" t="str">
        <f t="shared" ref="R1293:R1356" si="7748">VLOOKUP($A1293,hospital_details,8,0)</f>
        <v>R1011</v>
      </c>
    </row>
    <row r="1294" spans="1:18" ht="14.4" customHeight="1" x14ac:dyDescent="0.3">
      <c r="A1294" s="5" t="s">
        <v>1314</v>
      </c>
      <c r="B1294" s="5" t="str">
        <f>VLOOKUP($A1294,[1]!Customer_Names[#Data],3,0)</f>
        <v xml:space="preserve">  Amy T</v>
      </c>
      <c r="C1294" s="5">
        <v>28.6</v>
      </c>
      <c r="D1294" s="5" t="str" cm="1">
        <f t="array" ref="D1294">_xlfn.IFS(Healthcare!$C1294&lt;18.5,"under weight",Healthcare!$C1294&lt;=24.9,"Normal Weight",Healthcare!$C1294&gt;=25,"overweight",Healthcare!$C1294&gt;=30,"obese")</f>
        <v>overweight</v>
      </c>
      <c r="E1294" s="5">
        <v>5.42</v>
      </c>
      <c r="F1294" s="5" t="str" cm="1">
        <f t="array" ref="F1294">_xlfn.IFS(Healthcare!$E1294&lt;5.7,"normal",Healthcare!$E1294&lt;=6.4,"prediabetes",Healthcare!$E1294&gt;=6.5,"diabetes")</f>
        <v>normal</v>
      </c>
      <c r="G1294" s="5" t="s">
        <v>19</v>
      </c>
      <c r="H1294" s="5" t="s">
        <v>19</v>
      </c>
      <c r="I1294" s="5" t="s">
        <v>19</v>
      </c>
      <c r="J1294" s="5">
        <v>0</v>
      </c>
      <c r="K1294" s="5" t="s">
        <v>19</v>
      </c>
      <c r="L1294" s="5" t="str">
        <f>VLOOKUP(Healthcare!$A1294,hospital_details,2,0)</f>
        <v>21-Jun-1977</v>
      </c>
      <c r="M1294" s="5">
        <f t="shared" ref="M1294:M1357" ca="1" si="7749">VLOOKUP(A1294,hospital_details,3,0)</f>
        <v>49</v>
      </c>
      <c r="N1294" s="5">
        <f t="shared" ref="N1294:N1357" si="7750">VLOOKUP($A1294,hospital_details,4,0)</f>
        <v>2</v>
      </c>
      <c r="O1294" s="6">
        <f t="shared" ref="O1294:O1357" si="7751">VLOOKUP($A1294,hospital_details,5,0)</f>
        <v>8516.83</v>
      </c>
      <c r="P1294" s="5" t="str">
        <f t="shared" ref="P1294:P1357" si="7752">VLOOKUP($A1294,hospital_details,6,0)</f>
        <v>tier - 2</v>
      </c>
      <c r="Q1294" s="5" t="str">
        <f t="shared" ref="Q1294:Q1357" si="7753">VLOOKUP($A1294,hospital_details,7,0)</f>
        <v>tier - 1</v>
      </c>
      <c r="R1294" s="5" t="str">
        <f t="shared" ref="R1294:R1357" si="7754">VLOOKUP($A1294,hospital_details,8,0)</f>
        <v>R1013</v>
      </c>
    </row>
    <row r="1295" spans="1:18" ht="14.4" customHeight="1" x14ac:dyDescent="0.3">
      <c r="A1295" s="7" t="s">
        <v>1315</v>
      </c>
      <c r="B1295" s="7" t="str">
        <f>VLOOKUP($A1295,[1]!Customer_Names[#Data],3,0)</f>
        <v xml:space="preserve">  Katarina D</v>
      </c>
      <c r="C1295" s="7">
        <v>27.83</v>
      </c>
      <c r="D1295" s="7" t="str" cm="1">
        <f t="array" ref="D1295">_xlfn.IFS(Healthcare!$C1295&lt;18.5,"under weight",Healthcare!$C1295&lt;=24.9,"Normal Weight",Healthcare!$C1295&gt;=25,"overweight",Healthcare!$C1295&gt;=30,"obese")</f>
        <v>overweight</v>
      </c>
      <c r="E1295" s="7">
        <v>5.39</v>
      </c>
      <c r="F1295" s="7" t="str" cm="1">
        <f t="array" ref="F1295">_xlfn.IFS(Healthcare!$E1295&lt;5.7,"normal",Healthcare!$E1295&lt;=6.4,"prediabetes",Healthcare!$E1295&gt;=6.5,"diabetes")</f>
        <v>normal</v>
      </c>
      <c r="G1295" s="7" t="s">
        <v>19</v>
      </c>
      <c r="H1295" s="7" t="s">
        <v>19</v>
      </c>
      <c r="I1295" s="7" t="s">
        <v>19</v>
      </c>
      <c r="J1295" s="7">
        <v>0</v>
      </c>
      <c r="K1295" s="7" t="s">
        <v>19</v>
      </c>
      <c r="L1295" s="7" t="str">
        <f>VLOOKUP(Healthcare!$A1295,hospital_details,2,0)</f>
        <v>26-Dec-1977</v>
      </c>
      <c r="M1295" s="7">
        <f t="shared" ref="M1295:M1358" ca="1" si="7755">VLOOKUP(A1295,hospital_details,3,0)</f>
        <v>48</v>
      </c>
      <c r="N1295" s="7">
        <f t="shared" ref="N1295:N1358" si="7756">VLOOKUP($A1295,hospital_details,4,0)</f>
        <v>2</v>
      </c>
      <c r="O1295" s="8">
        <f t="shared" ref="O1295:O1358" si="7757">VLOOKUP($A1295,hospital_details,5,0)</f>
        <v>8515.76</v>
      </c>
      <c r="P1295" s="7" t="str">
        <f t="shared" ref="P1295:P1358" si="7758">VLOOKUP($A1295,hospital_details,6,0)</f>
        <v>tier - 2</v>
      </c>
      <c r="Q1295" s="7" t="str">
        <f t="shared" ref="Q1295:Q1358" si="7759">VLOOKUP($A1295,hospital_details,7,0)</f>
        <v>tier - 2</v>
      </c>
      <c r="R1295" s="7" t="str">
        <f t="shared" ref="R1295:R1358" si="7760">VLOOKUP($A1295,hospital_details,8,0)</f>
        <v>R1013</v>
      </c>
    </row>
    <row r="1296" spans="1:18" ht="14.4" customHeight="1" x14ac:dyDescent="0.3">
      <c r="A1296" s="5" t="s">
        <v>1316</v>
      </c>
      <c r="B1296" s="5" t="str">
        <f>VLOOKUP($A1296,[1]!Customer_Names[#Data],3,0)</f>
        <v xml:space="preserve">  B</v>
      </c>
      <c r="C1296" s="5">
        <v>39.64</v>
      </c>
      <c r="D1296" s="5" t="str" cm="1">
        <f t="array" ref="D1296">_xlfn.IFS(Healthcare!$C1296&lt;18.5,"under weight",Healthcare!$C1296&lt;=24.9,"Normal Weight",Healthcare!$C1296&gt;=25,"overweight",Healthcare!$C1296&gt;=30,"obese")</f>
        <v>overweight</v>
      </c>
      <c r="E1296" s="5">
        <v>6</v>
      </c>
      <c r="F1296" s="5" t="str" cm="1">
        <f t="array" ref="F1296">_xlfn.IFS(Healthcare!$E1296&lt;5.7,"normal",Healthcare!$E1296&lt;=6.4,"prediabetes",Healthcare!$E1296&gt;=6.5,"diabetes")</f>
        <v>prediabetes</v>
      </c>
      <c r="G1296" s="5" t="s">
        <v>19</v>
      </c>
      <c r="H1296" s="5" t="s">
        <v>19</v>
      </c>
      <c r="I1296" s="5" t="s">
        <v>29</v>
      </c>
      <c r="J1296" s="5">
        <v>1</v>
      </c>
      <c r="K1296" s="5" t="s">
        <v>19</v>
      </c>
      <c r="L1296" s="5" t="str">
        <f>VLOOKUP(Healthcare!$A1296,hospital_details,2,0)</f>
        <v>10-Nov-1993</v>
      </c>
      <c r="M1296" s="5">
        <f t="shared" ref="M1296:M1359" ca="1" si="7761">VLOOKUP(A1296,hospital_details,3,0)</f>
        <v>32</v>
      </c>
      <c r="N1296" s="5">
        <f t="shared" ref="N1296:N1359" si="7762">VLOOKUP($A1296,hospital_details,4,0)</f>
        <v>0</v>
      </c>
      <c r="O1296" s="6">
        <f t="shared" ref="O1296:O1359" si="7763">VLOOKUP($A1296,hospital_details,5,0)</f>
        <v>8471.65</v>
      </c>
      <c r="P1296" s="5" t="str">
        <f t="shared" ref="P1296:P1359" si="7764">VLOOKUP($A1296,hospital_details,6,0)</f>
        <v>tier - 2</v>
      </c>
      <c r="Q1296" s="5" t="str">
        <f t="shared" ref="Q1296:Q1359" si="7765">VLOOKUP($A1296,hospital_details,7,0)</f>
        <v>tier - 1</v>
      </c>
      <c r="R1296" s="5" t="str">
        <f t="shared" ref="R1296:R1359" si="7766">VLOOKUP($A1296,hospital_details,8,0)</f>
        <v>R1012</v>
      </c>
    </row>
    <row r="1297" spans="1:18" ht="14.4" customHeight="1" x14ac:dyDescent="0.3">
      <c r="A1297" s="7" t="s">
        <v>1317</v>
      </c>
      <c r="B1297" s="7" t="str">
        <f>VLOOKUP($A1297,[1]!Customer_Names[#Data],3,0)</f>
        <v xml:space="preserve">  Alison</v>
      </c>
      <c r="C1297" s="7">
        <v>38.479999999999997</v>
      </c>
      <c r="D1297" s="7" t="str" cm="1">
        <f t="array" ref="D1297">_xlfn.IFS(Healthcare!$C1297&lt;18.5,"under weight",Healthcare!$C1297&lt;=24.9,"Normal Weight",Healthcare!$C1297&gt;=25,"overweight",Healthcare!$C1297&gt;=30,"obese")</f>
        <v>overweight</v>
      </c>
      <c r="E1297" s="7">
        <v>6.02</v>
      </c>
      <c r="F1297" s="7" t="str" cm="1">
        <f t="array" ref="F1297">_xlfn.IFS(Healthcare!$E1297&lt;5.7,"normal",Healthcare!$E1297&lt;=6.4,"prediabetes",Healthcare!$E1297&gt;=6.5,"diabetes")</f>
        <v>prediabetes</v>
      </c>
      <c r="G1297" s="7" t="s">
        <v>19</v>
      </c>
      <c r="H1297" s="7" t="s">
        <v>19</v>
      </c>
      <c r="I1297" s="7" t="s">
        <v>19</v>
      </c>
      <c r="J1297" s="7">
        <v>1</v>
      </c>
      <c r="K1297" s="7" t="s">
        <v>19</v>
      </c>
      <c r="L1297" s="7" t="str">
        <f>VLOOKUP(Healthcare!$A1297,hospital_details,2,0)</f>
        <v>9-Sep-1992</v>
      </c>
      <c r="M1297" s="7">
        <f t="shared" ref="M1297:M1360" ca="1" si="7767">VLOOKUP(A1297,hospital_details,3,0)</f>
        <v>34</v>
      </c>
      <c r="N1297" s="7">
        <f t="shared" ref="N1297:N1360" si="7768">VLOOKUP($A1297,hospital_details,4,0)</f>
        <v>0</v>
      </c>
      <c r="O1297" s="8">
        <f t="shared" ref="O1297:O1360" si="7769">VLOOKUP($A1297,hospital_details,5,0)</f>
        <v>8466.35</v>
      </c>
      <c r="P1297" s="7" t="str">
        <f t="shared" ref="P1297:P1360" si="7770">VLOOKUP($A1297,hospital_details,6,0)</f>
        <v>tier - 2</v>
      </c>
      <c r="Q1297" s="7" t="str">
        <f t="shared" ref="Q1297:Q1360" si="7771">VLOOKUP($A1297,hospital_details,7,0)</f>
        <v>tier - 2</v>
      </c>
      <c r="R1297" s="7" t="str">
        <f t="shared" ref="R1297:R1360" si="7772">VLOOKUP($A1297,hospital_details,8,0)</f>
        <v>R1012</v>
      </c>
    </row>
    <row r="1298" spans="1:18" ht="14.4" customHeight="1" x14ac:dyDescent="0.3">
      <c r="A1298" s="5" t="s">
        <v>1318</v>
      </c>
      <c r="B1298" s="5" t="str">
        <f>VLOOKUP($A1298,[1]!Customer_Names[#Data],3,0)</f>
        <v xml:space="preserve">  Neil K</v>
      </c>
      <c r="C1298" s="5">
        <v>36.200000000000003</v>
      </c>
      <c r="D1298" s="5" t="str" cm="1">
        <f t="array" ref="D1298">_xlfn.IFS(Healthcare!$C1298&lt;18.5,"under weight",Healthcare!$C1298&lt;=24.9,"Normal Weight",Healthcare!$C1298&gt;=25,"overweight",Healthcare!$C1298&gt;=30,"obese")</f>
        <v>overweight</v>
      </c>
      <c r="E1298" s="5">
        <v>4.62</v>
      </c>
      <c r="F1298" s="5" t="str" cm="1">
        <f t="array" ref="F1298">_xlfn.IFS(Healthcare!$E1298&lt;5.7,"normal",Healthcare!$E1298&lt;=6.4,"prediabetes",Healthcare!$E1298&gt;=6.5,"diabetes")</f>
        <v>normal</v>
      </c>
      <c r="G1298" s="5" t="s">
        <v>19</v>
      </c>
      <c r="H1298" s="5" t="s">
        <v>19</v>
      </c>
      <c r="I1298" s="5" t="s">
        <v>19</v>
      </c>
      <c r="J1298" s="5">
        <v>2</v>
      </c>
      <c r="K1298" s="5" t="s">
        <v>19</v>
      </c>
      <c r="L1298" s="5" t="str">
        <f>VLOOKUP(Healthcare!$A1298,hospital_details,2,0)</f>
        <v>26-Dec-1972</v>
      </c>
      <c r="M1298" s="5">
        <f t="shared" ref="M1298:M1361" ca="1" si="7773">VLOOKUP(A1298,hospital_details,3,0)</f>
        <v>53</v>
      </c>
      <c r="N1298" s="5">
        <f t="shared" ref="N1298:N1361" si="7774">VLOOKUP($A1298,hospital_details,4,0)</f>
        <v>0</v>
      </c>
      <c r="O1298" s="6">
        <f t="shared" ref="O1298:O1361" si="7775">VLOOKUP($A1298,hospital_details,5,0)</f>
        <v>8457.82</v>
      </c>
      <c r="P1298" s="5" t="str">
        <f t="shared" ref="P1298:P1361" si="7776">VLOOKUP($A1298,hospital_details,6,0)</f>
        <v>tier - 2</v>
      </c>
      <c r="Q1298" s="5" t="str">
        <f t="shared" ref="Q1298:Q1361" si="7777">VLOOKUP($A1298,hospital_details,7,0)</f>
        <v>tier - 3</v>
      </c>
      <c r="R1298" s="5" t="str">
        <f t="shared" ref="R1298:R1361" si="7778">VLOOKUP($A1298,hospital_details,8,0)</f>
        <v>R1011</v>
      </c>
    </row>
    <row r="1299" spans="1:18" ht="14.4" customHeight="1" x14ac:dyDescent="0.3">
      <c r="A1299" s="7" t="s">
        <v>1319</v>
      </c>
      <c r="B1299" s="7" t="str">
        <f>VLOOKUP($A1299,[1]!Customer_Names[#Data],3,0)</f>
        <v xml:space="preserve">  Anne Hunter</v>
      </c>
      <c r="C1299" s="7">
        <v>27.13</v>
      </c>
      <c r="D1299" s="7" t="str" cm="1">
        <f t="array" ref="D1299">_xlfn.IFS(Healthcare!$C1299&lt;18.5,"under weight",Healthcare!$C1299&lt;=24.9,"Normal Weight",Healthcare!$C1299&gt;=25,"overweight",Healthcare!$C1299&gt;=30,"obese")</f>
        <v>overweight</v>
      </c>
      <c r="E1299" s="7">
        <v>5.59</v>
      </c>
      <c r="F1299" s="7" t="str" cm="1">
        <f t="array" ref="F1299">_xlfn.IFS(Healthcare!$E1299&lt;5.7,"normal",Healthcare!$E1299&lt;=6.4,"prediabetes",Healthcare!$E1299&gt;=6.5,"diabetes")</f>
        <v>normal</v>
      </c>
      <c r="G1299" s="7" t="s">
        <v>19</v>
      </c>
      <c r="H1299" s="7" t="s">
        <v>19</v>
      </c>
      <c r="I1299" s="7" t="s">
        <v>19</v>
      </c>
      <c r="J1299" s="7">
        <v>1</v>
      </c>
      <c r="K1299" s="7" t="s">
        <v>19</v>
      </c>
      <c r="L1299" s="7" t="str">
        <f>VLOOKUP(Healthcare!$A1299,hospital_details,2,0)</f>
        <v>19-Jun-1984</v>
      </c>
      <c r="M1299" s="7">
        <f t="shared" ref="M1299:M1362" ca="1" si="7779">VLOOKUP(A1299,hospital_details,3,0)</f>
        <v>42</v>
      </c>
      <c r="N1299" s="7">
        <f t="shared" ref="N1299:N1362" si="7780">VLOOKUP($A1299,hospital_details,4,0)</f>
        <v>3</v>
      </c>
      <c r="O1299" s="8">
        <f t="shared" ref="O1299:O1362" si="7781">VLOOKUP($A1299,hospital_details,5,0)</f>
        <v>8450.82</v>
      </c>
      <c r="P1299" s="7" t="str">
        <f t="shared" ref="P1299:P1362" si="7782">VLOOKUP($A1299,hospital_details,6,0)</f>
        <v>tier - 2</v>
      </c>
      <c r="Q1299" s="7" t="str">
        <f t="shared" ref="Q1299:Q1362" si="7783">VLOOKUP($A1299,hospital_details,7,0)</f>
        <v>tier - 2</v>
      </c>
      <c r="R1299" s="7" t="str">
        <f t="shared" ref="R1299:R1362" si="7784">VLOOKUP($A1299,hospital_details,8,0)</f>
        <v>R1025</v>
      </c>
    </row>
    <row r="1300" spans="1:18" ht="14.4" customHeight="1" x14ac:dyDescent="0.3">
      <c r="A1300" s="5" t="s">
        <v>1320</v>
      </c>
      <c r="B1300" s="5" t="str">
        <f>VLOOKUP($A1300,[1]!Customer_Names[#Data],3,0)</f>
        <v xml:space="preserve">  Sandra</v>
      </c>
      <c r="C1300" s="5">
        <v>20.75</v>
      </c>
      <c r="D1300" s="5" t="str" cm="1">
        <f t="array" ref="D1300">_xlfn.IFS(Healthcare!$C1300&lt;18.5,"under weight",Healthcare!$C1300&lt;=24.9,"Normal Weight",Healthcare!$C1300&gt;=25,"overweight",Healthcare!$C1300&gt;=30,"obese")</f>
        <v>Normal Weight</v>
      </c>
      <c r="E1300" s="5">
        <v>5.18</v>
      </c>
      <c r="F1300" s="5" t="str" cm="1">
        <f t="array" ref="F1300">_xlfn.IFS(Healthcare!$E1300&lt;5.7,"normal",Healthcare!$E1300&lt;=6.4,"prediabetes",Healthcare!$E1300&gt;=6.5,"diabetes")</f>
        <v>normal</v>
      </c>
      <c r="G1300" s="5" t="s">
        <v>20</v>
      </c>
      <c r="H1300" s="5" t="s">
        <v>19</v>
      </c>
      <c r="I1300" s="5" t="s">
        <v>19</v>
      </c>
      <c r="J1300" s="5">
        <v>2</v>
      </c>
      <c r="K1300" s="5" t="s">
        <v>19</v>
      </c>
      <c r="L1300" s="5" t="str">
        <f>VLOOKUP(Healthcare!$A1300,hospital_details,2,0)</f>
        <v>12-Jun-1966</v>
      </c>
      <c r="M1300" s="5">
        <f t="shared" ref="M1300:M1363" ca="1" si="7785">VLOOKUP(A1300,hospital_details,3,0)</f>
        <v>60</v>
      </c>
      <c r="N1300" s="5">
        <f t="shared" ref="N1300:N1363" si="7786">VLOOKUP($A1300,hospital_details,4,0)</f>
        <v>0</v>
      </c>
      <c r="O1300" s="6">
        <f t="shared" ref="O1300:O1363" si="7787">VLOOKUP($A1300,hospital_details,5,0)</f>
        <v>8448.66</v>
      </c>
      <c r="P1300" s="5" t="str">
        <f t="shared" ref="P1300:P1363" si="7788">VLOOKUP($A1300,hospital_details,6,0)</f>
        <v>tier - 3</v>
      </c>
      <c r="Q1300" s="5" t="str">
        <f t="shared" ref="Q1300:Q1363" si="7789">VLOOKUP($A1300,hospital_details,7,0)</f>
        <v>tier - 1</v>
      </c>
      <c r="R1300" s="5" t="str">
        <f t="shared" ref="R1300:R1363" si="7790">VLOOKUP($A1300,hospital_details,8,0)</f>
        <v>R1013</v>
      </c>
    </row>
    <row r="1301" spans="1:18" ht="14.4" customHeight="1" x14ac:dyDescent="0.3">
      <c r="A1301" s="7" t="s">
        <v>1321</v>
      </c>
      <c r="B1301" s="7" t="str">
        <f>VLOOKUP($A1301,[1]!Customer_Names[#Data],3,0)</f>
        <v xml:space="preserve">  Robert</v>
      </c>
      <c r="C1301" s="7">
        <v>26.6</v>
      </c>
      <c r="D1301" s="7" t="str" cm="1">
        <f t="array" ref="D1301">_xlfn.IFS(Healthcare!$C1301&lt;18.5,"under weight",Healthcare!$C1301&lt;=24.9,"Normal Weight",Healthcare!$C1301&gt;=25,"overweight",Healthcare!$C1301&gt;=30,"obese")</f>
        <v>overweight</v>
      </c>
      <c r="E1301" s="7">
        <v>6.29</v>
      </c>
      <c r="F1301" s="7" t="str" cm="1">
        <f t="array" ref="F1301">_xlfn.IFS(Healthcare!$E1301&lt;5.7,"normal",Healthcare!$E1301&lt;=6.4,"prediabetes",Healthcare!$E1301&gt;=6.5,"diabetes")</f>
        <v>prediabetes</v>
      </c>
      <c r="G1301" s="7" t="s">
        <v>19</v>
      </c>
      <c r="H1301" s="7" t="s">
        <v>19</v>
      </c>
      <c r="I1301" s="7" t="s">
        <v>19</v>
      </c>
      <c r="J1301" s="7">
        <v>2</v>
      </c>
      <c r="K1301" s="7" t="s">
        <v>19</v>
      </c>
      <c r="L1301" s="7" t="str">
        <f>VLOOKUP(Healthcare!$A1301,hospital_details,2,0)</f>
        <v>4-Sep-1972</v>
      </c>
      <c r="M1301" s="7">
        <f t="shared" ref="M1301:M1364" ca="1" si="7791">VLOOKUP(A1301,hospital_details,3,0)</f>
        <v>54</v>
      </c>
      <c r="N1301" s="7">
        <f t="shared" ref="N1301:N1364" si="7792">VLOOKUP($A1301,hospital_details,4,0)</f>
        <v>0</v>
      </c>
      <c r="O1301" s="8">
        <f t="shared" ref="O1301:O1364" si="7793">VLOOKUP($A1301,hospital_details,5,0)</f>
        <v>8444.4699999999993</v>
      </c>
      <c r="P1301" s="7" t="str">
        <f t="shared" ref="P1301:P1364" si="7794">VLOOKUP($A1301,hospital_details,6,0)</f>
        <v>tier - 3</v>
      </c>
      <c r="Q1301" s="7" t="str">
        <f t="shared" ref="Q1301:Q1364" si="7795">VLOOKUP($A1301,hospital_details,7,0)</f>
        <v>tier - 1</v>
      </c>
      <c r="R1301" s="7" t="str">
        <f t="shared" ref="R1301:R1364" si="7796">VLOOKUP($A1301,hospital_details,8,0)</f>
        <v>R1011</v>
      </c>
    </row>
    <row r="1302" spans="1:18" ht="14.4" customHeight="1" x14ac:dyDescent="0.3">
      <c r="A1302" s="5" t="s">
        <v>1322</v>
      </c>
      <c r="B1302" s="5" t="str">
        <f>VLOOKUP($A1302,[1]!Customer_Names[#Data],3,0)</f>
        <v xml:space="preserve">  Rodney</v>
      </c>
      <c r="C1302" s="5">
        <v>25.3</v>
      </c>
      <c r="D1302" s="5" t="str" cm="1">
        <f t="array" ref="D1302">_xlfn.IFS(Healthcare!$C1302&lt;18.5,"under weight",Healthcare!$C1302&lt;=24.9,"Normal Weight",Healthcare!$C1302&gt;=25,"overweight",Healthcare!$C1302&gt;=30,"obese")</f>
        <v>overweight</v>
      </c>
      <c r="E1302" s="5">
        <v>4.49</v>
      </c>
      <c r="F1302" s="5" t="str" cm="1">
        <f t="array" ref="F1302">_xlfn.IFS(Healthcare!$E1302&lt;5.7,"normal",Healthcare!$E1302&lt;=6.4,"prediabetes",Healthcare!$E1302&gt;=6.5,"diabetes")</f>
        <v>normal</v>
      </c>
      <c r="G1302" s="5" t="s">
        <v>19</v>
      </c>
      <c r="H1302" s="5" t="s">
        <v>19</v>
      </c>
      <c r="I1302" s="5" t="s">
        <v>19</v>
      </c>
      <c r="J1302" s="5">
        <v>2</v>
      </c>
      <c r="K1302" s="5" t="s">
        <v>19</v>
      </c>
      <c r="L1302" s="5" t="str">
        <f>VLOOKUP(Healthcare!$A1302,hospital_details,2,0)</f>
        <v>9-Sep-1972</v>
      </c>
      <c r="M1302" s="5">
        <f t="shared" ref="M1302:M1365" ca="1" si="7797">VLOOKUP(A1302,hospital_details,3,0)</f>
        <v>54</v>
      </c>
      <c r="N1302" s="5">
        <f t="shared" ref="N1302:N1365" si="7798">VLOOKUP($A1302,hospital_details,4,0)</f>
        <v>0</v>
      </c>
      <c r="O1302" s="6">
        <f t="shared" ref="O1302:O1365" si="7799">VLOOKUP($A1302,hospital_details,5,0)</f>
        <v>8442.67</v>
      </c>
      <c r="P1302" s="5" t="str">
        <f t="shared" ref="P1302:P1365" si="7800">VLOOKUP($A1302,hospital_details,6,0)</f>
        <v>tier - 2</v>
      </c>
      <c r="Q1302" s="5" t="str">
        <f t="shared" ref="Q1302:Q1365" si="7801">VLOOKUP($A1302,hospital_details,7,0)</f>
        <v>tier - 3</v>
      </c>
      <c r="R1302" s="5" t="str">
        <f t="shared" ref="R1302:R1365" si="7802">VLOOKUP($A1302,hospital_details,8,0)</f>
        <v>R1013</v>
      </c>
    </row>
    <row r="1303" spans="1:18" ht="14.4" customHeight="1" x14ac:dyDescent="0.3">
      <c r="A1303" s="7" t="s">
        <v>1323</v>
      </c>
      <c r="B1303" s="7" t="str">
        <f>VLOOKUP($A1303,[1]!Customer_Names[#Data],3,0)</f>
        <v xml:space="preserve">  Carl R</v>
      </c>
      <c r="C1303" s="7">
        <v>18.84</v>
      </c>
      <c r="D1303" s="7" t="str" cm="1">
        <f t="array" ref="D1303">_xlfn.IFS(Healthcare!$C1303&lt;18.5,"under weight",Healthcare!$C1303&lt;=24.9,"Normal Weight",Healthcare!$C1303&gt;=25,"overweight",Healthcare!$C1303&gt;=30,"obese")</f>
        <v>Normal Weight</v>
      </c>
      <c r="E1303" s="7">
        <v>11.82</v>
      </c>
      <c r="F1303" s="7" t="str" cm="1">
        <f t="array" ref="F1303">_xlfn.IFS(Healthcare!$E1303&lt;5.7,"normal",Healthcare!$E1303&lt;=6.4,"prediabetes",Healthcare!$E1303&gt;=6.5,"diabetes")</f>
        <v>diabetes</v>
      </c>
      <c r="G1303" s="7" t="s">
        <v>20</v>
      </c>
      <c r="H1303" s="7" t="s">
        <v>19</v>
      </c>
      <c r="I1303" s="7" t="s">
        <v>29</v>
      </c>
      <c r="J1303" s="7">
        <v>1</v>
      </c>
      <c r="K1303" s="7" t="s">
        <v>19</v>
      </c>
      <c r="L1303" s="7" t="str">
        <f>VLOOKUP(Healthcare!$A1303,hospital_details,2,0)</f>
        <v>24-Sep-1963</v>
      </c>
      <c r="M1303" s="7">
        <f t="shared" ref="M1303:M1366" ca="1" si="7803">VLOOKUP(A1303,hospital_details,3,0)</f>
        <v>63</v>
      </c>
      <c r="N1303" s="7">
        <f t="shared" ref="N1303:N1366" si="7804">VLOOKUP($A1303,hospital_details,4,0)</f>
        <v>0</v>
      </c>
      <c r="O1303" s="8">
        <f t="shared" ref="O1303:O1366" si="7805">VLOOKUP($A1303,hospital_details,5,0)</f>
        <v>8440.0499999999993</v>
      </c>
      <c r="P1303" s="7" t="str">
        <f t="shared" ref="P1303:P1366" si="7806">VLOOKUP($A1303,hospital_details,6,0)</f>
        <v>tier - 3</v>
      </c>
      <c r="Q1303" s="7" t="str">
        <f t="shared" ref="Q1303:Q1366" si="7807">VLOOKUP($A1303,hospital_details,7,0)</f>
        <v>tier - 2</v>
      </c>
      <c r="R1303" s="7" t="str">
        <f t="shared" ref="R1303:R1366" si="7808">VLOOKUP($A1303,hospital_details,8,0)</f>
        <v>R1013</v>
      </c>
    </row>
    <row r="1304" spans="1:18" ht="14.4" customHeight="1" x14ac:dyDescent="0.3">
      <c r="A1304" s="5" t="s">
        <v>1324</v>
      </c>
      <c r="B1304" s="5" t="str">
        <f>VLOOKUP($A1304,[1]!Customer_Names[#Data],3,0)</f>
        <v xml:space="preserve">  Maximilian</v>
      </c>
      <c r="C1304" s="5">
        <v>19.57</v>
      </c>
      <c r="D1304" s="5" t="str" cm="1">
        <f t="array" ref="D1304">_xlfn.IFS(Healthcare!$C1304&lt;18.5,"under weight",Healthcare!$C1304&lt;=24.9,"Normal Weight",Healthcare!$C1304&gt;=25,"overweight",Healthcare!$C1304&gt;=30,"obese")</f>
        <v>Normal Weight</v>
      </c>
      <c r="E1304" s="5">
        <v>7.41</v>
      </c>
      <c r="F1304" s="5" t="str" cm="1">
        <f t="array" ref="F1304">_xlfn.IFS(Healthcare!$E1304&lt;5.7,"normal",Healthcare!$E1304&lt;=6.4,"prediabetes",Healthcare!$E1304&gt;=6.5,"diabetes")</f>
        <v>diabetes</v>
      </c>
      <c r="G1304" s="5" t="s">
        <v>20</v>
      </c>
      <c r="H1304" s="5" t="s">
        <v>19</v>
      </c>
      <c r="I1304" s="5" t="s">
        <v>19</v>
      </c>
      <c r="J1304" s="5">
        <v>1</v>
      </c>
      <c r="K1304" s="5" t="s">
        <v>19</v>
      </c>
      <c r="L1304" s="5" t="str">
        <f>VLOOKUP(Healthcare!$A1304,hospital_details,2,0)</f>
        <v>28-Sep-1975</v>
      </c>
      <c r="M1304" s="5">
        <f t="shared" ref="M1304:M1367" ca="1" si="7809">VLOOKUP(A1304,hospital_details,3,0)</f>
        <v>51</v>
      </c>
      <c r="N1304" s="5">
        <f t="shared" ref="N1304:N1367" si="7810">VLOOKUP($A1304,hospital_details,4,0)</f>
        <v>1</v>
      </c>
      <c r="O1304" s="6">
        <f t="shared" ref="O1304:O1367" si="7811">VLOOKUP($A1304,hospital_details,5,0)</f>
        <v>8428.07</v>
      </c>
      <c r="P1304" s="5" t="str">
        <f t="shared" ref="P1304:P1367" si="7812">VLOOKUP($A1304,hospital_details,6,0)</f>
        <v>tier - 3</v>
      </c>
      <c r="Q1304" s="5" t="str">
        <f t="shared" ref="Q1304:Q1367" si="7813">VLOOKUP($A1304,hospital_details,7,0)</f>
        <v>tier - 2</v>
      </c>
      <c r="R1304" s="5" t="str">
        <f t="shared" ref="R1304:R1367" si="7814">VLOOKUP($A1304,hospital_details,8,0)</f>
        <v>R1012</v>
      </c>
    </row>
    <row r="1305" spans="1:18" ht="14.4" customHeight="1" x14ac:dyDescent="0.3">
      <c r="A1305" s="7" t="s">
        <v>1325</v>
      </c>
      <c r="B1305" s="7" t="str">
        <f>VLOOKUP($A1305,[1]!Customer_Names[#Data],3,0)</f>
        <v xml:space="preserve">  Erik</v>
      </c>
      <c r="C1305" s="7">
        <v>30.495000000000001</v>
      </c>
      <c r="D1305" s="7" t="str" cm="1">
        <f t="array" ref="D1305">_xlfn.IFS(Healthcare!$C1305&lt;18.5,"under weight",Healthcare!$C1305&lt;=24.9,"Normal Weight",Healthcare!$C1305&gt;=25,"overweight",Healthcare!$C1305&gt;=30,"obese")</f>
        <v>overweight</v>
      </c>
      <c r="E1305" s="7">
        <v>5.97</v>
      </c>
      <c r="F1305" s="7" t="str" cm="1">
        <f t="array" ref="F1305">_xlfn.IFS(Healthcare!$E1305&lt;5.7,"normal",Healthcare!$E1305&lt;=6.4,"prediabetes",Healthcare!$E1305&gt;=6.5,"diabetes")</f>
        <v>prediabetes</v>
      </c>
      <c r="G1305" s="7" t="s">
        <v>19</v>
      </c>
      <c r="H1305" s="7" t="s">
        <v>19</v>
      </c>
      <c r="I1305" s="7" t="s">
        <v>19</v>
      </c>
      <c r="J1305" s="7">
        <v>0</v>
      </c>
      <c r="K1305" s="7" t="s">
        <v>19</v>
      </c>
      <c r="L1305" s="7" t="str">
        <f>VLOOKUP(Healthcare!$A1305,hospital_details,2,0)</f>
        <v>4-Sep-1977</v>
      </c>
      <c r="M1305" s="7">
        <f t="shared" ref="M1305:M1368" ca="1" si="7815">VLOOKUP(A1305,hospital_details,3,0)</f>
        <v>49</v>
      </c>
      <c r="N1305" s="7">
        <f t="shared" ref="N1305:N1368" si="7816">VLOOKUP($A1305,hospital_details,4,0)</f>
        <v>2</v>
      </c>
      <c r="O1305" s="8">
        <f t="shared" ref="O1305:O1368" si="7817">VLOOKUP($A1305,hospital_details,5,0)</f>
        <v>8413.4599999999991</v>
      </c>
      <c r="P1305" s="7" t="str">
        <f t="shared" ref="P1305:P1368" si="7818">VLOOKUP($A1305,hospital_details,6,0)</f>
        <v>tier - 3</v>
      </c>
      <c r="Q1305" s="7" t="str">
        <f t="shared" ref="Q1305:Q1368" si="7819">VLOOKUP($A1305,hospital_details,7,0)</f>
        <v>tier - 1</v>
      </c>
      <c r="R1305" s="7" t="str">
        <f t="shared" ref="R1305:R1368" si="7820">VLOOKUP($A1305,hospital_details,8,0)</f>
        <v>R1012</v>
      </c>
    </row>
    <row r="1306" spans="1:18" ht="14.4" customHeight="1" x14ac:dyDescent="0.3">
      <c r="A1306" s="5" t="s">
        <v>1326</v>
      </c>
      <c r="B1306" s="5" t="str">
        <f>VLOOKUP($A1306,[1]!Customer_Names[#Data],3,0)</f>
        <v xml:space="preserve">  Christopher</v>
      </c>
      <c r="C1306" s="5">
        <v>30.114999999999998</v>
      </c>
      <c r="D1306" s="5" t="str" cm="1">
        <f t="array" ref="D1306">_xlfn.IFS(Healthcare!$C1306&lt;18.5,"under weight",Healthcare!$C1306&lt;=24.9,"Normal Weight",Healthcare!$C1306&gt;=25,"overweight",Healthcare!$C1306&gt;=30,"obese")</f>
        <v>overweight</v>
      </c>
      <c r="E1306" s="5">
        <v>5.74</v>
      </c>
      <c r="F1306" s="5" t="str" cm="1">
        <f t="array" ref="F1306">_xlfn.IFS(Healthcare!$E1306&lt;5.7,"normal",Healthcare!$E1306&lt;=6.4,"prediabetes",Healthcare!$E1306&gt;=6.5,"diabetes")</f>
        <v>prediabetes</v>
      </c>
      <c r="G1306" s="5" t="s">
        <v>19</v>
      </c>
      <c r="H1306" s="5" t="s">
        <v>19</v>
      </c>
      <c r="I1306" s="5" t="s">
        <v>29</v>
      </c>
      <c r="J1306" s="5">
        <v>1</v>
      </c>
      <c r="K1306" s="5" t="s">
        <v>19</v>
      </c>
      <c r="L1306" s="5" t="str">
        <f>VLOOKUP(Healthcare!$A1306,hospital_details,2,0)</f>
        <v>11-Jun-1979</v>
      </c>
      <c r="M1306" s="5">
        <f t="shared" ref="M1306:M1369" ca="1" si="7821">VLOOKUP(A1306,hospital_details,3,0)</f>
        <v>47</v>
      </c>
      <c r="N1306" s="5">
        <f t="shared" ref="N1306:N1369" si="7822">VLOOKUP($A1306,hospital_details,4,0)</f>
        <v>3</v>
      </c>
      <c r="O1306" s="6">
        <f t="shared" ref="O1306:O1369" si="7823">VLOOKUP($A1306,hospital_details,5,0)</f>
        <v>8410.0499999999993</v>
      </c>
      <c r="P1306" s="5" t="str">
        <f t="shared" ref="P1306:P1369" si="7824">VLOOKUP($A1306,hospital_details,6,0)</f>
        <v>tier - 2</v>
      </c>
      <c r="Q1306" s="5" t="str">
        <f t="shared" ref="Q1306:Q1369" si="7825">VLOOKUP($A1306,hospital_details,7,0)</f>
        <v>tier - 2</v>
      </c>
      <c r="R1306" s="5" t="str">
        <f t="shared" ref="R1306:R1369" si="7826">VLOOKUP($A1306,hospital_details,8,0)</f>
        <v>R1012</v>
      </c>
    </row>
    <row r="1307" spans="1:18" ht="14.4" customHeight="1" x14ac:dyDescent="0.3">
      <c r="A1307" s="7" t="s">
        <v>1327</v>
      </c>
      <c r="B1307" s="7" t="str">
        <f>VLOOKUP($A1307,[1]!Customer_Names[#Data],3,0)</f>
        <v xml:space="preserve">  Eirik</v>
      </c>
      <c r="C1307" s="7">
        <v>24.78</v>
      </c>
      <c r="D1307" s="7" t="str" cm="1">
        <f t="array" ref="D1307">_xlfn.IFS(Healthcare!$C1307&lt;18.5,"under weight",Healthcare!$C1307&lt;=24.9,"Normal Weight",Healthcare!$C1307&gt;=25,"overweight",Healthcare!$C1307&gt;=30,"obese")</f>
        <v>Normal Weight</v>
      </c>
      <c r="E1307" s="7">
        <v>9.85</v>
      </c>
      <c r="F1307" s="7" t="str" cm="1">
        <f t="array" ref="F1307">_xlfn.IFS(Healthcare!$E1307&lt;5.7,"normal",Healthcare!$E1307&lt;=6.4,"prediabetes",Healthcare!$E1307&gt;=6.5,"diabetes")</f>
        <v>diabetes</v>
      </c>
      <c r="G1307" s="7" t="s">
        <v>19</v>
      </c>
      <c r="H1307" s="7" t="s">
        <v>19</v>
      </c>
      <c r="I1307" s="7" t="s">
        <v>19</v>
      </c>
      <c r="J1307" s="7">
        <v>0</v>
      </c>
      <c r="K1307" s="7" t="s">
        <v>19</v>
      </c>
      <c r="L1307" s="7" t="str">
        <f>VLOOKUP(Healthcare!$A1307,hospital_details,2,0)</f>
        <v>18-Sep-1971</v>
      </c>
      <c r="M1307" s="7">
        <f t="shared" ref="M1307:M1370" ca="1" si="7827">VLOOKUP(A1307,hospital_details,3,0)</f>
        <v>55</v>
      </c>
      <c r="N1307" s="7">
        <f t="shared" ref="N1307:N1370" si="7828">VLOOKUP($A1307,hospital_details,4,0)</f>
        <v>0</v>
      </c>
      <c r="O1307" s="8">
        <f t="shared" ref="O1307:O1370" si="7829">VLOOKUP($A1307,hospital_details,5,0)</f>
        <v>8400.01</v>
      </c>
      <c r="P1307" s="7" t="str">
        <f t="shared" ref="P1307:P1370" si="7830">VLOOKUP($A1307,hospital_details,6,0)</f>
        <v>tier - 2</v>
      </c>
      <c r="Q1307" s="7" t="str">
        <f t="shared" ref="Q1307:Q1370" si="7831">VLOOKUP($A1307,hospital_details,7,0)</f>
        <v>tier - 3</v>
      </c>
      <c r="R1307" s="7" t="str">
        <f t="shared" ref="R1307:R1370" si="7832">VLOOKUP($A1307,hospital_details,8,0)</f>
        <v>R1013</v>
      </c>
    </row>
    <row r="1308" spans="1:18" ht="14.4" customHeight="1" x14ac:dyDescent="0.3">
      <c r="A1308" s="5" t="s">
        <v>1328</v>
      </c>
      <c r="B1308" s="5" t="str">
        <f>VLOOKUP($A1308,[1]!Customer_Names[#Data],3,0)</f>
        <v xml:space="preserve">  Rik</v>
      </c>
      <c r="C1308" s="5">
        <v>24.77</v>
      </c>
      <c r="D1308" s="5" t="str" cm="1">
        <f t="array" ref="D1308">_xlfn.IFS(Healthcare!$C1308&lt;18.5,"under weight",Healthcare!$C1308&lt;=24.9,"Normal Weight",Healthcare!$C1308&gt;=25,"overweight",Healthcare!$C1308&gt;=30,"obese")</f>
        <v>Normal Weight</v>
      </c>
      <c r="E1308" s="5">
        <v>7.59</v>
      </c>
      <c r="F1308" s="5" t="str" cm="1">
        <f t="array" ref="F1308">_xlfn.IFS(Healthcare!$E1308&lt;5.7,"normal",Healthcare!$E1308&lt;=6.4,"prediabetes",Healthcare!$E1308&gt;=6.5,"diabetes")</f>
        <v>diabetes</v>
      </c>
      <c r="G1308" s="5" t="s">
        <v>19</v>
      </c>
      <c r="H1308" s="5" t="s">
        <v>19</v>
      </c>
      <c r="I1308" s="5" t="s">
        <v>19</v>
      </c>
      <c r="J1308" s="5">
        <v>0</v>
      </c>
      <c r="K1308" s="5" t="s">
        <v>19</v>
      </c>
      <c r="L1308" s="5" t="str">
        <f>VLOOKUP(Healthcare!$A1308,hospital_details,2,0)</f>
        <v>4-Sep-1971</v>
      </c>
      <c r="M1308" s="5">
        <f t="shared" ref="M1308:M1371" ca="1" si="7833">VLOOKUP(A1308,hospital_details,3,0)</f>
        <v>55</v>
      </c>
      <c r="N1308" s="5">
        <f t="shared" ref="N1308:N1371" si="7834">VLOOKUP($A1308,hospital_details,4,0)</f>
        <v>0</v>
      </c>
      <c r="O1308" s="6">
        <f t="shared" ref="O1308:O1371" si="7835">VLOOKUP($A1308,hospital_details,5,0)</f>
        <v>8396.6200000000008</v>
      </c>
      <c r="P1308" s="5" t="str">
        <f t="shared" ref="P1308:P1371" si="7836">VLOOKUP($A1308,hospital_details,6,0)</f>
        <v>tier - 2</v>
      </c>
      <c r="Q1308" s="5" t="str">
        <f t="shared" ref="Q1308:Q1371" si="7837">VLOOKUP($A1308,hospital_details,7,0)</f>
        <v>tier - 3</v>
      </c>
      <c r="R1308" s="5" t="str">
        <f t="shared" ref="R1308:R1371" si="7838">VLOOKUP($A1308,hospital_details,8,0)</f>
        <v>R1013</v>
      </c>
    </row>
    <row r="1309" spans="1:18" ht="14.4" customHeight="1" x14ac:dyDescent="0.3">
      <c r="A1309" s="7" t="s">
        <v>1329</v>
      </c>
      <c r="B1309" s="7" t="str">
        <f>VLOOKUP($A1309,[1]!Customer_Names[#Data],3,0)</f>
        <v xml:space="preserve">  Matthew R</v>
      </c>
      <c r="C1309" s="7">
        <v>16.579999999999998</v>
      </c>
      <c r="D1309" s="7" t="str" cm="1">
        <f t="array" ref="D1309">_xlfn.IFS(Healthcare!$C1309&lt;18.5,"under weight",Healthcare!$C1309&lt;=24.9,"Normal Weight",Healthcare!$C1309&gt;=25,"overweight",Healthcare!$C1309&gt;=30,"obese")</f>
        <v>under weight</v>
      </c>
      <c r="E1309" s="7">
        <v>6.98</v>
      </c>
      <c r="F1309" s="7" t="str" cm="1">
        <f t="array" ref="F1309">_xlfn.IFS(Healthcare!$E1309&lt;5.7,"normal",Healthcare!$E1309&lt;=6.4,"prediabetes",Healthcare!$E1309&gt;=6.5,"diabetes")</f>
        <v>diabetes</v>
      </c>
      <c r="G1309" s="7" t="s">
        <v>20</v>
      </c>
      <c r="H1309" s="7" t="s">
        <v>19</v>
      </c>
      <c r="I1309" s="7" t="s">
        <v>29</v>
      </c>
      <c r="J1309" s="7">
        <v>1</v>
      </c>
      <c r="K1309" s="7" t="s">
        <v>19</v>
      </c>
      <c r="L1309" s="7" t="str">
        <f>VLOOKUP(Healthcare!$A1309,hospital_details,2,0)</f>
        <v>21-Sep-1963</v>
      </c>
      <c r="M1309" s="7">
        <f t="shared" ref="M1309:M1372" ca="1" si="7839">VLOOKUP(A1309,hospital_details,3,0)</f>
        <v>63</v>
      </c>
      <c r="N1309" s="7">
        <f t="shared" ref="N1309:N1372" si="7840">VLOOKUP($A1309,hospital_details,4,0)</f>
        <v>0</v>
      </c>
      <c r="O1309" s="8">
        <f t="shared" ref="O1309:O1372" si="7841">VLOOKUP($A1309,hospital_details,5,0)</f>
        <v>8355.5400000000009</v>
      </c>
      <c r="P1309" s="7" t="str">
        <f t="shared" ref="P1309:P1372" si="7842">VLOOKUP($A1309,hospital_details,6,0)</f>
        <v>tier - 3</v>
      </c>
      <c r="Q1309" s="7" t="str">
        <f t="shared" ref="Q1309:Q1372" si="7843">VLOOKUP($A1309,hospital_details,7,0)</f>
        <v>tier - 3</v>
      </c>
      <c r="R1309" s="7" t="str">
        <f t="shared" ref="R1309:R1372" si="7844">VLOOKUP($A1309,hospital_details,8,0)</f>
        <v>R1012</v>
      </c>
    </row>
    <row r="1310" spans="1:18" ht="14.4" customHeight="1" x14ac:dyDescent="0.3">
      <c r="A1310" s="5" t="s">
        <v>1330</v>
      </c>
      <c r="B1310" s="5" t="str">
        <f>VLOOKUP($A1310,[1]!Customer_Names[#Data],3,0)</f>
        <v xml:space="preserve">  Daniel G</v>
      </c>
      <c r="C1310" s="5">
        <v>38.17</v>
      </c>
      <c r="D1310" s="5" t="str" cm="1">
        <f t="array" ref="D1310">_xlfn.IFS(Healthcare!$C1310&lt;18.5,"under weight",Healthcare!$C1310&lt;=24.9,"Normal Weight",Healthcare!$C1310&gt;=25,"overweight",Healthcare!$C1310&gt;=30,"obese")</f>
        <v>overweight</v>
      </c>
      <c r="E1310" s="5">
        <v>4.7300000000000004</v>
      </c>
      <c r="F1310" s="5" t="str" cm="1">
        <f t="array" ref="F1310">_xlfn.IFS(Healthcare!$E1310&lt;5.7,"normal",Healthcare!$E1310&lt;=6.4,"prediabetes",Healthcare!$E1310&gt;=6.5,"diabetes")</f>
        <v>normal</v>
      </c>
      <c r="G1310" s="5" t="s">
        <v>20</v>
      </c>
      <c r="H1310" s="5" t="s">
        <v>19</v>
      </c>
      <c r="I1310" s="5" t="s">
        <v>19</v>
      </c>
      <c r="J1310" s="5">
        <v>0</v>
      </c>
      <c r="K1310" s="5" t="s">
        <v>19</v>
      </c>
      <c r="L1310" s="5" t="str">
        <f>VLOOKUP(Healthcare!$A1310,hospital_details,2,0)</f>
        <v>12-Jun-1976</v>
      </c>
      <c r="M1310" s="5">
        <f t="shared" ref="M1310:M1373" ca="1" si="7845">VLOOKUP(A1310,hospital_details,3,0)</f>
        <v>50</v>
      </c>
      <c r="N1310" s="5">
        <f t="shared" ref="N1310:N1373" si="7846">VLOOKUP($A1310,hospital_details,4,0)</f>
        <v>2</v>
      </c>
      <c r="O1310" s="6">
        <f t="shared" ref="O1310:O1373" si="7847">VLOOKUP($A1310,hospital_details,5,0)</f>
        <v>8347.16</v>
      </c>
      <c r="P1310" s="5" t="str">
        <f t="shared" ref="P1310:P1373" si="7848">VLOOKUP($A1310,hospital_details,6,0)</f>
        <v>tier - 2</v>
      </c>
      <c r="Q1310" s="5" t="str">
        <f t="shared" ref="Q1310:Q1373" si="7849">VLOOKUP($A1310,hospital_details,7,0)</f>
        <v>tier - 1</v>
      </c>
      <c r="R1310" s="5" t="str">
        <f t="shared" ref="R1310:R1373" si="7850">VLOOKUP($A1310,hospital_details,8,0)</f>
        <v>R1013</v>
      </c>
    </row>
    <row r="1311" spans="1:18" ht="14.4" customHeight="1" x14ac:dyDescent="0.3">
      <c r="A1311" s="7" t="s">
        <v>1331</v>
      </c>
      <c r="B1311" s="7" t="str">
        <f>VLOOKUP($A1311,[1]!Customer_Names[#Data],3,0)</f>
        <v xml:space="preserve">  Yannick</v>
      </c>
      <c r="C1311" s="7">
        <v>39.424999999999997</v>
      </c>
      <c r="D1311" s="7" t="str" cm="1">
        <f t="array" ref="D1311">_xlfn.IFS(Healthcare!$C1311&lt;18.5,"under weight",Healthcare!$C1311&lt;=24.9,"Normal Weight",Healthcare!$C1311&gt;=25,"overweight",Healthcare!$C1311&gt;=30,"obese")</f>
        <v>overweight</v>
      </c>
      <c r="E1311" s="7">
        <v>4.76</v>
      </c>
      <c r="F1311" s="7" t="str" cm="1">
        <f t="array" ref="F1311">_xlfn.IFS(Healthcare!$E1311&lt;5.7,"normal",Healthcare!$E1311&lt;=6.4,"prediabetes",Healthcare!$E1311&gt;=6.5,"diabetes")</f>
        <v>normal</v>
      </c>
      <c r="G1311" s="7" t="s">
        <v>20</v>
      </c>
      <c r="H1311" s="7" t="s">
        <v>19</v>
      </c>
      <c r="I1311" s="7" t="s">
        <v>19</v>
      </c>
      <c r="J1311" s="7">
        <v>0</v>
      </c>
      <c r="K1311" s="7" t="s">
        <v>19</v>
      </c>
      <c r="L1311" s="7" t="str">
        <f>VLOOKUP(Healthcare!$A1311,hospital_details,2,0)</f>
        <v>7-Jul-1976</v>
      </c>
      <c r="M1311" s="7">
        <f t="shared" ref="M1311:M1374" ca="1" si="7851">VLOOKUP(A1311,hospital_details,3,0)</f>
        <v>50</v>
      </c>
      <c r="N1311" s="7">
        <f t="shared" ref="N1311:N1374" si="7852">VLOOKUP($A1311,hospital_details,4,0)</f>
        <v>1</v>
      </c>
      <c r="O1311" s="8">
        <f t="shared" ref="O1311:O1374" si="7853">VLOOKUP($A1311,hospital_details,5,0)</f>
        <v>8342.91</v>
      </c>
      <c r="P1311" s="7" t="str">
        <f t="shared" ref="P1311:P1374" si="7854">VLOOKUP($A1311,hospital_details,6,0)</f>
        <v>tier - 3</v>
      </c>
      <c r="Q1311" s="7" t="str">
        <f t="shared" ref="Q1311:Q1374" si="7855">VLOOKUP($A1311,hospital_details,7,0)</f>
        <v>tier - 1</v>
      </c>
      <c r="R1311" s="7" t="str">
        <f t="shared" ref="R1311:R1374" si="7856">VLOOKUP($A1311,hospital_details,8,0)</f>
        <v>R1016</v>
      </c>
    </row>
    <row r="1312" spans="1:18" ht="14.4" customHeight="1" x14ac:dyDescent="0.3">
      <c r="A1312" s="5" t="s">
        <v>1332</v>
      </c>
      <c r="B1312" s="5" t="str">
        <f>VLOOKUP($A1312,[1]!Customer_Names[#Data],3,0)</f>
        <v xml:space="preserve">  Sean R</v>
      </c>
      <c r="C1312" s="5">
        <v>33.44</v>
      </c>
      <c r="D1312" s="5" t="str" cm="1">
        <f t="array" ref="D1312">_xlfn.IFS(Healthcare!$C1312&lt;18.5,"under weight",Healthcare!$C1312&lt;=24.9,"Normal Weight",Healthcare!$C1312&gt;=25,"overweight",Healthcare!$C1312&gt;=30,"obese")</f>
        <v>overweight</v>
      </c>
      <c r="E1312" s="5">
        <v>6.24</v>
      </c>
      <c r="F1312" s="5" t="str" cm="1">
        <f t="array" ref="F1312">_xlfn.IFS(Healthcare!$E1312&lt;5.7,"normal",Healthcare!$E1312&lt;=6.4,"prediabetes",Healthcare!$E1312&gt;=6.5,"diabetes")</f>
        <v>prediabetes</v>
      </c>
      <c r="G1312" s="5" t="s">
        <v>20</v>
      </c>
      <c r="H1312" s="5" t="s">
        <v>19</v>
      </c>
      <c r="I1312" s="5" t="s">
        <v>19</v>
      </c>
      <c r="J1312" s="5">
        <v>0</v>
      </c>
      <c r="K1312" s="5" t="s">
        <v>19</v>
      </c>
      <c r="L1312" s="5" t="str">
        <f>VLOOKUP(Healthcare!$A1312,hospital_details,2,0)</f>
        <v>20-Jul-1976</v>
      </c>
      <c r="M1312" s="5">
        <f t="shared" ref="M1312:M1375" ca="1" si="7857">VLOOKUP(A1312,hospital_details,3,0)</f>
        <v>50</v>
      </c>
      <c r="N1312" s="5">
        <f t="shared" ref="N1312:N1375" si="7858">VLOOKUP($A1312,hospital_details,4,0)</f>
        <v>1</v>
      </c>
      <c r="O1312" s="6">
        <f t="shared" ref="O1312:O1375" si="7859">VLOOKUP($A1312,hospital_details,5,0)</f>
        <v>8334.59</v>
      </c>
      <c r="P1312" s="5" t="str">
        <f t="shared" ref="P1312:P1375" si="7860">VLOOKUP($A1312,hospital_details,6,0)</f>
        <v>tier - 3</v>
      </c>
      <c r="Q1312" s="5" t="str">
        <f t="shared" ref="Q1312:Q1375" si="7861">VLOOKUP($A1312,hospital_details,7,0)</f>
        <v>tier - 2</v>
      </c>
      <c r="R1312" s="5" t="str">
        <f t="shared" ref="R1312:R1375" si="7862">VLOOKUP($A1312,hospital_details,8,0)</f>
        <v>R1016</v>
      </c>
    </row>
    <row r="1313" spans="1:18" ht="14.4" customHeight="1" x14ac:dyDescent="0.3">
      <c r="A1313" s="7" t="s">
        <v>1333</v>
      </c>
      <c r="B1313" s="7" t="str">
        <f>VLOOKUP($A1313,[1]!Customer_Names[#Data],3,0)</f>
        <v xml:space="preserve">  Peter</v>
      </c>
      <c r="C1313" s="7">
        <v>33.344999999999999</v>
      </c>
      <c r="D1313" s="7" t="str" cm="1">
        <f t="array" ref="D1313">_xlfn.IFS(Healthcare!$C1313&lt;18.5,"under weight",Healthcare!$C1313&lt;=24.9,"Normal Weight",Healthcare!$C1313&gt;=25,"overweight",Healthcare!$C1313&gt;=30,"obese")</f>
        <v>overweight</v>
      </c>
      <c r="E1313" s="7">
        <v>5.44</v>
      </c>
      <c r="F1313" s="7" t="str" cm="1">
        <f t="array" ref="F1313">_xlfn.IFS(Healthcare!$E1313&lt;5.7,"normal",Healthcare!$E1313&lt;=6.4,"prediabetes",Healthcare!$E1313&gt;=6.5,"diabetes")</f>
        <v>normal</v>
      </c>
      <c r="G1313" s="7" t="s">
        <v>20</v>
      </c>
      <c r="H1313" s="7" t="s">
        <v>19</v>
      </c>
      <c r="I1313" s="7" t="s">
        <v>19</v>
      </c>
      <c r="J1313" s="7">
        <v>0</v>
      </c>
      <c r="K1313" s="7" t="s">
        <v>19</v>
      </c>
      <c r="L1313" s="7" t="str">
        <f>VLOOKUP(Healthcare!$A1313,hospital_details,2,0)</f>
        <v>12-Jul-1976</v>
      </c>
      <c r="M1313" s="7">
        <f t="shared" ref="M1313:M1376" ca="1" si="7863">VLOOKUP(A1313,hospital_details,3,0)</f>
        <v>50</v>
      </c>
      <c r="N1313" s="7">
        <f t="shared" ref="N1313:N1376" si="7864">VLOOKUP($A1313,hospital_details,4,0)</f>
        <v>1</v>
      </c>
      <c r="O1313" s="8">
        <f t="shared" ref="O1313:O1376" si="7865">VLOOKUP($A1313,hospital_details,5,0)</f>
        <v>8334.4599999999991</v>
      </c>
      <c r="P1313" s="7" t="str">
        <f t="shared" ref="P1313:P1376" si="7866">VLOOKUP($A1313,hospital_details,6,0)</f>
        <v>tier - 3</v>
      </c>
      <c r="Q1313" s="7" t="str">
        <f t="shared" ref="Q1313:Q1376" si="7867">VLOOKUP($A1313,hospital_details,7,0)</f>
        <v>tier - 2</v>
      </c>
      <c r="R1313" s="7" t="str">
        <f t="shared" ref="R1313:R1376" si="7868">VLOOKUP($A1313,hospital_details,8,0)</f>
        <v>R1016</v>
      </c>
    </row>
    <row r="1314" spans="1:18" ht="14.4" customHeight="1" x14ac:dyDescent="0.3">
      <c r="A1314" s="5" t="s">
        <v>1334</v>
      </c>
      <c r="B1314" s="5" t="str">
        <f>VLOOKUP($A1314,[1]!Customer_Names[#Data],3,0)</f>
        <v xml:space="preserve">  Sara A</v>
      </c>
      <c r="C1314" s="5">
        <v>38.79</v>
      </c>
      <c r="D1314" s="5" t="str" cm="1">
        <f t="array" ref="D1314">_xlfn.IFS(Healthcare!$C1314&lt;18.5,"under weight",Healthcare!$C1314&lt;=24.9,"Normal Weight",Healthcare!$C1314&gt;=25,"overweight",Healthcare!$C1314&gt;=30,"obese")</f>
        <v>overweight</v>
      </c>
      <c r="E1314" s="5">
        <v>5.08</v>
      </c>
      <c r="F1314" s="5" t="str" cm="1">
        <f t="array" ref="F1314">_xlfn.IFS(Healthcare!$E1314&lt;5.7,"normal",Healthcare!$E1314&lt;=6.4,"prediabetes",Healthcare!$E1314&gt;=6.5,"diabetes")</f>
        <v>normal</v>
      </c>
      <c r="G1314" s="5" t="s">
        <v>19</v>
      </c>
      <c r="H1314" s="5" t="s">
        <v>19</v>
      </c>
      <c r="I1314" s="5" t="s">
        <v>29</v>
      </c>
      <c r="J1314" s="5">
        <v>1</v>
      </c>
      <c r="K1314" s="5" t="s">
        <v>19</v>
      </c>
      <c r="L1314" s="5" t="str">
        <f>VLOOKUP(Healthcare!$A1314,hospital_details,2,0)</f>
        <v>22-Jun-1993</v>
      </c>
      <c r="M1314" s="5">
        <f t="shared" ref="M1314:M1377" ca="1" si="7869">VLOOKUP(A1314,hospital_details,3,0)</f>
        <v>33</v>
      </c>
      <c r="N1314" s="5">
        <f t="shared" ref="N1314:N1377" si="7870">VLOOKUP($A1314,hospital_details,4,0)</f>
        <v>0</v>
      </c>
      <c r="O1314" s="6">
        <f t="shared" ref="O1314:O1377" si="7871">VLOOKUP($A1314,hospital_details,5,0)</f>
        <v>8314.65</v>
      </c>
      <c r="P1314" s="5" t="str">
        <f t="shared" ref="P1314:P1377" si="7872">VLOOKUP($A1314,hospital_details,6,0)</f>
        <v>tier - 2</v>
      </c>
      <c r="Q1314" s="5" t="str">
        <f t="shared" ref="Q1314:Q1377" si="7873">VLOOKUP($A1314,hospital_details,7,0)</f>
        <v>tier - 1</v>
      </c>
      <c r="R1314" s="5" t="str">
        <f t="shared" ref="R1314:R1377" si="7874">VLOOKUP($A1314,hospital_details,8,0)</f>
        <v>R1012</v>
      </c>
    </row>
    <row r="1315" spans="1:18" ht="14.4" customHeight="1" x14ac:dyDescent="0.3">
      <c r="A1315" s="7" t="s">
        <v>1335</v>
      </c>
      <c r="B1315" s="7" t="str">
        <f>VLOOKUP($A1315,[1]!Customer_Names[#Data],3,0)</f>
        <v xml:space="preserve">  Erin C</v>
      </c>
      <c r="C1315" s="7">
        <v>30.684999999999999</v>
      </c>
      <c r="D1315" s="7" t="str" cm="1">
        <f t="array" ref="D1315">_xlfn.IFS(Healthcare!$C1315&lt;18.5,"under weight",Healthcare!$C1315&lt;=24.9,"Normal Weight",Healthcare!$C1315&gt;=25,"overweight",Healthcare!$C1315&gt;=30,"obese")</f>
        <v>overweight</v>
      </c>
      <c r="E1315" s="7">
        <v>4.87</v>
      </c>
      <c r="F1315" s="7" t="str" cm="1">
        <f t="array" ref="F1315">_xlfn.IFS(Healthcare!$E1315&lt;5.7,"normal",Healthcare!$E1315&lt;=6.4,"prediabetes",Healthcare!$E1315&gt;=6.5,"diabetes")</f>
        <v>normal</v>
      </c>
      <c r="G1315" s="7" t="s">
        <v>19</v>
      </c>
      <c r="H1315" s="7" t="s">
        <v>19</v>
      </c>
      <c r="I1315" s="7" t="s">
        <v>29</v>
      </c>
      <c r="J1315" s="7">
        <v>1</v>
      </c>
      <c r="K1315" s="7" t="s">
        <v>19</v>
      </c>
      <c r="L1315" s="7" t="str">
        <f>VLOOKUP(Healthcare!$A1315,hospital_details,2,0)</f>
        <v>7-Aug-1979</v>
      </c>
      <c r="M1315" s="7">
        <f t="shared" ref="M1315:M1378" ca="1" si="7875">VLOOKUP(A1315,hospital_details,3,0)</f>
        <v>47</v>
      </c>
      <c r="N1315" s="7">
        <f t="shared" ref="N1315:N1378" si="7876">VLOOKUP($A1315,hospital_details,4,0)</f>
        <v>2</v>
      </c>
      <c r="O1315" s="8">
        <f t="shared" ref="O1315:O1378" si="7877">VLOOKUP($A1315,hospital_details,5,0)</f>
        <v>8310.84</v>
      </c>
      <c r="P1315" s="7" t="str">
        <f t="shared" ref="P1315:P1378" si="7878">VLOOKUP($A1315,hospital_details,6,0)</f>
        <v>tier - 2</v>
      </c>
      <c r="Q1315" s="7" t="str">
        <f t="shared" ref="Q1315:Q1378" si="7879">VLOOKUP($A1315,hospital_details,7,0)</f>
        <v>tier - 2</v>
      </c>
      <c r="R1315" s="7" t="str">
        <f t="shared" ref="R1315:R1378" si="7880">VLOOKUP($A1315,hospital_details,8,0)</f>
        <v>R1012</v>
      </c>
    </row>
    <row r="1316" spans="1:18" ht="14.4" customHeight="1" x14ac:dyDescent="0.3">
      <c r="A1316" s="5" t="s">
        <v>1336</v>
      </c>
      <c r="B1316" s="5" t="str">
        <f>VLOOKUP($A1316,[1]!Customer_Names[#Data],3,0)</f>
        <v xml:space="preserve">  Thibaud</v>
      </c>
      <c r="C1316" s="5">
        <v>22.135000000000002</v>
      </c>
      <c r="D1316" s="5" t="str" cm="1">
        <f t="array" ref="D1316">_xlfn.IFS(Healthcare!$C1316&lt;18.5,"under weight",Healthcare!$C1316&lt;=24.9,"Normal Weight",Healthcare!$C1316&gt;=25,"overweight",Healthcare!$C1316&gt;=30,"obese")</f>
        <v>Normal Weight</v>
      </c>
      <c r="E1316" s="5">
        <v>8.17</v>
      </c>
      <c r="F1316" s="5" t="str" cm="1">
        <f t="array" ref="F1316">_xlfn.IFS(Healthcare!$E1316&lt;5.7,"normal",Healthcare!$E1316&lt;=6.4,"prediabetes",Healthcare!$E1316&gt;=6.5,"diabetes")</f>
        <v>diabetes</v>
      </c>
      <c r="G1316" s="5" t="s">
        <v>19</v>
      </c>
      <c r="H1316" s="5" t="s">
        <v>19</v>
      </c>
      <c r="I1316" s="5" t="s">
        <v>19</v>
      </c>
      <c r="J1316" s="5">
        <v>0</v>
      </c>
      <c r="K1316" s="5" t="s">
        <v>19</v>
      </c>
      <c r="L1316" s="5" t="str">
        <f>VLOOKUP(Healthcare!$A1316,hospital_details,2,0)</f>
        <v>26-Jun-1978</v>
      </c>
      <c r="M1316" s="5">
        <f t="shared" ref="M1316:M1379" ca="1" si="7881">VLOOKUP(A1316,hospital_details,3,0)</f>
        <v>48</v>
      </c>
      <c r="N1316" s="5">
        <f t="shared" ref="N1316:N1379" si="7882">VLOOKUP($A1316,hospital_details,4,0)</f>
        <v>2</v>
      </c>
      <c r="O1316" s="6">
        <f t="shared" ref="O1316:O1379" si="7883">VLOOKUP($A1316,hospital_details,5,0)</f>
        <v>8302.5400000000009</v>
      </c>
      <c r="P1316" s="5" t="str">
        <f t="shared" ref="P1316:P1379" si="7884">VLOOKUP($A1316,hospital_details,6,0)</f>
        <v>tier - 3</v>
      </c>
      <c r="Q1316" s="5" t="str">
        <f t="shared" ref="Q1316:Q1379" si="7885">VLOOKUP($A1316,hospital_details,7,0)</f>
        <v>tier - 3</v>
      </c>
      <c r="R1316" s="5" t="str">
        <f t="shared" ref="R1316:R1379" si="7886">VLOOKUP($A1316,hospital_details,8,0)</f>
        <v>R1016</v>
      </c>
    </row>
    <row r="1317" spans="1:18" ht="14.4" customHeight="1" x14ac:dyDescent="0.3">
      <c r="A1317" s="7" t="s">
        <v>1337</v>
      </c>
      <c r="B1317" s="7" t="str">
        <f>VLOOKUP($A1317,[1]!Customer_Names[#Data],3,0)</f>
        <v xml:space="preserve">  Lisa</v>
      </c>
      <c r="C1317" s="7">
        <v>33.33</v>
      </c>
      <c r="D1317" s="7" t="str" cm="1">
        <f t="array" ref="D1317">_xlfn.IFS(Healthcare!$C1317&lt;18.5,"under weight",Healthcare!$C1317&lt;=24.9,"Normal Weight",Healthcare!$C1317&gt;=25,"overweight",Healthcare!$C1317&gt;=30,"obese")</f>
        <v>overweight</v>
      </c>
      <c r="E1317" s="7">
        <v>7.61</v>
      </c>
      <c r="F1317" s="7" t="str" cm="1">
        <f t="array" ref="F1317">_xlfn.IFS(Healthcare!$E1317&lt;5.7,"normal",Healthcare!$E1317&lt;=6.4,"prediabetes",Healthcare!$E1317&gt;=6.5,"diabetes")</f>
        <v>diabetes</v>
      </c>
      <c r="G1317" s="7" t="s">
        <v>19</v>
      </c>
      <c r="H1317" s="7" t="s">
        <v>19</v>
      </c>
      <c r="I1317" s="7" t="s">
        <v>19</v>
      </c>
      <c r="J1317" s="7">
        <v>0</v>
      </c>
      <c r="K1317" s="7" t="s">
        <v>19</v>
      </c>
      <c r="L1317" s="7" t="str">
        <f>VLOOKUP(Healthcare!$A1317,hospital_details,2,0)</f>
        <v>6-Jun-1974</v>
      </c>
      <c r="M1317" s="7">
        <f t="shared" ref="M1317:M1380" ca="1" si="7887">VLOOKUP(A1317,hospital_details,3,0)</f>
        <v>52</v>
      </c>
      <c r="N1317" s="7">
        <f t="shared" ref="N1317:N1380" si="7888">VLOOKUP($A1317,hospital_details,4,0)</f>
        <v>0</v>
      </c>
      <c r="O1317" s="8">
        <f t="shared" ref="O1317:O1380" si="7889">VLOOKUP($A1317,hospital_details,5,0)</f>
        <v>8283.68</v>
      </c>
      <c r="P1317" s="7" t="str">
        <f t="shared" ref="P1317:P1380" si="7890">VLOOKUP($A1317,hospital_details,6,0)</f>
        <v>tier - 2</v>
      </c>
      <c r="Q1317" s="7" t="str">
        <f t="shared" ref="Q1317:Q1380" si="7891">VLOOKUP($A1317,hospital_details,7,0)</f>
        <v>tier - 3</v>
      </c>
      <c r="R1317" s="7" t="str">
        <f t="shared" ref="R1317:R1380" si="7892">VLOOKUP($A1317,hospital_details,8,0)</f>
        <v>R1013</v>
      </c>
    </row>
    <row r="1318" spans="1:18" ht="14.4" customHeight="1" x14ac:dyDescent="0.3">
      <c r="A1318" s="5" t="s">
        <v>1338</v>
      </c>
      <c r="B1318" s="5" t="str">
        <f>VLOOKUP($A1318,[1]!Customer_Names[#Data],3,0)</f>
        <v xml:space="preserve">  Gretchen K</v>
      </c>
      <c r="C1318" s="5">
        <v>31.13</v>
      </c>
      <c r="D1318" s="5" t="str" cm="1">
        <f t="array" ref="D1318">_xlfn.IFS(Healthcare!$C1318&lt;18.5,"under weight",Healthcare!$C1318&lt;=24.9,"Normal Weight",Healthcare!$C1318&gt;=25,"overweight",Healthcare!$C1318&gt;=30,"obese")</f>
        <v>overweight</v>
      </c>
      <c r="E1318" s="5">
        <v>10.1</v>
      </c>
      <c r="F1318" s="5" t="str" cm="1">
        <f t="array" ref="F1318">_xlfn.IFS(Healthcare!$E1318&lt;5.7,"normal",Healthcare!$E1318&lt;=6.4,"prediabetes",Healthcare!$E1318&gt;=6.5,"diabetes")</f>
        <v>diabetes</v>
      </c>
      <c r="G1318" s="5" t="s">
        <v>19</v>
      </c>
      <c r="H1318" s="5" t="s">
        <v>19</v>
      </c>
      <c r="I1318" s="5" t="s">
        <v>19</v>
      </c>
      <c r="J1318" s="5">
        <v>0</v>
      </c>
      <c r="K1318" s="5" t="s">
        <v>19</v>
      </c>
      <c r="L1318" s="5" t="str">
        <f>VLOOKUP(Healthcare!$A1318,hospital_details,2,0)</f>
        <v>22-Dec-1974</v>
      </c>
      <c r="M1318" s="5">
        <f t="shared" ref="M1318:M1381" ca="1" si="7893">VLOOKUP(A1318,hospital_details,3,0)</f>
        <v>51</v>
      </c>
      <c r="N1318" s="5">
        <f t="shared" ref="N1318:N1381" si="7894">VLOOKUP($A1318,hospital_details,4,0)</f>
        <v>0</v>
      </c>
      <c r="O1318" s="6">
        <f t="shared" ref="O1318:O1381" si="7895">VLOOKUP($A1318,hospital_details,5,0)</f>
        <v>8280.6200000000008</v>
      </c>
      <c r="P1318" s="5" t="str">
        <f t="shared" ref="P1318:P1381" si="7896">VLOOKUP($A1318,hospital_details,6,0)</f>
        <v>tier - 2</v>
      </c>
      <c r="Q1318" s="5" t="str">
        <f t="shared" ref="Q1318:Q1381" si="7897">VLOOKUP($A1318,hospital_details,7,0)</f>
        <v>tier - 2</v>
      </c>
      <c r="R1318" s="5" t="str">
        <f t="shared" ref="R1318:R1381" si="7898">VLOOKUP($A1318,hospital_details,8,0)</f>
        <v>R1013</v>
      </c>
    </row>
    <row r="1319" spans="1:18" ht="14.4" customHeight="1" x14ac:dyDescent="0.3">
      <c r="A1319" s="7" t="s">
        <v>1339</v>
      </c>
      <c r="B1319" s="7" t="str">
        <f>VLOOKUP($A1319,[1]!Customer_Names[#Data],3,0)</f>
        <v xml:space="preserve">  Martina</v>
      </c>
      <c r="C1319" s="7">
        <v>28.9</v>
      </c>
      <c r="D1319" s="7" t="str" cm="1">
        <f t="array" ref="D1319">_xlfn.IFS(Healthcare!$C1319&lt;18.5,"under weight",Healthcare!$C1319&lt;=24.9,"Normal Weight",Healthcare!$C1319&gt;=25,"overweight",Healthcare!$C1319&gt;=30,"obese")</f>
        <v>overweight</v>
      </c>
      <c r="E1319" s="7">
        <v>11.24</v>
      </c>
      <c r="F1319" s="7" t="str" cm="1">
        <f t="array" ref="F1319">_xlfn.IFS(Healthcare!$E1319&lt;5.7,"normal",Healthcare!$E1319&lt;=6.4,"prediabetes",Healthcare!$E1319&gt;=6.5,"diabetes")</f>
        <v>diabetes</v>
      </c>
      <c r="G1319" s="7" t="s">
        <v>19</v>
      </c>
      <c r="H1319" s="7" t="s">
        <v>19</v>
      </c>
      <c r="I1319" s="7" t="s">
        <v>19</v>
      </c>
      <c r="J1319" s="7">
        <v>0</v>
      </c>
      <c r="K1319" s="7" t="s">
        <v>19</v>
      </c>
      <c r="L1319" s="7" t="str">
        <f>VLOOKUP(Healthcare!$A1319,hospital_details,2,0)</f>
        <v>26-Sep-1974</v>
      </c>
      <c r="M1319" s="7">
        <f t="shared" ref="M1319:M1382" ca="1" si="7899">VLOOKUP(A1319,hospital_details,3,0)</f>
        <v>52</v>
      </c>
      <c r="N1319" s="7">
        <f t="shared" ref="N1319:N1382" si="7900">VLOOKUP($A1319,hospital_details,4,0)</f>
        <v>0</v>
      </c>
      <c r="O1319" s="8">
        <f t="shared" ref="O1319:O1382" si="7901">VLOOKUP($A1319,hospital_details,5,0)</f>
        <v>8277.52</v>
      </c>
      <c r="P1319" s="7" t="str">
        <f t="shared" ref="P1319:P1382" si="7902">VLOOKUP($A1319,hospital_details,6,0)</f>
        <v>tier - 2</v>
      </c>
      <c r="Q1319" s="7" t="str">
        <f t="shared" ref="Q1319:Q1382" si="7903">VLOOKUP($A1319,hospital_details,7,0)</f>
        <v>tier - 2</v>
      </c>
      <c r="R1319" s="7" t="str">
        <f t="shared" ref="R1319:R1382" si="7904">VLOOKUP($A1319,hospital_details,8,0)</f>
        <v>R1011</v>
      </c>
    </row>
    <row r="1320" spans="1:18" ht="14.4" customHeight="1" x14ac:dyDescent="0.3">
      <c r="A1320" s="5" t="s">
        <v>1340</v>
      </c>
      <c r="B1320" s="5" t="str">
        <f>VLOOKUP($A1320,[1]!Customer_Names[#Data],3,0)</f>
        <v xml:space="preserve">  Dustin J</v>
      </c>
      <c r="C1320" s="5">
        <v>43.31</v>
      </c>
      <c r="D1320" s="5" t="str" cm="1">
        <f t="array" ref="D1320">_xlfn.IFS(Healthcare!$C1320&lt;18.5,"under weight",Healthcare!$C1320&lt;=24.9,"Normal Weight",Healthcare!$C1320&gt;=25,"overweight",Healthcare!$C1320&gt;=30,"obese")</f>
        <v>overweight</v>
      </c>
      <c r="E1320" s="5">
        <v>6.1</v>
      </c>
      <c r="F1320" s="5" t="str" cm="1">
        <f t="array" ref="F1320">_xlfn.IFS(Healthcare!$E1320&lt;5.7,"normal",Healthcare!$E1320&lt;=6.4,"prediabetes",Healthcare!$E1320&gt;=6.5,"diabetes")</f>
        <v>prediabetes</v>
      </c>
      <c r="G1320" s="5" t="s">
        <v>20</v>
      </c>
      <c r="H1320" s="5" t="s">
        <v>20</v>
      </c>
      <c r="I1320" s="5" t="s">
        <v>19</v>
      </c>
      <c r="J1320" s="5">
        <v>1</v>
      </c>
      <c r="K1320" s="5" t="s">
        <v>19</v>
      </c>
      <c r="L1320" s="5" t="str">
        <f>VLOOKUP(Healthcare!$A1320,hospital_details,2,0)</f>
        <v>28-Nov-2000</v>
      </c>
      <c r="M1320" s="5">
        <f t="shared" ref="M1320:M1383" ca="1" si="7905">VLOOKUP(A1320,hospital_details,3,0)</f>
        <v>25</v>
      </c>
      <c r="N1320" s="5">
        <f t="shared" ref="N1320:N1383" si="7906">VLOOKUP($A1320,hospital_details,4,0)</f>
        <v>0</v>
      </c>
      <c r="O1320" s="6">
        <f t="shared" ref="O1320:O1383" si="7907">VLOOKUP($A1320,hospital_details,5,0)</f>
        <v>8271.4599999999991</v>
      </c>
      <c r="P1320" s="5" t="str">
        <f t="shared" ref="P1320:P1383" si="7908">VLOOKUP($A1320,hospital_details,6,0)</f>
        <v>tier - 2</v>
      </c>
      <c r="Q1320" s="5" t="str">
        <f t="shared" ref="Q1320:Q1383" si="7909">VLOOKUP($A1320,hospital_details,7,0)</f>
        <v>tier - 1</v>
      </c>
      <c r="R1320" s="5" t="str">
        <f t="shared" ref="R1320:R1383" si="7910">VLOOKUP($A1320,hospital_details,8,0)</f>
        <v>R1023</v>
      </c>
    </row>
    <row r="1321" spans="1:18" ht="14.4" customHeight="1" x14ac:dyDescent="0.3">
      <c r="A1321" s="7" t="s">
        <v>1341</v>
      </c>
      <c r="B1321" s="7" t="str">
        <f>VLOOKUP($A1321,[1]!Customer_Names[#Data],3,0)</f>
        <v xml:space="preserve">  Kelsey</v>
      </c>
      <c r="C1321" s="7">
        <v>22.8</v>
      </c>
      <c r="D1321" s="7" t="str" cm="1">
        <f t="array" ref="D1321">_xlfn.IFS(Healthcare!$C1321&lt;18.5,"under weight",Healthcare!$C1321&lt;=24.9,"Normal Weight",Healthcare!$C1321&gt;=25,"overweight",Healthcare!$C1321&gt;=30,"obese")</f>
        <v>Normal Weight</v>
      </c>
      <c r="E1321" s="7">
        <v>6.98</v>
      </c>
      <c r="F1321" s="7" t="str" cm="1">
        <f t="array" ref="F1321">_xlfn.IFS(Healthcare!$E1321&lt;5.7,"normal",Healthcare!$E1321&lt;=6.4,"prediabetes",Healthcare!$E1321&gt;=6.5,"diabetes")</f>
        <v>diabetes</v>
      </c>
      <c r="G1321" s="7" t="s">
        <v>19</v>
      </c>
      <c r="H1321" s="7" t="s">
        <v>19</v>
      </c>
      <c r="I1321" s="7" t="s">
        <v>19</v>
      </c>
      <c r="J1321" s="7">
        <v>0</v>
      </c>
      <c r="K1321" s="7" t="s">
        <v>19</v>
      </c>
      <c r="L1321" s="7" t="str">
        <f>VLOOKUP(Healthcare!$A1321,hospital_details,2,0)</f>
        <v>5-Aug-1974</v>
      </c>
      <c r="M1321" s="7">
        <f t="shared" ref="M1321:M1384" ca="1" si="7911">VLOOKUP(A1321,hospital_details,3,0)</f>
        <v>52</v>
      </c>
      <c r="N1321" s="7">
        <f t="shared" ref="N1321:N1384" si="7912">VLOOKUP($A1321,hospital_details,4,0)</f>
        <v>0</v>
      </c>
      <c r="O1321" s="8">
        <f t="shared" ref="O1321:O1384" si="7913">VLOOKUP($A1321,hospital_details,5,0)</f>
        <v>8269.0400000000009</v>
      </c>
      <c r="P1321" s="7" t="str">
        <f t="shared" ref="P1321:P1384" si="7914">VLOOKUP($A1321,hospital_details,6,0)</f>
        <v>tier - 2</v>
      </c>
      <c r="Q1321" s="7" t="str">
        <f t="shared" ref="Q1321:Q1384" si="7915">VLOOKUP($A1321,hospital_details,7,0)</f>
        <v>tier - 1</v>
      </c>
      <c r="R1321" s="7" t="str">
        <f t="shared" ref="R1321:R1384" si="7916">VLOOKUP($A1321,hospital_details,8,0)</f>
        <v>R1011</v>
      </c>
    </row>
    <row r="1322" spans="1:18" ht="14.4" customHeight="1" x14ac:dyDescent="0.3">
      <c r="A1322" s="5" t="s">
        <v>1342</v>
      </c>
      <c r="B1322" s="5" t="str">
        <f>VLOOKUP($A1322,[1]!Customer_Names[#Data],3,0)</f>
        <v xml:space="preserve">  Daniel V</v>
      </c>
      <c r="C1322" s="5">
        <v>19.09</v>
      </c>
      <c r="D1322" s="5" t="str" cm="1">
        <f t="array" ref="D1322">_xlfn.IFS(Healthcare!$C1322&lt;18.5,"under weight",Healthcare!$C1322&lt;=24.9,"Normal Weight",Healthcare!$C1322&gt;=25,"overweight",Healthcare!$C1322&gt;=30,"obese")</f>
        <v>Normal Weight</v>
      </c>
      <c r="E1322" s="5">
        <v>4</v>
      </c>
      <c r="F1322" s="5" t="str" cm="1">
        <f t="array" ref="F1322">_xlfn.IFS(Healthcare!$E1322&lt;5.7,"normal",Healthcare!$E1322&lt;=6.4,"prediabetes",Healthcare!$E1322&gt;=6.5,"diabetes")</f>
        <v>normal</v>
      </c>
      <c r="G1322" s="5" t="s">
        <v>20</v>
      </c>
      <c r="H1322" s="5" t="s">
        <v>19</v>
      </c>
      <c r="I1322" s="5" t="s">
        <v>19</v>
      </c>
      <c r="J1322" s="5">
        <v>1</v>
      </c>
      <c r="K1322" s="5" t="s">
        <v>19</v>
      </c>
      <c r="L1322" s="5" t="str">
        <f>VLOOKUP(Healthcare!$A1322,hospital_details,2,0)</f>
        <v>5-Sep-1964</v>
      </c>
      <c r="M1322" s="5">
        <f t="shared" ref="M1322:M1385" ca="1" si="7917">VLOOKUP(A1322,hospital_details,3,0)</f>
        <v>62</v>
      </c>
      <c r="N1322" s="5">
        <f t="shared" ref="N1322:N1385" si="7918">VLOOKUP($A1322,hospital_details,4,0)</f>
        <v>0</v>
      </c>
      <c r="O1322" s="6">
        <f t="shared" ref="O1322:O1385" si="7919">VLOOKUP($A1322,hospital_details,5,0)</f>
        <v>8268</v>
      </c>
      <c r="P1322" s="5" t="str">
        <f t="shared" ref="P1322:P1385" si="7920">VLOOKUP($A1322,hospital_details,6,0)</f>
        <v>tier - 3</v>
      </c>
      <c r="Q1322" s="5" t="str">
        <f t="shared" ref="Q1322:Q1385" si="7921">VLOOKUP($A1322,hospital_details,7,0)</f>
        <v>tier - 3</v>
      </c>
      <c r="R1322" s="5" t="str">
        <f t="shared" ref="R1322:R1385" si="7922">VLOOKUP($A1322,hospital_details,8,0)</f>
        <v>R1013</v>
      </c>
    </row>
    <row r="1323" spans="1:18" ht="14.4" customHeight="1" x14ac:dyDescent="0.3">
      <c r="A1323" s="7" t="s">
        <v>1343</v>
      </c>
      <c r="B1323" s="7" t="str">
        <f>VLOOKUP($A1323,[1]!Customer_Names[#Data],3,0)</f>
        <v xml:space="preserve">  Saeger</v>
      </c>
      <c r="C1323" s="7">
        <v>23.37</v>
      </c>
      <c r="D1323" s="7" t="str" cm="1">
        <f t="array" ref="D1323">_xlfn.IFS(Healthcare!$C1323&lt;18.5,"under weight",Healthcare!$C1323&lt;=24.9,"Normal Weight",Healthcare!$C1323&gt;=25,"overweight",Healthcare!$C1323&gt;=30,"obese")</f>
        <v>Normal Weight</v>
      </c>
      <c r="E1323" s="7">
        <v>4.2300000000000004</v>
      </c>
      <c r="F1323" s="7" t="str" cm="1">
        <f t="array" ref="F1323">_xlfn.IFS(Healthcare!$E1323&lt;5.7,"normal",Healthcare!$E1323&lt;=6.4,"prediabetes",Healthcare!$E1323&gt;=6.5,"diabetes")</f>
        <v>normal</v>
      </c>
      <c r="G1323" s="7" t="s">
        <v>19</v>
      </c>
      <c r="H1323" s="7" t="s">
        <v>19</v>
      </c>
      <c r="I1323" s="7" t="s">
        <v>19</v>
      </c>
      <c r="J1323" s="7">
        <v>0</v>
      </c>
      <c r="K1323" s="7" t="s">
        <v>19</v>
      </c>
      <c r="L1323" s="7" t="str">
        <f>VLOOKUP(Healthcare!$A1323,hospital_details,2,0)</f>
        <v>27-Sep-1982</v>
      </c>
      <c r="M1323" s="7">
        <f t="shared" ref="M1323:M1386" ca="1" si="7923">VLOOKUP(A1323,hospital_details,3,0)</f>
        <v>44</v>
      </c>
      <c r="N1323" s="7">
        <f t="shared" ref="N1323:N1386" si="7924">VLOOKUP($A1323,hospital_details,4,0)</f>
        <v>3</v>
      </c>
      <c r="O1323" s="8">
        <f t="shared" ref="O1323:O1386" si="7925">VLOOKUP($A1323,hospital_details,5,0)</f>
        <v>8252.2800000000007</v>
      </c>
      <c r="P1323" s="7" t="str">
        <f t="shared" ref="P1323:P1386" si="7926">VLOOKUP($A1323,hospital_details,6,0)</f>
        <v>tier - 2</v>
      </c>
      <c r="Q1323" s="7" t="str">
        <f t="shared" ref="Q1323:Q1386" si="7927">VLOOKUP($A1323,hospital_details,7,0)</f>
        <v>tier - 2</v>
      </c>
      <c r="R1323" s="7" t="str">
        <f t="shared" ref="R1323:R1386" si="7928">VLOOKUP($A1323,hospital_details,8,0)</f>
        <v>R1024</v>
      </c>
    </row>
    <row r="1324" spans="1:18" ht="14.4" customHeight="1" x14ac:dyDescent="0.3">
      <c r="A1324" s="5" t="s">
        <v>1344</v>
      </c>
      <c r="B1324" s="5" t="str">
        <f>VLOOKUP($A1324,[1]!Customer_Names[#Data],3,0)</f>
        <v xml:space="preserve">  Buzunesh</v>
      </c>
      <c r="C1324" s="5">
        <v>33.44</v>
      </c>
      <c r="D1324" s="5" t="str" cm="1">
        <f t="array" ref="D1324">_xlfn.IFS(Healthcare!$C1324&lt;18.5,"under weight",Healthcare!$C1324&lt;=24.9,"Normal Weight",Healthcare!$C1324&gt;=25,"overweight",Healthcare!$C1324&gt;=30,"obese")</f>
        <v>overweight</v>
      </c>
      <c r="E1324" s="5">
        <v>4.72</v>
      </c>
      <c r="F1324" s="5" t="str" cm="1">
        <f t="array" ref="F1324">_xlfn.IFS(Healthcare!$E1324&lt;5.7,"normal",Healthcare!$E1324&lt;=6.4,"prediabetes",Healthcare!$E1324&gt;=6.5,"diabetes")</f>
        <v>normal</v>
      </c>
      <c r="G1324" s="5" t="s">
        <v>20</v>
      </c>
      <c r="H1324" s="5" t="s">
        <v>19</v>
      </c>
      <c r="I1324" s="5" t="s">
        <v>19</v>
      </c>
      <c r="J1324" s="5">
        <v>0</v>
      </c>
      <c r="K1324" s="5" t="s">
        <v>19</v>
      </c>
      <c r="L1324" s="5" t="str">
        <f>VLOOKUP(Healthcare!$A1324,hospital_details,2,0)</f>
        <v>2-Sep-1976</v>
      </c>
      <c r="M1324" s="5">
        <f t="shared" ref="M1324:M1387" ca="1" si="7929">VLOOKUP(A1324,hospital_details,3,0)</f>
        <v>50</v>
      </c>
      <c r="N1324" s="5">
        <f t="shared" ref="N1324:N1387" si="7930">VLOOKUP($A1324,hospital_details,4,0)</f>
        <v>1</v>
      </c>
      <c r="O1324" s="6">
        <f t="shared" ref="O1324:O1387" si="7931">VLOOKUP($A1324,hospital_details,5,0)</f>
        <v>8240.59</v>
      </c>
      <c r="P1324" s="5" t="str">
        <f t="shared" ref="P1324:P1387" si="7932">VLOOKUP($A1324,hospital_details,6,0)</f>
        <v>tier - 2</v>
      </c>
      <c r="Q1324" s="5" t="str">
        <f t="shared" ref="Q1324:Q1387" si="7933">VLOOKUP($A1324,hospital_details,7,0)</f>
        <v>tier - 2</v>
      </c>
      <c r="R1324" s="5" t="str">
        <f t="shared" ref="R1324:R1387" si="7934">VLOOKUP($A1324,hospital_details,8,0)</f>
        <v>R1013</v>
      </c>
    </row>
    <row r="1325" spans="1:18" ht="14.4" customHeight="1" x14ac:dyDescent="0.3">
      <c r="A1325" s="7" t="s">
        <v>1345</v>
      </c>
      <c r="B1325" s="7" t="str">
        <f>VLOOKUP($A1325,[1]!Customer_Names[#Data],3,0)</f>
        <v xml:space="preserve">  Mirte</v>
      </c>
      <c r="C1325" s="7">
        <v>28.05</v>
      </c>
      <c r="D1325" s="7" t="str" cm="1">
        <f t="array" ref="D1325">_xlfn.IFS(Healthcare!$C1325&lt;18.5,"under weight",Healthcare!$C1325&lt;=24.9,"Normal Weight",Healthcare!$C1325&gt;=25,"overweight",Healthcare!$C1325&gt;=30,"obese")</f>
        <v>overweight</v>
      </c>
      <c r="E1325" s="7">
        <v>5.63</v>
      </c>
      <c r="F1325" s="7" t="str" cm="1">
        <f t="array" ref="F1325">_xlfn.IFS(Healthcare!$E1325&lt;5.7,"normal",Healthcare!$E1325&lt;=6.4,"prediabetes",Healthcare!$E1325&gt;=6.5,"diabetes")</f>
        <v>normal</v>
      </c>
      <c r="G1325" s="7" t="s">
        <v>20</v>
      </c>
      <c r="H1325" s="7" t="s">
        <v>19</v>
      </c>
      <c r="I1325" s="7" t="s">
        <v>19</v>
      </c>
      <c r="J1325" s="7">
        <v>0</v>
      </c>
      <c r="K1325" s="7" t="s">
        <v>19</v>
      </c>
      <c r="L1325" s="7" t="str">
        <f>VLOOKUP(Healthcare!$A1325,hospital_details,2,0)</f>
        <v>30-Jun-1976</v>
      </c>
      <c r="M1325" s="7">
        <f t="shared" ref="M1325:M1388" ca="1" si="7935">VLOOKUP(A1325,hospital_details,3,0)</f>
        <v>50</v>
      </c>
      <c r="N1325" s="7">
        <f t="shared" ref="N1325:N1388" si="7936">VLOOKUP($A1325,hospital_details,4,0)</f>
        <v>1</v>
      </c>
      <c r="O1325" s="8">
        <f t="shared" ref="O1325:O1388" si="7937">VLOOKUP($A1325,hospital_details,5,0)</f>
        <v>8233.1</v>
      </c>
      <c r="P1325" s="7" t="str">
        <f t="shared" ref="P1325:P1388" si="7938">VLOOKUP($A1325,hospital_details,6,0)</f>
        <v>tier - 2</v>
      </c>
      <c r="Q1325" s="7" t="str">
        <f t="shared" ref="Q1325:Q1388" si="7939">VLOOKUP($A1325,hospital_details,7,0)</f>
        <v>tier - 2</v>
      </c>
      <c r="R1325" s="7" t="str">
        <f t="shared" ref="R1325:R1388" si="7940">VLOOKUP($A1325,hospital_details,8,0)</f>
        <v>R1013</v>
      </c>
    </row>
    <row r="1326" spans="1:18" ht="14.4" customHeight="1" x14ac:dyDescent="0.3">
      <c r="A1326" s="5" t="s">
        <v>1346</v>
      </c>
      <c r="B1326" s="5" t="str">
        <f>VLOOKUP($A1326,[1]!Customer_Names[#Data],3,0)</f>
        <v xml:space="preserve">  Megan</v>
      </c>
      <c r="C1326" s="5">
        <v>27.72</v>
      </c>
      <c r="D1326" s="5" t="str" cm="1">
        <f t="array" ref="D1326">_xlfn.IFS(Healthcare!$C1326&lt;18.5,"under weight",Healthcare!$C1326&lt;=24.9,"Normal Weight",Healthcare!$C1326&gt;=25,"overweight",Healthcare!$C1326&gt;=30,"obese")</f>
        <v>overweight</v>
      </c>
      <c r="E1326" s="5">
        <v>5.83</v>
      </c>
      <c r="F1326" s="5" t="str" cm="1">
        <f t="array" ref="F1326">_xlfn.IFS(Healthcare!$E1326&lt;5.7,"normal",Healthcare!$E1326&lt;=6.4,"prediabetes",Healthcare!$E1326&gt;=6.5,"diabetes")</f>
        <v>prediabetes</v>
      </c>
      <c r="G1326" s="5" t="s">
        <v>20</v>
      </c>
      <c r="H1326" s="5" t="s">
        <v>19</v>
      </c>
      <c r="I1326" s="5" t="s">
        <v>19</v>
      </c>
      <c r="J1326" s="5">
        <v>0</v>
      </c>
      <c r="K1326" s="5" t="s">
        <v>19</v>
      </c>
      <c r="L1326" s="5" t="str">
        <f>VLOOKUP(Healthcare!$A1326,hospital_details,2,0)</f>
        <v>3-Sep-1976</v>
      </c>
      <c r="M1326" s="5">
        <f t="shared" ref="M1326:M1389" ca="1" si="7941">VLOOKUP(A1326,hospital_details,3,0)</f>
        <v>50</v>
      </c>
      <c r="N1326" s="5">
        <f t="shared" ref="N1326:N1389" si="7942">VLOOKUP($A1326,hospital_details,4,0)</f>
        <v>1</v>
      </c>
      <c r="O1326" s="6">
        <f t="shared" ref="O1326:O1389" si="7943">VLOOKUP($A1326,hospital_details,5,0)</f>
        <v>8232.64</v>
      </c>
      <c r="P1326" s="5" t="str">
        <f t="shared" ref="P1326:P1389" si="7944">VLOOKUP($A1326,hospital_details,6,0)</f>
        <v>tier - 2</v>
      </c>
      <c r="Q1326" s="5" t="str">
        <f t="shared" ref="Q1326:Q1389" si="7945">VLOOKUP($A1326,hospital_details,7,0)</f>
        <v>tier - 3</v>
      </c>
      <c r="R1326" s="5" t="str">
        <f t="shared" ref="R1326:R1389" si="7946">VLOOKUP($A1326,hospital_details,8,0)</f>
        <v>R1013</v>
      </c>
    </row>
    <row r="1327" spans="1:18" ht="14.4" customHeight="1" x14ac:dyDescent="0.3">
      <c r="A1327" s="7" t="s">
        <v>1347</v>
      </c>
      <c r="B1327" s="7" t="str">
        <f>VLOOKUP($A1327,[1]!Customer_Names[#Data],3,0)</f>
        <v xml:space="preserve">  Kerry A</v>
      </c>
      <c r="C1327" s="7">
        <v>29.81</v>
      </c>
      <c r="D1327" s="7" t="str" cm="1">
        <f t="array" ref="D1327">_xlfn.IFS(Healthcare!$C1327&lt;18.5,"under weight",Healthcare!$C1327&lt;=24.9,"Normal Weight",Healthcare!$C1327&gt;=25,"overweight",Healthcare!$C1327&gt;=30,"obese")</f>
        <v>overweight</v>
      </c>
      <c r="E1327" s="7">
        <v>9.23</v>
      </c>
      <c r="F1327" s="7" t="str" cm="1">
        <f t="array" ref="F1327">_xlfn.IFS(Healthcare!$E1327&lt;5.7,"normal",Healthcare!$E1327&lt;=6.4,"prediabetes",Healthcare!$E1327&gt;=6.5,"diabetes")</f>
        <v>diabetes</v>
      </c>
      <c r="G1327" s="7" t="s">
        <v>19</v>
      </c>
      <c r="H1327" s="7" t="s">
        <v>19</v>
      </c>
      <c r="I1327" s="7" t="s">
        <v>19</v>
      </c>
      <c r="J1327" s="7">
        <v>0</v>
      </c>
      <c r="K1327" s="7" t="s">
        <v>19</v>
      </c>
      <c r="L1327" s="7" t="str">
        <f>VLOOKUP(Healthcare!$A1327,hospital_details,2,0)</f>
        <v>30-Jun-1978</v>
      </c>
      <c r="M1327" s="7">
        <f t="shared" ref="M1327:M1390" ca="1" si="7947">VLOOKUP(A1327,hospital_details,3,0)</f>
        <v>48</v>
      </c>
      <c r="N1327" s="7">
        <f t="shared" ref="N1327:N1390" si="7948">VLOOKUP($A1327,hospital_details,4,0)</f>
        <v>2</v>
      </c>
      <c r="O1327" s="8">
        <f t="shared" ref="O1327:O1390" si="7949">VLOOKUP($A1327,hospital_details,5,0)</f>
        <v>8219.2000000000007</v>
      </c>
      <c r="P1327" s="7" t="str">
        <f t="shared" ref="P1327:P1390" si="7950">VLOOKUP($A1327,hospital_details,6,0)</f>
        <v>tier - 2</v>
      </c>
      <c r="Q1327" s="7" t="str">
        <f t="shared" ref="Q1327:Q1390" si="7951">VLOOKUP($A1327,hospital_details,7,0)</f>
        <v>tier - 2</v>
      </c>
      <c r="R1327" s="7" t="str">
        <f t="shared" ref="R1327:R1390" si="7952">VLOOKUP($A1327,hospital_details,8,0)</f>
        <v>R1013</v>
      </c>
    </row>
    <row r="1328" spans="1:18" ht="14.4" customHeight="1" x14ac:dyDescent="0.3">
      <c r="A1328" s="5" t="s">
        <v>1348</v>
      </c>
      <c r="B1328" s="5" t="str">
        <f>VLOOKUP($A1328,[1]!Customer_Names[#Data],3,0)</f>
        <v xml:space="preserve">  Kristin</v>
      </c>
      <c r="C1328" s="5">
        <v>23.98</v>
      </c>
      <c r="D1328" s="5" t="str" cm="1">
        <f t="array" ref="D1328">_xlfn.IFS(Healthcare!$C1328&lt;18.5,"under weight",Healthcare!$C1328&lt;=24.9,"Normal Weight",Healthcare!$C1328&gt;=25,"overweight",Healthcare!$C1328&gt;=30,"obese")</f>
        <v>Normal Weight</v>
      </c>
      <c r="E1328" s="5">
        <v>9.89</v>
      </c>
      <c r="F1328" s="5" t="str" cm="1">
        <f t="array" ref="F1328">_xlfn.IFS(Healthcare!$E1328&lt;5.7,"normal",Healthcare!$E1328&lt;=6.4,"prediabetes",Healthcare!$E1328&gt;=6.5,"diabetes")</f>
        <v>diabetes</v>
      </c>
      <c r="G1328" s="5" t="s">
        <v>19</v>
      </c>
      <c r="H1328" s="5" t="s">
        <v>19</v>
      </c>
      <c r="I1328" s="5" t="s">
        <v>19</v>
      </c>
      <c r="J1328" s="5">
        <v>0</v>
      </c>
      <c r="K1328" s="5" t="s">
        <v>19</v>
      </c>
      <c r="L1328" s="5" t="str">
        <f>VLOOKUP(Healthcare!$A1328,hospital_details,2,0)</f>
        <v>24-Oct-1978</v>
      </c>
      <c r="M1328" s="5">
        <f t="shared" ref="M1328:M1391" ca="1" si="7953">VLOOKUP(A1328,hospital_details,3,0)</f>
        <v>47</v>
      </c>
      <c r="N1328" s="5">
        <f t="shared" ref="N1328:N1391" si="7954">VLOOKUP($A1328,hospital_details,4,0)</f>
        <v>2</v>
      </c>
      <c r="O1328" s="6">
        <f t="shared" ref="O1328:O1391" si="7955">VLOOKUP($A1328,hospital_details,5,0)</f>
        <v>8211.1</v>
      </c>
      <c r="P1328" s="5" t="str">
        <f t="shared" ref="P1328:P1391" si="7956">VLOOKUP($A1328,hospital_details,6,0)</f>
        <v>tier - 2</v>
      </c>
      <c r="Q1328" s="5" t="str">
        <f t="shared" ref="Q1328:Q1391" si="7957">VLOOKUP($A1328,hospital_details,7,0)</f>
        <v>tier - 3</v>
      </c>
      <c r="R1328" s="5" t="str">
        <f t="shared" ref="R1328:R1391" si="7958">VLOOKUP($A1328,hospital_details,8,0)</f>
        <v>R1013</v>
      </c>
    </row>
    <row r="1329" spans="1:18" ht="14.4" customHeight="1" x14ac:dyDescent="0.3">
      <c r="A1329" s="7" t="s">
        <v>1349</v>
      </c>
      <c r="B1329" s="7" t="str">
        <f>VLOOKUP($A1329,[1]!Customer_Names[#Data],3,0)</f>
        <v xml:space="preserve">  Christopher R</v>
      </c>
      <c r="C1329" s="7">
        <v>17.34</v>
      </c>
      <c r="D1329" s="7" t="str" cm="1">
        <f t="array" ref="D1329">_xlfn.IFS(Healthcare!$C1329&lt;18.5,"under weight",Healthcare!$C1329&lt;=24.9,"Normal Weight",Healthcare!$C1329&gt;=25,"overweight",Healthcare!$C1329&gt;=30,"obese")</f>
        <v>under weight</v>
      </c>
      <c r="E1329" s="7">
        <v>12</v>
      </c>
      <c r="F1329" s="7" t="str" cm="1">
        <f t="array" ref="F1329">_xlfn.IFS(Healthcare!$E1329&lt;5.7,"normal",Healthcare!$E1329&lt;=6.4,"prediabetes",Healthcare!$E1329&gt;=6.5,"diabetes")</f>
        <v>diabetes</v>
      </c>
      <c r="G1329" s="7" t="s">
        <v>19</v>
      </c>
      <c r="H1329" s="7" t="s">
        <v>19</v>
      </c>
      <c r="I1329" s="7" t="s">
        <v>19</v>
      </c>
      <c r="J1329" s="7">
        <v>0</v>
      </c>
      <c r="K1329" s="7" t="s">
        <v>19</v>
      </c>
      <c r="L1329" s="7" t="str">
        <f>VLOOKUP(Healthcare!$A1329,hospital_details,2,0)</f>
        <v>23-Nov-1962</v>
      </c>
      <c r="M1329" s="7">
        <f t="shared" ref="M1329:M1392" ca="1" si="7959">VLOOKUP(A1329,hospital_details,3,0)</f>
        <v>63</v>
      </c>
      <c r="N1329" s="7">
        <f t="shared" ref="N1329:N1392" si="7960">VLOOKUP($A1329,hospital_details,4,0)</f>
        <v>0</v>
      </c>
      <c r="O1329" s="8">
        <f t="shared" ref="O1329:O1392" si="7961">VLOOKUP($A1329,hospital_details,5,0)</f>
        <v>8188.12</v>
      </c>
      <c r="P1329" s="7" t="str">
        <f t="shared" ref="P1329:P1392" si="7962">VLOOKUP($A1329,hospital_details,6,0)</f>
        <v>tier - 3</v>
      </c>
      <c r="Q1329" s="7" t="str">
        <f t="shared" ref="Q1329:Q1392" si="7963">VLOOKUP($A1329,hospital_details,7,0)</f>
        <v>tier - 3</v>
      </c>
      <c r="R1329" s="7" t="str">
        <f t="shared" ref="R1329:R1392" si="7964">VLOOKUP($A1329,hospital_details,8,0)</f>
        <v>R1013</v>
      </c>
    </row>
    <row r="1330" spans="1:18" ht="14.4" customHeight="1" x14ac:dyDescent="0.3">
      <c r="A1330" s="5" t="s">
        <v>1350</v>
      </c>
      <c r="B1330" s="5" t="str">
        <f>VLOOKUP($A1330,[1]!Customer_Names[#Data],3,0)</f>
        <v xml:space="preserve">  Elizabeth A</v>
      </c>
      <c r="C1330" s="5">
        <v>40.39</v>
      </c>
      <c r="D1330" s="5" t="str" cm="1">
        <f t="array" ref="D1330">_xlfn.IFS(Healthcare!$C1330&lt;18.5,"under weight",Healthcare!$C1330&lt;=24.9,"Normal Weight",Healthcare!$C1330&gt;=25,"overweight",Healthcare!$C1330&gt;=30,"obese")</f>
        <v>overweight</v>
      </c>
      <c r="E1330" s="5">
        <v>4.24</v>
      </c>
      <c r="F1330" s="5" t="str" cm="1">
        <f t="array" ref="F1330">_xlfn.IFS(Healthcare!$E1330&lt;5.7,"normal",Healthcare!$E1330&lt;=6.4,"prediabetes",Healthcare!$E1330&gt;=6.5,"diabetes")</f>
        <v>normal</v>
      </c>
      <c r="G1330" s="5" t="s">
        <v>20</v>
      </c>
      <c r="H1330" s="5" t="s">
        <v>19</v>
      </c>
      <c r="I1330" s="5" t="s">
        <v>29</v>
      </c>
      <c r="J1330" s="5">
        <v>1</v>
      </c>
      <c r="K1330" s="5" t="s">
        <v>19</v>
      </c>
      <c r="L1330" s="5" t="str">
        <f>VLOOKUP(Healthcare!$A1330,hospital_details,2,0)</f>
        <v>21-Oct-1997</v>
      </c>
      <c r="M1330" s="5">
        <f t="shared" ref="M1330:M1393" ca="1" si="7965">VLOOKUP(A1330,hospital_details,3,0)</f>
        <v>28</v>
      </c>
      <c r="N1330" s="5">
        <f t="shared" ref="N1330:N1393" si="7966">VLOOKUP($A1330,hospital_details,4,0)</f>
        <v>0</v>
      </c>
      <c r="O1330" s="6">
        <f t="shared" ref="O1330:O1393" si="7967">VLOOKUP($A1330,hospital_details,5,0)</f>
        <v>8182.89</v>
      </c>
      <c r="P1330" s="5" t="str">
        <f t="shared" ref="P1330:P1393" si="7968">VLOOKUP($A1330,hospital_details,6,0)</f>
        <v>tier - 2</v>
      </c>
      <c r="Q1330" s="5" t="str">
        <f t="shared" ref="Q1330:Q1393" si="7969">VLOOKUP($A1330,hospital_details,7,0)</f>
        <v>tier - 1</v>
      </c>
      <c r="R1330" s="5" t="str">
        <f t="shared" ref="R1330:R1393" si="7970">VLOOKUP($A1330,hospital_details,8,0)</f>
        <v>R1026</v>
      </c>
    </row>
    <row r="1331" spans="1:18" ht="14.4" customHeight="1" x14ac:dyDescent="0.3">
      <c r="A1331" s="7" t="s">
        <v>1351</v>
      </c>
      <c r="B1331" s="7" t="str">
        <f>VLOOKUP($A1331,[1]!Customer_Names[#Data],3,0)</f>
        <v xml:space="preserve">  Andrew</v>
      </c>
      <c r="C1331" s="7">
        <v>25.96</v>
      </c>
      <c r="D1331" s="7" t="str" cm="1">
        <f t="array" ref="D1331">_xlfn.IFS(Healthcare!$C1331&lt;18.5,"under weight",Healthcare!$C1331&lt;=24.9,"Normal Weight",Healthcare!$C1331&gt;=25,"overweight",Healthcare!$C1331&gt;=30,"obese")</f>
        <v>overweight</v>
      </c>
      <c r="E1331" s="7">
        <v>4.68</v>
      </c>
      <c r="F1331" s="7" t="str" cm="1">
        <f t="array" ref="F1331">_xlfn.IFS(Healthcare!$E1331&lt;5.7,"normal",Healthcare!$E1331&lt;=6.4,"prediabetes",Healthcare!$E1331&gt;=6.5,"diabetes")</f>
        <v>normal</v>
      </c>
      <c r="G1331" s="7" t="s">
        <v>20</v>
      </c>
      <c r="H1331" s="7" t="s">
        <v>19</v>
      </c>
      <c r="I1331" s="7" t="s">
        <v>29</v>
      </c>
      <c r="J1331" s="7">
        <v>1</v>
      </c>
      <c r="K1331" s="7" t="s">
        <v>19</v>
      </c>
      <c r="L1331" s="7" t="str">
        <f>VLOOKUP(Healthcare!$A1331,hospital_details,2,0)</f>
        <v>8-Jun-1983</v>
      </c>
      <c r="M1331" s="7">
        <f t="shared" ref="M1331:M1394" ca="1" si="7971">VLOOKUP(A1331,hospital_details,3,0)</f>
        <v>43</v>
      </c>
      <c r="N1331" s="7">
        <f t="shared" ref="N1331:N1394" si="7972">VLOOKUP($A1331,hospital_details,4,0)</f>
        <v>3</v>
      </c>
      <c r="O1331" s="8">
        <f t="shared" ref="O1331:O1394" si="7973">VLOOKUP($A1331,hospital_details,5,0)</f>
        <v>8179.51</v>
      </c>
      <c r="P1331" s="7" t="str">
        <f t="shared" ref="P1331:P1394" si="7974">VLOOKUP($A1331,hospital_details,6,0)</f>
        <v>tier - 2</v>
      </c>
      <c r="Q1331" s="7" t="str">
        <f t="shared" ref="Q1331:Q1394" si="7975">VLOOKUP($A1331,hospital_details,7,0)</f>
        <v>tier - 2</v>
      </c>
      <c r="R1331" s="7" t="str">
        <f t="shared" ref="R1331:R1394" si="7976">VLOOKUP($A1331,hospital_details,8,0)</f>
        <v>R1020</v>
      </c>
    </row>
    <row r="1332" spans="1:18" ht="14.4" customHeight="1" x14ac:dyDescent="0.3">
      <c r="A1332" s="5" t="s">
        <v>1352</v>
      </c>
      <c r="B1332" s="5" t="str">
        <f>VLOOKUP($A1332,[1]!Customer_Names[#Data],3,0)</f>
        <v xml:space="preserve">  Dawn M</v>
      </c>
      <c r="C1332" s="5">
        <v>17.68</v>
      </c>
      <c r="D1332" s="5" t="str" cm="1">
        <f t="array" ref="D1332">_xlfn.IFS(Healthcare!$C1332&lt;18.5,"under weight",Healthcare!$C1332&lt;=24.9,"Normal Weight",Healthcare!$C1332&gt;=25,"overweight",Healthcare!$C1332&gt;=30,"obese")</f>
        <v>under weight</v>
      </c>
      <c r="E1332" s="5">
        <v>8.57</v>
      </c>
      <c r="F1332" s="5" t="str" cm="1">
        <f t="array" ref="F1332">_xlfn.IFS(Healthcare!$E1332&lt;5.7,"normal",Healthcare!$E1332&lt;=6.4,"prediabetes",Healthcare!$E1332&gt;=6.5,"diabetes")</f>
        <v>diabetes</v>
      </c>
      <c r="G1332" s="5" t="s">
        <v>20</v>
      </c>
      <c r="H1332" s="5" t="s">
        <v>19</v>
      </c>
      <c r="I1332" s="5" t="s">
        <v>29</v>
      </c>
      <c r="J1332" s="5">
        <v>1</v>
      </c>
      <c r="K1332" s="5" t="s">
        <v>19</v>
      </c>
      <c r="L1332" s="5" t="str">
        <f>VLOOKUP(Healthcare!$A1332,hospital_details,2,0)</f>
        <v>5-Nov-1963</v>
      </c>
      <c r="M1332" s="5">
        <f t="shared" ref="M1332:M1395" ca="1" si="7977">VLOOKUP(A1332,hospital_details,3,0)</f>
        <v>62</v>
      </c>
      <c r="N1332" s="5">
        <f t="shared" ref="N1332:N1395" si="7978">VLOOKUP($A1332,hospital_details,4,0)</f>
        <v>0</v>
      </c>
      <c r="O1332" s="6">
        <f t="shared" ref="O1332:O1395" si="7979">VLOOKUP($A1332,hospital_details,5,0)</f>
        <v>8177.9</v>
      </c>
      <c r="P1332" s="5" t="str">
        <f t="shared" ref="P1332:P1395" si="7980">VLOOKUP($A1332,hospital_details,6,0)</f>
        <v>tier - 3</v>
      </c>
      <c r="Q1332" s="5" t="str">
        <f t="shared" ref="Q1332:Q1395" si="7981">VLOOKUP($A1332,hospital_details,7,0)</f>
        <v>tier - 1</v>
      </c>
      <c r="R1332" s="5" t="str">
        <f t="shared" ref="R1332:R1395" si="7982">VLOOKUP($A1332,hospital_details,8,0)</f>
        <v>R1013</v>
      </c>
    </row>
    <row r="1333" spans="1:18" ht="14.4" customHeight="1" x14ac:dyDescent="0.3">
      <c r="A1333" s="7" t="s">
        <v>1353</v>
      </c>
      <c r="B1333" s="7" t="str">
        <f>VLOOKUP($A1333,[1]!Customer_Names[#Data],3,0)</f>
        <v xml:space="preserve">  Jonathan P</v>
      </c>
      <c r="C1333" s="7">
        <v>30.875</v>
      </c>
      <c r="D1333" s="7" t="str" cm="1">
        <f t="array" ref="D1333">_xlfn.IFS(Healthcare!$C1333&lt;18.5,"under weight",Healthcare!$C1333&lt;=24.9,"Normal Weight",Healthcare!$C1333&gt;=25,"overweight",Healthcare!$C1333&gt;=30,"obese")</f>
        <v>overweight</v>
      </c>
      <c r="E1333" s="7">
        <v>4.0999999999999996</v>
      </c>
      <c r="F1333" s="7" t="str" cm="1">
        <f t="array" ref="F1333">_xlfn.IFS(Healthcare!$E1333&lt;5.7,"normal",Healthcare!$E1333&lt;=6.4,"prediabetes",Healthcare!$E1333&gt;=6.5,"diabetes")</f>
        <v>normal</v>
      </c>
      <c r="G1333" s="7" t="s">
        <v>19</v>
      </c>
      <c r="H1333" s="7" t="s">
        <v>19</v>
      </c>
      <c r="I1333" s="7" t="s">
        <v>19</v>
      </c>
      <c r="J1333" s="7">
        <v>0</v>
      </c>
      <c r="K1333" s="7" t="s">
        <v>19</v>
      </c>
      <c r="L1333" s="7" t="str">
        <f>VLOOKUP(Healthcare!$A1333,hospital_details,2,0)</f>
        <v>28-Jun-1982</v>
      </c>
      <c r="M1333" s="7">
        <f t="shared" ref="M1333:M1396" ca="1" si="7983">VLOOKUP(A1333,hospital_details,3,0)</f>
        <v>44</v>
      </c>
      <c r="N1333" s="7">
        <f t="shared" ref="N1333:N1396" si="7984">VLOOKUP($A1333,hospital_details,4,0)</f>
        <v>4</v>
      </c>
      <c r="O1333" s="8">
        <f t="shared" ref="O1333:O1396" si="7985">VLOOKUP($A1333,hospital_details,5,0)</f>
        <v>8162.72</v>
      </c>
      <c r="P1333" s="7" t="str">
        <f t="shared" ref="P1333:P1396" si="7986">VLOOKUP($A1333,hospital_details,6,0)</f>
        <v>tier - 3</v>
      </c>
      <c r="Q1333" s="7" t="str">
        <f t="shared" ref="Q1333:Q1396" si="7987">VLOOKUP($A1333,hospital_details,7,0)</f>
        <v>tier - 3</v>
      </c>
      <c r="R1333" s="7" t="str">
        <f t="shared" ref="R1333:R1396" si="7988">VLOOKUP($A1333,hospital_details,8,0)</f>
        <v>R1012</v>
      </c>
    </row>
    <row r="1334" spans="1:18" ht="14.4" customHeight="1" x14ac:dyDescent="0.3">
      <c r="A1334" s="5" t="s">
        <v>1354</v>
      </c>
      <c r="B1334" s="5" t="str">
        <f>VLOOKUP($A1334,[1]!Customer_Names[#Data],3,0)</f>
        <v xml:space="preserve">  Gina</v>
      </c>
      <c r="C1334" s="5">
        <v>30.81</v>
      </c>
      <c r="D1334" s="5" t="str" cm="1">
        <f t="array" ref="D1334">_xlfn.IFS(Healthcare!$C1334&lt;18.5,"under weight",Healthcare!$C1334&lt;=24.9,"Normal Weight",Healthcare!$C1334&gt;=25,"overweight",Healthcare!$C1334&gt;=30,"obese")</f>
        <v>overweight</v>
      </c>
      <c r="E1334" s="5">
        <v>4.49</v>
      </c>
      <c r="F1334" s="5" t="str" cm="1">
        <f t="array" ref="F1334">_xlfn.IFS(Healthcare!$E1334&lt;5.7,"normal",Healthcare!$E1334&lt;=6.4,"prediabetes",Healthcare!$E1334&gt;=6.5,"diabetes")</f>
        <v>normal</v>
      </c>
      <c r="G1334" s="5" t="s">
        <v>19</v>
      </c>
      <c r="H1334" s="5" t="s">
        <v>19</v>
      </c>
      <c r="I1334" s="5" t="s">
        <v>19</v>
      </c>
      <c r="J1334" s="5">
        <v>0</v>
      </c>
      <c r="K1334" s="5" t="s">
        <v>19</v>
      </c>
      <c r="L1334" s="5" t="str">
        <f>VLOOKUP(Healthcare!$A1334,hospital_details,2,0)</f>
        <v>21-Jun-1990</v>
      </c>
      <c r="M1334" s="5">
        <f t="shared" ref="M1334:M1397" ca="1" si="7989">VLOOKUP(A1334,hospital_details,3,0)</f>
        <v>36</v>
      </c>
      <c r="N1334" s="5">
        <f t="shared" ref="N1334:N1397" si="7990">VLOOKUP($A1334,hospital_details,4,0)</f>
        <v>3</v>
      </c>
      <c r="O1334" s="6">
        <f t="shared" ref="O1334:O1397" si="7991">VLOOKUP($A1334,hospital_details,5,0)</f>
        <v>8157.92</v>
      </c>
      <c r="P1334" s="5" t="str">
        <f t="shared" ref="P1334:P1397" si="7992">VLOOKUP($A1334,hospital_details,6,0)</f>
        <v>tier - 2</v>
      </c>
      <c r="Q1334" s="5" t="str">
        <f t="shared" ref="Q1334:Q1397" si="7993">VLOOKUP($A1334,hospital_details,7,0)</f>
        <v>tier - 3</v>
      </c>
      <c r="R1334" s="5" t="str">
        <f t="shared" ref="R1334:R1397" si="7994">VLOOKUP($A1334,hospital_details,8,0)</f>
        <v>R1025</v>
      </c>
    </row>
    <row r="1335" spans="1:18" ht="14.4" customHeight="1" x14ac:dyDescent="0.3">
      <c r="A1335" s="7" t="s">
        <v>1355</v>
      </c>
      <c r="B1335" s="7" t="str">
        <f>VLOOKUP($A1335,[1]!Customer_Names[#Data],3,0)</f>
        <v xml:space="preserve">  Dino</v>
      </c>
      <c r="C1335" s="7">
        <v>36.85</v>
      </c>
      <c r="D1335" s="7" t="str" cm="1">
        <f t="array" ref="D1335">_xlfn.IFS(Healthcare!$C1335&lt;18.5,"under weight",Healthcare!$C1335&lt;=24.9,"Normal Weight",Healthcare!$C1335&gt;=25,"overweight",Healthcare!$C1335&gt;=30,"obese")</f>
        <v>overweight</v>
      </c>
      <c r="E1335" s="7">
        <v>8.8000000000000007</v>
      </c>
      <c r="F1335" s="7" t="str" cm="1">
        <f t="array" ref="F1335">_xlfn.IFS(Healthcare!$E1335&lt;5.7,"normal",Healthcare!$E1335&lt;=6.4,"prediabetes",Healthcare!$E1335&gt;=6.5,"diabetes")</f>
        <v>diabetes</v>
      </c>
      <c r="G1335" s="7" t="s">
        <v>19</v>
      </c>
      <c r="H1335" s="7" t="s">
        <v>19</v>
      </c>
      <c r="I1335" s="7" t="s">
        <v>19</v>
      </c>
      <c r="J1335" s="7">
        <v>2</v>
      </c>
      <c r="K1335" s="7" t="s">
        <v>19</v>
      </c>
      <c r="L1335" s="7" t="str">
        <f>VLOOKUP(Healthcare!$A1335,hospital_details,2,0)</f>
        <v>3-Sep-1973</v>
      </c>
      <c r="M1335" s="7">
        <f t="shared" ref="M1335:M1398" ca="1" si="7995">VLOOKUP(A1335,hospital_details,3,0)</f>
        <v>53</v>
      </c>
      <c r="N1335" s="7">
        <f t="shared" ref="N1335:N1398" si="7996">VLOOKUP($A1335,hospital_details,4,0)</f>
        <v>0</v>
      </c>
      <c r="O1335" s="8">
        <f t="shared" ref="O1335:O1398" si="7997">VLOOKUP($A1335,hospital_details,5,0)</f>
        <v>8125.78</v>
      </c>
      <c r="P1335" s="7" t="str">
        <f t="shared" ref="P1335:P1398" si="7998">VLOOKUP($A1335,hospital_details,6,0)</f>
        <v>tier - 2</v>
      </c>
      <c r="Q1335" s="7" t="str">
        <f t="shared" ref="Q1335:Q1398" si="7999">VLOOKUP($A1335,hospital_details,7,0)</f>
        <v>tier - 2</v>
      </c>
      <c r="R1335" s="7" t="str">
        <f t="shared" ref="R1335:R1398" si="8000">VLOOKUP($A1335,hospital_details,8,0)</f>
        <v>R1013</v>
      </c>
    </row>
    <row r="1336" spans="1:18" ht="14.4" customHeight="1" x14ac:dyDescent="0.3">
      <c r="A1336" s="5" t="s">
        <v>1356</v>
      </c>
      <c r="B1336" s="5" t="str">
        <f>VLOOKUP($A1336,[1]!Customer_Names[#Data],3,0)</f>
        <v xml:space="preserve">  Jan</v>
      </c>
      <c r="C1336" s="5">
        <v>35.86</v>
      </c>
      <c r="D1336" s="5" t="str" cm="1">
        <f t="array" ref="D1336">_xlfn.IFS(Healthcare!$C1336&lt;18.5,"under weight",Healthcare!$C1336&lt;=24.9,"Normal Weight",Healthcare!$C1336&gt;=25,"overweight",Healthcare!$C1336&gt;=30,"obese")</f>
        <v>overweight</v>
      </c>
      <c r="E1336" s="5">
        <v>7.93</v>
      </c>
      <c r="F1336" s="5" t="str" cm="1">
        <f t="array" ref="F1336">_xlfn.IFS(Healthcare!$E1336&lt;5.7,"normal",Healthcare!$E1336&lt;=6.4,"prediabetes",Healthcare!$E1336&gt;=6.5,"diabetes")</f>
        <v>diabetes</v>
      </c>
      <c r="G1336" s="5" t="s">
        <v>19</v>
      </c>
      <c r="H1336" s="5" t="s">
        <v>19</v>
      </c>
      <c r="I1336" s="5" t="s">
        <v>19</v>
      </c>
      <c r="J1336" s="5">
        <v>2</v>
      </c>
      <c r="K1336" s="5" t="s">
        <v>19</v>
      </c>
      <c r="L1336" s="5" t="str">
        <f>VLOOKUP(Healthcare!$A1336,hospital_details,2,0)</f>
        <v>30-Aug-1973</v>
      </c>
      <c r="M1336" s="5">
        <f t="shared" ref="M1336:M1399" ca="1" si="8001">VLOOKUP(A1336,hospital_details,3,0)</f>
        <v>53</v>
      </c>
      <c r="N1336" s="5">
        <f t="shared" ref="N1336:N1399" si="8002">VLOOKUP($A1336,hospital_details,4,0)</f>
        <v>0</v>
      </c>
      <c r="O1336" s="6">
        <f t="shared" ref="O1336:O1399" si="8003">VLOOKUP($A1336,hospital_details,5,0)</f>
        <v>8124.41</v>
      </c>
      <c r="P1336" s="5" t="str">
        <f t="shared" ref="P1336:P1399" si="8004">VLOOKUP($A1336,hospital_details,6,0)</f>
        <v>tier - 3</v>
      </c>
      <c r="Q1336" s="5" t="str">
        <f t="shared" ref="Q1336:Q1399" si="8005">VLOOKUP($A1336,hospital_details,7,0)</f>
        <v>tier - 1</v>
      </c>
      <c r="R1336" s="5" t="str">
        <f t="shared" ref="R1336:R1399" si="8006">VLOOKUP($A1336,hospital_details,8,0)</f>
        <v>R1013</v>
      </c>
    </row>
    <row r="1337" spans="1:18" ht="14.4" customHeight="1" x14ac:dyDescent="0.3">
      <c r="A1337" s="7" t="s">
        <v>1357</v>
      </c>
      <c r="B1337" s="7" t="str">
        <f>VLOOKUP($A1337,[1]!Customer_Names[#Data],3,0)</f>
        <v xml:space="preserve">  Jonathan E</v>
      </c>
      <c r="C1337" s="7">
        <v>30.3</v>
      </c>
      <c r="D1337" s="7" t="str" cm="1">
        <f t="array" ref="D1337">_xlfn.IFS(Healthcare!$C1337&lt;18.5,"under weight",Healthcare!$C1337&lt;=24.9,"Normal Weight",Healthcare!$C1337&gt;=25,"overweight",Healthcare!$C1337&gt;=30,"obese")</f>
        <v>overweight</v>
      </c>
      <c r="E1337" s="7">
        <v>9.4499999999999993</v>
      </c>
      <c r="F1337" s="7" t="str" cm="1">
        <f t="array" ref="F1337">_xlfn.IFS(Healthcare!$E1337&lt;5.7,"normal",Healthcare!$E1337&lt;=6.4,"prediabetes",Healthcare!$E1337&gt;=6.5,"diabetes")</f>
        <v>diabetes</v>
      </c>
      <c r="G1337" s="7" t="s">
        <v>19</v>
      </c>
      <c r="H1337" s="7" t="s">
        <v>19</v>
      </c>
      <c r="I1337" s="7" t="s">
        <v>19</v>
      </c>
      <c r="J1337" s="7">
        <v>2</v>
      </c>
      <c r="K1337" s="7" t="s">
        <v>19</v>
      </c>
      <c r="L1337" s="7" t="str">
        <f>VLOOKUP(Healthcare!$A1337,hospital_details,2,0)</f>
        <v>16-Dec-1973</v>
      </c>
      <c r="M1337" s="7">
        <f t="shared" ref="M1337:M1400" ca="1" si="8007">VLOOKUP(A1337,hospital_details,3,0)</f>
        <v>52</v>
      </c>
      <c r="N1337" s="7">
        <f t="shared" ref="N1337:N1400" si="8008">VLOOKUP($A1337,hospital_details,4,0)</f>
        <v>0</v>
      </c>
      <c r="O1337" s="8">
        <f t="shared" ref="O1337:O1400" si="8009">VLOOKUP($A1337,hospital_details,5,0)</f>
        <v>8116.68</v>
      </c>
      <c r="P1337" s="7" t="str">
        <f t="shared" ref="P1337:P1400" si="8010">VLOOKUP($A1337,hospital_details,6,0)</f>
        <v>tier - 3</v>
      </c>
      <c r="Q1337" s="7" t="str">
        <f t="shared" ref="Q1337:Q1400" si="8011">VLOOKUP($A1337,hospital_details,7,0)</f>
        <v>tier - 1</v>
      </c>
      <c r="R1337" s="7" t="str">
        <f t="shared" ref="R1337:R1400" si="8012">VLOOKUP($A1337,hospital_details,8,0)</f>
        <v>R1011</v>
      </c>
    </row>
    <row r="1338" spans="1:18" ht="14.4" customHeight="1" x14ac:dyDescent="0.3">
      <c r="A1338" s="5" t="s">
        <v>1358</v>
      </c>
      <c r="B1338" s="5" t="str">
        <f>VLOOKUP($A1338,[1]!Customer_Names[#Data],3,0)</f>
        <v xml:space="preserve">  Mark A</v>
      </c>
      <c r="C1338" s="5">
        <v>32.015000000000001</v>
      </c>
      <c r="D1338" s="5" t="str" cm="1">
        <f t="array" ref="D1338">_xlfn.IFS(Healthcare!$C1338&lt;18.5,"under weight",Healthcare!$C1338&lt;=24.9,"Normal Weight",Healthcare!$C1338&gt;=25,"overweight",Healthcare!$C1338&gt;=30,"obese")</f>
        <v>overweight</v>
      </c>
      <c r="E1338" s="5">
        <v>7.67</v>
      </c>
      <c r="F1338" s="5" t="str" cm="1">
        <f t="array" ref="F1338">_xlfn.IFS(Healthcare!$E1338&lt;5.7,"normal",Healthcare!$E1338&lt;=6.4,"prediabetes",Healthcare!$E1338&gt;=6.5,"diabetes")</f>
        <v>diabetes</v>
      </c>
      <c r="G1338" s="5" t="s">
        <v>19</v>
      </c>
      <c r="H1338" s="5" t="s">
        <v>19</v>
      </c>
      <c r="I1338" s="5" t="s">
        <v>19</v>
      </c>
      <c r="J1338" s="5">
        <v>0</v>
      </c>
      <c r="K1338" s="5" t="s">
        <v>19</v>
      </c>
      <c r="L1338" s="5" t="str">
        <f>VLOOKUP(Healthcare!$A1338,hospital_details,2,0)</f>
        <v>1-Sep-1978</v>
      </c>
      <c r="M1338" s="5">
        <f t="shared" ref="M1338:M1401" ca="1" si="8013">VLOOKUP(A1338,hospital_details,3,0)</f>
        <v>48</v>
      </c>
      <c r="N1338" s="5">
        <f t="shared" ref="N1338:N1401" si="8014">VLOOKUP($A1338,hospital_details,4,0)</f>
        <v>2</v>
      </c>
      <c r="O1338" s="6">
        <f t="shared" ref="O1338:O1401" si="8015">VLOOKUP($A1338,hospital_details,5,0)</f>
        <v>8116.27</v>
      </c>
      <c r="P1338" s="5" t="str">
        <f t="shared" ref="P1338:P1401" si="8016">VLOOKUP($A1338,hospital_details,6,0)</f>
        <v>tier - 3</v>
      </c>
      <c r="Q1338" s="5" t="str">
        <f t="shared" ref="Q1338:Q1401" si="8017">VLOOKUP($A1338,hospital_details,7,0)</f>
        <v>tier - 1</v>
      </c>
      <c r="R1338" s="5" t="str">
        <f t="shared" ref="R1338:R1401" si="8018">VLOOKUP($A1338,hospital_details,8,0)</f>
        <v>R1012</v>
      </c>
    </row>
    <row r="1339" spans="1:18" ht="14.4" customHeight="1" x14ac:dyDescent="0.3">
      <c r="A1339" s="7" t="s">
        <v>1359</v>
      </c>
      <c r="B1339" s="7" t="str">
        <f>VLOOKUP($A1339,[1]!Customer_Names[#Data],3,0)</f>
        <v xml:space="preserve">  Mary</v>
      </c>
      <c r="C1339" s="7">
        <v>25.06</v>
      </c>
      <c r="D1339" s="7" t="str" cm="1">
        <f t="array" ref="D1339">_xlfn.IFS(Healthcare!$C1339&lt;18.5,"under weight",Healthcare!$C1339&lt;=24.9,"Normal Weight",Healthcare!$C1339&gt;=25,"overweight",Healthcare!$C1339&gt;=30,"obese")</f>
        <v>overweight</v>
      </c>
      <c r="E1339" s="7">
        <v>10.53</v>
      </c>
      <c r="F1339" s="7" t="str" cm="1">
        <f t="array" ref="F1339">_xlfn.IFS(Healthcare!$E1339&lt;5.7,"normal",Healthcare!$E1339&lt;=6.4,"prediabetes",Healthcare!$E1339&gt;=6.5,"diabetes")</f>
        <v>diabetes</v>
      </c>
      <c r="G1339" s="7" t="s">
        <v>19</v>
      </c>
      <c r="H1339" s="7" t="s">
        <v>19</v>
      </c>
      <c r="I1339" s="7" t="s">
        <v>19</v>
      </c>
      <c r="J1339" s="7">
        <v>2</v>
      </c>
      <c r="K1339" s="7" t="s">
        <v>19</v>
      </c>
      <c r="L1339" s="7" t="str">
        <f>VLOOKUP(Healthcare!$A1339,hospital_details,2,0)</f>
        <v>11-Oct-1973</v>
      </c>
      <c r="M1339" s="7">
        <f t="shared" ref="M1339:M1402" ca="1" si="8019">VLOOKUP(A1339,hospital_details,3,0)</f>
        <v>53</v>
      </c>
      <c r="N1339" s="7">
        <f t="shared" ref="N1339:N1402" si="8020">VLOOKUP($A1339,hospital_details,4,0)</f>
        <v>0</v>
      </c>
      <c r="O1339" s="8">
        <f t="shared" ref="O1339:O1402" si="8021">VLOOKUP($A1339,hospital_details,5,0)</f>
        <v>8112.59</v>
      </c>
      <c r="P1339" s="7" t="str">
        <f t="shared" ref="P1339:P1402" si="8022">VLOOKUP($A1339,hospital_details,6,0)</f>
        <v>tier - 2</v>
      </c>
      <c r="Q1339" s="7" t="str">
        <f t="shared" ref="Q1339:Q1402" si="8023">VLOOKUP($A1339,hospital_details,7,0)</f>
        <v>tier - 2</v>
      </c>
      <c r="R1339" s="7" t="str">
        <f t="shared" ref="R1339:R1402" si="8024">VLOOKUP($A1339,hospital_details,8,0)</f>
        <v>R1013</v>
      </c>
    </row>
    <row r="1340" spans="1:18" ht="14.4" customHeight="1" x14ac:dyDescent="0.3">
      <c r="A1340" s="5" t="s">
        <v>1360</v>
      </c>
      <c r="B1340" s="5" t="str">
        <f>VLOOKUP($A1340,[1]!Customer_Names[#Data],3,0)</f>
        <v xml:space="preserve">  Samuel</v>
      </c>
      <c r="C1340" s="5">
        <v>18.829999999999998</v>
      </c>
      <c r="D1340" s="5" t="str" cm="1">
        <f t="array" ref="D1340">_xlfn.IFS(Healthcare!$C1340&lt;18.5,"under weight",Healthcare!$C1340&lt;=24.9,"Normal Weight",Healthcare!$C1340&gt;=25,"overweight",Healthcare!$C1340&gt;=30,"obese")</f>
        <v>Normal Weight</v>
      </c>
      <c r="E1340" s="5">
        <v>10.08</v>
      </c>
      <c r="F1340" s="5" t="str" cm="1">
        <f t="array" ref="F1340">_xlfn.IFS(Healthcare!$E1340&lt;5.7,"normal",Healthcare!$E1340&lt;=6.4,"prediabetes",Healthcare!$E1340&gt;=6.5,"diabetes")</f>
        <v>diabetes</v>
      </c>
      <c r="G1340" s="5" t="s">
        <v>20</v>
      </c>
      <c r="H1340" s="5" t="s">
        <v>19</v>
      </c>
      <c r="I1340" s="5" t="s">
        <v>19</v>
      </c>
      <c r="J1340" s="5">
        <v>0</v>
      </c>
      <c r="K1340" s="5" t="s">
        <v>19</v>
      </c>
      <c r="L1340" s="5" t="str">
        <f>VLOOKUP(Healthcare!$A1340,hospital_details,2,0)</f>
        <v>10-Jun-1967</v>
      </c>
      <c r="M1340" s="5">
        <f t="shared" ref="M1340:M1403" ca="1" si="8025">VLOOKUP(A1340,hospital_details,3,0)</f>
        <v>59</v>
      </c>
      <c r="N1340" s="5">
        <f t="shared" ref="N1340:N1403" si="8026">VLOOKUP($A1340,hospital_details,4,0)</f>
        <v>0</v>
      </c>
      <c r="O1340" s="6">
        <f t="shared" ref="O1340:O1403" si="8027">VLOOKUP($A1340,hospital_details,5,0)</f>
        <v>8091.3</v>
      </c>
      <c r="P1340" s="5" t="str">
        <f t="shared" ref="P1340:P1403" si="8028">VLOOKUP($A1340,hospital_details,6,0)</f>
        <v>tier - 3</v>
      </c>
      <c r="Q1340" s="5" t="str">
        <f t="shared" ref="Q1340:Q1403" si="8029">VLOOKUP($A1340,hospital_details,7,0)</f>
        <v>tier - 1</v>
      </c>
      <c r="R1340" s="5" t="str">
        <f t="shared" ref="R1340:R1403" si="8030">VLOOKUP($A1340,hospital_details,8,0)</f>
        <v>R1012</v>
      </c>
    </row>
    <row r="1341" spans="1:18" ht="14.4" customHeight="1" x14ac:dyDescent="0.3">
      <c r="A1341" s="7" t="s">
        <v>1361</v>
      </c>
      <c r="B1341" s="7" t="str">
        <f>VLOOKUP($A1341,[1]!Customer_Names[#Data],3,0)</f>
        <v xml:space="preserve">  Stan J</v>
      </c>
      <c r="C1341" s="7">
        <v>47.52</v>
      </c>
      <c r="D1341" s="7" t="str" cm="1">
        <f t="array" ref="D1341">_xlfn.IFS(Healthcare!$C1341&lt;18.5,"under weight",Healthcare!$C1341&lt;=24.9,"Normal Weight",Healthcare!$C1341&gt;=25,"overweight",Healthcare!$C1341&gt;=30,"obese")</f>
        <v>overweight</v>
      </c>
      <c r="E1341" s="7">
        <v>11.39</v>
      </c>
      <c r="F1341" s="7" t="str" cm="1">
        <f t="array" ref="F1341">_xlfn.IFS(Healthcare!$E1341&lt;5.7,"normal",Healthcare!$E1341&lt;=6.4,"prediabetes",Healthcare!$E1341&gt;=6.5,"diabetes")</f>
        <v>diabetes</v>
      </c>
      <c r="G1341" s="7" t="s">
        <v>20</v>
      </c>
      <c r="H1341" s="7" t="s">
        <v>19</v>
      </c>
      <c r="I1341" s="7" t="s">
        <v>19</v>
      </c>
      <c r="J1341" s="7">
        <v>1</v>
      </c>
      <c r="K1341" s="7" t="s">
        <v>19</v>
      </c>
      <c r="L1341" s="7" t="str">
        <f>VLOOKUP(Healthcare!$A1341,hospital_details,2,0)</f>
        <v>21-Dec-1975</v>
      </c>
      <c r="M1341" s="7">
        <f t="shared" ref="M1341:M1404" ca="1" si="8031">VLOOKUP(A1341,hospital_details,3,0)</f>
        <v>50</v>
      </c>
      <c r="N1341" s="7">
        <f t="shared" ref="N1341:N1404" si="8032">VLOOKUP($A1341,hospital_details,4,0)</f>
        <v>1</v>
      </c>
      <c r="O1341" s="8">
        <f t="shared" ref="O1341:O1404" si="8033">VLOOKUP($A1341,hospital_details,5,0)</f>
        <v>8083.92</v>
      </c>
      <c r="P1341" s="7" t="str">
        <f t="shared" ref="P1341:P1404" si="8034">VLOOKUP($A1341,hospital_details,6,0)</f>
        <v>tier - 3</v>
      </c>
      <c r="Q1341" s="7" t="str">
        <f t="shared" ref="Q1341:Q1404" si="8035">VLOOKUP($A1341,hospital_details,7,0)</f>
        <v>tier - 3</v>
      </c>
      <c r="R1341" s="7" t="str">
        <f t="shared" ref="R1341:R1404" si="8036">VLOOKUP($A1341,hospital_details,8,0)</f>
        <v>R1013</v>
      </c>
    </row>
    <row r="1342" spans="1:18" ht="14.4" customHeight="1" x14ac:dyDescent="0.3">
      <c r="A1342" s="5" t="s">
        <v>1362</v>
      </c>
      <c r="B1342" s="5" t="str">
        <f>VLOOKUP($A1342,[1]!Customer_Names[#Data],3,0)</f>
        <v xml:space="preserve">  Jessica L</v>
      </c>
      <c r="C1342" s="5">
        <v>37.82</v>
      </c>
      <c r="D1342" s="5" t="str" cm="1">
        <f t="array" ref="D1342">_xlfn.IFS(Healthcare!$C1342&lt;18.5,"under weight",Healthcare!$C1342&lt;=24.9,"Normal Weight",Healthcare!$C1342&gt;=25,"overweight",Healthcare!$C1342&gt;=30,"obese")</f>
        <v>overweight</v>
      </c>
      <c r="E1342" s="5">
        <v>6.36</v>
      </c>
      <c r="F1342" s="5" t="str" cm="1">
        <f t="array" ref="F1342">_xlfn.IFS(Healthcare!$E1342&lt;5.7,"normal",Healthcare!$E1342&lt;=6.4,"prediabetes",Healthcare!$E1342&gt;=6.5,"diabetes")</f>
        <v>prediabetes</v>
      </c>
      <c r="G1342" s="5" t="s">
        <v>19</v>
      </c>
      <c r="H1342" s="5" t="s">
        <v>19</v>
      </c>
      <c r="I1342" s="5" t="s">
        <v>19</v>
      </c>
      <c r="J1342" s="5">
        <v>0</v>
      </c>
      <c r="K1342" s="5" t="s">
        <v>19</v>
      </c>
      <c r="L1342" s="5" t="str">
        <f>VLOOKUP(Healthcare!$A1342,hospital_details,2,0)</f>
        <v>12-Oct-1994</v>
      </c>
      <c r="M1342" s="5">
        <f t="shared" ref="M1342:M1405" ca="1" si="8037">VLOOKUP(A1342,hospital_details,3,0)</f>
        <v>32</v>
      </c>
      <c r="N1342" s="5">
        <f t="shared" ref="N1342:N1405" si="8038">VLOOKUP($A1342,hospital_details,4,0)</f>
        <v>0</v>
      </c>
      <c r="O1342" s="6">
        <f t="shared" ref="O1342:O1405" si="8039">VLOOKUP($A1342,hospital_details,5,0)</f>
        <v>8081.74</v>
      </c>
      <c r="P1342" s="5" t="str">
        <f t="shared" ref="P1342:P1405" si="8040">VLOOKUP($A1342,hospital_details,6,0)</f>
        <v>tier - 2</v>
      </c>
      <c r="Q1342" s="5" t="str">
        <f t="shared" ref="Q1342:Q1405" si="8041">VLOOKUP($A1342,hospital_details,7,0)</f>
        <v>tier - 2</v>
      </c>
      <c r="R1342" s="5" t="str">
        <f t="shared" ref="R1342:R1405" si="8042">VLOOKUP($A1342,hospital_details,8,0)</f>
        <v>R1026</v>
      </c>
    </row>
    <row r="1343" spans="1:18" ht="14.4" customHeight="1" x14ac:dyDescent="0.3">
      <c r="A1343" s="7" t="s">
        <v>1363</v>
      </c>
      <c r="B1343" s="7" t="str">
        <f>VLOOKUP($A1343,[1]!Customer_Names[#Data],3,0)</f>
        <v xml:space="preserve">  Krysta</v>
      </c>
      <c r="C1343" s="7">
        <v>44.16</v>
      </c>
      <c r="D1343" s="7" t="str" cm="1">
        <f t="array" ref="D1343">_xlfn.IFS(Healthcare!$C1343&lt;18.5,"under weight",Healthcare!$C1343&lt;=24.9,"Normal Weight",Healthcare!$C1343&gt;=25,"overweight",Healthcare!$C1343&gt;=30,"obese")</f>
        <v>overweight</v>
      </c>
      <c r="E1343" s="7">
        <v>5.31</v>
      </c>
      <c r="F1343" s="7" t="str" cm="1">
        <f t="array" ref="F1343">_xlfn.IFS(Healthcare!$E1343&lt;5.7,"normal",Healthcare!$E1343&lt;=6.4,"prediabetes",Healthcare!$E1343&gt;=6.5,"diabetes")</f>
        <v>normal</v>
      </c>
      <c r="G1343" s="7" t="s">
        <v>20</v>
      </c>
      <c r="H1343" s="7" t="s">
        <v>19</v>
      </c>
      <c r="I1343" s="7" t="s">
        <v>19</v>
      </c>
      <c r="J1343" s="7">
        <v>0</v>
      </c>
      <c r="K1343" s="7" t="s">
        <v>19</v>
      </c>
      <c r="L1343" s="7" t="str">
        <f>VLOOKUP(Healthcare!$A1343,hospital_details,2,0)</f>
        <v>28-Aug-2001</v>
      </c>
      <c r="M1343" s="7">
        <f t="shared" ref="M1343:M1406" ca="1" si="8043">VLOOKUP(A1343,hospital_details,3,0)</f>
        <v>25</v>
      </c>
      <c r="N1343" s="7">
        <f t="shared" ref="N1343:N1406" si="8044">VLOOKUP($A1343,hospital_details,4,0)</f>
        <v>0</v>
      </c>
      <c r="O1343" s="8">
        <f t="shared" ref="O1343:O1406" si="8045">VLOOKUP($A1343,hospital_details,5,0)</f>
        <v>8081.26</v>
      </c>
      <c r="P1343" s="7" t="str">
        <f t="shared" ref="P1343:P1406" si="8046">VLOOKUP($A1343,hospital_details,6,0)</f>
        <v>tier - 2</v>
      </c>
      <c r="Q1343" s="7" t="str">
        <f t="shared" ref="Q1343:Q1406" si="8047">VLOOKUP($A1343,hospital_details,7,0)</f>
        <v>tier - 2</v>
      </c>
      <c r="R1343" s="7" t="str">
        <f t="shared" ref="R1343:R1406" si="8048">VLOOKUP($A1343,hospital_details,8,0)</f>
        <v>R1012</v>
      </c>
    </row>
    <row r="1344" spans="1:18" ht="14.4" customHeight="1" x14ac:dyDescent="0.3">
      <c r="A1344" s="5" t="s">
        <v>1364</v>
      </c>
      <c r="B1344" s="5" t="str">
        <f>VLOOKUP($A1344,[1]!Customer_Names[#Data],3,0)</f>
        <v xml:space="preserve">  Natascia</v>
      </c>
      <c r="C1344" s="5">
        <v>37.049999999999997</v>
      </c>
      <c r="D1344" s="5" t="str" cm="1">
        <f t="array" ref="D1344">_xlfn.IFS(Healthcare!$C1344&lt;18.5,"under weight",Healthcare!$C1344&lt;=24.9,"Normal Weight",Healthcare!$C1344&gt;=25,"overweight",Healthcare!$C1344&gt;=30,"obese")</f>
        <v>overweight</v>
      </c>
      <c r="E1344" s="5">
        <v>4.74</v>
      </c>
      <c r="F1344" s="5" t="str" cm="1">
        <f t="array" ref="F1344">_xlfn.IFS(Healthcare!$E1344&lt;5.7,"normal",Healthcare!$E1344&lt;=6.4,"prediabetes",Healthcare!$E1344&gt;=6.5,"diabetes")</f>
        <v>normal</v>
      </c>
      <c r="G1344" s="5" t="s">
        <v>19</v>
      </c>
      <c r="H1344" s="5" t="s">
        <v>19</v>
      </c>
      <c r="I1344" s="5" t="s">
        <v>29</v>
      </c>
      <c r="J1344" s="5">
        <v>1</v>
      </c>
      <c r="K1344" s="5" t="s">
        <v>19</v>
      </c>
      <c r="L1344" s="5" t="str">
        <f>VLOOKUP(Healthcare!$A1344,hospital_details,2,0)</f>
        <v>7-Nov-1993</v>
      </c>
      <c r="M1344" s="5">
        <f t="shared" ref="M1344:M1407" ca="1" si="8049">VLOOKUP(A1344,hospital_details,3,0)</f>
        <v>32</v>
      </c>
      <c r="N1344" s="5">
        <f t="shared" ref="N1344:N1407" si="8050">VLOOKUP($A1344,hospital_details,4,0)</f>
        <v>0</v>
      </c>
      <c r="O1344" s="6">
        <f t="shared" ref="O1344:O1407" si="8051">VLOOKUP($A1344,hospital_details,5,0)</f>
        <v>8077.41</v>
      </c>
      <c r="P1344" s="5" t="str">
        <f t="shared" ref="P1344:P1407" si="8052">VLOOKUP($A1344,hospital_details,6,0)</f>
        <v>tier - 2</v>
      </c>
      <c r="Q1344" s="5" t="str">
        <f t="shared" ref="Q1344:Q1407" si="8053">VLOOKUP($A1344,hospital_details,7,0)</f>
        <v>tier - 1</v>
      </c>
      <c r="R1344" s="5" t="str">
        <f t="shared" ref="R1344:R1407" si="8054">VLOOKUP($A1344,hospital_details,8,0)</f>
        <v>R1026</v>
      </c>
    </row>
    <row r="1345" spans="1:18" ht="14.4" customHeight="1" x14ac:dyDescent="0.3">
      <c r="A1345" s="7" t="s">
        <v>1365</v>
      </c>
      <c r="B1345" s="7" t="str">
        <f>VLOOKUP($A1345,[1]!Customer_Names[#Data],3,0)</f>
        <v xml:space="preserve">  Jenny</v>
      </c>
      <c r="C1345" s="7">
        <v>18.66</v>
      </c>
      <c r="D1345" s="7" t="str" cm="1">
        <f t="array" ref="D1345">_xlfn.IFS(Healthcare!$C1345&lt;18.5,"under weight",Healthcare!$C1345&lt;=24.9,"Normal Weight",Healthcare!$C1345&gt;=25,"overweight",Healthcare!$C1345&gt;=30,"obese")</f>
        <v>Normal Weight</v>
      </c>
      <c r="E1345" s="7">
        <v>11.35</v>
      </c>
      <c r="F1345" s="7" t="str" cm="1">
        <f t="array" ref="F1345">_xlfn.IFS(Healthcare!$E1345&lt;5.7,"normal",Healthcare!$E1345&lt;=6.4,"prediabetes",Healthcare!$E1345&gt;=6.5,"diabetes")</f>
        <v>diabetes</v>
      </c>
      <c r="G1345" s="7" t="s">
        <v>19</v>
      </c>
      <c r="H1345" s="7" t="s">
        <v>19</v>
      </c>
      <c r="I1345" s="7" t="s">
        <v>19</v>
      </c>
      <c r="J1345" s="7">
        <v>0</v>
      </c>
      <c r="K1345" s="7" t="s">
        <v>19</v>
      </c>
      <c r="L1345" s="7" t="str">
        <f>VLOOKUP(Healthcare!$A1345,hospital_details,2,0)</f>
        <v>21-Oct-1965</v>
      </c>
      <c r="M1345" s="7">
        <f t="shared" ref="M1345:M1408" ca="1" si="8055">VLOOKUP(A1345,hospital_details,3,0)</f>
        <v>60</v>
      </c>
      <c r="N1345" s="7">
        <f t="shared" ref="N1345:N1408" si="8056">VLOOKUP($A1345,hospital_details,4,0)</f>
        <v>0</v>
      </c>
      <c r="O1345" s="8">
        <f t="shared" ref="O1345:O1408" si="8057">VLOOKUP($A1345,hospital_details,5,0)</f>
        <v>8071.57</v>
      </c>
      <c r="P1345" s="7" t="str">
        <f t="shared" ref="P1345:P1408" si="8058">VLOOKUP($A1345,hospital_details,6,0)</f>
        <v>tier - 3</v>
      </c>
      <c r="Q1345" s="7" t="str">
        <f t="shared" ref="Q1345:Q1408" si="8059">VLOOKUP($A1345,hospital_details,7,0)</f>
        <v>tier - 1</v>
      </c>
      <c r="R1345" s="7" t="str">
        <f t="shared" ref="R1345:R1408" si="8060">VLOOKUP($A1345,hospital_details,8,0)</f>
        <v>R1011</v>
      </c>
    </row>
    <row r="1346" spans="1:18" ht="14.4" customHeight="1" x14ac:dyDescent="0.3">
      <c r="A1346" s="5" t="s">
        <v>1366</v>
      </c>
      <c r="B1346" s="5" t="str">
        <f>VLOOKUP($A1346,[1]!Customer_Names[#Data],3,0)</f>
        <v xml:space="preserve">  Brian</v>
      </c>
      <c r="C1346" s="5">
        <v>36.200000000000003</v>
      </c>
      <c r="D1346" s="5" t="str" cm="1">
        <f t="array" ref="D1346">_xlfn.IFS(Healthcare!$C1346&lt;18.5,"under weight",Healthcare!$C1346&lt;=24.9,"Normal Weight",Healthcare!$C1346&gt;=25,"overweight",Healthcare!$C1346&gt;=30,"obese")</f>
        <v>overweight</v>
      </c>
      <c r="E1346" s="5">
        <v>6.81</v>
      </c>
      <c r="F1346" s="5" t="str" cm="1">
        <f t="array" ref="F1346">_xlfn.IFS(Healthcare!$E1346&lt;5.7,"normal",Healthcare!$E1346&lt;=6.4,"prediabetes",Healthcare!$E1346&gt;=6.5,"diabetes")</f>
        <v>diabetes</v>
      </c>
      <c r="G1346" s="5" t="s">
        <v>20</v>
      </c>
      <c r="H1346" s="5" t="s">
        <v>19</v>
      </c>
      <c r="I1346" s="5" t="s">
        <v>19</v>
      </c>
      <c r="J1346" s="5">
        <v>1</v>
      </c>
      <c r="K1346" s="5" t="s">
        <v>19</v>
      </c>
      <c r="L1346" s="5" t="str">
        <f>VLOOKUP(Healthcare!$A1346,hospital_details,2,0)</f>
        <v>15-Dec-1975</v>
      </c>
      <c r="M1346" s="5">
        <f t="shared" ref="M1346:M1409" ca="1" si="8061">VLOOKUP(A1346,hospital_details,3,0)</f>
        <v>50</v>
      </c>
      <c r="N1346" s="5">
        <f t="shared" ref="N1346:N1409" si="8062">VLOOKUP($A1346,hospital_details,4,0)</f>
        <v>1</v>
      </c>
      <c r="O1346" s="6">
        <f t="shared" ref="O1346:O1409" si="8063">VLOOKUP($A1346,hospital_details,5,0)</f>
        <v>8068.19</v>
      </c>
      <c r="P1346" s="5" t="str">
        <f t="shared" ref="P1346:P1409" si="8064">VLOOKUP($A1346,hospital_details,6,0)</f>
        <v>tier - 3</v>
      </c>
      <c r="Q1346" s="5" t="str">
        <f t="shared" ref="Q1346:Q1409" si="8065">VLOOKUP($A1346,hospital_details,7,0)</f>
        <v>tier - 2</v>
      </c>
      <c r="R1346" s="5" t="str">
        <f t="shared" ref="R1346:R1409" si="8066">VLOOKUP($A1346,hospital_details,8,0)</f>
        <v>R1011</v>
      </c>
    </row>
    <row r="1347" spans="1:18" ht="14.4" customHeight="1" x14ac:dyDescent="0.3">
      <c r="A1347" s="7" t="s">
        <v>1367</v>
      </c>
      <c r="B1347" s="7" t="str">
        <f>VLOOKUP($A1347,[1]!Customer_Names[#Data],3,0)</f>
        <v xml:space="preserve">  Monica</v>
      </c>
      <c r="C1347" s="7">
        <v>18.87</v>
      </c>
      <c r="D1347" s="7" t="str" cm="1">
        <f t="array" ref="D1347">_xlfn.IFS(Healthcare!$C1347&lt;18.5,"under weight",Healthcare!$C1347&lt;=24.9,"Normal Weight",Healthcare!$C1347&gt;=25,"overweight",Healthcare!$C1347&gt;=30,"obese")</f>
        <v>Normal Weight</v>
      </c>
      <c r="E1347" s="7">
        <v>8.06</v>
      </c>
      <c r="F1347" s="7" t="str" cm="1">
        <f t="array" ref="F1347">_xlfn.IFS(Healthcare!$E1347&lt;5.7,"normal",Healthcare!$E1347&lt;=6.4,"prediabetes",Healthcare!$E1347&gt;=6.5,"diabetes")</f>
        <v>diabetes</v>
      </c>
      <c r="G1347" s="7" t="s">
        <v>19</v>
      </c>
      <c r="H1347" s="7" t="s">
        <v>19</v>
      </c>
      <c r="I1347" s="7" t="s">
        <v>19</v>
      </c>
      <c r="J1347" s="7">
        <v>0</v>
      </c>
      <c r="K1347" s="7" t="s">
        <v>19</v>
      </c>
      <c r="L1347" s="7" t="str">
        <f>VLOOKUP(Healthcare!$A1347,hospital_details,2,0)</f>
        <v>11-Aug-1965</v>
      </c>
      <c r="M1347" s="7">
        <f t="shared" ref="M1347:M1410" ca="1" si="8067">VLOOKUP(A1347,hospital_details,3,0)</f>
        <v>61</v>
      </c>
      <c r="N1347" s="7">
        <f t="shared" ref="N1347:N1410" si="8068">VLOOKUP($A1347,hospital_details,4,0)</f>
        <v>0</v>
      </c>
      <c r="O1347" s="8">
        <f t="shared" ref="O1347:O1410" si="8069">VLOOKUP($A1347,hospital_details,5,0)</f>
        <v>8067.83</v>
      </c>
      <c r="P1347" s="7" t="str">
        <f t="shared" ref="P1347:P1410" si="8070">VLOOKUP($A1347,hospital_details,6,0)</f>
        <v>tier - 3</v>
      </c>
      <c r="Q1347" s="7" t="str">
        <f t="shared" ref="Q1347:Q1410" si="8071">VLOOKUP($A1347,hospital_details,7,0)</f>
        <v>tier - 1</v>
      </c>
      <c r="R1347" s="7" t="str">
        <f t="shared" ref="R1347:R1410" si="8072">VLOOKUP($A1347,hospital_details,8,0)</f>
        <v>R1013</v>
      </c>
    </row>
    <row r="1348" spans="1:18" ht="14.4" customHeight="1" x14ac:dyDescent="0.3">
      <c r="A1348" s="5" t="s">
        <v>1368</v>
      </c>
      <c r="B1348" s="5" t="str">
        <f>VLOOKUP($A1348,[1]!Customer_Names[#Data],3,0)</f>
        <v xml:space="preserve">  Tyler</v>
      </c>
      <c r="C1348" s="5">
        <v>32.299999999999997</v>
      </c>
      <c r="D1348" s="5" t="str" cm="1">
        <f t="array" ref="D1348">_xlfn.IFS(Healthcare!$C1348&lt;18.5,"under weight",Healthcare!$C1348&lt;=24.9,"Normal Weight",Healthcare!$C1348&gt;=25,"overweight",Healthcare!$C1348&gt;=30,"obese")</f>
        <v>overweight</v>
      </c>
      <c r="E1348" s="5">
        <v>6.74</v>
      </c>
      <c r="F1348" s="5" t="str" cm="1">
        <f t="array" ref="F1348">_xlfn.IFS(Healthcare!$E1348&lt;5.7,"normal",Healthcare!$E1348&lt;=6.4,"prediabetes",Healthcare!$E1348&gt;=6.5,"diabetes")</f>
        <v>diabetes</v>
      </c>
      <c r="G1348" s="5" t="s">
        <v>20</v>
      </c>
      <c r="H1348" s="5" t="s">
        <v>19</v>
      </c>
      <c r="I1348" s="5" t="s">
        <v>19</v>
      </c>
      <c r="J1348" s="5">
        <v>1</v>
      </c>
      <c r="K1348" s="5" t="s">
        <v>19</v>
      </c>
      <c r="L1348" s="5" t="str">
        <f>VLOOKUP(Healthcare!$A1348,hospital_details,2,0)</f>
        <v>28-Jun-1975</v>
      </c>
      <c r="M1348" s="5">
        <f t="shared" ref="M1348:M1411" ca="1" si="8073">VLOOKUP(A1348,hospital_details,3,0)</f>
        <v>51</v>
      </c>
      <c r="N1348" s="5">
        <f t="shared" ref="N1348:N1411" si="8074">VLOOKUP($A1348,hospital_details,4,0)</f>
        <v>1</v>
      </c>
      <c r="O1348" s="6">
        <f t="shared" ref="O1348:O1411" si="8075">VLOOKUP($A1348,hospital_details,5,0)</f>
        <v>8062.76</v>
      </c>
      <c r="P1348" s="5" t="str">
        <f t="shared" ref="P1348:P1411" si="8076">VLOOKUP($A1348,hospital_details,6,0)</f>
        <v>tier - 3</v>
      </c>
      <c r="Q1348" s="5" t="str">
        <f t="shared" ref="Q1348:Q1411" si="8077">VLOOKUP($A1348,hospital_details,7,0)</f>
        <v>tier - 3</v>
      </c>
      <c r="R1348" s="5" t="str">
        <f t="shared" ref="R1348:R1411" si="8078">VLOOKUP($A1348,hospital_details,8,0)</f>
        <v>R1011</v>
      </c>
    </row>
    <row r="1349" spans="1:18" ht="14.4" customHeight="1" x14ac:dyDescent="0.3">
      <c r="A1349" s="7" t="s">
        <v>1369</v>
      </c>
      <c r="B1349" s="7" t="str">
        <f>VLOOKUP($A1349,[1]!Customer_Names[#Data],3,0)</f>
        <v xml:space="preserve">  Kelly C</v>
      </c>
      <c r="C1349" s="7">
        <v>22.64</v>
      </c>
      <c r="D1349" s="7" t="str" cm="1">
        <f t="array" ref="D1349">_xlfn.IFS(Healthcare!$C1349&lt;18.5,"under weight",Healthcare!$C1349&lt;=24.9,"Normal Weight",Healthcare!$C1349&gt;=25,"overweight",Healthcare!$C1349&gt;=30,"obese")</f>
        <v>Normal Weight</v>
      </c>
      <c r="E1349" s="7">
        <v>6.54</v>
      </c>
      <c r="F1349" s="7" t="str" cm="1">
        <f t="array" ref="F1349">_xlfn.IFS(Healthcare!$E1349&lt;5.7,"normal",Healthcare!$E1349&lt;=6.4,"prediabetes",Healthcare!$E1349&gt;=6.5,"diabetes")</f>
        <v>diabetes</v>
      </c>
      <c r="G1349" s="7" t="s">
        <v>20</v>
      </c>
      <c r="H1349" s="7" t="s">
        <v>19</v>
      </c>
      <c r="I1349" s="7" t="s">
        <v>19</v>
      </c>
      <c r="J1349" s="7">
        <v>2</v>
      </c>
      <c r="K1349" s="7" t="s">
        <v>19</v>
      </c>
      <c r="L1349" s="7" t="str">
        <f>VLOOKUP(Healthcare!$A1349,hospital_details,2,0)</f>
        <v>12-Dec-1970</v>
      </c>
      <c r="M1349" s="7">
        <f t="shared" ref="M1349:M1412" ca="1" si="8079">VLOOKUP(A1349,hospital_details,3,0)</f>
        <v>55</v>
      </c>
      <c r="N1349" s="7">
        <f t="shared" ref="N1349:N1412" si="8080">VLOOKUP($A1349,hospital_details,4,0)</f>
        <v>0</v>
      </c>
      <c r="O1349" s="8">
        <f t="shared" ref="O1349:O1412" si="8081">VLOOKUP($A1349,hospital_details,5,0)</f>
        <v>8062.31</v>
      </c>
      <c r="P1349" s="7" t="str">
        <f t="shared" ref="P1349:P1412" si="8082">VLOOKUP($A1349,hospital_details,6,0)</f>
        <v>tier - 2</v>
      </c>
      <c r="Q1349" s="7" t="str">
        <f t="shared" ref="Q1349:Q1412" si="8083">VLOOKUP($A1349,hospital_details,7,0)</f>
        <v>tier - 1</v>
      </c>
      <c r="R1349" s="7" t="str">
        <f t="shared" ref="R1349:R1412" si="8084">VLOOKUP($A1349,hospital_details,8,0)</f>
        <v>R1013</v>
      </c>
    </row>
    <row r="1350" spans="1:18" ht="14.4" customHeight="1" x14ac:dyDescent="0.3">
      <c r="A1350" s="5" t="s">
        <v>1370</v>
      </c>
      <c r="B1350" s="5" t="str">
        <f>VLOOKUP($A1350,[1]!Customer_Names[#Data],3,0)</f>
        <v xml:space="preserve">  Emily</v>
      </c>
      <c r="C1350" s="5">
        <v>28.69</v>
      </c>
      <c r="D1350" s="5" t="str" cm="1">
        <f t="array" ref="D1350">_xlfn.IFS(Healthcare!$C1350&lt;18.5,"under weight",Healthcare!$C1350&lt;=24.9,"Normal Weight",Healthcare!$C1350&gt;=25,"overweight",Healthcare!$C1350&gt;=30,"obese")</f>
        <v>overweight</v>
      </c>
      <c r="E1350" s="5">
        <v>5.4</v>
      </c>
      <c r="F1350" s="5" t="str" cm="1">
        <f t="array" ref="F1350">_xlfn.IFS(Healthcare!$E1350&lt;5.7,"normal",Healthcare!$E1350&lt;=6.4,"prediabetes",Healthcare!$E1350&gt;=6.5,"diabetes")</f>
        <v>normal</v>
      </c>
      <c r="G1350" s="5" t="s">
        <v>19</v>
      </c>
      <c r="H1350" s="5" t="s">
        <v>19</v>
      </c>
      <c r="I1350" s="5" t="s">
        <v>19</v>
      </c>
      <c r="J1350" s="5">
        <v>0</v>
      </c>
      <c r="K1350" s="5" t="s">
        <v>19</v>
      </c>
      <c r="L1350" s="5" t="str">
        <f>VLOOKUP(Healthcare!$A1350,hospital_details,2,0)</f>
        <v>27-Dec-1982</v>
      </c>
      <c r="M1350" s="5">
        <f t="shared" ref="M1350:M1413" ca="1" si="8085">VLOOKUP(A1350,hospital_details,3,0)</f>
        <v>43</v>
      </c>
      <c r="N1350" s="5">
        <f t="shared" ref="N1350:N1413" si="8086">VLOOKUP($A1350,hospital_details,4,0)</f>
        <v>3</v>
      </c>
      <c r="O1350" s="6">
        <f t="shared" ref="O1350:O1413" si="8087">VLOOKUP($A1350,hospital_details,5,0)</f>
        <v>8059.68</v>
      </c>
      <c r="P1350" s="5" t="str">
        <f t="shared" ref="P1350:P1413" si="8088">VLOOKUP($A1350,hospital_details,6,0)</f>
        <v>tier - 2</v>
      </c>
      <c r="Q1350" s="5" t="str">
        <f t="shared" ref="Q1350:Q1413" si="8089">VLOOKUP($A1350,hospital_details,7,0)</f>
        <v>tier - 3</v>
      </c>
      <c r="R1350" s="5" t="str">
        <f t="shared" ref="R1350:R1413" si="8090">VLOOKUP($A1350,hospital_details,8,0)</f>
        <v>R1012</v>
      </c>
    </row>
    <row r="1351" spans="1:18" ht="14.4" customHeight="1" x14ac:dyDescent="0.3">
      <c r="A1351" s="7" t="s">
        <v>1371</v>
      </c>
      <c r="B1351" s="7" t="str">
        <f>VLOOKUP($A1351,[1]!Customer_Names[#Data],3,0)</f>
        <v xml:space="preserve">  James V</v>
      </c>
      <c r="C1351" s="7">
        <v>28.16</v>
      </c>
      <c r="D1351" s="7" t="str" cm="1">
        <f t="array" ref="D1351">_xlfn.IFS(Healthcare!$C1351&lt;18.5,"under weight",Healthcare!$C1351&lt;=24.9,"Normal Weight",Healthcare!$C1351&gt;=25,"overweight",Healthcare!$C1351&gt;=30,"obese")</f>
        <v>overweight</v>
      </c>
      <c r="E1351" s="7">
        <v>5.58</v>
      </c>
      <c r="F1351" s="7" t="str" cm="1">
        <f t="array" ref="F1351">_xlfn.IFS(Healthcare!$E1351&lt;5.7,"normal",Healthcare!$E1351&lt;=6.4,"prediabetes",Healthcare!$E1351&gt;=6.5,"diabetes")</f>
        <v>normal</v>
      </c>
      <c r="G1351" s="7" t="s">
        <v>20</v>
      </c>
      <c r="H1351" s="7" t="s">
        <v>19</v>
      </c>
      <c r="I1351" s="7" t="s">
        <v>19</v>
      </c>
      <c r="J1351" s="7">
        <v>0</v>
      </c>
      <c r="K1351" s="7" t="s">
        <v>19</v>
      </c>
      <c r="L1351" s="7" t="str">
        <f>VLOOKUP(Healthcare!$A1351,hospital_details,2,0)</f>
        <v>28-Nov-1985</v>
      </c>
      <c r="M1351" s="7">
        <f t="shared" ref="M1351:M1414" ca="1" si="8091">VLOOKUP(A1351,hospital_details,3,0)</f>
        <v>40</v>
      </c>
      <c r="N1351" s="7">
        <f t="shared" ref="N1351:N1414" si="8092">VLOOKUP($A1351,hospital_details,4,0)</f>
        <v>3</v>
      </c>
      <c r="O1351" s="8">
        <f t="shared" ref="O1351:O1414" si="8093">VLOOKUP($A1351,hospital_details,5,0)</f>
        <v>8059.06</v>
      </c>
      <c r="P1351" s="7" t="str">
        <f t="shared" ref="P1351:P1414" si="8094">VLOOKUP($A1351,hospital_details,6,0)</f>
        <v>tier - 2</v>
      </c>
      <c r="Q1351" s="7" t="str">
        <f t="shared" ref="Q1351:Q1414" si="8095">VLOOKUP($A1351,hospital_details,7,0)</f>
        <v>tier - 3</v>
      </c>
      <c r="R1351" s="7" t="str">
        <f t="shared" ref="R1351:R1414" si="8096">VLOOKUP($A1351,hospital_details,8,0)</f>
        <v>R1012</v>
      </c>
    </row>
    <row r="1352" spans="1:18" ht="14.4" customHeight="1" x14ac:dyDescent="0.3">
      <c r="A1352" s="5" t="s">
        <v>1372</v>
      </c>
      <c r="B1352" s="5" t="str">
        <f>VLOOKUP($A1352,[1]!Customer_Names[#Data],3,0)</f>
        <v xml:space="preserve">  Angie</v>
      </c>
      <c r="C1352" s="5">
        <v>45.54</v>
      </c>
      <c r="D1352" s="5" t="str" cm="1">
        <f t="array" ref="D1352">_xlfn.IFS(Healthcare!$C1352&lt;18.5,"under weight",Healthcare!$C1352&lt;=24.9,"Normal Weight",Healthcare!$C1352&gt;=25,"overweight",Healthcare!$C1352&gt;=30,"obese")</f>
        <v>overweight</v>
      </c>
      <c r="E1352" s="5">
        <v>5.84</v>
      </c>
      <c r="F1352" s="5" t="str" cm="1">
        <f t="array" ref="F1352">_xlfn.IFS(Healthcare!$E1352&lt;5.7,"normal",Healthcare!$E1352&lt;=6.4,"prediabetes",Healthcare!$E1352&gt;=6.5,"diabetes")</f>
        <v>prediabetes</v>
      </c>
      <c r="G1352" s="5" t="s">
        <v>19</v>
      </c>
      <c r="H1352" s="5" t="s">
        <v>19</v>
      </c>
      <c r="I1352" s="5" t="s">
        <v>29</v>
      </c>
      <c r="J1352" s="5">
        <v>1</v>
      </c>
      <c r="K1352" s="5" t="s">
        <v>19</v>
      </c>
      <c r="L1352" s="5" t="str">
        <f>VLOOKUP(Healthcare!$A1352,hospital_details,2,0)</f>
        <v>12-Dec-2003</v>
      </c>
      <c r="M1352" s="5">
        <f t="shared" ref="M1352:M1415" ca="1" si="8097">VLOOKUP(A1352,hospital_details,3,0)</f>
        <v>22</v>
      </c>
      <c r="N1352" s="5">
        <f t="shared" ref="N1352:N1415" si="8098">VLOOKUP($A1352,hospital_details,4,0)</f>
        <v>0</v>
      </c>
      <c r="O1352" s="6">
        <f t="shared" ref="O1352:O1415" si="8099">VLOOKUP($A1352,hospital_details,5,0)</f>
        <v>8035.64</v>
      </c>
      <c r="P1352" s="5" t="str">
        <f t="shared" ref="P1352:P1415" si="8100">VLOOKUP($A1352,hospital_details,6,0)</f>
        <v>tier - 2</v>
      </c>
      <c r="Q1352" s="5" t="str">
        <f t="shared" ref="Q1352:Q1415" si="8101">VLOOKUP($A1352,hospital_details,7,0)</f>
        <v>tier - 2</v>
      </c>
      <c r="R1352" s="5" t="str">
        <f t="shared" ref="R1352:R1415" si="8102">VLOOKUP($A1352,hospital_details,8,0)</f>
        <v>R1012</v>
      </c>
    </row>
    <row r="1353" spans="1:18" ht="14.4" customHeight="1" x14ac:dyDescent="0.3">
      <c r="A1353" s="7" t="s">
        <v>1373</v>
      </c>
      <c r="B1353" s="7" t="str">
        <f>VLOOKUP($A1353,[1]!Customer_Names[#Data],3,0)</f>
        <v xml:space="preserve">  Michael J</v>
      </c>
      <c r="C1353" s="7">
        <v>28.7</v>
      </c>
      <c r="D1353" s="7" t="str" cm="1">
        <f t="array" ref="D1353">_xlfn.IFS(Healthcare!$C1353&lt;18.5,"under weight",Healthcare!$C1353&lt;=24.9,"Normal Weight",Healthcare!$C1353&gt;=25,"overweight",Healthcare!$C1353&gt;=30,"obese")</f>
        <v>overweight</v>
      </c>
      <c r="E1353" s="7">
        <v>4.2</v>
      </c>
      <c r="F1353" s="7" t="str" cm="1">
        <f t="array" ref="F1353">_xlfn.IFS(Healthcare!$E1353&lt;5.7,"normal",Healthcare!$E1353&lt;=6.4,"prediabetes",Healthcare!$E1353&gt;=6.5,"diabetes")</f>
        <v>normal</v>
      </c>
      <c r="G1353" s="7" t="s">
        <v>19</v>
      </c>
      <c r="H1353" s="7" t="s">
        <v>19</v>
      </c>
      <c r="I1353" s="7" t="s">
        <v>19</v>
      </c>
      <c r="J1353" s="7">
        <v>0</v>
      </c>
      <c r="K1353" s="7" t="s">
        <v>19</v>
      </c>
      <c r="L1353" s="7" t="str">
        <f>VLOOKUP(Healthcare!$A1353,hospital_details,2,0)</f>
        <v>6-Nov-1977</v>
      </c>
      <c r="M1353" s="7">
        <f t="shared" ref="M1353:M1416" ca="1" si="8103">VLOOKUP(A1353,hospital_details,3,0)</f>
        <v>48</v>
      </c>
      <c r="N1353" s="7">
        <f t="shared" ref="N1353:N1416" si="8104">VLOOKUP($A1353,hospital_details,4,0)</f>
        <v>2</v>
      </c>
      <c r="O1353" s="8">
        <f t="shared" ref="O1353:O1416" si="8105">VLOOKUP($A1353,hospital_details,5,0)</f>
        <v>8027.97</v>
      </c>
      <c r="P1353" s="7" t="str">
        <f t="shared" ref="P1353:P1416" si="8106">VLOOKUP($A1353,hospital_details,6,0)</f>
        <v>tier - 3</v>
      </c>
      <c r="Q1353" s="7" t="str">
        <f t="shared" ref="Q1353:Q1416" si="8107">VLOOKUP($A1353,hospital_details,7,0)</f>
        <v>tier - 2</v>
      </c>
      <c r="R1353" s="7" t="str">
        <f t="shared" ref="R1353:R1416" si="8108">VLOOKUP($A1353,hospital_details,8,0)</f>
        <v>R1011</v>
      </c>
    </row>
    <row r="1354" spans="1:18" ht="14.4" customHeight="1" x14ac:dyDescent="0.3">
      <c r="A1354" s="5" t="s">
        <v>1374</v>
      </c>
      <c r="B1354" s="5" t="str">
        <f>VLOOKUP($A1354,[1]!Customer_Names[#Data],3,0)</f>
        <v xml:space="preserve">  Sabina</v>
      </c>
      <c r="C1354" s="5">
        <v>27.74</v>
      </c>
      <c r="D1354" s="5" t="str" cm="1">
        <f t="array" ref="D1354">_xlfn.IFS(Healthcare!$C1354&lt;18.5,"under weight",Healthcare!$C1354&lt;=24.9,"Normal Weight",Healthcare!$C1354&gt;=25,"overweight",Healthcare!$C1354&gt;=30,"obese")</f>
        <v>overweight</v>
      </c>
      <c r="E1354" s="5">
        <v>6.06</v>
      </c>
      <c r="F1354" s="5" t="str" cm="1">
        <f t="array" ref="F1354">_xlfn.IFS(Healthcare!$E1354&lt;5.7,"normal",Healthcare!$E1354&lt;=6.4,"prediabetes",Healthcare!$E1354&gt;=6.5,"diabetes")</f>
        <v>prediabetes</v>
      </c>
      <c r="G1354" s="5" t="s">
        <v>20</v>
      </c>
      <c r="H1354" s="5" t="s">
        <v>19</v>
      </c>
      <c r="I1354" s="5" t="s">
        <v>19</v>
      </c>
      <c r="J1354" s="5">
        <v>0</v>
      </c>
      <c r="K1354" s="5" t="s">
        <v>19</v>
      </c>
      <c r="L1354" s="5" t="str">
        <f>VLOOKUP(Healthcare!$A1354,hospital_details,2,0)</f>
        <v>20-Dec-1976</v>
      </c>
      <c r="M1354" s="5">
        <f t="shared" ref="M1354:M1417" ca="1" si="8109">VLOOKUP(A1354,hospital_details,3,0)</f>
        <v>49</v>
      </c>
      <c r="N1354" s="5">
        <f t="shared" ref="N1354:N1417" si="8110">VLOOKUP($A1354,hospital_details,4,0)</f>
        <v>0</v>
      </c>
      <c r="O1354" s="6">
        <f t="shared" ref="O1354:O1417" si="8111">VLOOKUP($A1354,hospital_details,5,0)</f>
        <v>8026.67</v>
      </c>
      <c r="P1354" s="5" t="str">
        <f t="shared" ref="P1354:P1417" si="8112">VLOOKUP($A1354,hospital_details,6,0)</f>
        <v>tier - 2</v>
      </c>
      <c r="Q1354" s="5" t="str">
        <f t="shared" ref="Q1354:Q1417" si="8113">VLOOKUP($A1354,hospital_details,7,0)</f>
        <v>tier - 2</v>
      </c>
      <c r="R1354" s="5" t="str">
        <f t="shared" ref="R1354:R1417" si="8114">VLOOKUP($A1354,hospital_details,8,0)</f>
        <v>R1012</v>
      </c>
    </row>
    <row r="1355" spans="1:18" ht="14.4" customHeight="1" x14ac:dyDescent="0.3">
      <c r="A1355" s="7" t="s">
        <v>1375</v>
      </c>
      <c r="B1355" s="7" t="str">
        <f>VLOOKUP($A1355,[1]!Customer_Names[#Data],3,0)</f>
        <v xml:space="preserve">  Amy C</v>
      </c>
      <c r="C1355" s="7">
        <v>36.954999999999998</v>
      </c>
      <c r="D1355" s="7" t="str" cm="1">
        <f t="array" ref="D1355">_xlfn.IFS(Healthcare!$C1355&lt;18.5,"under weight",Healthcare!$C1355&lt;=24.9,"Normal Weight",Healthcare!$C1355&gt;=25,"overweight",Healthcare!$C1355&gt;=30,"obese")</f>
        <v>overweight</v>
      </c>
      <c r="E1355" s="7">
        <v>7.57</v>
      </c>
      <c r="F1355" s="7" t="str" cm="1">
        <f t="array" ref="F1355">_xlfn.IFS(Healthcare!$E1355&lt;5.7,"normal",Healthcare!$E1355&lt;=6.4,"prediabetes",Healthcare!$E1355&gt;=6.5,"diabetes")</f>
        <v>diabetes</v>
      </c>
      <c r="G1355" s="7" t="s">
        <v>19</v>
      </c>
      <c r="H1355" s="7" t="s">
        <v>19</v>
      </c>
      <c r="I1355" s="7" t="s">
        <v>19</v>
      </c>
      <c r="J1355" s="7">
        <v>0</v>
      </c>
      <c r="K1355" s="7" t="s">
        <v>19</v>
      </c>
      <c r="L1355" s="7" t="str">
        <f>VLOOKUP(Healthcare!$A1355,hospital_details,2,0)</f>
        <v>17-Jul-1978</v>
      </c>
      <c r="M1355" s="7">
        <f t="shared" ref="M1355:M1418" ca="1" si="8115">VLOOKUP(A1355,hospital_details,3,0)</f>
        <v>48</v>
      </c>
      <c r="N1355" s="7">
        <f t="shared" ref="N1355:N1418" si="8116">VLOOKUP($A1355,hospital_details,4,0)</f>
        <v>1</v>
      </c>
      <c r="O1355" s="8">
        <f t="shared" ref="O1355:O1418" si="8117">VLOOKUP($A1355,hospital_details,5,0)</f>
        <v>8023.14</v>
      </c>
      <c r="P1355" s="7" t="str">
        <f t="shared" ref="P1355:P1418" si="8118">VLOOKUP($A1355,hospital_details,6,0)</f>
        <v>tier - 2</v>
      </c>
      <c r="Q1355" s="7" t="str">
        <f t="shared" ref="Q1355:Q1418" si="8119">VLOOKUP($A1355,hospital_details,7,0)</f>
        <v>tier - 3</v>
      </c>
      <c r="R1355" s="7" t="str">
        <f t="shared" ref="R1355:R1418" si="8120">VLOOKUP($A1355,hospital_details,8,0)</f>
        <v>R1012</v>
      </c>
    </row>
    <row r="1356" spans="1:18" ht="14.4" customHeight="1" x14ac:dyDescent="0.3">
      <c r="A1356" s="5" t="s">
        <v>1376</v>
      </c>
      <c r="B1356" s="5" t="str">
        <f>VLOOKUP($A1356,[1]!Customer_Names[#Data],3,0)</f>
        <v xml:space="preserve">  Victoria U</v>
      </c>
      <c r="C1356" s="5">
        <v>30.69</v>
      </c>
      <c r="D1356" s="5" t="str" cm="1">
        <f t="array" ref="D1356">_xlfn.IFS(Healthcare!$C1356&lt;18.5,"under weight",Healthcare!$C1356&lt;=24.9,"Normal Weight",Healthcare!$C1356&gt;=25,"overweight",Healthcare!$C1356&gt;=30,"obese")</f>
        <v>overweight</v>
      </c>
      <c r="E1356" s="5">
        <v>6.15</v>
      </c>
      <c r="F1356" s="5" t="str" cm="1">
        <f t="array" ref="F1356">_xlfn.IFS(Healthcare!$E1356&lt;5.7,"normal",Healthcare!$E1356&lt;=6.4,"prediabetes",Healthcare!$E1356&gt;=6.5,"diabetes")</f>
        <v>prediabetes</v>
      </c>
      <c r="G1356" s="5" t="s">
        <v>19</v>
      </c>
      <c r="H1356" s="5" t="s">
        <v>19</v>
      </c>
      <c r="I1356" s="5" t="s">
        <v>19</v>
      </c>
      <c r="J1356" s="5">
        <v>0</v>
      </c>
      <c r="K1356" s="5" t="s">
        <v>19</v>
      </c>
      <c r="L1356" s="5" t="str">
        <f>VLOOKUP(Healthcare!$A1356,hospital_details,2,0)</f>
        <v>3-Nov-1989</v>
      </c>
      <c r="M1356" s="5">
        <f t="shared" ref="M1356:M1419" ca="1" si="8121">VLOOKUP(A1356,hospital_details,3,0)</f>
        <v>36</v>
      </c>
      <c r="N1356" s="5">
        <f t="shared" ref="N1356:N1419" si="8122">VLOOKUP($A1356,hospital_details,4,0)</f>
        <v>3</v>
      </c>
      <c r="O1356" s="6">
        <f t="shared" ref="O1356:O1419" si="8123">VLOOKUP($A1356,hospital_details,5,0)</f>
        <v>8021.11</v>
      </c>
      <c r="P1356" s="5" t="str">
        <f t="shared" ref="P1356:P1419" si="8124">VLOOKUP($A1356,hospital_details,6,0)</f>
        <v>tier - 2</v>
      </c>
      <c r="Q1356" s="5" t="str">
        <f t="shared" ref="Q1356:Q1419" si="8125">VLOOKUP($A1356,hospital_details,7,0)</f>
        <v>tier - 1</v>
      </c>
      <c r="R1356" s="5" t="str">
        <f t="shared" ref="R1356:R1419" si="8126">VLOOKUP($A1356,hospital_details,8,0)</f>
        <v>R1012</v>
      </c>
    </row>
    <row r="1357" spans="1:18" ht="14.4" customHeight="1" x14ac:dyDescent="0.3">
      <c r="A1357" s="7" t="s">
        <v>1377</v>
      </c>
      <c r="B1357" s="7" t="str">
        <f>VLOOKUP($A1357,[1]!Customer_Names[#Data],3,0)</f>
        <v xml:space="preserve">  Amelia B</v>
      </c>
      <c r="C1357" s="7">
        <v>24.984999999999999</v>
      </c>
      <c r="D1357" s="5" t="str" cm="1">
        <f t="array" ref="D1357">_xlfn.IFS(Healthcare!$C371&lt;18.5,"under weight",Healthcare!$C371&lt;=24.9,"Normal Weight",Healthcare!$C371&gt;=25,"overweight",Healthcare!$C371&gt;=30,"obese")</f>
        <v>overweight</v>
      </c>
      <c r="E1357" s="7">
        <v>4.5599999999999996</v>
      </c>
      <c r="F1357" s="7" t="str" cm="1">
        <f t="array" ref="F1357">_xlfn.IFS(Healthcare!$E1357&lt;5.7,"normal",Healthcare!$E1357&lt;=6.4,"prediabetes",Healthcare!$E1357&gt;=6.5,"diabetes")</f>
        <v>normal</v>
      </c>
      <c r="G1357" s="7" t="s">
        <v>19</v>
      </c>
      <c r="H1357" s="7" t="s">
        <v>19</v>
      </c>
      <c r="I1357" s="7" t="s">
        <v>19</v>
      </c>
      <c r="J1357" s="7">
        <v>0</v>
      </c>
      <c r="K1357" s="7" t="s">
        <v>19</v>
      </c>
      <c r="L1357" s="7" t="str">
        <f>VLOOKUP(Healthcare!$A1357,hospital_details,2,0)</f>
        <v>8-Nov-1980</v>
      </c>
      <c r="M1357" s="7">
        <f t="shared" ref="M1357:M1420" ca="1" si="8127">VLOOKUP(A1357,hospital_details,3,0)</f>
        <v>45</v>
      </c>
      <c r="N1357" s="7">
        <f t="shared" ref="N1357:N1420" si="8128">VLOOKUP($A1357,hospital_details,4,0)</f>
        <v>2</v>
      </c>
      <c r="O1357" s="8">
        <f t="shared" ref="O1357:O1420" si="8129">VLOOKUP($A1357,hospital_details,5,0)</f>
        <v>8017.06</v>
      </c>
      <c r="P1357" s="7" t="str">
        <f t="shared" ref="P1357:P1420" si="8130">VLOOKUP($A1357,hospital_details,6,0)</f>
        <v>tier - 2</v>
      </c>
      <c r="Q1357" s="7" t="str">
        <f t="shared" ref="Q1357:Q1420" si="8131">VLOOKUP($A1357,hospital_details,7,0)</f>
        <v>tier - 2</v>
      </c>
      <c r="R1357" s="7" t="str">
        <f t="shared" ref="R1357:R1420" si="8132">VLOOKUP($A1357,hospital_details,8,0)</f>
        <v>R1012</v>
      </c>
    </row>
    <row r="1358" spans="1:18" ht="14.4" customHeight="1" x14ac:dyDescent="0.3">
      <c r="A1358" s="5" t="s">
        <v>1378</v>
      </c>
      <c r="B1358" s="5" t="str">
        <f>VLOOKUP($A1358,[1]!Customer_Names[#Data],3,0)</f>
        <v xml:space="preserve">  Jackie J</v>
      </c>
      <c r="C1358" s="5">
        <v>39.42</v>
      </c>
      <c r="D1358" s="5" t="str" cm="1">
        <f t="array" ref="D1358">_xlfn.IFS(Healthcare!$C1358&lt;18.5,"under weight",Healthcare!$C1358&lt;=24.9,"Normal Weight",Healthcare!$C1358&gt;=25,"overweight",Healthcare!$C1358&gt;=30,"obese")</f>
        <v>overweight</v>
      </c>
      <c r="E1358" s="5">
        <v>4.72</v>
      </c>
      <c r="F1358" s="5" t="str" cm="1">
        <f t="array" ref="F1358">_xlfn.IFS(Healthcare!$E1358&lt;5.7,"normal",Healthcare!$E1358&lt;=6.4,"prediabetes",Healthcare!$E1358&gt;=6.5,"diabetes")</f>
        <v>normal</v>
      </c>
      <c r="G1358" s="5" t="s">
        <v>20</v>
      </c>
      <c r="H1358" s="5" t="s">
        <v>19</v>
      </c>
      <c r="I1358" s="5" t="s">
        <v>19</v>
      </c>
      <c r="J1358" s="5">
        <v>1</v>
      </c>
      <c r="K1358" s="5" t="s">
        <v>19</v>
      </c>
      <c r="L1358" s="5" t="str">
        <f>VLOOKUP(Healthcare!$A1358,hospital_details,2,0)</f>
        <v>18-Sep-1995</v>
      </c>
      <c r="M1358" s="5">
        <f t="shared" ref="M1358:M1421" ca="1" si="8133">VLOOKUP(A1358,hospital_details,3,0)</f>
        <v>31</v>
      </c>
      <c r="N1358" s="5">
        <f t="shared" ref="N1358:N1421" si="8134">VLOOKUP($A1358,hospital_details,4,0)</f>
        <v>0</v>
      </c>
      <c r="O1358" s="6">
        <f t="shared" ref="O1358:O1421" si="8135">VLOOKUP($A1358,hospital_details,5,0)</f>
        <v>8014.62</v>
      </c>
      <c r="P1358" s="5" t="str">
        <f t="shared" ref="P1358:P1421" si="8136">VLOOKUP($A1358,hospital_details,6,0)</f>
        <v>tier - 2</v>
      </c>
      <c r="Q1358" s="5" t="str">
        <f t="shared" ref="Q1358:Q1421" si="8137">VLOOKUP($A1358,hospital_details,7,0)</f>
        <v>tier - 3</v>
      </c>
      <c r="R1358" s="5" t="str">
        <f t="shared" ref="R1358:R1421" si="8138">VLOOKUP($A1358,hospital_details,8,0)</f>
        <v>R1012</v>
      </c>
    </row>
    <row r="1359" spans="1:18" ht="14.4" customHeight="1" x14ac:dyDescent="0.3">
      <c r="A1359" s="7" t="s">
        <v>1379</v>
      </c>
      <c r="B1359" s="7" t="str">
        <f>VLOOKUP($A1359,[1]!Customer_Names[#Data],3,0)</f>
        <v xml:space="preserve">  Justin</v>
      </c>
      <c r="C1359" s="7">
        <v>16.8</v>
      </c>
      <c r="D1359" s="7" t="str" cm="1">
        <f t="array" ref="D1359">_xlfn.IFS(Healthcare!$C1359&lt;18.5,"under weight",Healthcare!$C1359&lt;=24.9,"Normal Weight",Healthcare!$C1359&gt;=25,"overweight",Healthcare!$C1359&gt;=30,"obese")</f>
        <v>under weight</v>
      </c>
      <c r="E1359" s="7">
        <v>7.98</v>
      </c>
      <c r="F1359" s="7" t="str" cm="1">
        <f t="array" ref="F1359">_xlfn.IFS(Healthcare!$E1359&lt;5.7,"normal",Healthcare!$E1359&lt;=6.4,"prediabetes",Healthcare!$E1359&gt;=6.5,"diabetes")</f>
        <v>diabetes</v>
      </c>
      <c r="G1359" s="7" t="s">
        <v>19</v>
      </c>
      <c r="H1359" s="7" t="s">
        <v>19</v>
      </c>
      <c r="I1359" s="7" t="s">
        <v>19</v>
      </c>
      <c r="J1359" s="7">
        <v>0</v>
      </c>
      <c r="K1359" s="7" t="s">
        <v>19</v>
      </c>
      <c r="L1359" s="7" t="str">
        <f>VLOOKUP(Healthcare!$A1359,hospital_details,2,0)</f>
        <v>22-Aug-1962</v>
      </c>
      <c r="M1359" s="7">
        <f t="shared" ref="M1359:M1422" ca="1" si="8139">VLOOKUP(A1359,hospital_details,3,0)</f>
        <v>64</v>
      </c>
      <c r="N1359" s="7">
        <f t="shared" ref="N1359:N1422" si="8140">VLOOKUP($A1359,hospital_details,4,0)</f>
        <v>0</v>
      </c>
      <c r="O1359" s="8">
        <f t="shared" ref="O1359:O1422" si="8141">VLOOKUP($A1359,hospital_details,5,0)</f>
        <v>8004.96</v>
      </c>
      <c r="P1359" s="7" t="str">
        <f t="shared" ref="P1359:P1422" si="8142">VLOOKUP($A1359,hospital_details,6,0)</f>
        <v>tier - 3</v>
      </c>
      <c r="Q1359" s="7" t="str">
        <f t="shared" ref="Q1359:Q1422" si="8143">VLOOKUP($A1359,hospital_details,7,0)</f>
        <v>tier - 1</v>
      </c>
      <c r="R1359" s="7" t="str">
        <f t="shared" ref="R1359:R1422" si="8144">VLOOKUP($A1359,hospital_details,8,0)</f>
        <v>R1013</v>
      </c>
    </row>
    <row r="1360" spans="1:18" ht="14.4" customHeight="1" x14ac:dyDescent="0.3">
      <c r="A1360" s="5" t="s">
        <v>1380</v>
      </c>
      <c r="B1360" s="5" t="str">
        <f>VLOOKUP($A1360,[1]!Customer_Names[#Data],3,0)</f>
        <v xml:space="preserve">  Kerry</v>
      </c>
      <c r="C1360" s="5">
        <v>23.274999999999999</v>
      </c>
      <c r="D1360" s="5" t="str" cm="1">
        <f t="array" ref="D1360">_xlfn.IFS(Healthcare!$C1360&lt;18.5,"under weight",Healthcare!$C1360&lt;=24.9,"Normal Weight",Healthcare!$C1360&gt;=25,"overweight",Healthcare!$C1360&gt;=30,"obese")</f>
        <v>Normal Weight</v>
      </c>
      <c r="E1360" s="5">
        <v>6.26</v>
      </c>
      <c r="F1360" s="5" t="str" cm="1">
        <f t="array" ref="F1360">_xlfn.IFS(Healthcare!$E1360&lt;5.7,"normal",Healthcare!$E1360&lt;=6.4,"prediabetes",Healthcare!$E1360&gt;=6.5,"diabetes")</f>
        <v>prediabetes</v>
      </c>
      <c r="G1360" s="5" t="s">
        <v>20</v>
      </c>
      <c r="H1360" s="5" t="s">
        <v>19</v>
      </c>
      <c r="I1360" s="5" t="s">
        <v>29</v>
      </c>
      <c r="J1360" s="5">
        <v>1</v>
      </c>
      <c r="K1360" s="5" t="s">
        <v>19</v>
      </c>
      <c r="L1360" s="5" t="str">
        <f>VLOOKUP(Healthcare!$A1360,hospital_details,2,0)</f>
        <v>20-Aug-1983</v>
      </c>
      <c r="M1360" s="5">
        <f t="shared" ref="M1360:M1423" ca="1" si="8145">VLOOKUP(A1360,hospital_details,3,0)</f>
        <v>43</v>
      </c>
      <c r="N1360" s="5">
        <f t="shared" ref="N1360:N1423" si="8146">VLOOKUP($A1360,hospital_details,4,0)</f>
        <v>3</v>
      </c>
      <c r="O1360" s="6">
        <f t="shared" ref="O1360:O1423" si="8147">VLOOKUP($A1360,hospital_details,5,0)</f>
        <v>7986.48</v>
      </c>
      <c r="P1360" s="5" t="str">
        <f t="shared" ref="P1360:P1423" si="8148">VLOOKUP($A1360,hospital_details,6,0)</f>
        <v>tier - 2</v>
      </c>
      <c r="Q1360" s="5" t="str">
        <f t="shared" ref="Q1360:Q1423" si="8149">VLOOKUP($A1360,hospital_details,7,0)</f>
        <v>tier - 3</v>
      </c>
      <c r="R1360" s="5" t="str">
        <f t="shared" ref="R1360:R1423" si="8150">VLOOKUP($A1360,hospital_details,8,0)</f>
        <v>R1024</v>
      </c>
    </row>
    <row r="1361" spans="1:18" ht="14.4" customHeight="1" x14ac:dyDescent="0.3">
      <c r="A1361" s="7" t="s">
        <v>1381</v>
      </c>
      <c r="B1361" s="7" t="str">
        <f>VLOOKUP($A1361,[1]!Customer_Names[#Data],3,0)</f>
        <v xml:space="preserve">  Cindy G</v>
      </c>
      <c r="C1361" s="7">
        <v>22.8</v>
      </c>
      <c r="D1361" s="7" t="str" cm="1">
        <f t="array" ref="D1361">_xlfn.IFS(Healthcare!$C1361&lt;18.5,"under weight",Healthcare!$C1361&lt;=24.9,"Normal Weight",Healthcare!$C1361&gt;=25,"overweight",Healthcare!$C1361&gt;=30,"obese")</f>
        <v>Normal Weight</v>
      </c>
      <c r="E1361" s="7">
        <v>4.29</v>
      </c>
      <c r="F1361" s="7" t="str" cm="1">
        <f t="array" ref="F1361">_xlfn.IFS(Healthcare!$E1361&lt;5.7,"normal",Healthcare!$E1361&lt;=6.4,"prediabetes",Healthcare!$E1361&gt;=6.5,"diabetes")</f>
        <v>normal</v>
      </c>
      <c r="G1361" s="7" t="s">
        <v>20</v>
      </c>
      <c r="H1361" s="7" t="s">
        <v>19</v>
      </c>
      <c r="I1361" s="7" t="s">
        <v>29</v>
      </c>
      <c r="J1361" s="7">
        <v>1</v>
      </c>
      <c r="K1361" s="7" t="s">
        <v>19</v>
      </c>
      <c r="L1361" s="7" t="str">
        <f>VLOOKUP(Healthcare!$A1361,hospital_details,2,0)</f>
        <v>28-Aug-1983</v>
      </c>
      <c r="M1361" s="7">
        <f t="shared" ref="M1361:M1424" ca="1" si="8151">VLOOKUP(A1361,hospital_details,3,0)</f>
        <v>43</v>
      </c>
      <c r="N1361" s="7">
        <f t="shared" ref="N1361:N1424" si="8152">VLOOKUP($A1361,hospital_details,4,0)</f>
        <v>3</v>
      </c>
      <c r="O1361" s="8">
        <f t="shared" ref="O1361:O1424" si="8153">VLOOKUP($A1361,hospital_details,5,0)</f>
        <v>7985.82</v>
      </c>
      <c r="P1361" s="7" t="str">
        <f t="shared" ref="P1361:P1424" si="8154">VLOOKUP($A1361,hospital_details,6,0)</f>
        <v>tier - 2</v>
      </c>
      <c r="Q1361" s="7" t="str">
        <f t="shared" ref="Q1361:Q1424" si="8155">VLOOKUP($A1361,hospital_details,7,0)</f>
        <v>tier - 1</v>
      </c>
      <c r="R1361" s="7" t="str">
        <f t="shared" ref="R1361:R1424" si="8156">VLOOKUP($A1361,hospital_details,8,0)</f>
        <v>R1024</v>
      </c>
    </row>
    <row r="1362" spans="1:18" ht="14.4" customHeight="1" x14ac:dyDescent="0.3">
      <c r="A1362" s="5" t="s">
        <v>1382</v>
      </c>
      <c r="B1362" s="5" t="str">
        <f>VLOOKUP($A1362,[1]!Customer_Names[#Data],3,0)</f>
        <v xml:space="preserve">  Gennaro</v>
      </c>
      <c r="C1362" s="5">
        <v>24.3</v>
      </c>
      <c r="D1362" s="5" t="str" cm="1">
        <f t="array" ref="D1362">_xlfn.IFS(Healthcare!$C1362&lt;18.5,"under weight",Healthcare!$C1362&lt;=24.9,"Normal Weight",Healthcare!$C1362&gt;=25,"overweight",Healthcare!$C1362&gt;=30,"obese")</f>
        <v>Normal Weight</v>
      </c>
      <c r="E1362" s="5">
        <v>5.43</v>
      </c>
      <c r="F1362" s="5" t="str" cm="1">
        <f t="array" ref="F1362">_xlfn.IFS(Healthcare!$E1362&lt;5.7,"normal",Healthcare!$E1362&lt;=6.4,"prediabetes",Healthcare!$E1362&gt;=6.5,"diabetes")</f>
        <v>normal</v>
      </c>
      <c r="G1362" s="5" t="s">
        <v>19</v>
      </c>
      <c r="H1362" s="5" t="s">
        <v>19</v>
      </c>
      <c r="I1362" s="5" t="s">
        <v>19</v>
      </c>
      <c r="J1362" s="5">
        <v>2</v>
      </c>
      <c r="K1362" s="5" t="s">
        <v>19</v>
      </c>
      <c r="L1362" s="5" t="str">
        <f>VLOOKUP(Healthcare!$A1362,hospital_details,2,0)</f>
        <v>23-Nov-1972</v>
      </c>
      <c r="M1362" s="5">
        <f t="shared" ref="M1362:M1425" ca="1" si="8157">VLOOKUP(A1362,hospital_details,3,0)</f>
        <v>53</v>
      </c>
      <c r="N1362" s="5">
        <f t="shared" ref="N1362:N1425" si="8158">VLOOKUP($A1362,hospital_details,4,0)</f>
        <v>0</v>
      </c>
      <c r="O1362" s="6">
        <f t="shared" ref="O1362:O1425" si="8159">VLOOKUP($A1362,hospital_details,5,0)</f>
        <v>7980.34</v>
      </c>
      <c r="P1362" s="5" t="str">
        <f t="shared" ref="P1362:P1425" si="8160">VLOOKUP($A1362,hospital_details,6,0)</f>
        <v>tier - 2</v>
      </c>
      <c r="Q1362" s="5" t="str">
        <f t="shared" ref="Q1362:Q1425" si="8161">VLOOKUP($A1362,hospital_details,7,0)</f>
        <v>tier - 2</v>
      </c>
      <c r="R1362" s="5" t="str">
        <f t="shared" ref="R1362:R1425" si="8162">VLOOKUP($A1362,hospital_details,8,0)</f>
        <v>R1013</v>
      </c>
    </row>
    <row r="1363" spans="1:18" ht="14.4" customHeight="1" x14ac:dyDescent="0.3">
      <c r="A1363" s="7" t="s">
        <v>1383</v>
      </c>
      <c r="B1363" s="7" t="str">
        <f>VLOOKUP($A1363,[1]!Customer_Names[#Data],3,0)</f>
        <v xml:space="preserve">  Terry</v>
      </c>
      <c r="C1363" s="7">
        <v>25.13</v>
      </c>
      <c r="D1363" s="7" t="str" cm="1">
        <f t="array" ref="D1363">_xlfn.IFS(Healthcare!$C1363&lt;18.5,"under weight",Healthcare!$C1363&lt;=24.9,"Normal Weight",Healthcare!$C1363&gt;=25,"overweight",Healthcare!$C1363&gt;=30,"obese")</f>
        <v>overweight</v>
      </c>
      <c r="E1363" s="7">
        <v>8</v>
      </c>
      <c r="F1363" s="7" t="str" cm="1">
        <f t="array" ref="F1363">_xlfn.IFS(Healthcare!$E1363&lt;5.7,"normal",Healthcare!$E1363&lt;=6.4,"prediabetes",Healthcare!$E1363&gt;=6.5,"diabetes")</f>
        <v>diabetes</v>
      </c>
      <c r="G1363" s="7" t="s">
        <v>20</v>
      </c>
      <c r="H1363" s="7" t="s">
        <v>19</v>
      </c>
      <c r="I1363" s="7" t="s">
        <v>19</v>
      </c>
      <c r="J1363" s="7">
        <v>1</v>
      </c>
      <c r="K1363" s="7" t="s">
        <v>19</v>
      </c>
      <c r="L1363" s="7" t="str">
        <f>VLOOKUP(Healthcare!$A1363,hospital_details,2,0)</f>
        <v>10-Aug-1975</v>
      </c>
      <c r="M1363" s="7">
        <f t="shared" ref="M1363:M1426" ca="1" si="8163">VLOOKUP(A1363,hospital_details,3,0)</f>
        <v>51</v>
      </c>
      <c r="N1363" s="7">
        <f t="shared" ref="N1363:N1426" si="8164">VLOOKUP($A1363,hospital_details,4,0)</f>
        <v>1</v>
      </c>
      <c r="O1363" s="8">
        <f t="shared" ref="O1363:O1426" si="8165">VLOOKUP($A1363,hospital_details,5,0)</f>
        <v>7966.81</v>
      </c>
      <c r="P1363" s="7" t="str">
        <f t="shared" ref="P1363:P1426" si="8166">VLOOKUP($A1363,hospital_details,6,0)</f>
        <v>tier - 2</v>
      </c>
      <c r="Q1363" s="7" t="str">
        <f t="shared" ref="Q1363:Q1426" si="8167">VLOOKUP($A1363,hospital_details,7,0)</f>
        <v>tier - 2</v>
      </c>
      <c r="R1363" s="7" t="str">
        <f t="shared" ref="R1363:R1426" si="8168">VLOOKUP($A1363,hospital_details,8,0)</f>
        <v>R1013</v>
      </c>
    </row>
    <row r="1364" spans="1:18" ht="14.4" customHeight="1" x14ac:dyDescent="0.3">
      <c r="A1364" s="5" t="s">
        <v>1384</v>
      </c>
      <c r="B1364" s="5" t="str">
        <f>VLOOKUP($A1364,[1]!Customer_Names[#Data],3,0)</f>
        <v xml:space="preserve">  Patrick J</v>
      </c>
      <c r="C1364" s="5">
        <v>22.72</v>
      </c>
      <c r="D1364" s="5" t="str" cm="1">
        <f t="array" ref="D1364">_xlfn.IFS(Healthcare!$C1364&lt;18.5,"under weight",Healthcare!$C1364&lt;=24.9,"Normal Weight",Healthcare!$C1364&gt;=25,"overweight",Healthcare!$C1364&gt;=30,"obese")</f>
        <v>Normal Weight</v>
      </c>
      <c r="E1364" s="5">
        <v>9.9600000000000009</v>
      </c>
      <c r="F1364" s="5" t="str" cm="1">
        <f t="array" ref="F1364">_xlfn.IFS(Healthcare!$E1364&lt;5.7,"normal",Healthcare!$E1364&lt;=6.4,"prediabetes",Healthcare!$E1364&gt;=6.5,"diabetes")</f>
        <v>diabetes</v>
      </c>
      <c r="G1364" s="5" t="s">
        <v>20</v>
      </c>
      <c r="H1364" s="5" t="s">
        <v>19</v>
      </c>
      <c r="I1364" s="5" t="s">
        <v>19</v>
      </c>
      <c r="J1364" s="5">
        <v>2</v>
      </c>
      <c r="K1364" s="5" t="s">
        <v>19</v>
      </c>
      <c r="L1364" s="5" t="str">
        <f>VLOOKUP(Healthcare!$A1364,hospital_details,2,0)</f>
        <v>19-Jun-1970</v>
      </c>
      <c r="M1364" s="5">
        <f t="shared" ref="M1364:M1427" ca="1" si="8169">VLOOKUP(A1364,hospital_details,3,0)</f>
        <v>56</v>
      </c>
      <c r="N1364" s="5">
        <f t="shared" ref="N1364:N1427" si="8170">VLOOKUP($A1364,hospital_details,4,0)</f>
        <v>0</v>
      </c>
      <c r="O1364" s="6">
        <f t="shared" ref="O1364:O1427" si="8171">VLOOKUP($A1364,hospital_details,5,0)</f>
        <v>7958.13</v>
      </c>
      <c r="P1364" s="5" t="str">
        <f t="shared" ref="P1364:P1427" si="8172">VLOOKUP($A1364,hospital_details,6,0)</f>
        <v>tier - 2</v>
      </c>
      <c r="Q1364" s="5" t="str">
        <f t="shared" ref="Q1364:Q1427" si="8173">VLOOKUP($A1364,hospital_details,7,0)</f>
        <v>tier - 2</v>
      </c>
      <c r="R1364" s="5" t="str">
        <f t="shared" ref="R1364:R1427" si="8174">VLOOKUP($A1364,hospital_details,8,0)</f>
        <v>R1013</v>
      </c>
    </row>
    <row r="1365" spans="1:18" ht="14.4" customHeight="1" x14ac:dyDescent="0.3">
      <c r="A1365" s="7" t="s">
        <v>1385</v>
      </c>
      <c r="B1365" s="7" t="str">
        <f>VLOOKUP($A1365,[1]!Customer_Names[#Data],3,0)</f>
        <v xml:space="preserve">  Keara</v>
      </c>
      <c r="C1365" s="7">
        <v>32.6</v>
      </c>
      <c r="D1365" s="7" t="str" cm="1">
        <f t="array" ref="D1365">_xlfn.IFS(Healthcare!$C1365&lt;18.5,"under weight",Healthcare!$C1365&lt;=24.9,"Normal Weight",Healthcare!$C1365&gt;=25,"overweight",Healthcare!$C1365&gt;=30,"obese")</f>
        <v>overweight</v>
      </c>
      <c r="E1365" s="7">
        <v>6.8</v>
      </c>
      <c r="F1365" s="7" t="str" cm="1">
        <f t="array" ref="F1365">_xlfn.IFS(Healthcare!$E1365&lt;5.7,"normal",Healthcare!$E1365&lt;=6.4,"prediabetes",Healthcare!$E1365&gt;=6.5,"diabetes")</f>
        <v>diabetes</v>
      </c>
      <c r="G1365" s="7" t="s">
        <v>20</v>
      </c>
      <c r="H1365" s="7" t="s">
        <v>19</v>
      </c>
      <c r="I1365" s="7" t="s">
        <v>19</v>
      </c>
      <c r="J1365" s="7">
        <v>0</v>
      </c>
      <c r="K1365" s="7" t="s">
        <v>19</v>
      </c>
      <c r="L1365" s="7" t="str">
        <f>VLOOKUP(Healthcare!$A1365,hospital_details,2,0)</f>
        <v>28-Dec-1981</v>
      </c>
      <c r="M1365" s="7">
        <f t="shared" ref="M1365:M1428" ca="1" si="8175">VLOOKUP(A1365,hospital_details,3,0)</f>
        <v>44</v>
      </c>
      <c r="N1365" s="7">
        <f t="shared" ref="N1365:N1428" si="8176">VLOOKUP($A1365,hospital_details,4,0)</f>
        <v>3</v>
      </c>
      <c r="O1365" s="8">
        <f t="shared" ref="O1365:O1428" si="8177">VLOOKUP($A1365,hospital_details,5,0)</f>
        <v>7954.52</v>
      </c>
      <c r="P1365" s="7" t="str">
        <f t="shared" ref="P1365:P1428" si="8178">VLOOKUP($A1365,hospital_details,6,0)</f>
        <v>tier - 2</v>
      </c>
      <c r="Q1365" s="7" t="str">
        <f t="shared" ref="Q1365:Q1428" si="8179">VLOOKUP($A1365,hospital_details,7,0)</f>
        <v>tier - 2</v>
      </c>
      <c r="R1365" s="7" t="str">
        <f t="shared" ref="R1365:R1428" si="8180">VLOOKUP($A1365,hospital_details,8,0)</f>
        <v>R1011</v>
      </c>
    </row>
    <row r="1366" spans="1:18" ht="14.4" customHeight="1" x14ac:dyDescent="0.3">
      <c r="A1366" s="5" t="s">
        <v>1386</v>
      </c>
      <c r="B1366" s="5" t="str">
        <f>VLOOKUP($A1366,[1]!Customer_Names[#Data],3,0)</f>
        <v xml:space="preserve">  Nicole</v>
      </c>
      <c r="C1366" s="5">
        <v>17.28</v>
      </c>
      <c r="D1366" s="5" t="str" cm="1">
        <f t="array" ref="D1366">_xlfn.IFS(Healthcare!$C1366&lt;18.5,"under weight",Healthcare!$C1366&lt;=24.9,"Normal Weight",Healthcare!$C1366&gt;=25,"overweight",Healthcare!$C1366&gt;=30,"obese")</f>
        <v>under weight</v>
      </c>
      <c r="E1366" s="5">
        <v>6.22</v>
      </c>
      <c r="F1366" s="5" t="str" cm="1">
        <f t="array" ref="F1366">_xlfn.IFS(Healthcare!$E1366&lt;5.7,"normal",Healthcare!$E1366&lt;=6.4,"prediabetes",Healthcare!$E1366&gt;=6.5,"diabetes")</f>
        <v>prediabetes</v>
      </c>
      <c r="G1366" s="5" t="s">
        <v>20</v>
      </c>
      <c r="H1366" s="5" t="s">
        <v>19</v>
      </c>
      <c r="I1366" s="5" t="s">
        <v>19</v>
      </c>
      <c r="J1366" s="5">
        <v>2</v>
      </c>
      <c r="K1366" s="5" t="s">
        <v>19</v>
      </c>
      <c r="L1366" s="5" t="str">
        <f>VLOOKUP(Healthcare!$A1366,hospital_details,2,0)</f>
        <v>9-Jul-1966</v>
      </c>
      <c r="M1366" s="5">
        <f t="shared" ref="M1366:M1429" ca="1" si="8181">VLOOKUP(A1366,hospital_details,3,0)</f>
        <v>60</v>
      </c>
      <c r="N1366" s="5">
        <f t="shared" ref="N1366:N1429" si="8182">VLOOKUP($A1366,hospital_details,4,0)</f>
        <v>0</v>
      </c>
      <c r="O1366" s="6">
        <f t="shared" ref="O1366:O1429" si="8183">VLOOKUP($A1366,hospital_details,5,0)</f>
        <v>7953.72</v>
      </c>
      <c r="P1366" s="5" t="str">
        <f t="shared" ref="P1366:P1429" si="8184">VLOOKUP($A1366,hospital_details,6,0)</f>
        <v>tier - 3</v>
      </c>
      <c r="Q1366" s="5" t="str">
        <f t="shared" ref="Q1366:Q1429" si="8185">VLOOKUP($A1366,hospital_details,7,0)</f>
        <v>tier - 3</v>
      </c>
      <c r="R1366" s="5" t="str">
        <f t="shared" ref="R1366:R1429" si="8186">VLOOKUP($A1366,hospital_details,8,0)</f>
        <v>R1012</v>
      </c>
    </row>
    <row r="1367" spans="1:18" ht="14.4" customHeight="1" x14ac:dyDescent="0.3">
      <c r="A1367" s="7" t="s">
        <v>1387</v>
      </c>
      <c r="B1367" s="7" t="str">
        <f>VLOOKUP($A1367,[1]!Customer_Names[#Data],3,0)</f>
        <v xml:space="preserve">  Katena</v>
      </c>
      <c r="C1367" s="7">
        <v>27.92</v>
      </c>
      <c r="D1367" s="7" t="str" cm="1">
        <f t="array" ref="D1367">_xlfn.IFS(Healthcare!$C1367&lt;18.5,"under weight",Healthcare!$C1367&lt;=24.9,"Normal Weight",Healthcare!$C1367&gt;=25,"overweight",Healthcare!$C1367&gt;=30,"obese")</f>
        <v>overweight</v>
      </c>
      <c r="E1367" s="7">
        <v>5.79</v>
      </c>
      <c r="F1367" s="7" t="str" cm="1">
        <f t="array" ref="F1367">_xlfn.IFS(Healthcare!$E1367&lt;5.7,"normal",Healthcare!$E1367&lt;=6.4,"prediabetes",Healthcare!$E1367&gt;=6.5,"diabetes")</f>
        <v>prediabetes</v>
      </c>
      <c r="G1367" s="7" t="s">
        <v>19</v>
      </c>
      <c r="H1367" s="7" t="s">
        <v>19</v>
      </c>
      <c r="I1367" s="7" t="s">
        <v>19</v>
      </c>
      <c r="J1367" s="7">
        <v>1</v>
      </c>
      <c r="K1367" s="7" t="s">
        <v>19</v>
      </c>
      <c r="L1367" s="7" t="str">
        <f>VLOOKUP(Healthcare!$A1367,hospital_details,2,0)</f>
        <v>29-Oct-1987</v>
      </c>
      <c r="M1367" s="7">
        <f t="shared" ref="M1367:M1430" ca="1" si="8187">VLOOKUP(A1367,hospital_details,3,0)</f>
        <v>38</v>
      </c>
      <c r="N1367" s="7">
        <f t="shared" ref="N1367:N1430" si="8188">VLOOKUP($A1367,hospital_details,4,0)</f>
        <v>3</v>
      </c>
      <c r="O1367" s="8">
        <f t="shared" ref="O1367:O1430" si="8189">VLOOKUP($A1367,hospital_details,5,0)</f>
        <v>7948.22</v>
      </c>
      <c r="P1367" s="7" t="str">
        <f t="shared" ref="P1367:P1430" si="8190">VLOOKUP($A1367,hospital_details,6,0)</f>
        <v>tier - 2</v>
      </c>
      <c r="Q1367" s="7" t="str">
        <f t="shared" ref="Q1367:Q1430" si="8191">VLOOKUP($A1367,hospital_details,7,0)</f>
        <v>tier - 3</v>
      </c>
      <c r="R1367" s="7" t="str">
        <f t="shared" ref="R1367:R1430" si="8192">VLOOKUP($A1367,hospital_details,8,0)</f>
        <v>R1025</v>
      </c>
    </row>
    <row r="1368" spans="1:18" ht="14.4" customHeight="1" x14ac:dyDescent="0.3">
      <c r="A1368" s="5" t="s">
        <v>1388</v>
      </c>
      <c r="B1368" s="5" t="str">
        <f>VLOOKUP($A1368,[1]!Customer_Names[#Data],3,0)</f>
        <v xml:space="preserve">  Bean K</v>
      </c>
      <c r="C1368" s="5">
        <v>38.284999999999997</v>
      </c>
      <c r="D1368" s="5" t="str" cm="1">
        <f t="array" ref="D1368">_xlfn.IFS(Healthcare!$C1368&lt;18.5,"under weight",Healthcare!$C1368&lt;=24.9,"Normal Weight",Healthcare!$C1368&gt;=25,"overweight",Healthcare!$C1368&gt;=30,"obese")</f>
        <v>overweight</v>
      </c>
      <c r="E1368" s="5">
        <v>5.41</v>
      </c>
      <c r="F1368" s="5" t="str" cm="1">
        <f t="array" ref="F1368">_xlfn.IFS(Healthcare!$E1368&lt;5.7,"normal",Healthcare!$E1368&lt;=6.4,"prediabetes",Healthcare!$E1368&gt;=6.5,"diabetes")</f>
        <v>normal</v>
      </c>
      <c r="G1368" s="5" t="s">
        <v>19</v>
      </c>
      <c r="H1368" s="5" t="s">
        <v>19</v>
      </c>
      <c r="I1368" s="5" t="s">
        <v>19</v>
      </c>
      <c r="J1368" s="5">
        <v>0</v>
      </c>
      <c r="K1368" s="5" t="s">
        <v>19</v>
      </c>
      <c r="L1368" s="5" t="str">
        <f>VLOOKUP(Healthcare!$A1368,hospital_details,2,0)</f>
        <v>20-Jul-1977</v>
      </c>
      <c r="M1368" s="5">
        <f t="shared" ref="M1368:M1431" ca="1" si="8193">VLOOKUP(A1368,hospital_details,3,0)</f>
        <v>49</v>
      </c>
      <c r="N1368" s="5">
        <f t="shared" ref="N1368:N1431" si="8194">VLOOKUP($A1368,hospital_details,4,0)</f>
        <v>0</v>
      </c>
      <c r="O1368" s="6">
        <f t="shared" ref="O1368:O1431" si="8195">VLOOKUP($A1368,hospital_details,5,0)</f>
        <v>7935.29</v>
      </c>
      <c r="P1368" s="5" t="str">
        <f t="shared" ref="P1368:P1431" si="8196">VLOOKUP($A1368,hospital_details,6,0)</f>
        <v>tier - 2</v>
      </c>
      <c r="Q1368" s="5" t="str">
        <f t="shared" ref="Q1368:Q1431" si="8197">VLOOKUP($A1368,hospital_details,7,0)</f>
        <v>tier - 1</v>
      </c>
      <c r="R1368" s="5" t="str">
        <f t="shared" ref="R1368:R1431" si="8198">VLOOKUP($A1368,hospital_details,8,0)</f>
        <v>R1024</v>
      </c>
    </row>
    <row r="1369" spans="1:18" ht="14.4" customHeight="1" x14ac:dyDescent="0.3">
      <c r="A1369" s="7" t="s">
        <v>1389</v>
      </c>
      <c r="B1369" s="7" t="str">
        <f>VLOOKUP($A1369,[1]!Customer_Names[#Data],3,0)</f>
        <v xml:space="preserve">  Brian</v>
      </c>
      <c r="C1369" s="7">
        <v>16.48</v>
      </c>
      <c r="D1369" s="7" t="str" cm="1">
        <f t="array" ref="D1369">_xlfn.IFS(Healthcare!$C1369&lt;18.5,"under weight",Healthcare!$C1369&lt;=24.9,"Normal Weight",Healthcare!$C1369&gt;=25,"overweight",Healthcare!$C1369&gt;=30,"obese")</f>
        <v>under weight</v>
      </c>
      <c r="E1369" s="7">
        <v>11.05</v>
      </c>
      <c r="F1369" s="7" t="str" cm="1">
        <f t="array" ref="F1369">_xlfn.IFS(Healthcare!$E1369&lt;5.7,"normal",Healthcare!$E1369&lt;=6.4,"prediabetes",Healthcare!$E1369&gt;=6.5,"diabetes")</f>
        <v>diabetes</v>
      </c>
      <c r="G1369" s="7" t="s">
        <v>19</v>
      </c>
      <c r="H1369" s="7" t="s">
        <v>19</v>
      </c>
      <c r="I1369" s="7" t="s">
        <v>19</v>
      </c>
      <c r="J1369" s="7">
        <v>0</v>
      </c>
      <c r="K1369" s="7" t="s">
        <v>19</v>
      </c>
      <c r="L1369" s="7" t="str">
        <f>VLOOKUP(Healthcare!$A1369,hospital_details,2,0)</f>
        <v>10-Oct-1962</v>
      </c>
      <c r="M1369" s="7">
        <f t="shared" ref="M1369:M1432" ca="1" si="8199">VLOOKUP(A1369,hospital_details,3,0)</f>
        <v>64</v>
      </c>
      <c r="N1369" s="7">
        <f t="shared" ref="N1369:N1432" si="8200">VLOOKUP($A1369,hospital_details,4,0)</f>
        <v>0</v>
      </c>
      <c r="O1369" s="8">
        <f t="shared" ref="O1369:O1432" si="8201">VLOOKUP($A1369,hospital_details,5,0)</f>
        <v>7896.41</v>
      </c>
      <c r="P1369" s="7" t="str">
        <f t="shared" ref="P1369:P1432" si="8202">VLOOKUP($A1369,hospital_details,6,0)</f>
        <v>tier - 3</v>
      </c>
      <c r="Q1369" s="7" t="str">
        <f t="shared" ref="Q1369:Q1432" si="8203">VLOOKUP($A1369,hospital_details,7,0)</f>
        <v>tier - 2</v>
      </c>
      <c r="R1369" s="7" t="str">
        <f t="shared" ref="R1369:R1432" si="8204">VLOOKUP($A1369,hospital_details,8,0)</f>
        <v>R1013</v>
      </c>
    </row>
    <row r="1370" spans="1:18" ht="14.4" customHeight="1" x14ac:dyDescent="0.3">
      <c r="A1370" s="5" t="s">
        <v>1390</v>
      </c>
      <c r="B1370" s="5" t="str">
        <f>VLOOKUP($A1370,[1]!Customer_Names[#Data],3,0)</f>
        <v xml:space="preserve">  Jan-Patrick</v>
      </c>
      <c r="C1370" s="5">
        <v>38.57</v>
      </c>
      <c r="D1370" s="5" t="str" cm="1">
        <f t="array" ref="D1370">_xlfn.IFS(Healthcare!$C1370&lt;18.5,"under weight",Healthcare!$C1370&lt;=24.9,"Normal Weight",Healthcare!$C1370&gt;=25,"overweight",Healthcare!$C1370&gt;=30,"obese")</f>
        <v>overweight</v>
      </c>
      <c r="E1370" s="5">
        <v>6.27</v>
      </c>
      <c r="F1370" s="5" t="str" cm="1">
        <f t="array" ref="F1370">_xlfn.IFS(Healthcare!$E1370&lt;5.7,"normal",Healthcare!$E1370&lt;=6.4,"prediabetes",Healthcare!$E1370&gt;=6.5,"diabetes")</f>
        <v>prediabetes</v>
      </c>
      <c r="G1370" s="5" t="s">
        <v>19</v>
      </c>
      <c r="H1370" s="5" t="s">
        <v>19</v>
      </c>
      <c r="I1370" s="5" t="s">
        <v>19</v>
      </c>
      <c r="J1370" s="5">
        <v>0</v>
      </c>
      <c r="K1370" s="5" t="s">
        <v>19</v>
      </c>
      <c r="L1370" s="5" t="str">
        <f>VLOOKUP(Healthcare!$A1370,hospital_details,2,0)</f>
        <v>17-Nov-1994</v>
      </c>
      <c r="M1370" s="5">
        <f t="shared" ref="M1370:M1433" ca="1" si="8205">VLOOKUP(A1370,hospital_details,3,0)</f>
        <v>31</v>
      </c>
      <c r="N1370" s="5">
        <f t="shared" ref="N1370:N1433" si="8206">VLOOKUP($A1370,hospital_details,4,0)</f>
        <v>0</v>
      </c>
      <c r="O1370" s="6">
        <f t="shared" ref="O1370:O1433" si="8207">VLOOKUP($A1370,hospital_details,5,0)</f>
        <v>7851.85</v>
      </c>
      <c r="P1370" s="5" t="str">
        <f t="shared" ref="P1370:P1433" si="8208">VLOOKUP($A1370,hospital_details,6,0)</f>
        <v>tier - 2</v>
      </c>
      <c r="Q1370" s="5" t="str">
        <f t="shared" ref="Q1370:Q1433" si="8209">VLOOKUP($A1370,hospital_details,7,0)</f>
        <v>tier - 3</v>
      </c>
      <c r="R1370" s="5" t="str">
        <f t="shared" ref="R1370:R1433" si="8210">VLOOKUP($A1370,hospital_details,8,0)</f>
        <v>R1012</v>
      </c>
    </row>
    <row r="1371" spans="1:18" ht="14.4" customHeight="1" x14ac:dyDescent="0.3">
      <c r="A1371" s="7" t="s">
        <v>1391</v>
      </c>
      <c r="B1371" s="7" t="str">
        <f>VLOOKUP($A1371,[1]!Customer_Names[#Data],3,0)</f>
        <v xml:space="preserve">  Jesse J</v>
      </c>
      <c r="C1371" s="7">
        <v>43.85</v>
      </c>
      <c r="D1371" s="7" t="str" cm="1">
        <f t="array" ref="D1371">_xlfn.IFS(Healthcare!$C1371&lt;18.5,"under weight",Healthcare!$C1371&lt;=24.9,"Normal Weight",Healthcare!$C1371&gt;=25,"overweight",Healthcare!$C1371&gt;=30,"obese")</f>
        <v>overweight</v>
      </c>
      <c r="E1371" s="7">
        <v>4.7699999999999996</v>
      </c>
      <c r="F1371" s="7" t="str" cm="1">
        <f t="array" ref="F1371">_xlfn.IFS(Healthcare!$E1371&lt;5.7,"normal",Healthcare!$E1371&lt;=6.4,"prediabetes",Healthcare!$E1371&gt;=6.5,"diabetes")</f>
        <v>normal</v>
      </c>
      <c r="G1371" s="7" t="s">
        <v>20</v>
      </c>
      <c r="H1371" s="7" t="s">
        <v>19</v>
      </c>
      <c r="I1371" s="7" t="s">
        <v>19</v>
      </c>
      <c r="J1371" s="7">
        <v>0</v>
      </c>
      <c r="K1371" s="7" t="s">
        <v>19</v>
      </c>
      <c r="L1371" s="7" t="str">
        <f>VLOOKUP(Healthcare!$A1371,hospital_details,2,0)</f>
        <v>5-Oct-2001</v>
      </c>
      <c r="M1371" s="7">
        <f t="shared" ref="M1371:M1434" ca="1" si="8211">VLOOKUP(A1371,hospital_details,3,0)</f>
        <v>25</v>
      </c>
      <c r="N1371" s="7">
        <f t="shared" ref="N1371:N1434" si="8212">VLOOKUP($A1371,hospital_details,4,0)</f>
        <v>0</v>
      </c>
      <c r="O1371" s="8">
        <f t="shared" ref="O1371:O1434" si="8213">VLOOKUP($A1371,hospital_details,5,0)</f>
        <v>7844.8</v>
      </c>
      <c r="P1371" s="7" t="str">
        <f t="shared" ref="P1371:P1434" si="8214">VLOOKUP($A1371,hospital_details,6,0)</f>
        <v>tier - 2</v>
      </c>
      <c r="Q1371" s="7" t="str">
        <f t="shared" ref="Q1371:Q1434" si="8215">VLOOKUP($A1371,hospital_details,7,0)</f>
        <v>tier - 2</v>
      </c>
      <c r="R1371" s="7" t="str">
        <f t="shared" ref="R1371:R1434" si="8216">VLOOKUP($A1371,hospital_details,8,0)</f>
        <v>R1012</v>
      </c>
    </row>
    <row r="1372" spans="1:18" ht="14.4" customHeight="1" x14ac:dyDescent="0.3">
      <c r="A1372" s="5" t="s">
        <v>1392</v>
      </c>
      <c r="B1372" s="5" t="str">
        <f>VLOOKUP($A1372,[1]!Customer_Names[#Data],3,0)</f>
        <v xml:space="preserve">  Lindsey M</v>
      </c>
      <c r="C1372" s="5">
        <v>30.11</v>
      </c>
      <c r="D1372" s="5" t="str" cm="1">
        <f t="array" ref="D1372">_xlfn.IFS(Healthcare!$C1372&lt;18.5,"under weight",Healthcare!$C1372&lt;=24.9,"Normal Weight",Healthcare!$C1372&gt;=25,"overweight",Healthcare!$C1372&gt;=30,"obese")</f>
        <v>overweight</v>
      </c>
      <c r="E1372" s="5">
        <v>4.08</v>
      </c>
      <c r="F1372" s="5" t="str" cm="1">
        <f t="array" ref="F1372">_xlfn.IFS(Healthcare!$E1372&lt;5.7,"normal",Healthcare!$E1372&lt;=6.4,"prediabetes",Healthcare!$E1372&gt;=6.5,"diabetes")</f>
        <v>normal</v>
      </c>
      <c r="G1372" s="5" t="s">
        <v>19</v>
      </c>
      <c r="H1372" s="5" t="s">
        <v>19</v>
      </c>
      <c r="I1372" s="5" t="s">
        <v>19</v>
      </c>
      <c r="J1372" s="5">
        <v>0</v>
      </c>
      <c r="K1372" s="5" t="s">
        <v>19</v>
      </c>
      <c r="L1372" s="5" t="str">
        <f>VLOOKUP(Healthcare!$A1372,hospital_details,2,0)</f>
        <v>12-Oct-1989</v>
      </c>
      <c r="M1372" s="5">
        <f t="shared" ref="M1372:M1435" ca="1" si="8217">VLOOKUP(A1372,hospital_details,3,0)</f>
        <v>37</v>
      </c>
      <c r="N1372" s="5">
        <f t="shared" ref="N1372:N1435" si="8218">VLOOKUP($A1372,hospital_details,4,0)</f>
        <v>3</v>
      </c>
      <c r="O1372" s="6">
        <f t="shared" ref="O1372:O1435" si="8219">VLOOKUP($A1372,hospital_details,5,0)</f>
        <v>7824.37</v>
      </c>
      <c r="P1372" s="5" t="str">
        <f t="shared" ref="P1372:P1435" si="8220">VLOOKUP($A1372,hospital_details,6,0)</f>
        <v>tier - 2</v>
      </c>
      <c r="Q1372" s="5" t="str">
        <f t="shared" ref="Q1372:Q1435" si="8221">VLOOKUP($A1372,hospital_details,7,0)</f>
        <v>tier - 2</v>
      </c>
      <c r="R1372" s="5" t="str">
        <f t="shared" ref="R1372:R1435" si="8222">VLOOKUP($A1372,hospital_details,8,0)</f>
        <v>R1012</v>
      </c>
    </row>
    <row r="1373" spans="1:18" ht="14.4" customHeight="1" x14ac:dyDescent="0.3">
      <c r="A1373" s="7" t="s">
        <v>1393</v>
      </c>
      <c r="B1373" s="7" t="str">
        <f>VLOOKUP($A1373,[1]!Customer_Names[#Data],3,0)</f>
        <v xml:space="preserve">  Marguerite K</v>
      </c>
      <c r="C1373" s="7">
        <v>31.59</v>
      </c>
      <c r="D1373" s="7" t="str" cm="1">
        <f t="array" ref="D1373">_xlfn.IFS(Healthcare!$C1373&lt;18.5,"under weight",Healthcare!$C1373&lt;=24.9,"Normal Weight",Healthcare!$C1373&gt;=25,"overweight",Healthcare!$C1373&gt;=30,"obese")</f>
        <v>overweight</v>
      </c>
      <c r="E1373" s="7">
        <v>6.01</v>
      </c>
      <c r="F1373" s="7" t="str" cm="1">
        <f t="array" ref="F1373">_xlfn.IFS(Healthcare!$E1373&lt;5.7,"normal",Healthcare!$E1373&lt;=6.4,"prediabetes",Healthcare!$E1373&gt;=6.5,"diabetes")</f>
        <v>prediabetes</v>
      </c>
      <c r="G1373" s="7" t="s">
        <v>19</v>
      </c>
      <c r="H1373" s="7" t="s">
        <v>19</v>
      </c>
      <c r="I1373" s="7" t="s">
        <v>19</v>
      </c>
      <c r="J1373" s="7">
        <v>0</v>
      </c>
      <c r="K1373" s="7" t="s">
        <v>19</v>
      </c>
      <c r="L1373" s="7" t="str">
        <f>VLOOKUP(Healthcare!$A1373,hospital_details,2,0)</f>
        <v>21-Dec-1991</v>
      </c>
      <c r="M1373" s="7">
        <f t="shared" ref="M1373:M1436" ca="1" si="8223">VLOOKUP(A1373,hospital_details,3,0)</f>
        <v>34</v>
      </c>
      <c r="N1373" s="7">
        <f t="shared" ref="N1373:N1436" si="8224">VLOOKUP($A1373,hospital_details,4,0)</f>
        <v>3</v>
      </c>
      <c r="O1373" s="8">
        <f t="shared" ref="O1373:O1436" si="8225">VLOOKUP($A1373,hospital_details,5,0)</f>
        <v>7812.67</v>
      </c>
      <c r="P1373" s="7" t="str">
        <f t="shared" ref="P1373:P1436" si="8226">VLOOKUP($A1373,hospital_details,6,0)</f>
        <v>tier - 2</v>
      </c>
      <c r="Q1373" s="7" t="str">
        <f t="shared" ref="Q1373:Q1436" si="8227">VLOOKUP($A1373,hospital_details,7,0)</f>
        <v>tier - 1</v>
      </c>
      <c r="R1373" s="7" t="str">
        <f t="shared" ref="R1373:R1436" si="8228">VLOOKUP($A1373,hospital_details,8,0)</f>
        <v>R1012</v>
      </c>
    </row>
    <row r="1374" spans="1:18" ht="14.4" customHeight="1" x14ac:dyDescent="0.3">
      <c r="A1374" s="5" t="s">
        <v>1394</v>
      </c>
      <c r="B1374" s="5" t="str">
        <f>VLOOKUP($A1374,[1]!Customer_Names[#Data],3,0)</f>
        <v xml:space="preserve">  Travis</v>
      </c>
      <c r="C1374" s="5">
        <v>40.15</v>
      </c>
      <c r="D1374" s="5" t="str" cm="1">
        <f t="array" ref="D1374">_xlfn.IFS(Healthcare!$C1374&lt;18.5,"under weight",Healthcare!$C1374&lt;=24.9,"Normal Weight",Healthcare!$C1374&gt;=25,"overweight",Healthcare!$C1374&gt;=30,"obese")</f>
        <v>overweight</v>
      </c>
      <c r="E1374" s="5">
        <v>11.84</v>
      </c>
      <c r="F1374" s="5" t="str" cm="1">
        <f t="array" ref="F1374">_xlfn.IFS(Healthcare!$E1374&lt;5.7,"normal",Healthcare!$E1374&lt;=6.4,"prediabetes",Healthcare!$E1374&gt;=6.5,"diabetes")</f>
        <v>diabetes</v>
      </c>
      <c r="G1374" s="5" t="s">
        <v>19</v>
      </c>
      <c r="H1374" s="5" t="s">
        <v>19</v>
      </c>
      <c r="I1374" s="5" t="s">
        <v>19</v>
      </c>
      <c r="J1374" s="5">
        <v>0</v>
      </c>
      <c r="K1374" s="5" t="s">
        <v>19</v>
      </c>
      <c r="L1374" s="5" t="str">
        <f>VLOOKUP(Healthcare!$A1374,hospital_details,2,0)</f>
        <v>9-Nov-1974</v>
      </c>
      <c r="M1374" s="5">
        <f t="shared" ref="M1374:M1437" ca="1" si="8229">VLOOKUP(A1374,hospital_details,3,0)</f>
        <v>51</v>
      </c>
      <c r="N1374" s="5">
        <f t="shared" ref="N1374:N1437" si="8230">VLOOKUP($A1374,hospital_details,4,0)</f>
        <v>0</v>
      </c>
      <c r="O1374" s="6">
        <f t="shared" ref="O1374:O1437" si="8231">VLOOKUP($A1374,hospital_details,5,0)</f>
        <v>7804.16</v>
      </c>
      <c r="P1374" s="5" t="str">
        <f t="shared" ref="P1374:P1437" si="8232">VLOOKUP($A1374,hospital_details,6,0)</f>
        <v>tier - 2</v>
      </c>
      <c r="Q1374" s="5" t="str">
        <f t="shared" ref="Q1374:Q1437" si="8233">VLOOKUP($A1374,hospital_details,7,0)</f>
        <v>tier - 3</v>
      </c>
      <c r="R1374" s="5" t="str">
        <f t="shared" ref="R1374:R1437" si="8234">VLOOKUP($A1374,hospital_details,8,0)</f>
        <v>R1013</v>
      </c>
    </row>
    <row r="1375" spans="1:18" ht="14.4" customHeight="1" x14ac:dyDescent="0.3">
      <c r="A1375" s="7" t="s">
        <v>1395</v>
      </c>
      <c r="B1375" s="7" t="str">
        <f>VLOOKUP($A1375,[1]!Customer_Names[#Data],3,0)</f>
        <v xml:space="preserve">  Ricky</v>
      </c>
      <c r="C1375" s="7">
        <v>40.700000000000003</v>
      </c>
      <c r="D1375" s="7" t="str" cm="1">
        <f t="array" ref="D1375">_xlfn.IFS(Healthcare!$C1375&lt;18.5,"under weight",Healthcare!$C1375&lt;=24.9,"Normal Weight",Healthcare!$C1375&gt;=25,"overweight",Healthcare!$C1375&gt;=30,"obese")</f>
        <v>overweight</v>
      </c>
      <c r="E1375" s="7">
        <v>6.27</v>
      </c>
      <c r="F1375" s="7" t="str" cm="1">
        <f t="array" ref="F1375">_xlfn.IFS(Healthcare!$E1375&lt;5.7,"normal",Healthcare!$E1375&lt;=6.4,"prediabetes",Healthcare!$E1375&gt;=6.5,"diabetes")</f>
        <v>prediabetes</v>
      </c>
      <c r="G1375" s="7" t="s">
        <v>20</v>
      </c>
      <c r="H1375" s="7" t="s">
        <v>19</v>
      </c>
      <c r="I1375" s="7" t="s">
        <v>29</v>
      </c>
      <c r="J1375" s="7">
        <v>1</v>
      </c>
      <c r="K1375" s="7" t="s">
        <v>19</v>
      </c>
      <c r="L1375" s="7" t="str">
        <f>VLOOKUP(Healthcare!$A1375,hospital_details,2,0)</f>
        <v>2-Dec-1997</v>
      </c>
      <c r="M1375" s="7">
        <f t="shared" ref="M1375:M1438" ca="1" si="8235">VLOOKUP(A1375,hospital_details,3,0)</f>
        <v>28</v>
      </c>
      <c r="N1375" s="7">
        <f t="shared" ref="N1375:N1438" si="8236">VLOOKUP($A1375,hospital_details,4,0)</f>
        <v>0</v>
      </c>
      <c r="O1375" s="8">
        <f t="shared" ref="O1375:O1438" si="8237">VLOOKUP($A1375,hospital_details,5,0)</f>
        <v>7803.77</v>
      </c>
      <c r="P1375" s="7" t="str">
        <f t="shared" ref="P1375:P1438" si="8238">VLOOKUP($A1375,hospital_details,6,0)</f>
        <v>tier - 2</v>
      </c>
      <c r="Q1375" s="7" t="str">
        <f t="shared" ref="Q1375:Q1438" si="8239">VLOOKUP($A1375,hospital_details,7,0)</f>
        <v>tier - 3</v>
      </c>
      <c r="R1375" s="7" t="str">
        <f t="shared" ref="R1375:R1438" si="8240">VLOOKUP($A1375,hospital_details,8,0)</f>
        <v>R1012</v>
      </c>
    </row>
    <row r="1376" spans="1:18" ht="14.4" customHeight="1" x14ac:dyDescent="0.3">
      <c r="A1376" s="5" t="s">
        <v>1396</v>
      </c>
      <c r="B1376" s="5" t="str">
        <f>VLOOKUP($A1376,[1]!Customer_Names[#Data],3,0)</f>
        <v xml:space="preserve">  Colleen L</v>
      </c>
      <c r="C1376" s="5">
        <v>40.76</v>
      </c>
      <c r="D1376" s="5" t="str" cm="1">
        <f t="array" ref="D1376">_xlfn.IFS(Healthcare!$C1376&lt;18.5,"under weight",Healthcare!$C1376&lt;=24.9,"Normal Weight",Healthcare!$C1376&gt;=25,"overweight",Healthcare!$C1376&gt;=30,"obese")</f>
        <v>overweight</v>
      </c>
      <c r="E1376" s="5">
        <v>5.28</v>
      </c>
      <c r="F1376" s="5" t="str" cm="1">
        <f t="array" ref="F1376">_xlfn.IFS(Healthcare!$E1376&lt;5.7,"normal",Healthcare!$E1376&lt;=6.4,"prediabetes",Healthcare!$E1376&gt;=6.5,"diabetes")</f>
        <v>normal</v>
      </c>
      <c r="G1376" s="5" t="s">
        <v>19</v>
      </c>
      <c r="H1376" s="5" t="s">
        <v>19</v>
      </c>
      <c r="I1376" s="5" t="s">
        <v>19</v>
      </c>
      <c r="J1376" s="5">
        <v>0</v>
      </c>
      <c r="K1376" s="5" t="s">
        <v>19</v>
      </c>
      <c r="L1376" s="5" t="str">
        <f>VLOOKUP(Healthcare!$A1376,hospital_details,2,0)</f>
        <v>25-Dec-1999</v>
      </c>
      <c r="M1376" s="5">
        <f t="shared" ref="M1376:M1439" ca="1" si="8241">VLOOKUP(A1376,hospital_details,3,0)</f>
        <v>26</v>
      </c>
      <c r="N1376" s="5">
        <f t="shared" ref="N1376:N1439" si="8242">VLOOKUP($A1376,hospital_details,4,0)</f>
        <v>0</v>
      </c>
      <c r="O1376" s="6">
        <f t="shared" ref="O1376:O1439" si="8243">VLOOKUP($A1376,hospital_details,5,0)</f>
        <v>7794.68</v>
      </c>
      <c r="P1376" s="5" t="str">
        <f t="shared" ref="P1376:P1439" si="8244">VLOOKUP($A1376,hospital_details,6,0)</f>
        <v>tier - 2</v>
      </c>
      <c r="Q1376" s="5" t="str">
        <f t="shared" ref="Q1376:Q1439" si="8245">VLOOKUP($A1376,hospital_details,7,0)</f>
        <v>tier - 2</v>
      </c>
      <c r="R1376" s="5" t="str">
        <f t="shared" ref="R1376:R1439" si="8246">VLOOKUP($A1376,hospital_details,8,0)</f>
        <v>R1026</v>
      </c>
    </row>
    <row r="1377" spans="1:18" ht="14.4" customHeight="1" x14ac:dyDescent="0.3">
      <c r="A1377" s="7" t="s">
        <v>1397</v>
      </c>
      <c r="B1377" s="7" t="str">
        <f>VLOOKUP($A1377,[1]!Customer_Names[#Data],3,0)</f>
        <v xml:space="preserve">  Charlie A</v>
      </c>
      <c r="C1377" s="7">
        <v>29.7</v>
      </c>
      <c r="D1377" s="7" t="str" cm="1">
        <f t="array" ref="D1377">_xlfn.IFS(Healthcare!$C1377&lt;18.5,"under weight",Healthcare!$C1377&lt;=24.9,"Normal Weight",Healthcare!$C1377&gt;=25,"overweight",Healthcare!$C1377&gt;=30,"obese")</f>
        <v>overweight</v>
      </c>
      <c r="E1377" s="7">
        <v>7.03</v>
      </c>
      <c r="F1377" s="7" t="str" cm="1">
        <f t="array" ref="F1377">_xlfn.IFS(Healthcare!$E1377&lt;5.7,"normal",Healthcare!$E1377&lt;=6.4,"prediabetes",Healthcare!$E1377&gt;=6.5,"diabetes")</f>
        <v>diabetes</v>
      </c>
      <c r="G1377" s="7" t="s">
        <v>19</v>
      </c>
      <c r="H1377" s="7" t="s">
        <v>19</v>
      </c>
      <c r="I1377" s="7" t="s">
        <v>19</v>
      </c>
      <c r="J1377" s="7">
        <v>0</v>
      </c>
      <c r="K1377" s="7" t="s">
        <v>19</v>
      </c>
      <c r="L1377" s="7" t="str">
        <f>VLOOKUP(Healthcare!$A1377,hospital_details,2,0)</f>
        <v>6-Dec-1974</v>
      </c>
      <c r="M1377" s="7">
        <f t="shared" ref="M1377:M1440" ca="1" si="8247">VLOOKUP(A1377,hospital_details,3,0)</f>
        <v>51</v>
      </c>
      <c r="N1377" s="7">
        <f t="shared" ref="N1377:N1440" si="8248">VLOOKUP($A1377,hospital_details,4,0)</f>
        <v>0</v>
      </c>
      <c r="O1377" s="8">
        <f t="shared" ref="O1377:O1440" si="8249">VLOOKUP($A1377,hospital_details,5,0)</f>
        <v>7789.64</v>
      </c>
      <c r="P1377" s="7" t="str">
        <f t="shared" ref="P1377:P1440" si="8250">VLOOKUP($A1377,hospital_details,6,0)</f>
        <v>tier - 1</v>
      </c>
      <c r="Q1377" s="7" t="str">
        <f t="shared" ref="Q1377:Q1440" si="8251">VLOOKUP($A1377,hospital_details,7,0)</f>
        <v>tier - 3</v>
      </c>
      <c r="R1377" s="7" t="str">
        <f t="shared" ref="R1377:R1440" si="8252">VLOOKUP($A1377,hospital_details,8,0)</f>
        <v>R1013</v>
      </c>
    </row>
    <row r="1378" spans="1:18" ht="14.4" customHeight="1" x14ac:dyDescent="0.3">
      <c r="A1378" s="5" t="s">
        <v>1398</v>
      </c>
      <c r="B1378" s="5" t="str">
        <f>VLOOKUP($A1378,[1]!Customer_Names[#Data],3,0)</f>
        <v xml:space="preserve">  Rick</v>
      </c>
      <c r="C1378" s="5">
        <v>40.58</v>
      </c>
      <c r="D1378" s="5" t="str" cm="1">
        <f t="array" ref="D1378">_xlfn.IFS(Healthcare!$C1378&lt;18.5,"under weight",Healthcare!$C1378&lt;=24.9,"Normal Weight",Healthcare!$C1378&gt;=25,"overweight",Healthcare!$C1378&gt;=30,"obese")</f>
        <v>overweight</v>
      </c>
      <c r="E1378" s="5">
        <v>5.32</v>
      </c>
      <c r="F1378" s="5" t="str" cm="1">
        <f t="array" ref="F1378">_xlfn.IFS(Healthcare!$E1378&lt;5.7,"normal",Healthcare!$E1378&lt;=6.4,"prediabetes",Healthcare!$E1378&gt;=6.5,"diabetes")</f>
        <v>normal</v>
      </c>
      <c r="G1378" s="5" t="s">
        <v>20</v>
      </c>
      <c r="H1378" s="5" t="s">
        <v>19</v>
      </c>
      <c r="I1378" s="5" t="s">
        <v>29</v>
      </c>
      <c r="J1378" s="5">
        <v>1</v>
      </c>
      <c r="K1378" s="5" t="s">
        <v>19</v>
      </c>
      <c r="L1378" s="5" t="str">
        <f>VLOOKUP(Healthcare!$A1378,hospital_details,2,0)</f>
        <v>21-Dec-1997</v>
      </c>
      <c r="M1378" s="5">
        <f t="shared" ref="M1378:M1441" ca="1" si="8253">VLOOKUP(A1378,hospital_details,3,0)</f>
        <v>28</v>
      </c>
      <c r="N1378" s="5">
        <f t="shared" ref="N1378:N1441" si="8254">VLOOKUP($A1378,hospital_details,4,0)</f>
        <v>0</v>
      </c>
      <c r="O1378" s="6">
        <f t="shared" ref="O1378:O1441" si="8255">VLOOKUP($A1378,hospital_details,5,0)</f>
        <v>7763.06</v>
      </c>
      <c r="P1378" s="5" t="str">
        <f t="shared" ref="P1378:P1441" si="8256">VLOOKUP($A1378,hospital_details,6,0)</f>
        <v>tier - 2</v>
      </c>
      <c r="Q1378" s="5" t="str">
        <f t="shared" ref="Q1378:Q1441" si="8257">VLOOKUP($A1378,hospital_details,7,0)</f>
        <v>tier - 1</v>
      </c>
      <c r="R1378" s="5" t="str">
        <f t="shared" ref="R1378:R1441" si="8258">VLOOKUP($A1378,hospital_details,8,0)</f>
        <v>R1012</v>
      </c>
    </row>
    <row r="1379" spans="1:18" ht="14.4" customHeight="1" x14ac:dyDescent="0.3">
      <c r="A1379" s="7" t="s">
        <v>1399</v>
      </c>
      <c r="B1379" s="7" t="str">
        <f>VLOOKUP($A1379,[1]!Customer_Names[#Data],3,0)</f>
        <v xml:space="preserve">  Lauren C</v>
      </c>
      <c r="C1379" s="7">
        <v>33.06</v>
      </c>
      <c r="D1379" s="7" t="str" cm="1">
        <f t="array" ref="D1379">_xlfn.IFS(Healthcare!$C1379&lt;18.5,"under weight",Healthcare!$C1379&lt;=24.9,"Normal Weight",Healthcare!$C1379&gt;=25,"overweight",Healthcare!$C1379&gt;=30,"obese")</f>
        <v>overweight</v>
      </c>
      <c r="E1379" s="7">
        <v>9.59</v>
      </c>
      <c r="F1379" s="7" t="str" cm="1">
        <f t="array" ref="F1379">_xlfn.IFS(Healthcare!$E1379&lt;5.7,"normal",Healthcare!$E1379&lt;=6.4,"prediabetes",Healthcare!$E1379&gt;=6.5,"diabetes")</f>
        <v>diabetes</v>
      </c>
      <c r="G1379" s="7" t="s">
        <v>20</v>
      </c>
      <c r="H1379" s="7" t="s">
        <v>19</v>
      </c>
      <c r="I1379" s="7" t="s">
        <v>19</v>
      </c>
      <c r="J1379" s="7">
        <v>0</v>
      </c>
      <c r="K1379" s="7" t="s">
        <v>19</v>
      </c>
      <c r="L1379" s="7" t="str">
        <f>VLOOKUP(Healthcare!$A1379,hospital_details,2,0)</f>
        <v>30-Jun-1981</v>
      </c>
      <c r="M1379" s="7">
        <f t="shared" ref="M1379:M1442" ca="1" si="8259">VLOOKUP(A1379,hospital_details,3,0)</f>
        <v>45</v>
      </c>
      <c r="N1379" s="7">
        <f t="shared" ref="N1379:N1442" si="8260">VLOOKUP($A1379,hospital_details,4,0)</f>
        <v>2</v>
      </c>
      <c r="O1379" s="8">
        <f t="shared" ref="O1379:O1442" si="8261">VLOOKUP($A1379,hospital_details,5,0)</f>
        <v>7749.16</v>
      </c>
      <c r="P1379" s="7" t="str">
        <f t="shared" ref="P1379:P1442" si="8262">VLOOKUP($A1379,hospital_details,6,0)</f>
        <v>tier - 2</v>
      </c>
      <c r="Q1379" s="7" t="str">
        <f t="shared" ref="Q1379:Q1442" si="8263">VLOOKUP($A1379,hospital_details,7,0)</f>
        <v>tier - 1</v>
      </c>
      <c r="R1379" s="7" t="str">
        <f t="shared" ref="R1379:R1442" si="8264">VLOOKUP($A1379,hospital_details,8,0)</f>
        <v>R1012</v>
      </c>
    </row>
    <row r="1380" spans="1:18" ht="14.4" customHeight="1" x14ac:dyDescent="0.3">
      <c r="A1380" s="5" t="s">
        <v>1400</v>
      </c>
      <c r="B1380" s="5" t="str">
        <f>VLOOKUP($A1380,[1]!Customer_Names[#Data],3,0)</f>
        <v xml:space="preserve">  Daniel</v>
      </c>
      <c r="C1380" s="5">
        <v>26.62</v>
      </c>
      <c r="D1380" s="5" t="str" cm="1">
        <f t="array" ref="D1380">_xlfn.IFS(Healthcare!$C1380&lt;18.5,"under weight",Healthcare!$C1380&lt;=24.9,"Normal Weight",Healthcare!$C1380&gt;=25,"overweight",Healthcare!$C1380&gt;=30,"obese")</f>
        <v>overweight</v>
      </c>
      <c r="E1380" s="5">
        <v>6.15</v>
      </c>
      <c r="F1380" s="5" t="str" cm="1">
        <f t="array" ref="F1380">_xlfn.IFS(Healthcare!$E1380&lt;5.7,"normal",Healthcare!$E1380&lt;=6.4,"prediabetes",Healthcare!$E1380&gt;=6.5,"diabetes")</f>
        <v>prediabetes</v>
      </c>
      <c r="G1380" s="5" t="s">
        <v>20</v>
      </c>
      <c r="H1380" s="5" t="s">
        <v>19</v>
      </c>
      <c r="I1380" s="5" t="s">
        <v>19</v>
      </c>
      <c r="J1380" s="5">
        <v>0</v>
      </c>
      <c r="K1380" s="5" t="s">
        <v>19</v>
      </c>
      <c r="L1380" s="5" t="str">
        <f>VLOOKUP(Healthcare!$A1380,hospital_details,2,0)</f>
        <v>12-Dec-1976</v>
      </c>
      <c r="M1380" s="5">
        <f t="shared" ref="M1380:M1443" ca="1" si="8265">VLOOKUP(A1380,hospital_details,3,0)</f>
        <v>49</v>
      </c>
      <c r="N1380" s="5">
        <f t="shared" ref="N1380:N1443" si="8266">VLOOKUP($A1380,hospital_details,4,0)</f>
        <v>1</v>
      </c>
      <c r="O1380" s="6">
        <f t="shared" ref="O1380:O1443" si="8267">VLOOKUP($A1380,hospital_details,5,0)</f>
        <v>7742.11</v>
      </c>
      <c r="P1380" s="5" t="str">
        <f t="shared" ref="P1380:P1443" si="8268">VLOOKUP($A1380,hospital_details,6,0)</f>
        <v>tier - 3</v>
      </c>
      <c r="Q1380" s="5" t="str">
        <f t="shared" ref="Q1380:Q1443" si="8269">VLOOKUP($A1380,hospital_details,7,0)</f>
        <v>tier - 2</v>
      </c>
      <c r="R1380" s="5" t="str">
        <f t="shared" ref="R1380:R1443" si="8270">VLOOKUP($A1380,hospital_details,8,0)</f>
        <v>R1013</v>
      </c>
    </row>
    <row r="1381" spans="1:18" ht="14.4" customHeight="1" x14ac:dyDescent="0.3">
      <c r="A1381" s="7" t="s">
        <v>1401</v>
      </c>
      <c r="B1381" s="7" t="str">
        <f>VLOOKUP($A1381,[1]!Customer_Names[#Data],3,0)</f>
        <v xml:space="preserve">  Jaime</v>
      </c>
      <c r="C1381" s="7">
        <v>37.1</v>
      </c>
      <c r="D1381" s="7" t="str" cm="1">
        <f t="array" ref="D1381">_xlfn.IFS(Healthcare!$C1381&lt;18.5,"under weight",Healthcare!$C1381&lt;=24.9,"Normal Weight",Healthcare!$C1381&gt;=25,"overweight",Healthcare!$C1381&gt;=30,"obese")</f>
        <v>overweight</v>
      </c>
      <c r="E1381" s="7">
        <v>11.08</v>
      </c>
      <c r="F1381" s="7" t="str" cm="1">
        <f t="array" ref="F1381">_xlfn.IFS(Healthcare!$E1381&lt;5.7,"normal",Healthcare!$E1381&lt;=6.4,"prediabetes",Healthcare!$E1381&gt;=6.5,"diabetes")</f>
        <v>diabetes</v>
      </c>
      <c r="G1381" s="7" t="s">
        <v>19</v>
      </c>
      <c r="H1381" s="7" t="s">
        <v>19</v>
      </c>
      <c r="I1381" s="7" t="s">
        <v>19</v>
      </c>
      <c r="J1381" s="7">
        <v>0</v>
      </c>
      <c r="K1381" s="7" t="s">
        <v>19</v>
      </c>
      <c r="L1381" s="7" t="str">
        <f>VLOOKUP(Healthcare!$A1381,hospital_details,2,0)</f>
        <v>4-Sep-1978</v>
      </c>
      <c r="M1381" s="7">
        <f t="shared" ref="M1381:M1444" ca="1" si="8271">VLOOKUP(A1381,hospital_details,3,0)</f>
        <v>48</v>
      </c>
      <c r="N1381" s="7">
        <f t="shared" ref="N1381:N1444" si="8272">VLOOKUP($A1381,hospital_details,4,0)</f>
        <v>2</v>
      </c>
      <c r="O1381" s="8">
        <f t="shared" ref="O1381:O1444" si="8273">VLOOKUP($A1381,hospital_details,5,0)</f>
        <v>7740.34</v>
      </c>
      <c r="P1381" s="7" t="str">
        <f t="shared" ref="P1381:P1444" si="8274">VLOOKUP($A1381,hospital_details,6,0)</f>
        <v>tier - 1</v>
      </c>
      <c r="Q1381" s="7" t="str">
        <f t="shared" ref="Q1381:Q1444" si="8275">VLOOKUP($A1381,hospital_details,7,0)</f>
        <v>tier - 1</v>
      </c>
      <c r="R1381" s="7" t="str">
        <f t="shared" ref="R1381:R1444" si="8276">VLOOKUP($A1381,hospital_details,8,0)</f>
        <v>R1011</v>
      </c>
    </row>
    <row r="1382" spans="1:18" ht="14.4" customHeight="1" x14ac:dyDescent="0.3">
      <c r="A1382" s="5" t="s">
        <v>1402</v>
      </c>
      <c r="B1382" s="5" t="str">
        <f>VLOOKUP($A1382,[1]!Customer_Names[#Data],3,0)</f>
        <v xml:space="preserve">  Erik R</v>
      </c>
      <c r="C1382" s="5">
        <v>18.28</v>
      </c>
      <c r="D1382" s="5" t="str" cm="1">
        <f t="array" ref="D1382">_xlfn.IFS(Healthcare!$C1382&lt;18.5,"under weight",Healthcare!$C1382&lt;=24.9,"Normal Weight",Healthcare!$C1382&gt;=25,"overweight",Healthcare!$C1382&gt;=30,"obese")</f>
        <v>under weight</v>
      </c>
      <c r="E1382" s="5">
        <v>7.95</v>
      </c>
      <c r="F1382" s="5" t="str" cm="1">
        <f t="array" ref="F1382">_xlfn.IFS(Healthcare!$E1382&lt;5.7,"normal",Healthcare!$E1382&lt;=6.4,"prediabetes",Healthcare!$E1382&gt;=6.5,"diabetes")</f>
        <v>diabetes</v>
      </c>
      <c r="G1382" s="5" t="s">
        <v>19</v>
      </c>
      <c r="H1382" s="5" t="s">
        <v>19</v>
      </c>
      <c r="I1382" s="5" t="s">
        <v>19</v>
      </c>
      <c r="J1382" s="5">
        <v>0</v>
      </c>
      <c r="K1382" s="5" t="s">
        <v>19</v>
      </c>
      <c r="L1382" s="5" t="str">
        <f>VLOOKUP(Healthcare!$A1382,hospital_details,2,0)</f>
        <v>18-Jul-1965</v>
      </c>
      <c r="M1382" s="5">
        <f t="shared" ref="M1382:M1445" ca="1" si="8277">VLOOKUP(A1382,hospital_details,3,0)</f>
        <v>61</v>
      </c>
      <c r="N1382" s="5">
        <f t="shared" ref="N1382:N1445" si="8278">VLOOKUP($A1382,hospital_details,4,0)</f>
        <v>0</v>
      </c>
      <c r="O1382" s="6">
        <f t="shared" ref="O1382:O1445" si="8279">VLOOKUP($A1382,hospital_details,5,0)</f>
        <v>7736.39</v>
      </c>
      <c r="P1382" s="5" t="str">
        <f t="shared" ref="P1382:P1445" si="8280">VLOOKUP($A1382,hospital_details,6,0)</f>
        <v>tier - 3</v>
      </c>
      <c r="Q1382" s="5" t="str">
        <f t="shared" ref="Q1382:Q1445" si="8281">VLOOKUP($A1382,hospital_details,7,0)</f>
        <v>tier - 2</v>
      </c>
      <c r="R1382" s="5" t="str">
        <f t="shared" ref="R1382:R1445" si="8282">VLOOKUP($A1382,hospital_details,8,0)</f>
        <v>R1013</v>
      </c>
    </row>
    <row r="1383" spans="1:18" ht="14.4" customHeight="1" x14ac:dyDescent="0.3">
      <c r="A1383" s="7" t="s">
        <v>1403</v>
      </c>
      <c r="B1383" s="7" t="str">
        <f>VLOOKUP($A1383,[1]!Customer_Names[#Data],3,0)</f>
        <v xml:space="preserve">  Katie</v>
      </c>
      <c r="C1383" s="7">
        <v>35.814999999999998</v>
      </c>
      <c r="D1383" s="7" t="str" cm="1">
        <f t="array" ref="D1383">_xlfn.IFS(Healthcare!$C1383&lt;18.5,"under weight",Healthcare!$C1383&lt;=24.9,"Normal Weight",Healthcare!$C1383&gt;=25,"overweight",Healthcare!$C1383&gt;=30,"obese")</f>
        <v>overweight</v>
      </c>
      <c r="E1383" s="7">
        <v>6.23</v>
      </c>
      <c r="F1383" s="7" t="str" cm="1">
        <f t="array" ref="F1383">_xlfn.IFS(Healthcare!$E1383&lt;5.7,"normal",Healthcare!$E1383&lt;=6.4,"prediabetes",Healthcare!$E1383&gt;=6.5,"diabetes")</f>
        <v>prediabetes</v>
      </c>
      <c r="G1383" s="7" t="s">
        <v>19</v>
      </c>
      <c r="H1383" s="7" t="s">
        <v>19</v>
      </c>
      <c r="I1383" s="7" t="s">
        <v>19</v>
      </c>
      <c r="J1383" s="7">
        <v>0</v>
      </c>
      <c r="K1383" s="7" t="s">
        <v>19</v>
      </c>
      <c r="L1383" s="7" t="str">
        <f>VLOOKUP(Healthcare!$A1383,hospital_details,2,0)</f>
        <v>29-Aug-1977</v>
      </c>
      <c r="M1383" s="7">
        <f t="shared" ref="M1383:M1446" ca="1" si="8283">VLOOKUP(A1383,hospital_details,3,0)</f>
        <v>49</v>
      </c>
      <c r="N1383" s="7">
        <f t="shared" ref="N1383:N1446" si="8284">VLOOKUP($A1383,hospital_details,4,0)</f>
        <v>0</v>
      </c>
      <c r="O1383" s="8">
        <f t="shared" ref="O1383:O1446" si="8285">VLOOKUP($A1383,hospital_details,5,0)</f>
        <v>7731.86</v>
      </c>
      <c r="P1383" s="7" t="str">
        <f t="shared" ref="P1383:P1446" si="8286">VLOOKUP($A1383,hospital_details,6,0)</f>
        <v>tier - 2</v>
      </c>
      <c r="Q1383" s="7" t="str">
        <f t="shared" ref="Q1383:Q1446" si="8287">VLOOKUP($A1383,hospital_details,7,0)</f>
        <v>tier - 3</v>
      </c>
      <c r="R1383" s="7" t="str">
        <f t="shared" ref="R1383:R1446" si="8288">VLOOKUP($A1383,hospital_details,8,0)</f>
        <v>R1012</v>
      </c>
    </row>
    <row r="1384" spans="1:18" ht="14.4" customHeight="1" x14ac:dyDescent="0.3">
      <c r="A1384" s="5" t="s">
        <v>1404</v>
      </c>
      <c r="B1384" s="5" t="str">
        <f>VLOOKUP($A1384,[1]!Customer_Names[#Data],3,0)</f>
        <v xml:space="preserve">  Thomas A</v>
      </c>
      <c r="C1384" s="5">
        <v>30.69</v>
      </c>
      <c r="D1384" s="5" t="str" cm="1">
        <f t="array" ref="D1384">_xlfn.IFS(Healthcare!$C1384&lt;18.5,"under weight",Healthcare!$C1384&lt;=24.9,"Normal Weight",Healthcare!$C1384&gt;=25,"overweight",Healthcare!$C1384&gt;=30,"obese")</f>
        <v>overweight</v>
      </c>
      <c r="E1384" s="5">
        <v>6.5</v>
      </c>
      <c r="F1384" s="5" t="str" cm="1">
        <f t="array" ref="F1384">_xlfn.IFS(Healthcare!$E1384&lt;5.7,"normal",Healthcare!$E1384&lt;=6.4,"prediabetes",Healthcare!$E1384&gt;=6.5,"diabetes")</f>
        <v>diabetes</v>
      </c>
      <c r="G1384" s="5" t="s">
        <v>19</v>
      </c>
      <c r="H1384" s="5" t="s">
        <v>19</v>
      </c>
      <c r="I1384" s="5" t="s">
        <v>19</v>
      </c>
      <c r="J1384" s="5">
        <v>0</v>
      </c>
      <c r="K1384" s="5" t="s">
        <v>19</v>
      </c>
      <c r="L1384" s="5" t="str">
        <f>VLOOKUP(Healthcare!$A1384,hospital_details,2,0)</f>
        <v>4-Dec-1978</v>
      </c>
      <c r="M1384" s="5">
        <f t="shared" ref="M1384:M1447" ca="1" si="8289">VLOOKUP(A1384,hospital_details,3,0)</f>
        <v>47</v>
      </c>
      <c r="N1384" s="5">
        <f t="shared" ref="N1384:N1447" si="8290">VLOOKUP($A1384,hospital_details,4,0)</f>
        <v>2</v>
      </c>
      <c r="O1384" s="6">
        <f t="shared" ref="O1384:O1447" si="8291">VLOOKUP($A1384,hospital_details,5,0)</f>
        <v>7731.43</v>
      </c>
      <c r="P1384" s="5" t="str">
        <f t="shared" ref="P1384:P1447" si="8292">VLOOKUP($A1384,hospital_details,6,0)</f>
        <v>tier - 3</v>
      </c>
      <c r="Q1384" s="5" t="str">
        <f t="shared" ref="Q1384:Q1447" si="8293">VLOOKUP($A1384,hospital_details,7,0)</f>
        <v>tier - 2</v>
      </c>
      <c r="R1384" s="5" t="str">
        <f t="shared" ref="R1384:R1447" si="8294">VLOOKUP($A1384,hospital_details,8,0)</f>
        <v>R1013</v>
      </c>
    </row>
    <row r="1385" spans="1:18" ht="14.4" customHeight="1" x14ac:dyDescent="0.3">
      <c r="A1385" s="7" t="s">
        <v>1405</v>
      </c>
      <c r="B1385" s="7" t="str">
        <f>VLOOKUP($A1385,[1]!Customer_Names[#Data],3,0)</f>
        <v xml:space="preserve">  Jean-Marc</v>
      </c>
      <c r="C1385" s="7">
        <v>26.125</v>
      </c>
      <c r="D1385" s="7" t="str" cm="1">
        <f t="array" ref="D1385">_xlfn.IFS(Healthcare!$C1385&lt;18.5,"under weight",Healthcare!$C1385&lt;=24.9,"Normal Weight",Healthcare!$C1385&gt;=25,"overweight",Healthcare!$C1385&gt;=30,"obese")</f>
        <v>overweight</v>
      </c>
      <c r="E1385" s="7">
        <v>5.22</v>
      </c>
      <c r="F1385" s="7" t="str" cm="1">
        <f t="array" ref="F1385">_xlfn.IFS(Healthcare!$E1385&lt;5.7,"normal",Healthcare!$E1385&lt;=6.4,"prediabetes",Healthcare!$E1385&gt;=6.5,"diabetes")</f>
        <v>normal</v>
      </c>
      <c r="G1385" s="7" t="s">
        <v>19</v>
      </c>
      <c r="H1385" s="7" t="s">
        <v>19</v>
      </c>
      <c r="I1385" s="7" t="s">
        <v>19</v>
      </c>
      <c r="J1385" s="7">
        <v>0</v>
      </c>
      <c r="K1385" s="7" t="s">
        <v>19</v>
      </c>
      <c r="L1385" s="7" t="str">
        <f>VLOOKUP(Healthcare!$A1385,hospital_details,2,0)</f>
        <v>10-Sep-1980</v>
      </c>
      <c r="M1385" s="7">
        <f t="shared" ref="M1385:M1448" ca="1" si="8295">VLOOKUP(A1385,hospital_details,3,0)</f>
        <v>46</v>
      </c>
      <c r="N1385" s="7">
        <f t="shared" ref="N1385:N1448" si="8296">VLOOKUP($A1385,hospital_details,4,0)</f>
        <v>2</v>
      </c>
      <c r="O1385" s="8">
        <f t="shared" ref="O1385:O1448" si="8297">VLOOKUP($A1385,hospital_details,5,0)</f>
        <v>7729.65</v>
      </c>
      <c r="P1385" s="7" t="str">
        <f t="shared" ref="P1385:P1448" si="8298">VLOOKUP($A1385,hospital_details,6,0)</f>
        <v>tier - 3</v>
      </c>
      <c r="Q1385" s="7" t="str">
        <f t="shared" ref="Q1385:Q1448" si="8299">VLOOKUP($A1385,hospital_details,7,0)</f>
        <v>tier - 1</v>
      </c>
      <c r="R1385" s="7" t="str">
        <f t="shared" ref="R1385:R1448" si="8300">VLOOKUP($A1385,hospital_details,8,0)</f>
        <v>R1016</v>
      </c>
    </row>
    <row r="1386" spans="1:18" ht="14.4" customHeight="1" x14ac:dyDescent="0.3">
      <c r="A1386" s="5" t="s">
        <v>1406</v>
      </c>
      <c r="B1386" s="5" t="str">
        <f>VLOOKUP($A1386,[1]!Customer_Names[#Data],3,0)</f>
        <v xml:space="preserve">  Kerry L</v>
      </c>
      <c r="C1386" s="5">
        <v>34.58</v>
      </c>
      <c r="D1386" s="5" t="str" cm="1">
        <f t="array" ref="D1386">_xlfn.IFS(Healthcare!$C1386&lt;18.5,"under weight",Healthcare!$C1386&lt;=24.9,"Normal Weight",Healthcare!$C1386&gt;=25,"overweight",Healthcare!$C1386&gt;=30,"obese")</f>
        <v>overweight</v>
      </c>
      <c r="E1386" s="5">
        <v>6.3</v>
      </c>
      <c r="F1386" s="5" t="str" cm="1">
        <f t="array" ref="F1386">_xlfn.IFS(Healthcare!$E1386&lt;5.7,"normal",Healthcare!$E1386&lt;=6.4,"prediabetes",Healthcare!$E1386&gt;=6.5,"diabetes")</f>
        <v>prediabetes</v>
      </c>
      <c r="G1386" s="5" t="s">
        <v>19</v>
      </c>
      <c r="H1386" s="5" t="s">
        <v>19</v>
      </c>
      <c r="I1386" s="5" t="s">
        <v>29</v>
      </c>
      <c r="J1386" s="5">
        <v>1</v>
      </c>
      <c r="K1386" s="5" t="s">
        <v>19</v>
      </c>
      <c r="L1386" s="5" t="str">
        <f>VLOOKUP(Healthcare!$A1386,hospital_details,2,0)</f>
        <v>2-Jun-1979</v>
      </c>
      <c r="M1386" s="5">
        <f t="shared" ref="M1386:M1449" ca="1" si="8301">VLOOKUP(A1386,hospital_details,3,0)</f>
        <v>47</v>
      </c>
      <c r="N1386" s="5">
        <f t="shared" ref="N1386:N1449" si="8302">VLOOKUP($A1386,hospital_details,4,0)</f>
        <v>1</v>
      </c>
      <c r="O1386" s="6">
        <f t="shared" ref="O1386:O1449" si="8303">VLOOKUP($A1386,hospital_details,5,0)</f>
        <v>7727.25</v>
      </c>
      <c r="P1386" s="5" t="str">
        <f t="shared" ref="P1386:P1449" si="8304">VLOOKUP($A1386,hospital_details,6,0)</f>
        <v>tier - 2</v>
      </c>
      <c r="Q1386" s="5" t="str">
        <f t="shared" ref="Q1386:Q1449" si="8305">VLOOKUP($A1386,hospital_details,7,0)</f>
        <v>tier - 3</v>
      </c>
      <c r="R1386" s="5" t="str">
        <f t="shared" ref="R1386:R1449" si="8306">VLOOKUP($A1386,hospital_details,8,0)</f>
        <v>R1012</v>
      </c>
    </row>
    <row r="1387" spans="1:18" ht="14.4" customHeight="1" x14ac:dyDescent="0.3">
      <c r="A1387" s="7" t="s">
        <v>1407</v>
      </c>
      <c r="B1387" s="7" t="str">
        <f>VLOOKUP($A1387,[1]!Customer_Names[#Data],3,0)</f>
        <v xml:space="preserve">  Ulrich</v>
      </c>
      <c r="C1387" s="7">
        <v>27.4</v>
      </c>
      <c r="D1387" s="7" t="str" cm="1">
        <f t="array" ref="D1387">_xlfn.IFS(Healthcare!$C1387&lt;18.5,"under weight",Healthcare!$C1387&lt;=24.9,"Normal Weight",Healthcare!$C1387&gt;=25,"overweight",Healthcare!$C1387&gt;=30,"obese")</f>
        <v>overweight</v>
      </c>
      <c r="E1387" s="7">
        <v>8.84</v>
      </c>
      <c r="F1387" s="7" t="str" cm="1">
        <f t="array" ref="F1387">_xlfn.IFS(Healthcare!$E1387&lt;5.7,"normal",Healthcare!$E1387&lt;=6.4,"prediabetes",Healthcare!$E1387&gt;=6.5,"diabetes")</f>
        <v>diabetes</v>
      </c>
      <c r="G1387" s="7" t="s">
        <v>19</v>
      </c>
      <c r="H1387" s="7" t="s">
        <v>19</v>
      </c>
      <c r="I1387" s="7" t="s">
        <v>19</v>
      </c>
      <c r="J1387" s="7">
        <v>0</v>
      </c>
      <c r="K1387" s="7" t="s">
        <v>19</v>
      </c>
      <c r="L1387" s="7" t="str">
        <f>VLOOKUP(Healthcare!$A1387,hospital_details,2,0)</f>
        <v>29-Dec-1978</v>
      </c>
      <c r="M1387" s="7">
        <f t="shared" ref="M1387:M1450" ca="1" si="8307">VLOOKUP(A1387,hospital_details,3,0)</f>
        <v>47</v>
      </c>
      <c r="N1387" s="7">
        <f t="shared" ref="N1387:N1450" si="8308">VLOOKUP($A1387,hospital_details,4,0)</f>
        <v>2</v>
      </c>
      <c r="O1387" s="8">
        <f t="shared" ref="O1387:O1450" si="8309">VLOOKUP($A1387,hospital_details,5,0)</f>
        <v>7726.85</v>
      </c>
      <c r="P1387" s="7" t="str">
        <f t="shared" ref="P1387:P1450" si="8310">VLOOKUP($A1387,hospital_details,6,0)</f>
        <v>tier - 1</v>
      </c>
      <c r="Q1387" s="7" t="str">
        <f t="shared" ref="Q1387:Q1450" si="8311">VLOOKUP($A1387,hospital_details,7,0)</f>
        <v>tier - 2</v>
      </c>
      <c r="R1387" s="7" t="str">
        <f t="shared" ref="R1387:R1450" si="8312">VLOOKUP($A1387,hospital_details,8,0)</f>
        <v>R1011</v>
      </c>
    </row>
    <row r="1388" spans="1:18" ht="14.4" customHeight="1" x14ac:dyDescent="0.3">
      <c r="A1388" s="5" t="s">
        <v>1408</v>
      </c>
      <c r="B1388" s="5" t="str">
        <f>VLOOKUP($A1388,[1]!Customer_Names[#Data],3,0)</f>
        <v xml:space="preserve">  Justin P</v>
      </c>
      <c r="C1388" s="5">
        <v>27.53</v>
      </c>
      <c r="D1388" s="5" t="str" cm="1">
        <f t="array" ref="D1388">_xlfn.IFS(Healthcare!$C1388&lt;18.5,"under weight",Healthcare!$C1388&lt;=24.9,"Normal Weight",Healthcare!$C1388&gt;=25,"overweight",Healthcare!$C1388&gt;=30,"obese")</f>
        <v>overweight</v>
      </c>
      <c r="E1388" s="5">
        <v>4.1100000000000003</v>
      </c>
      <c r="F1388" s="5" t="str" cm="1">
        <f t="array" ref="F1388">_xlfn.IFS(Healthcare!$E1388&lt;5.7,"normal",Healthcare!$E1388&lt;=6.4,"prediabetes",Healthcare!$E1388&gt;=6.5,"diabetes")</f>
        <v>normal</v>
      </c>
      <c r="G1388" s="5" t="s">
        <v>19</v>
      </c>
      <c r="H1388" s="5" t="s">
        <v>19</v>
      </c>
      <c r="I1388" s="5" t="s">
        <v>19</v>
      </c>
      <c r="J1388" s="5">
        <v>1</v>
      </c>
      <c r="K1388" s="5" t="s">
        <v>19</v>
      </c>
      <c r="L1388" s="5" t="str">
        <f>VLOOKUP(Healthcare!$A1388,hospital_details,2,0)</f>
        <v>12-Jul-1987</v>
      </c>
      <c r="M1388" s="5">
        <f t="shared" ref="M1388:M1451" ca="1" si="8313">VLOOKUP(A1388,hospital_details,3,0)</f>
        <v>39</v>
      </c>
      <c r="N1388" s="5">
        <f t="shared" ref="N1388:N1451" si="8314">VLOOKUP($A1388,hospital_details,4,0)</f>
        <v>3</v>
      </c>
      <c r="O1388" s="6">
        <f t="shared" ref="O1388:O1451" si="8315">VLOOKUP($A1388,hospital_details,5,0)</f>
        <v>7684.62</v>
      </c>
      <c r="P1388" s="5" t="str">
        <f t="shared" ref="P1388:P1451" si="8316">VLOOKUP($A1388,hospital_details,6,0)</f>
        <v>tier - 2</v>
      </c>
      <c r="Q1388" s="5" t="str">
        <f t="shared" ref="Q1388:Q1451" si="8317">VLOOKUP($A1388,hospital_details,7,0)</f>
        <v>tier - 3</v>
      </c>
      <c r="R1388" s="5" t="str">
        <f t="shared" ref="R1388:R1451" si="8318">VLOOKUP($A1388,hospital_details,8,0)</f>
        <v>R1021</v>
      </c>
    </row>
    <row r="1389" spans="1:18" ht="14.4" customHeight="1" x14ac:dyDescent="0.3">
      <c r="A1389" s="7" t="s">
        <v>1409</v>
      </c>
      <c r="B1389" s="7" t="str">
        <f>VLOOKUP($A1389,[1]!Customer_Names[#Data],3,0)</f>
        <v xml:space="preserve">  Hannah E</v>
      </c>
      <c r="C1389" s="7">
        <v>33</v>
      </c>
      <c r="D1389" s="7" t="str" cm="1">
        <f t="array" ref="D1389">_xlfn.IFS(Healthcare!$C1389&lt;18.5,"under weight",Healthcare!$C1389&lt;=24.9,"Normal Weight",Healthcare!$C1389&gt;=25,"overweight",Healthcare!$C1389&gt;=30,"obese")</f>
        <v>overweight</v>
      </c>
      <c r="E1389" s="7">
        <v>4.57</v>
      </c>
      <c r="F1389" s="7" t="str" cm="1">
        <f t="array" ref="F1389">_xlfn.IFS(Healthcare!$E1389&lt;5.7,"normal",Healthcare!$E1389&lt;=6.4,"prediabetes",Healthcare!$E1389&gt;=6.5,"diabetes")</f>
        <v>normal</v>
      </c>
      <c r="G1389" s="7" t="s">
        <v>19</v>
      </c>
      <c r="H1389" s="7" t="s">
        <v>19</v>
      </c>
      <c r="I1389" s="7" t="s">
        <v>19</v>
      </c>
      <c r="J1389" s="7">
        <v>0</v>
      </c>
      <c r="K1389" s="7" t="s">
        <v>19</v>
      </c>
      <c r="L1389" s="7" t="str">
        <f>VLOOKUP(Healthcare!$A1389,hospital_details,2,0)</f>
        <v>18-Dec-1982</v>
      </c>
      <c r="M1389" s="7">
        <f t="shared" ref="M1389:M1452" ca="1" si="8319">VLOOKUP(A1389,hospital_details,3,0)</f>
        <v>43</v>
      </c>
      <c r="N1389" s="7">
        <f t="shared" ref="N1389:N1452" si="8320">VLOOKUP($A1389,hospital_details,4,0)</f>
        <v>3</v>
      </c>
      <c r="O1389" s="8">
        <f t="shared" ref="O1389:O1452" si="8321">VLOOKUP($A1389,hospital_details,5,0)</f>
        <v>7682.67</v>
      </c>
      <c r="P1389" s="7" t="str">
        <f t="shared" ref="P1389:P1452" si="8322">VLOOKUP($A1389,hospital_details,6,0)</f>
        <v>tier - 2</v>
      </c>
      <c r="Q1389" s="7" t="str">
        <f t="shared" ref="Q1389:Q1452" si="8323">VLOOKUP($A1389,hospital_details,7,0)</f>
        <v>tier - 1</v>
      </c>
      <c r="R1389" s="7" t="str">
        <f t="shared" ref="R1389:R1452" si="8324">VLOOKUP($A1389,hospital_details,8,0)</f>
        <v>R1013</v>
      </c>
    </row>
    <row r="1390" spans="1:18" ht="14.4" customHeight="1" x14ac:dyDescent="0.3">
      <c r="A1390" s="5" t="s">
        <v>1410</v>
      </c>
      <c r="B1390" s="5" t="str">
        <f>VLOOKUP($A1390,[1]!Customer_Names[#Data],3,0)</f>
        <v xml:space="preserve">  David</v>
      </c>
      <c r="C1390" s="5">
        <v>25.78</v>
      </c>
      <c r="D1390" s="5" t="str" cm="1">
        <f t="array" ref="D1390">_xlfn.IFS(Healthcare!$C1390&lt;18.5,"under weight",Healthcare!$C1390&lt;=24.9,"Normal Weight",Healthcare!$C1390&gt;=25,"overweight",Healthcare!$C1390&gt;=30,"obese")</f>
        <v>overweight</v>
      </c>
      <c r="E1390" s="5">
        <v>11.06</v>
      </c>
      <c r="F1390" s="5" t="str" cm="1">
        <f t="array" ref="F1390">_xlfn.IFS(Healthcare!$E1390&lt;5.7,"normal",Healthcare!$E1390&lt;=6.4,"prediabetes",Healthcare!$E1390&gt;=6.5,"diabetes")</f>
        <v>diabetes</v>
      </c>
      <c r="G1390" s="5" t="s">
        <v>20</v>
      </c>
      <c r="H1390" s="5" t="s">
        <v>19</v>
      </c>
      <c r="I1390" s="5" t="s">
        <v>19</v>
      </c>
      <c r="J1390" s="5">
        <v>0</v>
      </c>
      <c r="K1390" s="5" t="s">
        <v>19</v>
      </c>
      <c r="L1390" s="5" t="str">
        <f>VLOOKUP(Healthcare!$A1390,hospital_details,2,0)</f>
        <v>19-Dec-1981</v>
      </c>
      <c r="M1390" s="5">
        <f t="shared" ref="M1390:M1453" ca="1" si="8325">VLOOKUP(A1390,hospital_details,3,0)</f>
        <v>44</v>
      </c>
      <c r="N1390" s="5">
        <f t="shared" ref="N1390:N1453" si="8326">VLOOKUP($A1390,hospital_details,4,0)</f>
        <v>1</v>
      </c>
      <c r="O1390" s="6">
        <f t="shared" ref="O1390:O1453" si="8327">VLOOKUP($A1390,hospital_details,5,0)</f>
        <v>7681.17</v>
      </c>
      <c r="P1390" s="5" t="str">
        <f t="shared" ref="P1390:P1453" si="8328">VLOOKUP($A1390,hospital_details,6,0)</f>
        <v>tier - 2</v>
      </c>
      <c r="Q1390" s="5" t="str">
        <f t="shared" ref="Q1390:Q1453" si="8329">VLOOKUP($A1390,hospital_details,7,0)</f>
        <v>tier - 2</v>
      </c>
      <c r="R1390" s="5" t="str">
        <f t="shared" ref="R1390:R1453" si="8330">VLOOKUP($A1390,hospital_details,8,0)</f>
        <v>R1020</v>
      </c>
    </row>
    <row r="1391" spans="1:18" ht="14.4" customHeight="1" x14ac:dyDescent="0.3">
      <c r="A1391" s="7" t="s">
        <v>1411</v>
      </c>
      <c r="B1391" s="7" t="str">
        <f>VLOOKUP($A1391,[1]!Customer_Names[#Data],3,0)</f>
        <v xml:space="preserve">  Jim</v>
      </c>
      <c r="C1391" s="7">
        <v>22.66</v>
      </c>
      <c r="D1391" s="7" t="str" cm="1">
        <f t="array" ref="D1391">_xlfn.IFS(Healthcare!$C1391&lt;18.5,"under weight",Healthcare!$C1391&lt;=24.9,"Normal Weight",Healthcare!$C1391&gt;=25,"overweight",Healthcare!$C1391&gt;=30,"obese")</f>
        <v>Normal Weight</v>
      </c>
      <c r="E1391" s="7">
        <v>10.68</v>
      </c>
      <c r="F1391" s="7" t="str" cm="1">
        <f t="array" ref="F1391">_xlfn.IFS(Healthcare!$E1391&lt;5.7,"normal",Healthcare!$E1391&lt;=6.4,"prediabetes",Healthcare!$E1391&gt;=6.5,"diabetes")</f>
        <v>diabetes</v>
      </c>
      <c r="G1391" s="7" t="s">
        <v>19</v>
      </c>
      <c r="H1391" s="7" t="s">
        <v>19</v>
      </c>
      <c r="I1391" s="7" t="s">
        <v>19</v>
      </c>
      <c r="J1391" s="7">
        <v>0</v>
      </c>
      <c r="K1391" s="7" t="s">
        <v>19</v>
      </c>
      <c r="L1391" s="7" t="str">
        <f>VLOOKUP(Healthcare!$A1391,hospital_details,2,0)</f>
        <v>11-Oct-1971</v>
      </c>
      <c r="M1391" s="7">
        <f t="shared" ref="M1391:M1454" ca="1" si="8331">VLOOKUP(A1391,hospital_details,3,0)</f>
        <v>55</v>
      </c>
      <c r="N1391" s="7">
        <f t="shared" ref="N1391:N1454" si="8332">VLOOKUP($A1391,hospital_details,4,0)</f>
        <v>0</v>
      </c>
      <c r="O1391" s="8">
        <f t="shared" ref="O1391:O1454" si="8333">VLOOKUP($A1391,hospital_details,5,0)</f>
        <v>7680.92</v>
      </c>
      <c r="P1391" s="7" t="str">
        <f t="shared" ref="P1391:P1454" si="8334">VLOOKUP($A1391,hospital_details,6,0)</f>
        <v>tier - 2</v>
      </c>
      <c r="Q1391" s="7" t="str">
        <f t="shared" ref="Q1391:Q1454" si="8335">VLOOKUP($A1391,hospital_details,7,0)</f>
        <v>tier - 1</v>
      </c>
      <c r="R1391" s="7" t="str">
        <f t="shared" ref="R1391:R1454" si="8336">VLOOKUP($A1391,hospital_details,8,0)</f>
        <v>R1013</v>
      </c>
    </row>
    <row r="1392" spans="1:18" ht="14.4" customHeight="1" x14ac:dyDescent="0.3">
      <c r="A1392" s="5" t="s">
        <v>1412</v>
      </c>
      <c r="B1392" s="5" t="str">
        <f>VLOOKUP($A1392,[1]!Customer_Names[#Data],3,0)</f>
        <v xml:space="preserve">  Joseph P</v>
      </c>
      <c r="C1392" s="5">
        <v>38.81</v>
      </c>
      <c r="D1392" s="5" t="str" cm="1">
        <f t="array" ref="D1392">_xlfn.IFS(Healthcare!$C1392&lt;18.5,"under weight",Healthcare!$C1392&lt;=24.9,"Normal Weight",Healthcare!$C1392&gt;=25,"overweight",Healthcare!$C1392&gt;=30,"obese")</f>
        <v>overweight</v>
      </c>
      <c r="E1392" s="5">
        <v>6.14</v>
      </c>
      <c r="F1392" s="5" t="str" cm="1">
        <f t="array" ref="F1392">_xlfn.IFS(Healthcare!$E1392&lt;5.7,"normal",Healthcare!$E1392&lt;=6.4,"prediabetes",Healthcare!$E1392&gt;=6.5,"diabetes")</f>
        <v>prediabetes</v>
      </c>
      <c r="G1392" s="5" t="s">
        <v>20</v>
      </c>
      <c r="H1392" s="5" t="s">
        <v>19</v>
      </c>
      <c r="I1392" s="5" t="s">
        <v>19</v>
      </c>
      <c r="J1392" s="5">
        <v>1</v>
      </c>
      <c r="K1392" s="5" t="s">
        <v>19</v>
      </c>
      <c r="L1392" s="5" t="str">
        <f>VLOOKUP(Healthcare!$A1392,hospital_details,2,0)</f>
        <v>13-Sep-1995</v>
      </c>
      <c r="M1392" s="5">
        <f t="shared" ref="M1392:M1455" ca="1" si="8337">VLOOKUP(A1392,hospital_details,3,0)</f>
        <v>31</v>
      </c>
      <c r="N1392" s="5">
        <f t="shared" ref="N1392:N1455" si="8338">VLOOKUP($A1392,hospital_details,4,0)</f>
        <v>0</v>
      </c>
      <c r="O1392" s="6">
        <f t="shared" ref="O1392:O1455" si="8339">VLOOKUP($A1392,hospital_details,5,0)</f>
        <v>7676.4</v>
      </c>
      <c r="P1392" s="5" t="str">
        <f t="shared" ref="P1392:P1455" si="8340">VLOOKUP($A1392,hospital_details,6,0)</f>
        <v>tier - 2</v>
      </c>
      <c r="Q1392" s="5" t="str">
        <f t="shared" ref="Q1392:Q1455" si="8341">VLOOKUP($A1392,hospital_details,7,0)</f>
        <v>tier - 1</v>
      </c>
      <c r="R1392" s="5" t="str">
        <f t="shared" ref="R1392:R1455" si="8342">VLOOKUP($A1392,hospital_details,8,0)</f>
        <v>R1012</v>
      </c>
    </row>
    <row r="1393" spans="1:18" ht="14.4" customHeight="1" x14ac:dyDescent="0.3">
      <c r="A1393" s="7" t="s">
        <v>1413</v>
      </c>
      <c r="B1393" s="7" t="str">
        <f>VLOOKUP($A1393,[1]!Customer_Names[#Data],3,0)</f>
        <v xml:space="preserve">  Michael</v>
      </c>
      <c r="C1393" s="7">
        <v>38.51</v>
      </c>
      <c r="D1393" s="7" t="str" cm="1">
        <f t="array" ref="D1393">_xlfn.IFS(Healthcare!$C1393&lt;18.5,"under weight",Healthcare!$C1393&lt;=24.9,"Normal Weight",Healthcare!$C1393&gt;=25,"overweight",Healthcare!$C1393&gt;=30,"obese")</f>
        <v>overweight</v>
      </c>
      <c r="E1393" s="7">
        <v>5.45</v>
      </c>
      <c r="F1393" s="7" t="str" cm="1">
        <f t="array" ref="F1393">_xlfn.IFS(Healthcare!$E1393&lt;5.7,"normal",Healthcare!$E1393&lt;=6.4,"prediabetes",Healthcare!$E1393&gt;=6.5,"diabetes")</f>
        <v>normal</v>
      </c>
      <c r="G1393" s="7" t="s">
        <v>20</v>
      </c>
      <c r="H1393" s="7" t="s">
        <v>19</v>
      </c>
      <c r="I1393" s="7" t="s">
        <v>19</v>
      </c>
      <c r="J1393" s="7">
        <v>0</v>
      </c>
      <c r="K1393" s="7" t="s">
        <v>19</v>
      </c>
      <c r="L1393" s="7" t="str">
        <f>VLOOKUP(Healthcare!$A1393,hospital_details,2,0)</f>
        <v>24-Nov-1996</v>
      </c>
      <c r="M1393" s="7">
        <f t="shared" ref="M1393:M1456" ca="1" si="8343">VLOOKUP(A1393,hospital_details,3,0)</f>
        <v>29</v>
      </c>
      <c r="N1393" s="7">
        <f t="shared" ref="N1393:N1456" si="8344">VLOOKUP($A1393,hospital_details,4,0)</f>
        <v>0</v>
      </c>
      <c r="O1393" s="8">
        <f t="shared" ref="O1393:O1456" si="8345">VLOOKUP($A1393,hospital_details,5,0)</f>
        <v>7670.75</v>
      </c>
      <c r="P1393" s="7" t="str">
        <f t="shared" ref="P1393:P1456" si="8346">VLOOKUP($A1393,hospital_details,6,0)</f>
        <v>tier - 2</v>
      </c>
      <c r="Q1393" s="7" t="str">
        <f t="shared" ref="Q1393:Q1456" si="8347">VLOOKUP($A1393,hospital_details,7,0)</f>
        <v>tier - 2</v>
      </c>
      <c r="R1393" s="7" t="str">
        <f t="shared" ref="R1393:R1456" si="8348">VLOOKUP($A1393,hospital_details,8,0)</f>
        <v>R1022</v>
      </c>
    </row>
    <row r="1394" spans="1:18" ht="14.4" customHeight="1" x14ac:dyDescent="0.3">
      <c r="A1394" s="5" t="s">
        <v>1414</v>
      </c>
      <c r="B1394" s="5" t="str">
        <f>VLOOKUP($A1394,[1]!Customer_Names[#Data],3,0)</f>
        <v xml:space="preserve">  Gina M</v>
      </c>
      <c r="C1394" s="5">
        <v>22.98</v>
      </c>
      <c r="D1394" s="5" t="str" cm="1">
        <f t="array" ref="D1394">_xlfn.IFS(Healthcare!$C1394&lt;18.5,"under weight",Healthcare!$C1394&lt;=24.9,"Normal Weight",Healthcare!$C1394&gt;=25,"overweight",Healthcare!$C1394&gt;=30,"obese")</f>
        <v>Normal Weight</v>
      </c>
      <c r="E1394" s="5">
        <v>6.14</v>
      </c>
      <c r="F1394" s="5" t="str" cm="1">
        <f t="array" ref="F1394">_xlfn.IFS(Healthcare!$E1394&lt;5.7,"normal",Healthcare!$E1394&lt;=6.4,"prediabetes",Healthcare!$E1394&gt;=6.5,"diabetes")</f>
        <v>prediabetes</v>
      </c>
      <c r="G1394" s="5" t="s">
        <v>20</v>
      </c>
      <c r="H1394" s="5" t="s">
        <v>19</v>
      </c>
      <c r="I1394" s="5" t="s">
        <v>19</v>
      </c>
      <c r="J1394" s="5">
        <v>0</v>
      </c>
      <c r="K1394" s="5" t="s">
        <v>19</v>
      </c>
      <c r="L1394" s="5" t="str">
        <f>VLOOKUP(Healthcare!$A1394,hospital_details,2,0)</f>
        <v>9-Oct-1976</v>
      </c>
      <c r="M1394" s="5">
        <f t="shared" ref="M1394:M1457" ca="1" si="8349">VLOOKUP(A1394,hospital_details,3,0)</f>
        <v>50</v>
      </c>
      <c r="N1394" s="5">
        <f t="shared" ref="N1394:N1457" si="8350">VLOOKUP($A1394,hospital_details,4,0)</f>
        <v>2</v>
      </c>
      <c r="O1394" s="6">
        <f t="shared" ref="O1394:O1457" si="8351">VLOOKUP($A1394,hospital_details,5,0)</f>
        <v>7662.47</v>
      </c>
      <c r="P1394" s="5" t="str">
        <f t="shared" ref="P1394:P1457" si="8352">VLOOKUP($A1394,hospital_details,6,0)</f>
        <v>tier - 2</v>
      </c>
      <c r="Q1394" s="5" t="str">
        <f t="shared" ref="Q1394:Q1457" si="8353">VLOOKUP($A1394,hospital_details,7,0)</f>
        <v>tier - 1</v>
      </c>
      <c r="R1394" s="5" t="str">
        <f t="shared" ref="R1394:R1457" si="8354">VLOOKUP($A1394,hospital_details,8,0)</f>
        <v>R1011</v>
      </c>
    </row>
    <row r="1395" spans="1:18" ht="14.4" customHeight="1" x14ac:dyDescent="0.3">
      <c r="A1395" s="7" t="s">
        <v>1415</v>
      </c>
      <c r="B1395" s="7" t="str">
        <f>VLOOKUP($A1395,[1]!Customer_Names[#Data],3,0)</f>
        <v xml:space="preserve">  Shantel C</v>
      </c>
      <c r="C1395" s="7">
        <v>15.65</v>
      </c>
      <c r="D1395" s="7" t="str" cm="1">
        <f t="array" ref="D1395">_xlfn.IFS(Healthcare!$C1395&lt;18.5,"under weight",Healthcare!$C1395&lt;=24.9,"Normal Weight",Healthcare!$C1395&gt;=25,"overweight",Healthcare!$C1395&gt;=30,"obese")</f>
        <v>under weight</v>
      </c>
      <c r="E1395" s="7">
        <v>7.85</v>
      </c>
      <c r="F1395" s="7" t="str" cm="1">
        <f t="array" ref="F1395">_xlfn.IFS(Healthcare!$E1395&lt;5.7,"normal",Healthcare!$E1395&lt;=6.4,"prediabetes",Healthcare!$E1395&gt;=6.5,"diabetes")</f>
        <v>diabetes</v>
      </c>
      <c r="G1395" s="7" t="s">
        <v>19</v>
      </c>
      <c r="H1395" s="7" t="s">
        <v>19</v>
      </c>
      <c r="I1395" s="7" t="s">
        <v>19</v>
      </c>
      <c r="J1395" s="7">
        <v>0</v>
      </c>
      <c r="K1395" s="7" t="s">
        <v>19</v>
      </c>
      <c r="L1395" s="7" t="str">
        <f>VLOOKUP(Healthcare!$A1395,hospital_details,2,0)</f>
        <v>27-Dec-1965</v>
      </c>
      <c r="M1395" s="7">
        <f t="shared" ref="M1395:M1458" ca="1" si="8355">VLOOKUP(A1395,hospital_details,3,0)</f>
        <v>60</v>
      </c>
      <c r="N1395" s="7">
        <f t="shared" ref="N1395:N1458" si="8356">VLOOKUP($A1395,hospital_details,4,0)</f>
        <v>0</v>
      </c>
      <c r="O1395" s="8">
        <f t="shared" ref="O1395:O1458" si="8357">VLOOKUP($A1395,hospital_details,5,0)</f>
        <v>7657.69</v>
      </c>
      <c r="P1395" s="7" t="str">
        <f t="shared" ref="P1395:P1458" si="8358">VLOOKUP($A1395,hospital_details,6,0)</f>
        <v>tier - 3</v>
      </c>
      <c r="Q1395" s="7" t="str">
        <f t="shared" ref="Q1395:Q1458" si="8359">VLOOKUP($A1395,hospital_details,7,0)</f>
        <v>tier - 3</v>
      </c>
      <c r="R1395" s="7" t="str">
        <f t="shared" ref="R1395:R1458" si="8360">VLOOKUP($A1395,hospital_details,8,0)</f>
        <v>R1012</v>
      </c>
    </row>
    <row r="1396" spans="1:18" ht="14.4" customHeight="1" x14ac:dyDescent="0.3">
      <c r="A1396" s="5" t="s">
        <v>1416</v>
      </c>
      <c r="B1396" s="5" t="str">
        <f>VLOOKUP($A1396,[1]!Customer_Names[#Data],3,0)</f>
        <v xml:space="preserve">  Brian</v>
      </c>
      <c r="C1396" s="5">
        <v>39.97</v>
      </c>
      <c r="D1396" s="5" t="str" cm="1">
        <f t="array" ref="D1396">_xlfn.IFS(Healthcare!$C1396&lt;18.5,"under weight",Healthcare!$C1396&lt;=24.9,"Normal Weight",Healthcare!$C1396&gt;=25,"overweight",Healthcare!$C1396&gt;=30,"obese")</f>
        <v>overweight</v>
      </c>
      <c r="E1396" s="5">
        <v>4.09</v>
      </c>
      <c r="F1396" s="5" t="str" cm="1">
        <f t="array" ref="F1396">_xlfn.IFS(Healthcare!$E1396&lt;5.7,"normal",Healthcare!$E1396&lt;=6.4,"prediabetes",Healthcare!$E1396&gt;=6.5,"diabetes")</f>
        <v>normal</v>
      </c>
      <c r="G1396" s="5" t="s">
        <v>19</v>
      </c>
      <c r="H1396" s="5" t="s">
        <v>19</v>
      </c>
      <c r="I1396" s="5" t="s">
        <v>19</v>
      </c>
      <c r="J1396" s="5">
        <v>1</v>
      </c>
      <c r="K1396" s="5" t="s">
        <v>19</v>
      </c>
      <c r="L1396" s="5" t="str">
        <f>VLOOKUP(Healthcare!$A1396,hospital_details,2,0)</f>
        <v>30-Sep-1998</v>
      </c>
      <c r="M1396" s="5">
        <f t="shared" ref="M1396:M1459" ca="1" si="8361">VLOOKUP(A1396,hospital_details,3,0)</f>
        <v>28</v>
      </c>
      <c r="N1396" s="5">
        <f t="shared" ref="N1396:N1459" si="8362">VLOOKUP($A1396,hospital_details,4,0)</f>
        <v>0</v>
      </c>
      <c r="O1396" s="6">
        <f t="shared" ref="O1396:O1459" si="8363">VLOOKUP($A1396,hospital_details,5,0)</f>
        <v>7652.26</v>
      </c>
      <c r="P1396" s="5" t="str">
        <f t="shared" ref="P1396:P1459" si="8364">VLOOKUP($A1396,hospital_details,6,0)</f>
        <v>tier - 2</v>
      </c>
      <c r="Q1396" s="5" t="str">
        <f t="shared" ref="Q1396:Q1459" si="8365">VLOOKUP($A1396,hospital_details,7,0)</f>
        <v>tier - 3</v>
      </c>
      <c r="R1396" s="5" t="str">
        <f t="shared" ref="R1396:R1459" si="8366">VLOOKUP($A1396,hospital_details,8,0)</f>
        <v>R1023</v>
      </c>
    </row>
    <row r="1397" spans="1:18" ht="14.4" customHeight="1" x14ac:dyDescent="0.3">
      <c r="A1397" s="7" t="s">
        <v>1417</v>
      </c>
      <c r="B1397" s="7" t="str">
        <f>VLOOKUP($A1397,[1]!Customer_Names[#Data],3,0)</f>
        <v xml:space="preserve">  Brian</v>
      </c>
      <c r="C1397" s="7">
        <v>37.22</v>
      </c>
      <c r="D1397" s="7" t="str" cm="1">
        <f t="array" ref="D1397">_xlfn.IFS(Healthcare!$C1397&lt;18.5,"under weight",Healthcare!$C1397&lt;=24.9,"Normal Weight",Healthcare!$C1397&gt;=25,"overweight",Healthcare!$C1397&gt;=30,"obese")</f>
        <v>overweight</v>
      </c>
      <c r="E1397" s="7">
        <v>4.62</v>
      </c>
      <c r="F1397" s="7" t="str" cm="1">
        <f t="array" ref="F1397">_xlfn.IFS(Healthcare!$E1397&lt;5.7,"normal",Healthcare!$E1397&lt;=6.4,"prediabetes",Healthcare!$E1397&gt;=6.5,"diabetes")</f>
        <v>normal</v>
      </c>
      <c r="G1397" s="7" t="s">
        <v>19</v>
      </c>
      <c r="H1397" s="7" t="s">
        <v>19</v>
      </c>
      <c r="I1397" s="7" t="s">
        <v>29</v>
      </c>
      <c r="J1397" s="7">
        <v>1</v>
      </c>
      <c r="K1397" s="7" t="s">
        <v>19</v>
      </c>
      <c r="L1397" s="7" t="str">
        <f>VLOOKUP(Healthcare!$A1397,hospital_details,2,0)</f>
        <v>10-Aug-1993</v>
      </c>
      <c r="M1397" s="7">
        <f t="shared" ref="M1397:M1460" ca="1" si="8367">VLOOKUP(A1397,hospital_details,3,0)</f>
        <v>33</v>
      </c>
      <c r="N1397" s="7">
        <f t="shared" ref="N1397:N1460" si="8368">VLOOKUP($A1397,hospital_details,4,0)</f>
        <v>0</v>
      </c>
      <c r="O1397" s="8">
        <f t="shared" ref="O1397:O1460" si="8369">VLOOKUP($A1397,hospital_details,5,0)</f>
        <v>7650.8</v>
      </c>
      <c r="P1397" s="7" t="str">
        <f t="shared" ref="P1397:P1460" si="8370">VLOOKUP($A1397,hospital_details,6,0)</f>
        <v>tier - 2</v>
      </c>
      <c r="Q1397" s="7" t="str">
        <f t="shared" ref="Q1397:Q1460" si="8371">VLOOKUP($A1397,hospital_details,7,0)</f>
        <v>tier - 2</v>
      </c>
      <c r="R1397" s="7" t="str">
        <f t="shared" ref="R1397:R1460" si="8372">VLOOKUP($A1397,hospital_details,8,0)</f>
        <v>R1012</v>
      </c>
    </row>
    <row r="1398" spans="1:18" ht="14.4" customHeight="1" x14ac:dyDescent="0.3">
      <c r="A1398" s="5" t="s">
        <v>1418</v>
      </c>
      <c r="B1398" s="5" t="str">
        <f>VLOOKUP($A1398,[1]!Customer_Names[#Data],3,0)</f>
        <v xml:space="preserve">  Jessica R</v>
      </c>
      <c r="C1398" s="5">
        <v>41.325000000000003</v>
      </c>
      <c r="D1398" s="5" t="str" cm="1">
        <f t="array" ref="D1398">_xlfn.IFS(Healthcare!$C1398&lt;18.5,"under weight",Healthcare!$C1398&lt;=24.9,"Normal Weight",Healthcare!$C1398&gt;=25,"overweight",Healthcare!$C1398&gt;=30,"obese")</f>
        <v>overweight</v>
      </c>
      <c r="E1398" s="5">
        <v>5.77</v>
      </c>
      <c r="F1398" s="5" t="str" cm="1">
        <f t="array" ref="F1398">_xlfn.IFS(Healthcare!$E1398&lt;5.7,"normal",Healthcare!$E1398&lt;=6.4,"prediabetes",Healthcare!$E1398&gt;=6.5,"diabetes")</f>
        <v>prediabetes</v>
      </c>
      <c r="G1398" s="5" t="s">
        <v>19</v>
      </c>
      <c r="H1398" s="5" t="s">
        <v>19</v>
      </c>
      <c r="I1398" s="5" t="s">
        <v>19</v>
      </c>
      <c r="J1398" s="5">
        <v>0</v>
      </c>
      <c r="K1398" s="5" t="s">
        <v>19</v>
      </c>
      <c r="L1398" s="5" t="str">
        <f>VLOOKUP(Healthcare!$A1398,hospital_details,2,0)</f>
        <v>16-Oct-1980</v>
      </c>
      <c r="M1398" s="5">
        <f t="shared" ref="M1398:M1461" ca="1" si="8373">VLOOKUP(A1398,hospital_details,3,0)</f>
        <v>46</v>
      </c>
      <c r="N1398" s="5">
        <f t="shared" ref="N1398:N1461" si="8374">VLOOKUP($A1398,hospital_details,4,0)</f>
        <v>1</v>
      </c>
      <c r="O1398" s="6">
        <f t="shared" ref="O1398:O1461" si="8375">VLOOKUP($A1398,hospital_details,5,0)</f>
        <v>7650.77</v>
      </c>
      <c r="P1398" s="5" t="str">
        <f t="shared" ref="P1398:P1461" si="8376">VLOOKUP($A1398,hospital_details,6,0)</f>
        <v>tier - 2</v>
      </c>
      <c r="Q1398" s="5" t="str">
        <f t="shared" ref="Q1398:Q1461" si="8377">VLOOKUP($A1398,hospital_details,7,0)</f>
        <v>tier - 2</v>
      </c>
      <c r="R1398" s="5" t="str">
        <f t="shared" ref="R1398:R1461" si="8378">VLOOKUP($A1398,hospital_details,8,0)</f>
        <v>R1024</v>
      </c>
    </row>
    <row r="1399" spans="1:18" ht="14.4" customHeight="1" x14ac:dyDescent="0.3">
      <c r="A1399" s="7" t="s">
        <v>1419</v>
      </c>
      <c r="B1399" s="7" t="str">
        <f>VLOOKUP($A1399,[1]!Customer_Names[#Data],3,0)</f>
        <v xml:space="preserve">  Robyn</v>
      </c>
      <c r="C1399" s="7">
        <v>40.31</v>
      </c>
      <c r="D1399" s="7" t="str" cm="1">
        <f t="array" ref="D1399">_xlfn.IFS(Healthcare!$C1399&lt;18.5,"under weight",Healthcare!$C1399&lt;=24.9,"Normal Weight",Healthcare!$C1399&gt;=25,"overweight",Healthcare!$C1399&gt;=30,"obese")</f>
        <v>overweight</v>
      </c>
      <c r="E1399" s="7">
        <v>5.84</v>
      </c>
      <c r="F1399" s="7" t="str" cm="1">
        <f t="array" ref="F1399">_xlfn.IFS(Healthcare!$E1399&lt;5.7,"normal",Healthcare!$E1399&lt;=6.4,"prediabetes",Healthcare!$E1399&gt;=6.5,"diabetes")</f>
        <v>prediabetes</v>
      </c>
      <c r="G1399" s="7" t="s">
        <v>19</v>
      </c>
      <c r="H1399" s="7" t="s">
        <v>19</v>
      </c>
      <c r="I1399" s="7" t="s">
        <v>19</v>
      </c>
      <c r="J1399" s="7">
        <v>0</v>
      </c>
      <c r="K1399" s="7" t="s">
        <v>19</v>
      </c>
      <c r="L1399" s="7" t="str">
        <f>VLOOKUP(Healthcare!$A1399,hospital_details,2,0)</f>
        <v>15-Jun-1999</v>
      </c>
      <c r="M1399" s="7">
        <f t="shared" ref="M1399:M1462" ca="1" si="8379">VLOOKUP(A1399,hospital_details,3,0)</f>
        <v>27</v>
      </c>
      <c r="N1399" s="7">
        <f t="shared" ref="N1399:N1462" si="8380">VLOOKUP($A1399,hospital_details,4,0)</f>
        <v>0</v>
      </c>
      <c r="O1399" s="8">
        <f t="shared" ref="O1399:O1462" si="8381">VLOOKUP($A1399,hospital_details,5,0)</f>
        <v>7642.05</v>
      </c>
      <c r="P1399" s="7" t="str">
        <f t="shared" ref="P1399:P1462" si="8382">VLOOKUP($A1399,hospital_details,6,0)</f>
        <v>tier - 2</v>
      </c>
      <c r="Q1399" s="7" t="str">
        <f t="shared" ref="Q1399:Q1462" si="8383">VLOOKUP($A1399,hospital_details,7,0)</f>
        <v>tier - 2</v>
      </c>
      <c r="R1399" s="7" t="str">
        <f t="shared" ref="R1399:R1462" si="8384">VLOOKUP($A1399,hospital_details,8,0)</f>
        <v>R1026</v>
      </c>
    </row>
    <row r="1400" spans="1:18" ht="14.4" customHeight="1" x14ac:dyDescent="0.3">
      <c r="A1400" s="5" t="s">
        <v>1420</v>
      </c>
      <c r="B1400" s="5" t="str">
        <f>VLOOKUP($A1400,[1]!Customer_Names[#Data],3,0)</f>
        <v xml:space="preserve">  Ashley</v>
      </c>
      <c r="C1400" s="5">
        <v>29.48</v>
      </c>
      <c r="D1400" s="5" t="str" cm="1">
        <f t="array" ref="D1400">_xlfn.IFS(Healthcare!$C1400&lt;18.5,"under weight",Healthcare!$C1400&lt;=24.9,"Normal Weight",Healthcare!$C1400&gt;=25,"overweight",Healthcare!$C1400&gt;=30,"obese")</f>
        <v>overweight</v>
      </c>
      <c r="E1400" s="5">
        <v>4.91</v>
      </c>
      <c r="F1400" s="5" t="str" cm="1">
        <f t="array" ref="F1400">_xlfn.IFS(Healthcare!$E1400&lt;5.7,"normal",Healthcare!$E1400&lt;=6.4,"prediabetes",Healthcare!$E1400&gt;=6.5,"diabetes")</f>
        <v>normal</v>
      </c>
      <c r="G1400" s="5" t="s">
        <v>19</v>
      </c>
      <c r="H1400" s="5" t="s">
        <v>19</v>
      </c>
      <c r="I1400" s="5" t="s">
        <v>19</v>
      </c>
      <c r="J1400" s="5">
        <v>0</v>
      </c>
      <c r="K1400" s="5" t="s">
        <v>19</v>
      </c>
      <c r="L1400" s="5" t="str">
        <f>VLOOKUP(Healthcare!$A1400,hospital_details,2,0)</f>
        <v>24-Jul-1980</v>
      </c>
      <c r="M1400" s="5">
        <f t="shared" ref="M1400:M1463" ca="1" si="8385">VLOOKUP(A1400,hospital_details,3,0)</f>
        <v>46</v>
      </c>
      <c r="N1400" s="5">
        <f t="shared" ref="N1400:N1463" si="8386">VLOOKUP($A1400,hospital_details,4,0)</f>
        <v>2</v>
      </c>
      <c r="O1400" s="6">
        <f t="shared" ref="O1400:O1463" si="8387">VLOOKUP($A1400,hospital_details,5,0)</f>
        <v>7640.31</v>
      </c>
      <c r="P1400" s="5" t="str">
        <f t="shared" ref="P1400:P1463" si="8388">VLOOKUP($A1400,hospital_details,6,0)</f>
        <v>tier - 2</v>
      </c>
      <c r="Q1400" s="5" t="str">
        <f t="shared" ref="Q1400:Q1463" si="8389">VLOOKUP($A1400,hospital_details,7,0)</f>
        <v>tier - 1</v>
      </c>
      <c r="R1400" s="5" t="str">
        <f t="shared" ref="R1400:R1463" si="8390">VLOOKUP($A1400,hospital_details,8,0)</f>
        <v>R1013</v>
      </c>
    </row>
    <row r="1401" spans="1:18" ht="14.4" customHeight="1" x14ac:dyDescent="0.3">
      <c r="A1401" s="7" t="s">
        <v>1421</v>
      </c>
      <c r="B1401" s="7" t="str">
        <f>VLOOKUP($A1401,[1]!Customer_Names[#Data],3,0)</f>
        <v xml:space="preserve">  Dana</v>
      </c>
      <c r="C1401" s="7">
        <v>33.155000000000001</v>
      </c>
      <c r="D1401" s="7" t="str" cm="1">
        <f t="array" ref="D1401">_xlfn.IFS(Healthcare!$C1401&lt;18.5,"under weight",Healthcare!$C1401&lt;=24.9,"Normal Weight",Healthcare!$C1401&gt;=25,"overweight",Healthcare!$C1401&gt;=30,"obese")</f>
        <v>overweight</v>
      </c>
      <c r="E1401" s="7">
        <v>5.07</v>
      </c>
      <c r="F1401" s="7" t="str" cm="1">
        <f t="array" ref="F1401">_xlfn.IFS(Healthcare!$E1401&lt;5.7,"normal",Healthcare!$E1401&lt;=6.4,"prediabetes",Healthcare!$E1401&gt;=6.5,"diabetes")</f>
        <v>normal</v>
      </c>
      <c r="G1401" s="7" t="s">
        <v>19</v>
      </c>
      <c r="H1401" s="7" t="s">
        <v>19</v>
      </c>
      <c r="I1401" s="7" t="s">
        <v>19</v>
      </c>
      <c r="J1401" s="7">
        <v>0</v>
      </c>
      <c r="K1401" s="7" t="s">
        <v>19</v>
      </c>
      <c r="L1401" s="7" t="str">
        <f>VLOOKUP(Healthcare!$A1401,hospital_details,2,0)</f>
        <v>20-Jun-1980</v>
      </c>
      <c r="M1401" s="7">
        <f t="shared" ref="M1401:M1464" ca="1" si="8391">VLOOKUP(A1401,hospital_details,3,0)</f>
        <v>46</v>
      </c>
      <c r="N1401" s="7">
        <f t="shared" ref="N1401:N1464" si="8392">VLOOKUP($A1401,hospital_details,4,0)</f>
        <v>1</v>
      </c>
      <c r="O1401" s="8">
        <f t="shared" ref="O1401:O1464" si="8393">VLOOKUP($A1401,hospital_details,5,0)</f>
        <v>7639.42</v>
      </c>
      <c r="P1401" s="7" t="str">
        <f t="shared" ref="P1401:P1464" si="8394">VLOOKUP($A1401,hospital_details,6,0)</f>
        <v>tier - 2</v>
      </c>
      <c r="Q1401" s="7" t="str">
        <f t="shared" ref="Q1401:Q1464" si="8395">VLOOKUP($A1401,hospital_details,7,0)</f>
        <v>tier - 2</v>
      </c>
      <c r="R1401" s="7" t="str">
        <f t="shared" ref="R1401:R1464" si="8396">VLOOKUP($A1401,hospital_details,8,0)</f>
        <v>R1024</v>
      </c>
    </row>
    <row r="1402" spans="1:18" ht="14.4" customHeight="1" x14ac:dyDescent="0.3">
      <c r="A1402" s="5" t="s">
        <v>1422</v>
      </c>
      <c r="B1402" s="5" t="str">
        <f>VLOOKUP($A1402,[1]!Customer_Names[#Data],3,0)</f>
        <v xml:space="preserve">  Jessica F</v>
      </c>
      <c r="C1402" s="5">
        <v>42.85</v>
      </c>
      <c r="D1402" s="5" t="str" cm="1">
        <f t="array" ref="D1402">_xlfn.IFS(Healthcare!$C1402&lt;18.5,"under weight",Healthcare!$C1402&lt;=24.9,"Normal Weight",Healthcare!$C1402&gt;=25,"overweight",Healthcare!$C1402&gt;=30,"obese")</f>
        <v>overweight</v>
      </c>
      <c r="E1402" s="5">
        <v>5.81</v>
      </c>
      <c r="F1402" s="5" t="str" cm="1">
        <f t="array" ref="F1402">_xlfn.IFS(Healthcare!$E1402&lt;5.7,"normal",Healthcare!$E1402&lt;=6.4,"prediabetes",Healthcare!$E1402&gt;=6.5,"diabetes")</f>
        <v>prediabetes</v>
      </c>
      <c r="G1402" s="5" t="s">
        <v>20</v>
      </c>
      <c r="H1402" s="5" t="s">
        <v>19</v>
      </c>
      <c r="I1402" s="5" t="s">
        <v>19</v>
      </c>
      <c r="J1402" s="5">
        <v>0</v>
      </c>
      <c r="K1402" s="5" t="s">
        <v>19</v>
      </c>
      <c r="L1402" s="5" t="str">
        <f>VLOOKUP(Healthcare!$A1402,hospital_details,2,0)</f>
        <v>13-Dec-2001</v>
      </c>
      <c r="M1402" s="5">
        <f t="shared" ref="M1402:M1465" ca="1" si="8397">VLOOKUP(A1402,hospital_details,3,0)</f>
        <v>24</v>
      </c>
      <c r="N1402" s="5">
        <f t="shared" ref="N1402:N1465" si="8398">VLOOKUP($A1402,hospital_details,4,0)</f>
        <v>0</v>
      </c>
      <c r="O1402" s="6">
        <f t="shared" ref="O1402:O1465" si="8399">VLOOKUP($A1402,hospital_details,5,0)</f>
        <v>7636.92</v>
      </c>
      <c r="P1402" s="5" t="str">
        <f t="shared" ref="P1402:P1465" si="8400">VLOOKUP($A1402,hospital_details,6,0)</f>
        <v>tier - 2</v>
      </c>
      <c r="Q1402" s="5" t="str">
        <f t="shared" ref="Q1402:Q1465" si="8401">VLOOKUP($A1402,hospital_details,7,0)</f>
        <v>tier - 3</v>
      </c>
      <c r="R1402" s="5" t="str">
        <f t="shared" ref="R1402:R1465" si="8402">VLOOKUP($A1402,hospital_details,8,0)</f>
        <v>R1012</v>
      </c>
    </row>
    <row r="1403" spans="1:18" ht="14.4" customHeight="1" x14ac:dyDescent="0.3">
      <c r="A1403" s="7" t="s">
        <v>1423</v>
      </c>
      <c r="B1403" s="7" t="str">
        <f>VLOOKUP($A1403,[1]!Customer_Names[#Data],3,0)</f>
        <v xml:space="preserve">  Lindsey</v>
      </c>
      <c r="C1403" s="7">
        <v>32.340000000000003</v>
      </c>
      <c r="D1403" s="7" t="str" cm="1">
        <f t="array" ref="D1403">_xlfn.IFS(Healthcare!$C1403&lt;18.5,"under weight",Healthcare!$C1403&lt;=24.9,"Normal Weight",Healthcare!$C1403&gt;=25,"overweight",Healthcare!$C1403&gt;=30,"obese")</f>
        <v>overweight</v>
      </c>
      <c r="E1403" s="7">
        <v>11.2</v>
      </c>
      <c r="F1403" s="7" t="str" cm="1">
        <f t="array" ref="F1403">_xlfn.IFS(Healthcare!$E1403&lt;5.7,"normal",Healthcare!$E1403&lt;=6.4,"prediabetes",Healthcare!$E1403&gt;=6.5,"diabetes")</f>
        <v>diabetes</v>
      </c>
      <c r="G1403" s="7" t="s">
        <v>19</v>
      </c>
      <c r="H1403" s="7" t="s">
        <v>19</v>
      </c>
      <c r="I1403" s="7" t="s">
        <v>19</v>
      </c>
      <c r="J1403" s="7">
        <v>0</v>
      </c>
      <c r="K1403" s="7" t="s">
        <v>19</v>
      </c>
      <c r="L1403" s="7" t="str">
        <f>VLOOKUP(Healthcare!$A1403,hospital_details,2,0)</f>
        <v>24-Aug-1978</v>
      </c>
      <c r="M1403" s="7">
        <f t="shared" ref="M1403:M1466" ca="1" si="8403">VLOOKUP(A1403,hospital_details,3,0)</f>
        <v>48</v>
      </c>
      <c r="N1403" s="7">
        <f t="shared" ref="N1403:N1466" si="8404">VLOOKUP($A1403,hospital_details,4,0)</f>
        <v>1</v>
      </c>
      <c r="O1403" s="8">
        <f t="shared" ref="O1403:O1466" si="8405">VLOOKUP($A1403,hospital_details,5,0)</f>
        <v>7633.72</v>
      </c>
      <c r="P1403" s="7" t="str">
        <f t="shared" ref="P1403:P1466" si="8406">VLOOKUP($A1403,hospital_details,6,0)</f>
        <v>tier - 2</v>
      </c>
      <c r="Q1403" s="7" t="str">
        <f t="shared" ref="Q1403:Q1466" si="8407">VLOOKUP($A1403,hospital_details,7,0)</f>
        <v>tier - 1</v>
      </c>
      <c r="R1403" s="7" t="str">
        <f t="shared" ref="R1403:R1466" si="8408">VLOOKUP($A1403,hospital_details,8,0)</f>
        <v>R1013</v>
      </c>
    </row>
    <row r="1404" spans="1:18" ht="14.4" customHeight="1" x14ac:dyDescent="0.3">
      <c r="A1404" s="5" t="s">
        <v>1424</v>
      </c>
      <c r="B1404" s="5" t="str">
        <f>VLOOKUP($A1404,[1]!Customer_Names[#Data],3,0)</f>
        <v xml:space="preserve">  Kelly A</v>
      </c>
      <c r="C1404" s="5">
        <v>27.5</v>
      </c>
      <c r="D1404" s="5" t="str" cm="1">
        <f t="array" ref="D1404">_xlfn.IFS(Healthcare!$C1404&lt;18.5,"under weight",Healthcare!$C1404&lt;=24.9,"Normal Weight",Healthcare!$C1404&gt;=25,"overweight",Healthcare!$C1404&gt;=30,"obese")</f>
        <v>overweight</v>
      </c>
      <c r="E1404" s="5">
        <v>10.75</v>
      </c>
      <c r="F1404" s="5" t="str" cm="1">
        <f t="array" ref="F1404">_xlfn.IFS(Healthcare!$E1404&lt;5.7,"normal",Healthcare!$E1404&lt;=6.4,"prediabetes",Healthcare!$E1404&gt;=6.5,"diabetes")</f>
        <v>diabetes</v>
      </c>
      <c r="G1404" s="5" t="s">
        <v>19</v>
      </c>
      <c r="H1404" s="5" t="s">
        <v>19</v>
      </c>
      <c r="I1404" s="5" t="s">
        <v>19</v>
      </c>
      <c r="J1404" s="5">
        <v>0</v>
      </c>
      <c r="K1404" s="5" t="s">
        <v>19</v>
      </c>
      <c r="L1404" s="5" t="str">
        <f>VLOOKUP(Healthcare!$A1404,hospital_details,2,0)</f>
        <v>29-Nov-1978</v>
      </c>
      <c r="M1404" s="5">
        <f t="shared" ref="M1404:M1467" ca="1" si="8409">VLOOKUP(A1404,hospital_details,3,0)</f>
        <v>47</v>
      </c>
      <c r="N1404" s="5">
        <f t="shared" ref="N1404:N1467" si="8410">VLOOKUP($A1404,hospital_details,4,0)</f>
        <v>1</v>
      </c>
      <c r="O1404" s="6">
        <f t="shared" ref="O1404:O1467" si="8411">VLOOKUP($A1404,hospital_details,5,0)</f>
        <v>7626.99</v>
      </c>
      <c r="P1404" s="5" t="str">
        <f t="shared" ref="P1404:P1467" si="8412">VLOOKUP($A1404,hospital_details,6,0)</f>
        <v>tier - 2</v>
      </c>
      <c r="Q1404" s="5" t="str">
        <f t="shared" ref="Q1404:Q1467" si="8413">VLOOKUP($A1404,hospital_details,7,0)</f>
        <v>tier - 2</v>
      </c>
      <c r="R1404" s="5" t="str">
        <f t="shared" ref="R1404:R1467" si="8414">VLOOKUP($A1404,hospital_details,8,0)</f>
        <v>R1011</v>
      </c>
    </row>
    <row r="1405" spans="1:18" ht="14.4" customHeight="1" x14ac:dyDescent="0.3">
      <c r="A1405" s="7" t="s">
        <v>1425</v>
      </c>
      <c r="B1405" s="7" t="str">
        <f>VLOOKUP($A1405,[1]!Customer_Names[#Data],3,0)</f>
        <v xml:space="preserve">  Brooke E</v>
      </c>
      <c r="C1405" s="7">
        <v>25.8</v>
      </c>
      <c r="D1405" s="7" t="str" cm="1">
        <f t="array" ref="D1405">_xlfn.IFS(Healthcare!$C1405&lt;18.5,"under weight",Healthcare!$C1405&lt;=24.9,"Normal Weight",Healthcare!$C1405&gt;=25,"overweight",Healthcare!$C1405&gt;=30,"obese")</f>
        <v>overweight</v>
      </c>
      <c r="E1405" s="7">
        <v>7.8</v>
      </c>
      <c r="F1405" s="7" t="str" cm="1">
        <f t="array" ref="F1405">_xlfn.IFS(Healthcare!$E1405&lt;5.7,"normal",Healthcare!$E1405&lt;=6.4,"prediabetes",Healthcare!$E1405&gt;=6.5,"diabetes")</f>
        <v>diabetes</v>
      </c>
      <c r="G1405" s="7" t="s">
        <v>19</v>
      </c>
      <c r="H1405" s="7" t="s">
        <v>19</v>
      </c>
      <c r="I1405" s="7" t="s">
        <v>19</v>
      </c>
      <c r="J1405" s="7">
        <v>0</v>
      </c>
      <c r="K1405" s="7" t="s">
        <v>19</v>
      </c>
      <c r="L1405" s="7" t="str">
        <f>VLOOKUP(Healthcare!$A1405,hospital_details,2,0)</f>
        <v>6-Nov-1978</v>
      </c>
      <c r="M1405" s="7">
        <f t="shared" ref="M1405:M1468" ca="1" si="8415">VLOOKUP(A1405,hospital_details,3,0)</f>
        <v>47</v>
      </c>
      <c r="N1405" s="7">
        <f t="shared" ref="N1405:N1468" si="8416">VLOOKUP($A1405,hospital_details,4,0)</f>
        <v>1</v>
      </c>
      <c r="O1405" s="8">
        <f t="shared" ref="O1405:O1468" si="8417">VLOOKUP($A1405,hospital_details,5,0)</f>
        <v>7624.63</v>
      </c>
      <c r="P1405" s="7" t="str">
        <f t="shared" ref="P1405:P1468" si="8418">VLOOKUP($A1405,hospital_details,6,0)</f>
        <v>tier - 2</v>
      </c>
      <c r="Q1405" s="7" t="str">
        <f t="shared" ref="Q1405:Q1468" si="8419">VLOOKUP($A1405,hospital_details,7,0)</f>
        <v>tier - 1</v>
      </c>
      <c r="R1405" s="7" t="str">
        <f t="shared" ref="R1405:R1468" si="8420">VLOOKUP($A1405,hospital_details,8,0)</f>
        <v>R1011</v>
      </c>
    </row>
    <row r="1406" spans="1:18" ht="14.4" customHeight="1" x14ac:dyDescent="0.3">
      <c r="A1406" s="5" t="s">
        <v>1426</v>
      </c>
      <c r="B1406" s="5" t="str">
        <f>VLOOKUP($A1406,[1]!Customer_Names[#Data],3,0)</f>
        <v xml:space="preserve">  Katelyn E</v>
      </c>
      <c r="C1406" s="5">
        <v>25</v>
      </c>
      <c r="D1406" s="5" t="str" cm="1">
        <f t="array" ref="D1406">_xlfn.IFS(Healthcare!$C1406&lt;18.5,"under weight",Healthcare!$C1406&lt;=24.9,"Normal Weight",Healthcare!$C1406&gt;=25,"overweight",Healthcare!$C1406&gt;=30,"obese")</f>
        <v>overweight</v>
      </c>
      <c r="E1406" s="5">
        <v>7.04</v>
      </c>
      <c r="F1406" s="5" t="str" cm="1">
        <f t="array" ref="F1406">_xlfn.IFS(Healthcare!$E1406&lt;5.7,"normal",Healthcare!$E1406&lt;=6.4,"prediabetes",Healthcare!$E1406&gt;=6.5,"diabetes")</f>
        <v>diabetes</v>
      </c>
      <c r="G1406" s="5" t="s">
        <v>19</v>
      </c>
      <c r="H1406" s="5" t="s">
        <v>19</v>
      </c>
      <c r="I1406" s="5" t="s">
        <v>19</v>
      </c>
      <c r="J1406" s="5">
        <v>0</v>
      </c>
      <c r="K1406" s="5" t="s">
        <v>19</v>
      </c>
      <c r="L1406" s="5" t="str">
        <f>VLOOKUP(Healthcare!$A1406,hospital_details,2,0)</f>
        <v>28-Nov-1978</v>
      </c>
      <c r="M1406" s="5">
        <f t="shared" ref="M1406:M1469" ca="1" si="8421">VLOOKUP(A1406,hospital_details,3,0)</f>
        <v>47</v>
      </c>
      <c r="N1406" s="5">
        <f t="shared" ref="N1406:N1469" si="8422">VLOOKUP($A1406,hospital_details,4,0)</f>
        <v>1</v>
      </c>
      <c r="O1406" s="6">
        <f t="shared" ref="O1406:O1469" si="8423">VLOOKUP($A1406,hospital_details,5,0)</f>
        <v>7623.52</v>
      </c>
      <c r="P1406" s="5" t="str">
        <f t="shared" ref="P1406:P1469" si="8424">VLOOKUP($A1406,hospital_details,6,0)</f>
        <v>tier - 2</v>
      </c>
      <c r="Q1406" s="5" t="str">
        <f t="shared" ref="Q1406:Q1469" si="8425">VLOOKUP($A1406,hospital_details,7,0)</f>
        <v>tier - 1</v>
      </c>
      <c r="R1406" s="5" t="str">
        <f t="shared" ref="R1406:R1469" si="8426">VLOOKUP($A1406,hospital_details,8,0)</f>
        <v>R1011</v>
      </c>
    </row>
    <row r="1407" spans="1:18" ht="14.4" customHeight="1" x14ac:dyDescent="0.3">
      <c r="A1407" s="7" t="s">
        <v>1427</v>
      </c>
      <c r="B1407" s="7" t="str">
        <f>VLOOKUP($A1407,[1]!Customer_Names[#Data],3,0)</f>
        <v xml:space="preserve">  Adam</v>
      </c>
      <c r="C1407" s="7">
        <v>41.2</v>
      </c>
      <c r="D1407" s="7" t="str" cm="1">
        <f t="array" ref="D1407">_xlfn.IFS(Healthcare!$C1407&lt;18.5,"under weight",Healthcare!$C1407&lt;=24.9,"Normal Weight",Healthcare!$C1407&gt;=25,"overweight",Healthcare!$C1407&gt;=30,"obese")</f>
        <v>overweight</v>
      </c>
      <c r="E1407" s="7">
        <v>4.18</v>
      </c>
      <c r="F1407" s="7" t="str" cm="1">
        <f t="array" ref="F1407">_xlfn.IFS(Healthcare!$E1407&lt;5.7,"normal",Healthcare!$E1407&lt;=6.4,"prediabetes",Healthcare!$E1407&gt;=6.5,"diabetes")</f>
        <v>normal</v>
      </c>
      <c r="G1407" s="7" t="s">
        <v>20</v>
      </c>
      <c r="H1407" s="7" t="s">
        <v>19</v>
      </c>
      <c r="I1407" s="7" t="s">
        <v>19</v>
      </c>
      <c r="J1407" s="7">
        <v>0</v>
      </c>
      <c r="K1407" s="7" t="s">
        <v>19</v>
      </c>
      <c r="L1407" s="7" t="str">
        <f>VLOOKUP(Healthcare!$A1407,hospital_details,2,0)</f>
        <v>17-Sep-1996</v>
      </c>
      <c r="M1407" s="7">
        <f t="shared" ref="M1407:M1470" ca="1" si="8427">VLOOKUP(A1407,hospital_details,3,0)</f>
        <v>30</v>
      </c>
      <c r="N1407" s="7">
        <f t="shared" ref="N1407:N1470" si="8428">VLOOKUP($A1407,hospital_details,4,0)</f>
        <v>0</v>
      </c>
      <c r="O1407" s="8">
        <f t="shared" ref="O1407:O1470" si="8429">VLOOKUP($A1407,hospital_details,5,0)</f>
        <v>7623.13</v>
      </c>
      <c r="P1407" s="7" t="str">
        <f t="shared" ref="P1407:P1470" si="8430">VLOOKUP($A1407,hospital_details,6,0)</f>
        <v>tier - 2</v>
      </c>
      <c r="Q1407" s="7" t="str">
        <f t="shared" ref="Q1407:Q1470" si="8431">VLOOKUP($A1407,hospital_details,7,0)</f>
        <v>tier - 3</v>
      </c>
      <c r="R1407" s="7" t="str">
        <f t="shared" ref="R1407:R1470" si="8432">VLOOKUP($A1407,hospital_details,8,0)</f>
        <v>R1011</v>
      </c>
    </row>
    <row r="1408" spans="1:18" ht="14.4" customHeight="1" x14ac:dyDescent="0.3">
      <c r="A1408" s="5" t="s">
        <v>1428</v>
      </c>
      <c r="B1408" s="5" t="str">
        <f>VLOOKUP($A1408,[1]!Customer_Names[#Data],3,0)</f>
        <v xml:space="preserve">  Dana</v>
      </c>
      <c r="C1408" s="5">
        <v>17.78</v>
      </c>
      <c r="D1408" s="5" t="str" cm="1">
        <f t="array" ref="D1408">_xlfn.IFS(Healthcare!$C1408&lt;18.5,"under weight",Healthcare!$C1408&lt;=24.9,"Normal Weight",Healthcare!$C1408&gt;=25,"overweight",Healthcare!$C1408&gt;=30,"obese")</f>
        <v>under weight</v>
      </c>
      <c r="E1408" s="5">
        <v>8.19</v>
      </c>
      <c r="F1408" s="5" t="str" cm="1">
        <f t="array" ref="F1408">_xlfn.IFS(Healthcare!$E1408&lt;5.7,"normal",Healthcare!$E1408&lt;=6.4,"prediabetes",Healthcare!$E1408&gt;=6.5,"diabetes")</f>
        <v>diabetes</v>
      </c>
      <c r="G1408" s="5" t="s">
        <v>19</v>
      </c>
      <c r="H1408" s="5" t="s">
        <v>19</v>
      </c>
      <c r="I1408" s="5" t="s">
        <v>19</v>
      </c>
      <c r="J1408" s="5">
        <v>0</v>
      </c>
      <c r="K1408" s="5" t="s">
        <v>19</v>
      </c>
      <c r="L1408" s="5" t="str">
        <f>VLOOKUP(Healthcare!$A1408,hospital_details,2,0)</f>
        <v>3-Jul-1968</v>
      </c>
      <c r="M1408" s="5">
        <f t="shared" ref="M1408:M1471" ca="1" si="8433">VLOOKUP(A1408,hospital_details,3,0)</f>
        <v>58</v>
      </c>
      <c r="N1408" s="5">
        <f t="shared" ref="N1408:N1471" si="8434">VLOOKUP($A1408,hospital_details,4,0)</f>
        <v>0</v>
      </c>
      <c r="O1408" s="6">
        <f t="shared" ref="O1408:O1471" si="8435">VLOOKUP($A1408,hospital_details,5,0)</f>
        <v>7609.6</v>
      </c>
      <c r="P1408" s="5" t="str">
        <f t="shared" ref="P1408:P1471" si="8436">VLOOKUP($A1408,hospital_details,6,0)</f>
        <v>tier - 3</v>
      </c>
      <c r="Q1408" s="5" t="str">
        <f t="shared" ref="Q1408:Q1471" si="8437">VLOOKUP($A1408,hospital_details,7,0)</f>
        <v>tier - 2</v>
      </c>
      <c r="R1408" s="5" t="str">
        <f t="shared" ref="R1408:R1471" si="8438">VLOOKUP($A1408,hospital_details,8,0)</f>
        <v>R1012</v>
      </c>
    </row>
    <row r="1409" spans="1:18" ht="14.4" customHeight="1" x14ac:dyDescent="0.3">
      <c r="A1409" s="7" t="s">
        <v>1429</v>
      </c>
      <c r="B1409" s="7" t="str">
        <f>VLOOKUP($A1409,[1]!Customer_Names[#Data],3,0)</f>
        <v xml:space="preserve">  Eric W</v>
      </c>
      <c r="C1409" s="7">
        <v>40.119999999999997</v>
      </c>
      <c r="D1409" s="7" t="str" cm="1">
        <f t="array" ref="D1409">_xlfn.IFS(Healthcare!$C1409&lt;18.5,"under weight",Healthcare!$C1409&lt;=24.9,"Normal Weight",Healthcare!$C1409&gt;=25,"overweight",Healthcare!$C1409&gt;=30,"obese")</f>
        <v>overweight</v>
      </c>
      <c r="E1409" s="7">
        <v>6.22</v>
      </c>
      <c r="F1409" s="7" t="str" cm="1">
        <f t="array" ref="F1409">_xlfn.IFS(Healthcare!$E1409&lt;5.7,"normal",Healthcare!$E1409&lt;=6.4,"prediabetes",Healthcare!$E1409&gt;=6.5,"diabetes")</f>
        <v>prediabetes</v>
      </c>
      <c r="G1409" s="7" t="s">
        <v>20</v>
      </c>
      <c r="H1409" s="7" t="s">
        <v>19</v>
      </c>
      <c r="I1409" s="7" t="s">
        <v>29</v>
      </c>
      <c r="J1409" s="7">
        <v>1</v>
      </c>
      <c r="K1409" s="7" t="s">
        <v>19</v>
      </c>
      <c r="L1409" s="7" t="str">
        <f>VLOOKUP(Healthcare!$A1409,hospital_details,2,0)</f>
        <v>30-Sep-1997</v>
      </c>
      <c r="M1409" s="7">
        <f t="shared" ref="M1409:M1472" ca="1" si="8439">VLOOKUP(A1409,hospital_details,3,0)</f>
        <v>29</v>
      </c>
      <c r="N1409" s="7">
        <f t="shared" ref="N1409:N1472" si="8440">VLOOKUP($A1409,hospital_details,4,0)</f>
        <v>0</v>
      </c>
      <c r="O1409" s="8">
        <f t="shared" ref="O1409:O1472" si="8441">VLOOKUP($A1409,hospital_details,5,0)</f>
        <v>7607.03</v>
      </c>
      <c r="P1409" s="7" t="str">
        <f t="shared" ref="P1409:P1472" si="8442">VLOOKUP($A1409,hospital_details,6,0)</f>
        <v>tier - 2</v>
      </c>
      <c r="Q1409" s="7" t="str">
        <f t="shared" ref="Q1409:Q1472" si="8443">VLOOKUP($A1409,hospital_details,7,0)</f>
        <v>tier - 2</v>
      </c>
      <c r="R1409" s="7" t="str">
        <f t="shared" ref="R1409:R1472" si="8444">VLOOKUP($A1409,hospital_details,8,0)</f>
        <v>R1012</v>
      </c>
    </row>
    <row r="1410" spans="1:18" ht="14.4" customHeight="1" x14ac:dyDescent="0.3">
      <c r="A1410" s="5" t="s">
        <v>1430</v>
      </c>
      <c r="B1410" s="5" t="str">
        <f>VLOOKUP($A1410,[1]!Customer_Names[#Data],3,0)</f>
        <v xml:space="preserve">  Matthew D</v>
      </c>
      <c r="C1410" s="5">
        <v>19.350000000000001</v>
      </c>
      <c r="D1410" s="5" t="str" cm="1">
        <f t="array" ref="D1410">_xlfn.IFS(Healthcare!$C1410&lt;18.5,"under weight",Healthcare!$C1410&lt;=24.9,"Normal Weight",Healthcare!$C1410&gt;=25,"overweight",Healthcare!$C1410&gt;=30,"obese")</f>
        <v>Normal Weight</v>
      </c>
      <c r="E1410" s="5">
        <v>8.2200000000000006</v>
      </c>
      <c r="F1410" s="5" t="str" cm="1">
        <f t="array" ref="F1410">_xlfn.IFS(Healthcare!$E1410&lt;5.7,"normal",Healthcare!$E1410&lt;=6.4,"prediabetes",Healthcare!$E1410&gt;=6.5,"diabetes")</f>
        <v>diabetes</v>
      </c>
      <c r="G1410" s="5" t="s">
        <v>20</v>
      </c>
      <c r="H1410" s="5" t="s">
        <v>19</v>
      </c>
      <c r="I1410" s="5" t="s">
        <v>19</v>
      </c>
      <c r="J1410" s="5">
        <v>0</v>
      </c>
      <c r="K1410" s="5" t="s">
        <v>19</v>
      </c>
      <c r="L1410" s="5" t="str">
        <f>VLOOKUP(Healthcare!$A1410,hospital_details,2,0)</f>
        <v>17-Jul-1967</v>
      </c>
      <c r="M1410" s="5">
        <f t="shared" ref="M1410:M1473" ca="1" si="8445">VLOOKUP(A1410,hospital_details,3,0)</f>
        <v>59</v>
      </c>
      <c r="N1410" s="5">
        <f t="shared" ref="N1410:N1473" si="8446">VLOOKUP($A1410,hospital_details,4,0)</f>
        <v>0</v>
      </c>
      <c r="O1410" s="6">
        <f t="shared" ref="O1410:O1473" si="8447">VLOOKUP($A1410,hospital_details,5,0)</f>
        <v>7585.62</v>
      </c>
      <c r="P1410" s="5" t="str">
        <f t="shared" ref="P1410:P1473" si="8448">VLOOKUP($A1410,hospital_details,6,0)</f>
        <v>tier - 3</v>
      </c>
      <c r="Q1410" s="5" t="str">
        <f t="shared" ref="Q1410:Q1473" si="8449">VLOOKUP($A1410,hospital_details,7,0)</f>
        <v>tier - 2</v>
      </c>
      <c r="R1410" s="5" t="str">
        <f t="shared" ref="R1410:R1473" si="8450">VLOOKUP($A1410,hospital_details,8,0)</f>
        <v>R1013</v>
      </c>
    </row>
    <row r="1411" spans="1:18" ht="14.4" customHeight="1" x14ac:dyDescent="0.3">
      <c r="A1411" s="7" t="s">
        <v>1431</v>
      </c>
      <c r="B1411" s="7" t="str">
        <f>VLOOKUP($A1411,[1]!Customer_Names[#Data],3,0)</f>
        <v xml:space="preserve">  Eoghan</v>
      </c>
      <c r="C1411" s="7">
        <v>36.69</v>
      </c>
      <c r="D1411" s="7" t="str" cm="1">
        <f t="array" ref="D1411">_xlfn.IFS(Healthcare!$C1411&lt;18.5,"under weight",Healthcare!$C1411&lt;=24.9,"Normal Weight",Healthcare!$C1411&gt;=25,"overweight",Healthcare!$C1411&gt;=30,"obese")</f>
        <v>overweight</v>
      </c>
      <c r="E1411" s="7">
        <v>6.15</v>
      </c>
      <c r="F1411" s="7" t="str" cm="1">
        <f t="array" ref="F1411">_xlfn.IFS(Healthcare!$E1411&lt;5.7,"normal",Healthcare!$E1411&lt;=6.4,"prediabetes",Healthcare!$E1411&gt;=6.5,"diabetes")</f>
        <v>prediabetes</v>
      </c>
      <c r="G1411" s="7" t="s">
        <v>19</v>
      </c>
      <c r="H1411" s="7" t="s">
        <v>19</v>
      </c>
      <c r="I1411" s="7" t="s">
        <v>19</v>
      </c>
      <c r="J1411" s="7">
        <v>0</v>
      </c>
      <c r="K1411" s="7" t="s">
        <v>19</v>
      </c>
      <c r="L1411" s="7" t="str">
        <f>VLOOKUP(Healthcare!$A1411,hospital_details,2,0)</f>
        <v>14-Aug-1994</v>
      </c>
      <c r="M1411" s="7">
        <f t="shared" ref="M1411:M1474" ca="1" si="8451">VLOOKUP(A1411,hospital_details,3,0)</f>
        <v>32</v>
      </c>
      <c r="N1411" s="7">
        <f t="shared" ref="N1411:N1474" si="8452">VLOOKUP($A1411,hospital_details,4,0)</f>
        <v>0</v>
      </c>
      <c r="O1411" s="8">
        <f t="shared" ref="O1411:O1474" si="8453">VLOOKUP($A1411,hospital_details,5,0)</f>
        <v>7567.13</v>
      </c>
      <c r="P1411" s="7" t="str">
        <f t="shared" ref="P1411:P1474" si="8454">VLOOKUP($A1411,hospital_details,6,0)</f>
        <v>tier - 2</v>
      </c>
      <c r="Q1411" s="7" t="str">
        <f t="shared" ref="Q1411:Q1474" si="8455">VLOOKUP($A1411,hospital_details,7,0)</f>
        <v>tier - 2</v>
      </c>
      <c r="R1411" s="7" t="str">
        <f t="shared" ref="R1411:R1474" si="8456">VLOOKUP($A1411,hospital_details,8,0)</f>
        <v>R1021</v>
      </c>
    </row>
    <row r="1412" spans="1:18" ht="14.4" customHeight="1" x14ac:dyDescent="0.3">
      <c r="A1412" s="5" t="s">
        <v>1432</v>
      </c>
      <c r="B1412" s="5" t="str">
        <f>VLOOKUP($A1412,[1]!Customer_Names[#Data],3,0)</f>
        <v xml:space="preserve">  Pamela W</v>
      </c>
      <c r="C1412" s="5">
        <v>28.51</v>
      </c>
      <c r="D1412" s="5" t="str" cm="1">
        <f t="array" ref="D1412">_xlfn.IFS(Healthcare!$C1412&lt;18.5,"under weight",Healthcare!$C1412&lt;=24.9,"Normal Weight",Healthcare!$C1412&gt;=25,"overweight",Healthcare!$C1412&gt;=30,"obese")</f>
        <v>overweight</v>
      </c>
      <c r="E1412" s="5">
        <v>5.65</v>
      </c>
      <c r="F1412" s="5" t="str" cm="1">
        <f t="array" ref="F1412">_xlfn.IFS(Healthcare!$E1412&lt;5.7,"normal",Healthcare!$E1412&lt;=6.4,"prediabetes",Healthcare!$E1412&gt;=6.5,"diabetes")</f>
        <v>normal</v>
      </c>
      <c r="G1412" s="5" t="s">
        <v>20</v>
      </c>
      <c r="H1412" s="5" t="s">
        <v>19</v>
      </c>
      <c r="I1412" s="5" t="s">
        <v>19</v>
      </c>
      <c r="J1412" s="5">
        <v>1</v>
      </c>
      <c r="K1412" s="5" t="s">
        <v>19</v>
      </c>
      <c r="L1412" s="5" t="str">
        <f>VLOOKUP(Healthcare!$A1412,hospital_details,2,0)</f>
        <v>15-Dec-1988</v>
      </c>
      <c r="M1412" s="5">
        <f t="shared" ref="M1412:M1475" ca="1" si="8457">VLOOKUP(A1412,hospital_details,3,0)</f>
        <v>37</v>
      </c>
      <c r="N1412" s="5">
        <f t="shared" ref="N1412:N1475" si="8458">VLOOKUP($A1412,hospital_details,4,0)</f>
        <v>3</v>
      </c>
      <c r="O1412" s="6">
        <f t="shared" ref="O1412:O1475" si="8459">VLOOKUP($A1412,hospital_details,5,0)</f>
        <v>7538.52</v>
      </c>
      <c r="P1412" s="5" t="str">
        <f t="shared" ref="P1412:P1475" si="8460">VLOOKUP($A1412,hospital_details,6,0)</f>
        <v>tier - 2</v>
      </c>
      <c r="Q1412" s="5" t="str">
        <f t="shared" ref="Q1412:Q1475" si="8461">VLOOKUP($A1412,hospital_details,7,0)</f>
        <v>tier - 2</v>
      </c>
      <c r="R1412" s="5" t="str">
        <f t="shared" ref="R1412:R1475" si="8462">VLOOKUP($A1412,hospital_details,8,0)</f>
        <v>R1012</v>
      </c>
    </row>
    <row r="1413" spans="1:18" ht="14.4" customHeight="1" x14ac:dyDescent="0.3">
      <c r="A1413" s="7" t="s">
        <v>1433</v>
      </c>
      <c r="B1413" s="7" t="str">
        <f>VLOOKUP($A1413,[1]!Customer_Names[#Data],3,0)</f>
        <v xml:space="preserve">  Lindsey M</v>
      </c>
      <c r="C1413" s="7">
        <v>30.21</v>
      </c>
      <c r="D1413" s="7" t="str" cm="1">
        <f t="array" ref="D1413">_xlfn.IFS(Healthcare!$C1413&lt;18.5,"under weight",Healthcare!$C1413&lt;=24.9,"Normal Weight",Healthcare!$C1413&gt;=25,"overweight",Healthcare!$C1413&gt;=30,"obese")</f>
        <v>overweight</v>
      </c>
      <c r="E1413" s="7">
        <v>5.5</v>
      </c>
      <c r="F1413" s="7" t="str" cm="1">
        <f t="array" ref="F1413">_xlfn.IFS(Healthcare!$E1413&lt;5.7,"normal",Healthcare!$E1413&lt;=6.4,"prediabetes",Healthcare!$E1413&gt;=6.5,"diabetes")</f>
        <v>normal</v>
      </c>
      <c r="G1413" s="7" t="s">
        <v>19</v>
      </c>
      <c r="H1413" s="7" t="s">
        <v>19</v>
      </c>
      <c r="I1413" s="7" t="s">
        <v>19</v>
      </c>
      <c r="J1413" s="7">
        <v>1</v>
      </c>
      <c r="K1413" s="7" t="s">
        <v>19</v>
      </c>
      <c r="L1413" s="7" t="str">
        <f>VLOOKUP(Healthcare!$A1413,hospital_details,2,0)</f>
        <v>22-Aug-1984</v>
      </c>
      <c r="M1413" s="7">
        <f t="shared" ref="M1413:M1476" ca="1" si="8463">VLOOKUP(A1413,hospital_details,3,0)</f>
        <v>42</v>
      </c>
      <c r="N1413" s="7">
        <f t="shared" ref="N1413:N1476" si="8464">VLOOKUP($A1413,hospital_details,4,0)</f>
        <v>3</v>
      </c>
      <c r="O1413" s="8">
        <f t="shared" ref="O1413:O1476" si="8465">VLOOKUP($A1413,hospital_details,5,0)</f>
        <v>7537.16</v>
      </c>
      <c r="P1413" s="7" t="str">
        <f t="shared" ref="P1413:P1476" si="8466">VLOOKUP($A1413,hospital_details,6,0)</f>
        <v>tier - 2</v>
      </c>
      <c r="Q1413" s="7" t="str">
        <f t="shared" ref="Q1413:Q1476" si="8467">VLOOKUP($A1413,hospital_details,7,0)</f>
        <v>tier - 2</v>
      </c>
      <c r="R1413" s="7" t="str">
        <f t="shared" ref="R1413:R1476" si="8468">VLOOKUP($A1413,hospital_details,8,0)</f>
        <v>R1012</v>
      </c>
    </row>
    <row r="1414" spans="1:18" ht="14.4" customHeight="1" x14ac:dyDescent="0.3">
      <c r="A1414" s="5" t="s">
        <v>1434</v>
      </c>
      <c r="B1414" s="5" t="str">
        <f>VLOOKUP($A1414,[1]!Customer_Names[#Data],3,0)</f>
        <v xml:space="preserve">  Kassie</v>
      </c>
      <c r="C1414" s="5">
        <v>24.33</v>
      </c>
      <c r="D1414" s="5" t="str" cm="1">
        <f t="array" ref="D1414">_xlfn.IFS(Healthcare!$C1414&lt;18.5,"under weight",Healthcare!$C1414&lt;=24.9,"Normal Weight",Healthcare!$C1414&gt;=25,"overweight",Healthcare!$C1414&gt;=30,"obese")</f>
        <v>Normal Weight</v>
      </c>
      <c r="E1414" s="5">
        <v>8</v>
      </c>
      <c r="F1414" s="5" t="str" cm="1">
        <f t="array" ref="F1414">_xlfn.IFS(Healthcare!$E1414&lt;5.7,"normal",Healthcare!$E1414&lt;=6.4,"prediabetes",Healthcare!$E1414&gt;=6.5,"diabetes")</f>
        <v>diabetes</v>
      </c>
      <c r="G1414" s="5" t="s">
        <v>19</v>
      </c>
      <c r="H1414" s="5" t="s">
        <v>19</v>
      </c>
      <c r="I1414" s="5" t="s">
        <v>19</v>
      </c>
      <c r="J1414" s="5">
        <v>0</v>
      </c>
      <c r="K1414" s="5" t="s">
        <v>19</v>
      </c>
      <c r="L1414" s="5" t="str">
        <f>VLOOKUP(Healthcare!$A1414,hospital_details,2,0)</f>
        <v>14-Dec-1978</v>
      </c>
      <c r="M1414" s="5">
        <f t="shared" ref="M1414:M1477" ca="1" si="8469">VLOOKUP(A1414,hospital_details,3,0)</f>
        <v>47</v>
      </c>
      <c r="N1414" s="5">
        <f t="shared" ref="N1414:N1477" si="8470">VLOOKUP($A1414,hospital_details,4,0)</f>
        <v>2</v>
      </c>
      <c r="O1414" s="6">
        <f t="shared" ref="O1414:O1477" si="8471">VLOOKUP($A1414,hospital_details,5,0)</f>
        <v>7531.7</v>
      </c>
      <c r="P1414" s="5" t="str">
        <f t="shared" ref="P1414:P1477" si="8472">VLOOKUP($A1414,hospital_details,6,0)</f>
        <v>tier - 2</v>
      </c>
      <c r="Q1414" s="5" t="str">
        <f t="shared" ref="Q1414:Q1477" si="8473">VLOOKUP($A1414,hospital_details,7,0)</f>
        <v>tier - 1</v>
      </c>
      <c r="R1414" s="5" t="str">
        <f t="shared" ref="R1414:R1477" si="8474">VLOOKUP($A1414,hospital_details,8,0)</f>
        <v>R1013</v>
      </c>
    </row>
    <row r="1415" spans="1:18" ht="14.4" customHeight="1" x14ac:dyDescent="0.3">
      <c r="A1415" s="7" t="s">
        <v>1435</v>
      </c>
      <c r="B1415" s="7" t="str">
        <f>VLOOKUP($A1415,[1]!Customer_Names[#Data],3,0)</f>
        <v xml:space="preserve">  Matthew</v>
      </c>
      <c r="C1415" s="7">
        <v>19.855</v>
      </c>
      <c r="D1415" s="7" t="str" cm="1">
        <f t="array" ref="D1415">_xlfn.IFS(Healthcare!$C1415&lt;18.5,"under weight",Healthcare!$C1415&lt;=24.9,"Normal Weight",Healthcare!$C1415&gt;=25,"overweight",Healthcare!$C1415&gt;=30,"obese")</f>
        <v>Normal Weight</v>
      </c>
      <c r="E1415" s="7">
        <v>5.71</v>
      </c>
      <c r="F1415" s="7" t="str" cm="1">
        <f t="array" ref="F1415">_xlfn.IFS(Healthcare!$E1415&lt;5.7,"normal",Healthcare!$E1415&lt;=6.4,"prediabetes",Healthcare!$E1415&gt;=6.5,"diabetes")</f>
        <v>prediabetes</v>
      </c>
      <c r="G1415" s="7" t="s">
        <v>20</v>
      </c>
      <c r="H1415" s="7" t="s">
        <v>19</v>
      </c>
      <c r="I1415" s="7" t="s">
        <v>19</v>
      </c>
      <c r="J1415" s="7">
        <v>0</v>
      </c>
      <c r="K1415" s="7" t="s">
        <v>19</v>
      </c>
      <c r="L1415" s="7" t="str">
        <f>VLOOKUP(Healthcare!$A1415,hospital_details,2,0)</f>
        <v>10-Oct-1976</v>
      </c>
      <c r="M1415" s="7">
        <f t="shared" ref="M1415:M1478" ca="1" si="8475">VLOOKUP(A1415,hospital_details,3,0)</f>
        <v>50</v>
      </c>
      <c r="N1415" s="7">
        <f t="shared" ref="N1415:N1478" si="8476">VLOOKUP($A1415,hospital_details,4,0)</f>
        <v>0</v>
      </c>
      <c r="O1415" s="8">
        <f t="shared" ref="O1415:O1478" si="8477">VLOOKUP($A1415,hospital_details,5,0)</f>
        <v>7526.71</v>
      </c>
      <c r="P1415" s="7" t="str">
        <f t="shared" ref="P1415:P1478" si="8478">VLOOKUP($A1415,hospital_details,6,0)</f>
        <v>tier - 3</v>
      </c>
      <c r="Q1415" s="7" t="str">
        <f t="shared" ref="Q1415:Q1478" si="8479">VLOOKUP($A1415,hospital_details,7,0)</f>
        <v>tier - 1</v>
      </c>
      <c r="R1415" s="7" t="str">
        <f t="shared" ref="R1415:R1478" si="8480">VLOOKUP($A1415,hospital_details,8,0)</f>
        <v>R1012</v>
      </c>
    </row>
    <row r="1416" spans="1:18" ht="14.4" customHeight="1" x14ac:dyDescent="0.3">
      <c r="A1416" s="5" t="s">
        <v>1436</v>
      </c>
      <c r="B1416" s="5" t="str">
        <f>VLOOKUP($A1416,[1]!Customer_Names[#Data],3,0)</f>
        <v xml:space="preserve">  Ruben Dario</v>
      </c>
      <c r="C1416" s="5">
        <v>25.364999999999998</v>
      </c>
      <c r="D1416" s="5" t="str" cm="1">
        <f t="array" ref="D1416">_xlfn.IFS(Healthcare!$C1416&lt;18.5,"under weight",Healthcare!$C1416&lt;=24.9,"Normal Weight",Healthcare!$C1416&gt;=25,"overweight",Healthcare!$C1416&gt;=30,"obese")</f>
        <v>overweight</v>
      </c>
      <c r="E1416" s="5">
        <v>11.71</v>
      </c>
      <c r="F1416" s="5" t="str" cm="1">
        <f t="array" ref="F1416">_xlfn.IFS(Healthcare!$E1416&lt;5.7,"normal",Healthcare!$E1416&lt;=6.4,"prediabetes",Healthcare!$E1416&gt;=6.5,"diabetes")</f>
        <v>diabetes</v>
      </c>
      <c r="G1416" s="5" t="s">
        <v>19</v>
      </c>
      <c r="H1416" s="5" t="s">
        <v>19</v>
      </c>
      <c r="I1416" s="5" t="s">
        <v>19</v>
      </c>
      <c r="J1416" s="5">
        <v>0</v>
      </c>
      <c r="K1416" s="5" t="s">
        <v>19</v>
      </c>
      <c r="L1416" s="5" t="str">
        <f>VLOOKUP(Healthcare!$A1416,hospital_details,2,0)</f>
        <v>18-Oct-1978</v>
      </c>
      <c r="M1416" s="5">
        <f t="shared" ref="M1416:M1479" ca="1" si="8481">VLOOKUP(A1416,hospital_details,3,0)</f>
        <v>48</v>
      </c>
      <c r="N1416" s="5">
        <f t="shared" ref="N1416:N1479" si="8482">VLOOKUP($A1416,hospital_details,4,0)</f>
        <v>1</v>
      </c>
      <c r="O1416" s="6">
        <f t="shared" ref="O1416:O1479" si="8483">VLOOKUP($A1416,hospital_details,5,0)</f>
        <v>7518.03</v>
      </c>
      <c r="P1416" s="5" t="str">
        <f t="shared" ref="P1416:P1479" si="8484">VLOOKUP($A1416,hospital_details,6,0)</f>
        <v>tier - 2</v>
      </c>
      <c r="Q1416" s="5" t="str">
        <f t="shared" ref="Q1416:Q1479" si="8485">VLOOKUP($A1416,hospital_details,7,0)</f>
        <v>tier - 3</v>
      </c>
      <c r="R1416" s="5" t="str">
        <f t="shared" ref="R1416:R1479" si="8486">VLOOKUP($A1416,hospital_details,8,0)</f>
        <v>R1012</v>
      </c>
    </row>
    <row r="1417" spans="1:18" ht="14.4" customHeight="1" x14ac:dyDescent="0.3">
      <c r="A1417" s="7" t="s">
        <v>1437</v>
      </c>
      <c r="B1417" s="7" t="str">
        <f>VLOOKUP($A1417,[1]!Customer_Names[#Data],3,0)</f>
        <v xml:space="preserve">  Kevin</v>
      </c>
      <c r="C1417" s="7">
        <v>29.6</v>
      </c>
      <c r="D1417" s="7" t="str" cm="1">
        <f t="array" ref="D1417">_xlfn.IFS(Healthcare!$C1417&lt;18.5,"under weight",Healthcare!$C1417&lt;=24.9,"Normal Weight",Healthcare!$C1417&gt;=25,"overweight",Healthcare!$C1417&gt;=30,"obese")</f>
        <v>overweight</v>
      </c>
      <c r="E1417" s="7">
        <v>6.17</v>
      </c>
      <c r="F1417" s="7" t="str" cm="1">
        <f t="array" ref="F1417">_xlfn.IFS(Healthcare!$E1417&lt;5.7,"normal",Healthcare!$E1417&lt;=6.4,"prediabetes",Healthcare!$E1417&gt;=6.5,"diabetes")</f>
        <v>prediabetes</v>
      </c>
      <c r="G1417" s="7" t="s">
        <v>20</v>
      </c>
      <c r="H1417" s="7" t="s">
        <v>19</v>
      </c>
      <c r="I1417" s="7" t="s">
        <v>29</v>
      </c>
      <c r="J1417" s="7">
        <v>1</v>
      </c>
      <c r="K1417" s="7" t="s">
        <v>19</v>
      </c>
      <c r="L1417" s="7" t="str">
        <f>VLOOKUP(Healthcare!$A1417,hospital_details,2,0)</f>
        <v>10-Jul-1983</v>
      </c>
      <c r="M1417" s="7">
        <f t="shared" ref="M1417:M1480" ca="1" si="8487">VLOOKUP(A1417,hospital_details,3,0)</f>
        <v>43</v>
      </c>
      <c r="N1417" s="7">
        <f t="shared" ref="N1417:N1480" si="8488">VLOOKUP($A1417,hospital_details,4,0)</f>
        <v>4</v>
      </c>
      <c r="O1417" s="8">
        <f t="shared" ref="O1417:O1480" si="8489">VLOOKUP($A1417,hospital_details,5,0)</f>
        <v>7512.27</v>
      </c>
      <c r="P1417" s="7" t="str">
        <f t="shared" ref="P1417:P1480" si="8490">VLOOKUP($A1417,hospital_details,6,0)</f>
        <v>tier - 3</v>
      </c>
      <c r="Q1417" s="7" t="str">
        <f t="shared" ref="Q1417:Q1480" si="8491">VLOOKUP($A1417,hospital_details,7,0)</f>
        <v>tier - 2</v>
      </c>
      <c r="R1417" s="7" t="str">
        <f t="shared" ref="R1417:R1480" si="8492">VLOOKUP($A1417,hospital_details,8,0)</f>
        <v>R1011</v>
      </c>
    </row>
    <row r="1418" spans="1:18" ht="14.4" customHeight="1" x14ac:dyDescent="0.3">
      <c r="A1418" s="5" t="s">
        <v>1438</v>
      </c>
      <c r="B1418" s="5" t="str">
        <f>VLOOKUP($A1418,[1]!Customer_Names[#Data],3,0)</f>
        <v xml:space="preserve">  Lindsay M</v>
      </c>
      <c r="C1418" s="5">
        <v>39.43</v>
      </c>
      <c r="D1418" s="5" t="str" cm="1">
        <f t="array" ref="D1418">_xlfn.IFS(Healthcare!$C1418&lt;18.5,"under weight",Healthcare!$C1418&lt;=24.9,"Normal Weight",Healthcare!$C1418&gt;=25,"overweight",Healthcare!$C1418&gt;=30,"obese")</f>
        <v>overweight</v>
      </c>
      <c r="E1418" s="5">
        <v>6.1</v>
      </c>
      <c r="F1418" s="5" t="str" cm="1">
        <f t="array" ref="F1418">_xlfn.IFS(Healthcare!$E1418&lt;5.7,"normal",Healthcare!$E1418&lt;=6.4,"prediabetes",Healthcare!$E1418&gt;=6.5,"diabetes")</f>
        <v>prediabetes</v>
      </c>
      <c r="G1418" s="5" t="s">
        <v>20</v>
      </c>
      <c r="H1418" s="5" t="s">
        <v>19</v>
      </c>
      <c r="I1418" s="5" t="s">
        <v>29</v>
      </c>
      <c r="J1418" s="5">
        <v>1</v>
      </c>
      <c r="K1418" s="5" t="s">
        <v>19</v>
      </c>
      <c r="L1418" s="5" t="str">
        <f>VLOOKUP(Healthcare!$A1418,hospital_details,2,0)</f>
        <v>28-Oct-1997</v>
      </c>
      <c r="M1418" s="5">
        <f t="shared" ref="M1418:M1481" ca="1" si="8493">VLOOKUP(A1418,hospital_details,3,0)</f>
        <v>28</v>
      </c>
      <c r="N1418" s="5">
        <f t="shared" ref="N1418:N1481" si="8494">VLOOKUP($A1418,hospital_details,4,0)</f>
        <v>0</v>
      </c>
      <c r="O1418" s="6">
        <f t="shared" ref="O1418:O1481" si="8495">VLOOKUP($A1418,hospital_details,5,0)</f>
        <v>7504.3</v>
      </c>
      <c r="P1418" s="5" t="str">
        <f t="shared" ref="P1418:P1481" si="8496">VLOOKUP($A1418,hospital_details,6,0)</f>
        <v>tier - 2</v>
      </c>
      <c r="Q1418" s="5" t="str">
        <f t="shared" ref="Q1418:Q1481" si="8497">VLOOKUP($A1418,hospital_details,7,0)</f>
        <v>tier - 1</v>
      </c>
      <c r="R1418" s="5" t="str">
        <f t="shared" ref="R1418:R1481" si="8498">VLOOKUP($A1418,hospital_details,8,0)</f>
        <v>R1012</v>
      </c>
    </row>
    <row r="1419" spans="1:18" ht="14.4" customHeight="1" x14ac:dyDescent="0.3">
      <c r="A1419" s="7" t="s">
        <v>1439</v>
      </c>
      <c r="B1419" s="7" t="str">
        <f>VLOOKUP($A1419,[1]!Customer_Names[#Data],3,0)</f>
        <v xml:space="preserve">  Amanda</v>
      </c>
      <c r="C1419" s="7">
        <v>27.34</v>
      </c>
      <c r="D1419" s="7" t="str" cm="1">
        <f t="array" ref="D1419">_xlfn.IFS(Healthcare!$C1419&lt;18.5,"under weight",Healthcare!$C1419&lt;=24.9,"Normal Weight",Healthcare!$C1419&gt;=25,"overweight",Healthcare!$C1419&gt;=30,"obese")</f>
        <v>overweight</v>
      </c>
      <c r="E1419" s="7">
        <v>5.19</v>
      </c>
      <c r="F1419" s="7" t="str" cm="1">
        <f t="array" ref="F1419">_xlfn.IFS(Healthcare!$E1419&lt;5.7,"normal",Healthcare!$E1419&lt;=6.4,"prediabetes",Healthcare!$E1419&gt;=6.5,"diabetes")</f>
        <v>normal</v>
      </c>
      <c r="G1419" s="7" t="s">
        <v>20</v>
      </c>
      <c r="H1419" s="7" t="s">
        <v>19</v>
      </c>
      <c r="I1419" s="7" t="s">
        <v>19</v>
      </c>
      <c r="J1419" s="7">
        <v>1</v>
      </c>
      <c r="K1419" s="7" t="s">
        <v>19</v>
      </c>
      <c r="L1419" s="7" t="str">
        <f>VLOOKUP(Healthcare!$A1419,hospital_details,2,0)</f>
        <v>15-Dec-1988</v>
      </c>
      <c r="M1419" s="7">
        <f t="shared" ref="M1419:M1482" ca="1" si="8499">VLOOKUP(A1419,hospital_details,3,0)</f>
        <v>37</v>
      </c>
      <c r="N1419" s="7">
        <f t="shared" ref="N1419:N1482" si="8500">VLOOKUP($A1419,hospital_details,4,0)</f>
        <v>3</v>
      </c>
      <c r="O1419" s="8">
        <f t="shared" ref="O1419:O1482" si="8501">VLOOKUP($A1419,hospital_details,5,0)</f>
        <v>7494.63</v>
      </c>
      <c r="P1419" s="7" t="str">
        <f t="shared" ref="P1419:P1482" si="8502">VLOOKUP($A1419,hospital_details,6,0)</f>
        <v>tier - 2</v>
      </c>
      <c r="Q1419" s="7" t="str">
        <f t="shared" ref="Q1419:Q1482" si="8503">VLOOKUP($A1419,hospital_details,7,0)</f>
        <v>tier - 3</v>
      </c>
      <c r="R1419" s="7" t="str">
        <f t="shared" ref="R1419:R1482" si="8504">VLOOKUP($A1419,hospital_details,8,0)</f>
        <v>R1025</v>
      </c>
    </row>
    <row r="1420" spans="1:18" ht="14.4" customHeight="1" x14ac:dyDescent="0.3">
      <c r="A1420" s="5" t="s">
        <v>1440</v>
      </c>
      <c r="B1420" s="5" t="str">
        <f>VLOOKUP($A1420,[1]!Customer_Names[#Data],3,0)</f>
        <v xml:space="preserve">  James</v>
      </c>
      <c r="C1420" s="5">
        <v>39.01</v>
      </c>
      <c r="D1420" s="5" t="str" cm="1">
        <f t="array" ref="D1420">_xlfn.IFS(Healthcare!$C1420&lt;18.5,"under weight",Healthcare!$C1420&lt;=24.9,"Normal Weight",Healthcare!$C1420&gt;=25,"overweight",Healthcare!$C1420&gt;=30,"obese")</f>
        <v>overweight</v>
      </c>
      <c r="E1420" s="5">
        <v>5.37</v>
      </c>
      <c r="F1420" s="5" t="str" cm="1">
        <f t="array" ref="F1420">_xlfn.IFS(Healthcare!$E1420&lt;5.7,"normal",Healthcare!$E1420&lt;=6.4,"prediabetes",Healthcare!$E1420&gt;=6.5,"diabetes")</f>
        <v>normal</v>
      </c>
      <c r="G1420" s="5" t="s">
        <v>20</v>
      </c>
      <c r="H1420" s="5" t="s">
        <v>19</v>
      </c>
      <c r="I1420" s="5" t="s">
        <v>19</v>
      </c>
      <c r="J1420" s="5">
        <v>0</v>
      </c>
      <c r="K1420" s="5" t="s">
        <v>19</v>
      </c>
      <c r="L1420" s="5" t="str">
        <f>VLOOKUP(Healthcare!$A1420,hospital_details,2,0)</f>
        <v>14-Jun-1996</v>
      </c>
      <c r="M1420" s="5">
        <f t="shared" ref="M1420:M1483" ca="1" si="8505">VLOOKUP(A1420,hospital_details,3,0)</f>
        <v>30</v>
      </c>
      <c r="N1420" s="5">
        <f t="shared" ref="N1420:N1483" si="8506">VLOOKUP($A1420,hospital_details,4,0)</f>
        <v>0</v>
      </c>
      <c r="O1420" s="6">
        <f t="shared" ref="O1420:O1483" si="8507">VLOOKUP($A1420,hospital_details,5,0)</f>
        <v>7487.38</v>
      </c>
      <c r="P1420" s="5" t="str">
        <f t="shared" ref="P1420:P1483" si="8508">VLOOKUP($A1420,hospital_details,6,0)</f>
        <v>tier - 2</v>
      </c>
      <c r="Q1420" s="5" t="str">
        <f t="shared" ref="Q1420:Q1483" si="8509">VLOOKUP($A1420,hospital_details,7,0)</f>
        <v>tier - 3</v>
      </c>
      <c r="R1420" s="5" t="str">
        <f t="shared" ref="R1420:R1483" si="8510">VLOOKUP($A1420,hospital_details,8,0)</f>
        <v>R1012</v>
      </c>
    </row>
    <row r="1421" spans="1:18" ht="14.4" customHeight="1" x14ac:dyDescent="0.3">
      <c r="A1421" s="7" t="s">
        <v>1441</v>
      </c>
      <c r="B1421" s="7" t="str">
        <f>VLOOKUP($A1421,[1]!Customer_Names[#Data],3,0)</f>
        <v xml:space="preserve">  Samuel H</v>
      </c>
      <c r="C1421" s="7">
        <v>18.989999999999998</v>
      </c>
      <c r="D1421" s="7" t="str" cm="1">
        <f t="array" ref="D1421">_xlfn.IFS(Healthcare!$C1421&lt;18.5,"under weight",Healthcare!$C1421&lt;=24.9,"Normal Weight",Healthcare!$C1421&gt;=25,"overweight",Healthcare!$C1421&gt;=30,"obese")</f>
        <v>Normal Weight</v>
      </c>
      <c r="E1421" s="7">
        <v>10.82</v>
      </c>
      <c r="F1421" s="7" t="str" cm="1">
        <f t="array" ref="F1421">_xlfn.IFS(Healthcare!$E1421&lt;5.7,"normal",Healthcare!$E1421&lt;=6.4,"prediabetes",Healthcare!$E1421&gt;=6.5,"diabetes")</f>
        <v>diabetes</v>
      </c>
      <c r="G1421" s="7" t="s">
        <v>20</v>
      </c>
      <c r="H1421" s="7" t="s">
        <v>19</v>
      </c>
      <c r="I1421" s="7" t="s">
        <v>19</v>
      </c>
      <c r="J1421" s="7">
        <v>0</v>
      </c>
      <c r="K1421" s="7" t="s">
        <v>19</v>
      </c>
      <c r="L1421" s="7" t="str">
        <f>VLOOKUP(Healthcare!$A1421,hospital_details,2,0)</f>
        <v>4-Aug-1967</v>
      </c>
      <c r="M1421" s="7">
        <f t="shared" ref="M1421:M1484" ca="1" si="8511">VLOOKUP(A1421,hospital_details,3,0)</f>
        <v>59</v>
      </c>
      <c r="N1421" s="7">
        <f t="shared" ref="N1421:N1484" si="8512">VLOOKUP($A1421,hospital_details,4,0)</f>
        <v>0</v>
      </c>
      <c r="O1421" s="8">
        <f t="shared" ref="O1421:O1484" si="8513">VLOOKUP($A1421,hospital_details,5,0)</f>
        <v>7463.51</v>
      </c>
      <c r="P1421" s="7" t="str">
        <f t="shared" ref="P1421:P1484" si="8514">VLOOKUP($A1421,hospital_details,6,0)</f>
        <v>tier - 3</v>
      </c>
      <c r="Q1421" s="7" t="str">
        <f t="shared" ref="Q1421:Q1484" si="8515">VLOOKUP($A1421,hospital_details,7,0)</f>
        <v>tier - 3</v>
      </c>
      <c r="R1421" s="7" t="str">
        <f t="shared" ref="R1421:R1484" si="8516">VLOOKUP($A1421,hospital_details,8,0)</f>
        <v>R1013</v>
      </c>
    </row>
    <row r="1422" spans="1:18" ht="14.4" customHeight="1" x14ac:dyDescent="0.3">
      <c r="A1422" s="5" t="s">
        <v>1442</v>
      </c>
      <c r="B1422" s="5" t="str">
        <f>VLOOKUP($A1422,[1]!Customer_Names[#Data],3,0)</f>
        <v xml:space="preserve">  Jenni</v>
      </c>
      <c r="C1422" s="5">
        <v>42.3</v>
      </c>
      <c r="D1422" s="5" t="str" cm="1">
        <f t="array" ref="D1422">_xlfn.IFS(Healthcare!$C1422&lt;18.5,"under weight",Healthcare!$C1422&lt;=24.9,"Normal Weight",Healthcare!$C1422&gt;=25,"overweight",Healthcare!$C1422&gt;=30,"obese")</f>
        <v>overweight</v>
      </c>
      <c r="E1422" s="5">
        <v>6.06</v>
      </c>
      <c r="F1422" s="5" t="str" cm="1">
        <f t="array" ref="F1422">_xlfn.IFS(Healthcare!$E1422&lt;5.7,"normal",Healthcare!$E1422&lt;=6.4,"prediabetes",Healthcare!$E1422&gt;=6.5,"diabetes")</f>
        <v>prediabetes</v>
      </c>
      <c r="G1422" s="5" t="s">
        <v>20</v>
      </c>
      <c r="H1422" s="5" t="s">
        <v>19</v>
      </c>
      <c r="I1422" s="5" t="s">
        <v>19</v>
      </c>
      <c r="J1422" s="5">
        <v>0</v>
      </c>
      <c r="K1422" s="5" t="s">
        <v>19</v>
      </c>
      <c r="L1422" s="5" t="str">
        <f>VLOOKUP(Healthcare!$A1422,hospital_details,2,0)</f>
        <v>1-Jun-2001</v>
      </c>
      <c r="M1422" s="5">
        <f t="shared" ref="M1422:M1485" ca="1" si="8517">VLOOKUP(A1422,hospital_details,3,0)</f>
        <v>25</v>
      </c>
      <c r="N1422" s="5">
        <f t="shared" ref="N1422:N1485" si="8518">VLOOKUP($A1422,hospital_details,4,0)</f>
        <v>0</v>
      </c>
      <c r="O1422" s="6">
        <f t="shared" ref="O1422:O1485" si="8519">VLOOKUP($A1422,hospital_details,5,0)</f>
        <v>7450.36</v>
      </c>
      <c r="P1422" s="5" t="str">
        <f t="shared" ref="P1422:P1485" si="8520">VLOOKUP($A1422,hospital_details,6,0)</f>
        <v>tier - 2</v>
      </c>
      <c r="Q1422" s="5" t="str">
        <f t="shared" ref="Q1422:Q1485" si="8521">VLOOKUP($A1422,hospital_details,7,0)</f>
        <v>tier - 2</v>
      </c>
      <c r="R1422" s="5" t="str">
        <f t="shared" ref="R1422:R1485" si="8522">VLOOKUP($A1422,hospital_details,8,0)</f>
        <v>R1012</v>
      </c>
    </row>
    <row r="1423" spans="1:18" ht="14.4" customHeight="1" x14ac:dyDescent="0.3">
      <c r="A1423" s="7" t="s">
        <v>1443</v>
      </c>
      <c r="B1423" s="7" t="str">
        <f>VLOOKUP($A1423,[1]!Customer_Names[#Data],3,0)</f>
        <v xml:space="preserve">  Estuardo F</v>
      </c>
      <c r="C1423" s="7">
        <v>39.805</v>
      </c>
      <c r="D1423" s="7" t="str" cm="1">
        <f t="array" ref="D1423">_xlfn.IFS(Healthcare!$C1423&lt;18.5,"under weight",Healthcare!$C1423&lt;=24.9,"Normal Weight",Healthcare!$C1423&gt;=25,"overweight",Healthcare!$C1423&gt;=30,"obese")</f>
        <v>overweight</v>
      </c>
      <c r="E1423" s="7">
        <v>5.91</v>
      </c>
      <c r="F1423" s="7" t="str" cm="1">
        <f t="array" ref="F1423">_xlfn.IFS(Healthcare!$E1423&lt;5.7,"normal",Healthcare!$E1423&lt;=6.4,"prediabetes",Healthcare!$E1423&gt;=6.5,"diabetes")</f>
        <v>prediabetes</v>
      </c>
      <c r="G1423" s="7" t="s">
        <v>19</v>
      </c>
      <c r="H1423" s="7" t="s">
        <v>19</v>
      </c>
      <c r="I1423" s="7" t="s">
        <v>19</v>
      </c>
      <c r="J1423" s="7">
        <v>0</v>
      </c>
      <c r="K1423" s="7" t="s">
        <v>19</v>
      </c>
      <c r="L1423" s="7" t="str">
        <f>VLOOKUP(Healthcare!$A1423,hospital_details,2,0)</f>
        <v>30-Sep-1977</v>
      </c>
      <c r="M1423" s="7">
        <f t="shared" ref="M1423:M1486" ca="1" si="8523">VLOOKUP(A1423,hospital_details,3,0)</f>
        <v>49</v>
      </c>
      <c r="N1423" s="7">
        <f t="shared" ref="N1423:N1486" si="8524">VLOOKUP($A1423,hospital_details,4,0)</f>
        <v>0</v>
      </c>
      <c r="O1423" s="8">
        <f t="shared" ref="O1423:O1486" si="8525">VLOOKUP($A1423,hospital_details,5,0)</f>
        <v>7448.4</v>
      </c>
      <c r="P1423" s="7" t="str">
        <f t="shared" ref="P1423:P1486" si="8526">VLOOKUP($A1423,hospital_details,6,0)</f>
        <v>tier - 3</v>
      </c>
      <c r="Q1423" s="7" t="str">
        <f t="shared" ref="Q1423:Q1486" si="8527">VLOOKUP($A1423,hospital_details,7,0)</f>
        <v>tier - 3</v>
      </c>
      <c r="R1423" s="7" t="str">
        <f t="shared" ref="R1423:R1486" si="8528">VLOOKUP($A1423,hospital_details,8,0)</f>
        <v>R1017</v>
      </c>
    </row>
    <row r="1424" spans="1:18" ht="14.4" customHeight="1" x14ac:dyDescent="0.3">
      <c r="A1424" s="5" t="s">
        <v>1444</v>
      </c>
      <c r="B1424" s="5" t="str">
        <f>VLOOKUP($A1424,[1]!Customer_Names[#Data],3,0)</f>
        <v xml:space="preserve">  Brett</v>
      </c>
      <c r="C1424" s="5">
        <v>33.700000000000003</v>
      </c>
      <c r="D1424" s="5" t="str" cm="1">
        <f t="array" ref="D1424">_xlfn.IFS(Healthcare!$C1424&lt;18.5,"under weight",Healthcare!$C1424&lt;=24.9,"Normal Weight",Healthcare!$C1424&gt;=25,"overweight",Healthcare!$C1424&gt;=30,"obese")</f>
        <v>overweight</v>
      </c>
      <c r="E1424" s="5">
        <v>5.87</v>
      </c>
      <c r="F1424" s="5" t="str" cm="1">
        <f t="array" ref="F1424">_xlfn.IFS(Healthcare!$E1424&lt;5.7,"normal",Healthcare!$E1424&lt;=6.4,"prediabetes",Healthcare!$E1424&gt;=6.5,"diabetes")</f>
        <v>prediabetes</v>
      </c>
      <c r="G1424" s="5" t="s">
        <v>19</v>
      </c>
      <c r="H1424" s="5" t="s">
        <v>19</v>
      </c>
      <c r="I1424" s="5" t="s">
        <v>19</v>
      </c>
      <c r="J1424" s="5">
        <v>0</v>
      </c>
      <c r="K1424" s="5" t="s">
        <v>19</v>
      </c>
      <c r="L1424" s="5" t="str">
        <f>VLOOKUP(Healthcare!$A1424,hospital_details,2,0)</f>
        <v>25-Sep-1977</v>
      </c>
      <c r="M1424" s="5">
        <f t="shared" ref="M1424:M1487" ca="1" si="8529">VLOOKUP(A1424,hospital_details,3,0)</f>
        <v>49</v>
      </c>
      <c r="N1424" s="5">
        <f t="shared" ref="N1424:N1487" si="8530">VLOOKUP($A1424,hospital_details,4,0)</f>
        <v>1</v>
      </c>
      <c r="O1424" s="6">
        <f t="shared" ref="O1424:O1487" si="8531">VLOOKUP($A1424,hospital_details,5,0)</f>
        <v>7445.92</v>
      </c>
      <c r="P1424" s="5" t="str">
        <f t="shared" ref="P1424:P1487" si="8532">VLOOKUP($A1424,hospital_details,6,0)</f>
        <v>tier - 3</v>
      </c>
      <c r="Q1424" s="5" t="str">
        <f t="shared" ref="Q1424:Q1487" si="8533">VLOOKUP($A1424,hospital_details,7,0)</f>
        <v>tier - 1</v>
      </c>
      <c r="R1424" s="5" t="str">
        <f t="shared" ref="R1424:R1487" si="8534">VLOOKUP($A1424,hospital_details,8,0)</f>
        <v>R1011</v>
      </c>
    </row>
    <row r="1425" spans="1:18" ht="14.4" customHeight="1" x14ac:dyDescent="0.3">
      <c r="A1425" s="7" t="s">
        <v>1445</v>
      </c>
      <c r="B1425" s="7" t="str">
        <f>VLOOKUP($A1425,[1]!Customer_Names[#Data],3,0)</f>
        <v xml:space="preserve">  Sharon E</v>
      </c>
      <c r="C1425" s="7">
        <v>36.195</v>
      </c>
      <c r="D1425" s="7" t="str" cm="1">
        <f t="array" ref="D1425">_xlfn.IFS(Healthcare!$C1425&lt;18.5,"under weight",Healthcare!$C1425&lt;=24.9,"Normal Weight",Healthcare!$C1425&gt;=25,"overweight",Healthcare!$C1425&gt;=30,"obese")</f>
        <v>overweight</v>
      </c>
      <c r="E1425" s="7">
        <v>6.22</v>
      </c>
      <c r="F1425" s="7" t="str" cm="1">
        <f t="array" ref="F1425">_xlfn.IFS(Healthcare!$E1425&lt;5.7,"normal",Healthcare!$E1425&lt;=6.4,"prediabetes",Healthcare!$E1425&gt;=6.5,"diabetes")</f>
        <v>prediabetes</v>
      </c>
      <c r="G1425" s="7" t="s">
        <v>19</v>
      </c>
      <c r="H1425" s="7" t="s">
        <v>19</v>
      </c>
      <c r="I1425" s="7" t="s">
        <v>19</v>
      </c>
      <c r="J1425" s="7">
        <v>0</v>
      </c>
      <c r="K1425" s="7" t="s">
        <v>19</v>
      </c>
      <c r="L1425" s="7" t="str">
        <f>VLOOKUP(Healthcare!$A1425,hospital_details,2,0)</f>
        <v>7-Jul-1980</v>
      </c>
      <c r="M1425" s="7">
        <f t="shared" ref="M1425:M1488" ca="1" si="8535">VLOOKUP(A1425,hospital_details,3,0)</f>
        <v>46</v>
      </c>
      <c r="N1425" s="7">
        <f t="shared" ref="N1425:N1488" si="8536">VLOOKUP($A1425,hospital_details,4,0)</f>
        <v>1</v>
      </c>
      <c r="O1425" s="8">
        <f t="shared" ref="O1425:O1488" si="8537">VLOOKUP($A1425,hospital_details,5,0)</f>
        <v>7443.64</v>
      </c>
      <c r="P1425" s="7" t="str">
        <f t="shared" ref="P1425:P1488" si="8538">VLOOKUP($A1425,hospital_details,6,0)</f>
        <v>tier - 2</v>
      </c>
      <c r="Q1425" s="7" t="str">
        <f t="shared" ref="Q1425:Q1488" si="8539">VLOOKUP($A1425,hospital_details,7,0)</f>
        <v>tier - 3</v>
      </c>
      <c r="R1425" s="7" t="str">
        <f t="shared" ref="R1425:R1488" si="8540">VLOOKUP($A1425,hospital_details,8,0)</f>
        <v>R1012</v>
      </c>
    </row>
    <row r="1426" spans="1:18" ht="14.4" customHeight="1" x14ac:dyDescent="0.3">
      <c r="A1426" s="5" t="s">
        <v>1446</v>
      </c>
      <c r="B1426" s="5" t="str">
        <f>VLOOKUP($A1426,[1]!Customer_Names[#Data],3,0)</f>
        <v xml:space="preserve">  Jacob W√¶ver</v>
      </c>
      <c r="C1426" s="5">
        <v>32.6</v>
      </c>
      <c r="D1426" s="5" t="str" cm="1">
        <f t="array" ref="D1426">_xlfn.IFS(Healthcare!$C1426&lt;18.5,"under weight",Healthcare!$C1426&lt;=24.9,"Normal Weight",Healthcare!$C1426&gt;=25,"overweight",Healthcare!$C1426&gt;=30,"obese")</f>
        <v>overweight</v>
      </c>
      <c r="E1426" s="5">
        <v>5.73</v>
      </c>
      <c r="F1426" s="5" t="str" cm="1">
        <f t="array" ref="F1426">_xlfn.IFS(Healthcare!$E1426&lt;5.7,"normal",Healthcare!$E1426&lt;=6.4,"prediabetes",Healthcare!$E1426&gt;=6.5,"diabetes")</f>
        <v>prediabetes</v>
      </c>
      <c r="G1426" s="5" t="s">
        <v>19</v>
      </c>
      <c r="H1426" s="5" t="s">
        <v>19</v>
      </c>
      <c r="I1426" s="5" t="s">
        <v>29</v>
      </c>
      <c r="J1426" s="5">
        <v>1</v>
      </c>
      <c r="K1426" s="5" t="s">
        <v>19</v>
      </c>
      <c r="L1426" s="5" t="str">
        <f>VLOOKUP(Healthcare!$A1426,hospital_details,2,0)</f>
        <v>1-Sep-1979</v>
      </c>
      <c r="M1426" s="5">
        <f t="shared" ref="M1426:M1489" ca="1" si="8541">VLOOKUP(A1426,hospital_details,3,0)</f>
        <v>47</v>
      </c>
      <c r="N1426" s="5">
        <f t="shared" ref="N1426:N1489" si="8542">VLOOKUP($A1426,hospital_details,4,0)</f>
        <v>2</v>
      </c>
      <c r="O1426" s="6">
        <f t="shared" ref="O1426:O1489" si="8543">VLOOKUP($A1426,hospital_details,5,0)</f>
        <v>7441.5</v>
      </c>
      <c r="P1426" s="5" t="str">
        <f t="shared" ref="P1426:P1489" si="8544">VLOOKUP($A1426,hospital_details,6,0)</f>
        <v>tier - 3</v>
      </c>
      <c r="Q1426" s="5" t="str">
        <f t="shared" ref="Q1426:Q1489" si="8545">VLOOKUP($A1426,hospital_details,7,0)</f>
        <v>tier - 2</v>
      </c>
      <c r="R1426" s="5" t="str">
        <f t="shared" ref="R1426:R1489" si="8546">VLOOKUP($A1426,hospital_details,8,0)</f>
        <v>R1011</v>
      </c>
    </row>
    <row r="1427" spans="1:18" ht="14.4" customHeight="1" x14ac:dyDescent="0.3">
      <c r="A1427" s="7" t="s">
        <v>1447</v>
      </c>
      <c r="B1427" s="7" t="str">
        <f>VLOOKUP($A1427,[1]!Customer_Names[#Data],3,0)</f>
        <v xml:space="preserve">  Scott</v>
      </c>
      <c r="C1427" s="7">
        <v>30.2</v>
      </c>
      <c r="D1427" s="7" t="str" cm="1">
        <f t="array" ref="D1427">_xlfn.IFS(Healthcare!$C1427&lt;18.5,"under weight",Healthcare!$C1427&lt;=24.9,"Normal Weight",Healthcare!$C1427&gt;=25,"overweight",Healthcare!$C1427&gt;=30,"obese")</f>
        <v>overweight</v>
      </c>
      <c r="E1427" s="7">
        <v>5.7</v>
      </c>
      <c r="F1427" s="7" t="str" cm="1">
        <f t="array" ref="F1427">_xlfn.IFS(Healthcare!$E1427&lt;5.7,"normal",Healthcare!$E1427&lt;=6.4,"prediabetes",Healthcare!$E1427&gt;=6.5,"diabetes")</f>
        <v>prediabetes</v>
      </c>
      <c r="G1427" s="7" t="s">
        <v>19</v>
      </c>
      <c r="H1427" s="7" t="s">
        <v>19</v>
      </c>
      <c r="I1427" s="7" t="s">
        <v>19</v>
      </c>
      <c r="J1427" s="7">
        <v>0</v>
      </c>
      <c r="K1427" s="7" t="s">
        <v>19</v>
      </c>
      <c r="L1427" s="7" t="str">
        <f>VLOOKUP(Healthcare!$A1427,hospital_details,2,0)</f>
        <v>25-Aug-1977</v>
      </c>
      <c r="M1427" s="7">
        <f t="shared" ref="M1427:M1490" ca="1" si="8547">VLOOKUP(A1427,hospital_details,3,0)</f>
        <v>49</v>
      </c>
      <c r="N1427" s="7">
        <f t="shared" ref="N1427:N1490" si="8548">VLOOKUP($A1427,hospital_details,4,0)</f>
        <v>1</v>
      </c>
      <c r="O1427" s="8">
        <f t="shared" ref="O1427:O1490" si="8549">VLOOKUP($A1427,hospital_details,5,0)</f>
        <v>7441.05</v>
      </c>
      <c r="P1427" s="7" t="str">
        <f t="shared" ref="P1427:P1490" si="8550">VLOOKUP($A1427,hospital_details,6,0)</f>
        <v>tier - 3</v>
      </c>
      <c r="Q1427" s="7" t="str">
        <f t="shared" ref="Q1427:Q1490" si="8551">VLOOKUP($A1427,hospital_details,7,0)</f>
        <v>tier - 2</v>
      </c>
      <c r="R1427" s="7" t="str">
        <f t="shared" ref="R1427:R1490" si="8552">VLOOKUP($A1427,hospital_details,8,0)</f>
        <v>R1011</v>
      </c>
    </row>
    <row r="1428" spans="1:18" ht="14.4" customHeight="1" x14ac:dyDescent="0.3">
      <c r="A1428" s="5" t="s">
        <v>1448</v>
      </c>
      <c r="B1428" s="5" t="str">
        <f>VLOOKUP($A1428,[1]!Customer_Names[#Data],3,0)</f>
        <v xml:space="preserve">  Brooke S</v>
      </c>
      <c r="C1428" s="5">
        <v>27.645</v>
      </c>
      <c r="D1428" s="5" t="str" cm="1">
        <f t="array" ref="D1428">_xlfn.IFS(Healthcare!$C1428&lt;18.5,"under weight",Healthcare!$C1428&lt;=24.9,"Normal Weight",Healthcare!$C1428&gt;=25,"overweight",Healthcare!$C1428&gt;=30,"obese")</f>
        <v>overweight</v>
      </c>
      <c r="E1428" s="5">
        <v>9.91</v>
      </c>
      <c r="F1428" s="5" t="str" cm="1">
        <f t="array" ref="F1428">_xlfn.IFS(Healthcare!$E1428&lt;5.7,"normal",Healthcare!$E1428&lt;=6.4,"prediabetes",Healthcare!$E1428&gt;=6.5,"diabetes")</f>
        <v>diabetes</v>
      </c>
      <c r="G1428" s="5" t="s">
        <v>19</v>
      </c>
      <c r="H1428" s="5" t="s">
        <v>19</v>
      </c>
      <c r="I1428" s="5" t="s">
        <v>19</v>
      </c>
      <c r="J1428" s="5">
        <v>0</v>
      </c>
      <c r="K1428" s="5" t="s">
        <v>19</v>
      </c>
      <c r="L1428" s="5" t="str">
        <f>VLOOKUP(Healthcare!$A1428,hospital_details,2,0)</f>
        <v>2-Dec-1978</v>
      </c>
      <c r="M1428" s="5">
        <f t="shared" ref="M1428:M1491" ca="1" si="8553">VLOOKUP(A1428,hospital_details,3,0)</f>
        <v>47</v>
      </c>
      <c r="N1428" s="5">
        <f t="shared" ref="N1428:N1491" si="8554">VLOOKUP($A1428,hospital_details,4,0)</f>
        <v>0</v>
      </c>
      <c r="O1428" s="6">
        <f t="shared" ref="O1428:O1491" si="8555">VLOOKUP($A1428,hospital_details,5,0)</f>
        <v>7421.19</v>
      </c>
      <c r="P1428" s="5" t="str">
        <f t="shared" ref="P1428:P1491" si="8556">VLOOKUP($A1428,hospital_details,6,0)</f>
        <v>tier - 2</v>
      </c>
      <c r="Q1428" s="5" t="str">
        <f t="shared" ref="Q1428:Q1491" si="8557">VLOOKUP($A1428,hospital_details,7,0)</f>
        <v>tier - 3</v>
      </c>
      <c r="R1428" s="5" t="str">
        <f t="shared" ref="R1428:R1491" si="8558">VLOOKUP($A1428,hospital_details,8,0)</f>
        <v>R1012</v>
      </c>
    </row>
    <row r="1429" spans="1:18" ht="14.4" customHeight="1" x14ac:dyDescent="0.3">
      <c r="A1429" s="7" t="s">
        <v>1449</v>
      </c>
      <c r="B1429" s="7" t="str">
        <f>VLOOKUP($A1429,[1]!Customer_Names[#Data],3,0)</f>
        <v xml:space="preserve">  Kaye A</v>
      </c>
      <c r="C1429" s="7">
        <v>26.41</v>
      </c>
      <c r="D1429" s="7" t="str" cm="1">
        <f t="array" ref="D1429">_xlfn.IFS(Healthcare!$C1429&lt;18.5,"under weight",Healthcare!$C1429&lt;=24.9,"Normal Weight",Healthcare!$C1429&gt;=25,"overweight",Healthcare!$C1429&gt;=30,"obese")</f>
        <v>overweight</v>
      </c>
      <c r="E1429" s="7">
        <v>11.4</v>
      </c>
      <c r="F1429" s="7" t="str" cm="1">
        <f t="array" ref="F1429">_xlfn.IFS(Healthcare!$E1429&lt;5.7,"normal",Healthcare!$E1429&lt;=6.4,"prediabetes",Healthcare!$E1429&gt;=6.5,"diabetes")</f>
        <v>diabetes</v>
      </c>
      <c r="G1429" s="7" t="s">
        <v>19</v>
      </c>
      <c r="H1429" s="7" t="s">
        <v>19</v>
      </c>
      <c r="I1429" s="7" t="s">
        <v>19</v>
      </c>
      <c r="J1429" s="7">
        <v>0</v>
      </c>
      <c r="K1429" s="7" t="s">
        <v>19</v>
      </c>
      <c r="L1429" s="7" t="str">
        <f>VLOOKUP(Healthcare!$A1429,hospital_details,2,0)</f>
        <v>12-Nov-1978</v>
      </c>
      <c r="M1429" s="7">
        <f t="shared" ref="M1429:M1492" ca="1" si="8559">VLOOKUP(A1429,hospital_details,3,0)</f>
        <v>47</v>
      </c>
      <c r="N1429" s="7">
        <f t="shared" ref="N1429:N1492" si="8560">VLOOKUP($A1429,hospital_details,4,0)</f>
        <v>0</v>
      </c>
      <c r="O1429" s="8">
        <f t="shared" ref="O1429:O1492" si="8561">VLOOKUP($A1429,hospital_details,5,0)</f>
        <v>7419.48</v>
      </c>
      <c r="P1429" s="7" t="str">
        <f t="shared" ref="P1429:P1492" si="8562">VLOOKUP($A1429,hospital_details,6,0)</f>
        <v>tier - 2</v>
      </c>
      <c r="Q1429" s="7" t="str">
        <f t="shared" ref="Q1429:Q1492" si="8563">VLOOKUP($A1429,hospital_details,7,0)</f>
        <v>tier - 2</v>
      </c>
      <c r="R1429" s="7" t="str">
        <f t="shared" ref="R1429:R1492" si="8564">VLOOKUP($A1429,hospital_details,8,0)</f>
        <v>R1012</v>
      </c>
    </row>
    <row r="1430" spans="1:18" ht="14.4" customHeight="1" x14ac:dyDescent="0.3">
      <c r="A1430" s="5" t="s">
        <v>1450</v>
      </c>
      <c r="B1430" s="5" t="str">
        <f>VLOOKUP($A1430,[1]!Customer_Names[#Data],3,0)</f>
        <v xml:space="preserve">  Carolyn</v>
      </c>
      <c r="C1430" s="5">
        <v>34.1</v>
      </c>
      <c r="D1430" s="5" t="str" cm="1">
        <f t="array" ref="D1430">_xlfn.IFS(Healthcare!$C1430&lt;18.5,"under weight",Healthcare!$C1430&lt;=24.9,"Normal Weight",Healthcare!$C1430&gt;=25,"overweight",Healthcare!$C1430&gt;=30,"obese")</f>
        <v>overweight</v>
      </c>
      <c r="E1430" s="5">
        <v>6.29</v>
      </c>
      <c r="F1430" s="5" t="str" cm="1">
        <f t="array" ref="F1430">_xlfn.IFS(Healthcare!$E1430&lt;5.7,"normal",Healthcare!$E1430&lt;=6.4,"prediabetes",Healthcare!$E1430&gt;=6.5,"diabetes")</f>
        <v>prediabetes</v>
      </c>
      <c r="G1430" s="5" t="s">
        <v>20</v>
      </c>
      <c r="H1430" s="5" t="s">
        <v>19</v>
      </c>
      <c r="I1430" s="5" t="s">
        <v>29</v>
      </c>
      <c r="J1430" s="5">
        <v>1</v>
      </c>
      <c r="K1430" s="5" t="s">
        <v>19</v>
      </c>
      <c r="L1430" s="5" t="str">
        <f>VLOOKUP(Healthcare!$A1430,hospital_details,2,0)</f>
        <v>19-Sep-1983</v>
      </c>
      <c r="M1430" s="5">
        <f t="shared" ref="M1430:M1493" ca="1" si="8565">VLOOKUP(A1430,hospital_details,3,0)</f>
        <v>43</v>
      </c>
      <c r="N1430" s="5">
        <f t="shared" ref="N1430:N1493" si="8566">VLOOKUP($A1430,hospital_details,4,0)</f>
        <v>3</v>
      </c>
      <c r="O1430" s="6">
        <f t="shared" ref="O1430:O1493" si="8567">VLOOKUP($A1430,hospital_details,5,0)</f>
        <v>7418.52</v>
      </c>
      <c r="P1430" s="5" t="str">
        <f t="shared" ref="P1430:P1493" si="8568">VLOOKUP($A1430,hospital_details,6,0)</f>
        <v>tier - 2</v>
      </c>
      <c r="Q1430" s="5" t="str">
        <f t="shared" ref="Q1430:Q1493" si="8569">VLOOKUP($A1430,hospital_details,7,0)</f>
        <v>tier - 2</v>
      </c>
      <c r="R1430" s="5" t="str">
        <f t="shared" ref="R1430:R1493" si="8570">VLOOKUP($A1430,hospital_details,8,0)</f>
        <v>R1011</v>
      </c>
    </row>
    <row r="1431" spans="1:18" ht="14.4" customHeight="1" x14ac:dyDescent="0.3">
      <c r="A1431" s="7" t="s">
        <v>1451</v>
      </c>
      <c r="B1431" s="7" t="str">
        <f>VLOOKUP($A1431,[1]!Customer_Names[#Data],3,0)</f>
        <v xml:space="preserve">  Daniel C</v>
      </c>
      <c r="C1431" s="7">
        <v>17.3</v>
      </c>
      <c r="D1431" s="7" t="str" cm="1">
        <f t="array" ref="D1431">_xlfn.IFS(Healthcare!$C1431&lt;18.5,"under weight",Healthcare!$C1431&lt;=24.9,"Normal Weight",Healthcare!$C1431&gt;=25,"overweight",Healthcare!$C1431&gt;=30,"obese")</f>
        <v>under weight</v>
      </c>
      <c r="E1431" s="7">
        <v>9.2799999999999994</v>
      </c>
      <c r="F1431" s="7" t="str" cm="1">
        <f t="array" ref="F1431">_xlfn.IFS(Healthcare!$E1431&lt;5.7,"normal",Healthcare!$E1431&lt;=6.4,"prediabetes",Healthcare!$E1431&gt;=6.5,"diabetes")</f>
        <v>diabetes</v>
      </c>
      <c r="G1431" s="7" t="s">
        <v>19</v>
      </c>
      <c r="H1431" s="7" t="s">
        <v>19</v>
      </c>
      <c r="I1431" s="7" t="s">
        <v>19</v>
      </c>
      <c r="J1431" s="7">
        <v>0</v>
      </c>
      <c r="K1431" s="7" t="s">
        <v>19</v>
      </c>
      <c r="L1431" s="7" t="str">
        <f>VLOOKUP(Healthcare!$A1431,hospital_details,2,0)</f>
        <v>5-Dec-1965</v>
      </c>
      <c r="M1431" s="7">
        <f t="shared" ref="M1431:M1494" ca="1" si="8571">VLOOKUP(A1431,hospital_details,3,0)</f>
        <v>60</v>
      </c>
      <c r="N1431" s="7">
        <f t="shared" ref="N1431:N1494" si="8572">VLOOKUP($A1431,hospital_details,4,0)</f>
        <v>0</v>
      </c>
      <c r="O1431" s="8">
        <f t="shared" ref="O1431:O1494" si="8573">VLOOKUP($A1431,hospital_details,5,0)</f>
        <v>7403.98</v>
      </c>
      <c r="P1431" s="7" t="str">
        <f t="shared" ref="P1431:P1494" si="8574">VLOOKUP($A1431,hospital_details,6,0)</f>
        <v>tier - 3</v>
      </c>
      <c r="Q1431" s="7" t="str">
        <f t="shared" ref="Q1431:Q1494" si="8575">VLOOKUP($A1431,hospital_details,7,0)</f>
        <v>tier - 2</v>
      </c>
      <c r="R1431" s="7" t="str">
        <f t="shared" ref="R1431:R1494" si="8576">VLOOKUP($A1431,hospital_details,8,0)</f>
        <v>R1013</v>
      </c>
    </row>
    <row r="1432" spans="1:18" ht="14.4" customHeight="1" x14ac:dyDescent="0.3">
      <c r="A1432" s="5" t="s">
        <v>1452</v>
      </c>
      <c r="B1432" s="5" t="str">
        <f>VLOOKUP($A1432,[1]!Customer_Names[#Data],3,0)</f>
        <v xml:space="preserve">  Laurie A</v>
      </c>
      <c r="C1432" s="5">
        <v>35.020000000000003</v>
      </c>
      <c r="D1432" s="5" t="str" cm="1">
        <f t="array" ref="D1432">_xlfn.IFS(Healthcare!$C1432&lt;18.5,"under weight",Healthcare!$C1432&lt;=24.9,"Normal Weight",Healthcare!$C1432&gt;=25,"overweight",Healthcare!$C1432&gt;=30,"obese")</f>
        <v>overweight</v>
      </c>
      <c r="E1432" s="5">
        <v>4.78</v>
      </c>
      <c r="F1432" s="5" t="str" cm="1">
        <f t="array" ref="F1432">_xlfn.IFS(Healthcare!$E1432&lt;5.7,"normal",Healthcare!$E1432&lt;=6.4,"prediabetes",Healthcare!$E1432&gt;=6.5,"diabetes")</f>
        <v>normal</v>
      </c>
      <c r="G1432" s="5" t="s">
        <v>19</v>
      </c>
      <c r="H1432" s="5" t="s">
        <v>19</v>
      </c>
      <c r="I1432" s="5" t="s">
        <v>29</v>
      </c>
      <c r="J1432" s="5">
        <v>1</v>
      </c>
      <c r="K1432" s="5" t="s">
        <v>19</v>
      </c>
      <c r="L1432" s="5" t="str">
        <f>VLOOKUP(Healthcare!$A1432,hospital_details,2,0)</f>
        <v>22-Jul-1993</v>
      </c>
      <c r="M1432" s="5">
        <f t="shared" ref="M1432:M1495" ca="1" si="8577">VLOOKUP(A1432,hospital_details,3,0)</f>
        <v>33</v>
      </c>
      <c r="N1432" s="5">
        <f t="shared" ref="N1432:N1495" si="8578">VLOOKUP($A1432,hospital_details,4,0)</f>
        <v>0</v>
      </c>
      <c r="O1432" s="6">
        <f t="shared" ref="O1432:O1495" si="8579">VLOOKUP($A1432,hospital_details,5,0)</f>
        <v>7388.85</v>
      </c>
      <c r="P1432" s="5" t="str">
        <f t="shared" ref="P1432:P1495" si="8580">VLOOKUP($A1432,hospital_details,6,0)</f>
        <v>tier - 2</v>
      </c>
      <c r="Q1432" s="5" t="str">
        <f t="shared" ref="Q1432:Q1495" si="8581">VLOOKUP($A1432,hospital_details,7,0)</f>
        <v>tier - 2</v>
      </c>
      <c r="R1432" s="5" t="str">
        <f t="shared" ref="R1432:R1495" si="8582">VLOOKUP($A1432,hospital_details,8,0)</f>
        <v>R1026</v>
      </c>
    </row>
    <row r="1433" spans="1:18" ht="14.4" customHeight="1" x14ac:dyDescent="0.3">
      <c r="A1433" s="7" t="s">
        <v>1453</v>
      </c>
      <c r="B1433" s="7" t="str">
        <f>VLOOKUP($A1433,[1]!Customer_Names[#Data],3,0)</f>
        <v xml:space="preserve">  Nicole</v>
      </c>
      <c r="C1433" s="7">
        <v>37.1</v>
      </c>
      <c r="D1433" s="7" t="str" cm="1">
        <f t="array" ref="D1433">_xlfn.IFS(Healthcare!$C1433&lt;18.5,"under weight",Healthcare!$C1433&lt;=24.9,"Normal Weight",Healthcare!$C1433&gt;=25,"overweight",Healthcare!$C1433&gt;=30,"obese")</f>
        <v>overweight</v>
      </c>
      <c r="E1433" s="7">
        <v>8.8699999999999992</v>
      </c>
      <c r="F1433" s="7" t="str" cm="1">
        <f t="array" ref="F1433">_xlfn.IFS(Healthcare!$E1433&lt;5.7,"normal",Healthcare!$E1433&lt;=6.4,"prediabetes",Healthcare!$E1433&gt;=6.5,"diabetes")</f>
        <v>diabetes</v>
      </c>
      <c r="G1433" s="7" t="s">
        <v>20</v>
      </c>
      <c r="H1433" s="7" t="s">
        <v>19</v>
      </c>
      <c r="I1433" s="7" t="s">
        <v>19</v>
      </c>
      <c r="J1433" s="7">
        <v>0</v>
      </c>
      <c r="K1433" s="7" t="s">
        <v>19</v>
      </c>
      <c r="L1433" s="7" t="str">
        <f>VLOOKUP(Healthcare!$A1433,hospital_details,2,0)</f>
        <v>24-Nov-1981</v>
      </c>
      <c r="M1433" s="7">
        <f t="shared" ref="M1433:M1496" ca="1" si="8583">VLOOKUP(A1433,hospital_details,3,0)</f>
        <v>44</v>
      </c>
      <c r="N1433" s="7">
        <f t="shared" ref="N1433:N1496" si="8584">VLOOKUP($A1433,hospital_details,4,0)</f>
        <v>2</v>
      </c>
      <c r="O1433" s="8">
        <f t="shared" ref="O1433:O1496" si="8585">VLOOKUP($A1433,hospital_details,5,0)</f>
        <v>7371.77</v>
      </c>
      <c r="P1433" s="7" t="str">
        <f t="shared" ref="P1433:P1496" si="8586">VLOOKUP($A1433,hospital_details,6,0)</f>
        <v>tier - 2</v>
      </c>
      <c r="Q1433" s="7" t="str">
        <f t="shared" ref="Q1433:Q1496" si="8587">VLOOKUP($A1433,hospital_details,7,0)</f>
        <v>tier - 1</v>
      </c>
      <c r="R1433" s="7" t="str">
        <f t="shared" ref="R1433:R1496" si="8588">VLOOKUP($A1433,hospital_details,8,0)</f>
        <v>R1011</v>
      </c>
    </row>
    <row r="1434" spans="1:18" ht="14.4" customHeight="1" x14ac:dyDescent="0.3">
      <c r="A1434" s="5" t="s">
        <v>1454</v>
      </c>
      <c r="B1434" s="5" t="str">
        <f>VLOOKUP($A1434,[1]!Customer_Names[#Data],3,0)</f>
        <v xml:space="preserve">  Shelby</v>
      </c>
      <c r="C1434" s="5">
        <v>16.79</v>
      </c>
      <c r="D1434" s="5" t="str" cm="1">
        <f t="array" ref="D1434">_xlfn.IFS(Healthcare!$C1434&lt;18.5,"under weight",Healthcare!$C1434&lt;=24.9,"Normal Weight",Healthcare!$C1434&gt;=25,"overweight",Healthcare!$C1434&gt;=30,"obese")</f>
        <v>under weight</v>
      </c>
      <c r="E1434" s="5">
        <v>11.4</v>
      </c>
      <c r="F1434" s="5" t="str" cm="1">
        <f t="array" ref="F1434">_xlfn.IFS(Healthcare!$E1434&lt;5.7,"normal",Healthcare!$E1434&lt;=6.4,"prediabetes",Healthcare!$E1434&gt;=6.5,"diabetes")</f>
        <v>diabetes</v>
      </c>
      <c r="G1434" s="5" t="s">
        <v>19</v>
      </c>
      <c r="H1434" s="5" t="s">
        <v>19</v>
      </c>
      <c r="I1434" s="5" t="s">
        <v>19</v>
      </c>
      <c r="J1434" s="5">
        <v>0</v>
      </c>
      <c r="K1434" s="5" t="s">
        <v>19</v>
      </c>
      <c r="L1434" s="5" t="str">
        <f>VLOOKUP(Healthcare!$A1434,hospital_details,2,0)</f>
        <v>9-Dec-1965</v>
      </c>
      <c r="M1434" s="5">
        <f t="shared" ref="M1434:M1497" ca="1" si="8589">VLOOKUP(A1434,hospital_details,3,0)</f>
        <v>60</v>
      </c>
      <c r="N1434" s="5">
        <f t="shared" ref="N1434:N1497" si="8590">VLOOKUP($A1434,hospital_details,4,0)</f>
        <v>0</v>
      </c>
      <c r="O1434" s="6">
        <f t="shared" ref="O1434:O1497" si="8591">VLOOKUP($A1434,hospital_details,5,0)</f>
        <v>7362.31</v>
      </c>
      <c r="P1434" s="5" t="str">
        <f t="shared" ref="P1434:P1497" si="8592">VLOOKUP($A1434,hospital_details,6,0)</f>
        <v>tier - 3</v>
      </c>
      <c r="Q1434" s="5" t="str">
        <f t="shared" ref="Q1434:Q1497" si="8593">VLOOKUP($A1434,hospital_details,7,0)</f>
        <v>tier - 3</v>
      </c>
      <c r="R1434" s="5" t="str">
        <f t="shared" ref="R1434:R1497" si="8594">VLOOKUP($A1434,hospital_details,8,0)</f>
        <v>R1013</v>
      </c>
    </row>
    <row r="1435" spans="1:18" ht="14.4" customHeight="1" x14ac:dyDescent="0.3">
      <c r="A1435" s="7" t="s">
        <v>1455</v>
      </c>
      <c r="B1435" s="7" t="str">
        <f>VLOOKUP($A1435,[1]!Customer_Names[#Data],3,0)</f>
        <v xml:space="preserve">  Allison</v>
      </c>
      <c r="C1435" s="7">
        <v>31.635000000000002</v>
      </c>
      <c r="D1435" s="7" t="str" cm="1">
        <f t="array" ref="D1435">_xlfn.IFS(Healthcare!$C1435&lt;18.5,"under weight",Healthcare!$C1435&lt;=24.9,"Normal Weight",Healthcare!$C1435&gt;=25,"overweight",Healthcare!$C1435&gt;=30,"obese")</f>
        <v>overweight</v>
      </c>
      <c r="E1435" s="7">
        <v>9.1300000000000008</v>
      </c>
      <c r="F1435" s="7" t="str" cm="1">
        <f t="array" ref="F1435">_xlfn.IFS(Healthcare!$E1435&lt;5.7,"normal",Healthcare!$E1435&lt;=6.4,"prediabetes",Healthcare!$E1435&gt;=6.5,"diabetes")</f>
        <v>diabetes</v>
      </c>
      <c r="G1435" s="7" t="s">
        <v>20</v>
      </c>
      <c r="H1435" s="7" t="s">
        <v>19</v>
      </c>
      <c r="I1435" s="7" t="s">
        <v>19</v>
      </c>
      <c r="J1435" s="7">
        <v>0</v>
      </c>
      <c r="K1435" s="7" t="s">
        <v>19</v>
      </c>
      <c r="L1435" s="7" t="str">
        <f>VLOOKUP(Healthcare!$A1435,hospital_details,2,0)</f>
        <v>16-Jul-1981</v>
      </c>
      <c r="M1435" s="7">
        <f t="shared" ref="M1435:M1498" ca="1" si="8595">VLOOKUP(A1435,hospital_details,3,0)</f>
        <v>45</v>
      </c>
      <c r="N1435" s="7">
        <f t="shared" ref="N1435:N1498" si="8596">VLOOKUP($A1435,hospital_details,4,0)</f>
        <v>1</v>
      </c>
      <c r="O1435" s="8">
        <f t="shared" ref="O1435:O1498" si="8597">VLOOKUP($A1435,hospital_details,5,0)</f>
        <v>7358.18</v>
      </c>
      <c r="P1435" s="7" t="str">
        <f t="shared" ref="P1435:P1498" si="8598">VLOOKUP($A1435,hospital_details,6,0)</f>
        <v>tier - 2</v>
      </c>
      <c r="Q1435" s="7" t="str">
        <f t="shared" ref="Q1435:Q1498" si="8599">VLOOKUP($A1435,hospital_details,7,0)</f>
        <v>tier - 3</v>
      </c>
      <c r="R1435" s="7" t="str">
        <f t="shared" ref="R1435:R1498" si="8600">VLOOKUP($A1435,hospital_details,8,0)</f>
        <v>R1024</v>
      </c>
    </row>
    <row r="1436" spans="1:18" ht="14.4" customHeight="1" x14ac:dyDescent="0.3">
      <c r="A1436" s="5" t="s">
        <v>1456</v>
      </c>
      <c r="B1436" s="5" t="str">
        <f>VLOOKUP($A1436,[1]!Customer_Names[#Data],3,0)</f>
        <v xml:space="preserve">  Leticia</v>
      </c>
      <c r="C1436" s="5">
        <v>24.19</v>
      </c>
      <c r="D1436" s="5" t="str" cm="1">
        <f t="array" ref="D1436">_xlfn.IFS(Healthcare!$C1436&lt;18.5,"under weight",Healthcare!$C1436&lt;=24.9,"Normal Weight",Healthcare!$C1436&gt;=25,"overweight",Healthcare!$C1436&gt;=30,"obese")</f>
        <v>Normal Weight</v>
      </c>
      <c r="E1436" s="5">
        <v>6.22</v>
      </c>
      <c r="F1436" s="5" t="str" cm="1">
        <f t="array" ref="F1436">_xlfn.IFS(Healthcare!$E1436&lt;5.7,"normal",Healthcare!$E1436&lt;=6.4,"prediabetes",Healthcare!$E1436&gt;=6.5,"diabetes")</f>
        <v>prediabetes</v>
      </c>
      <c r="G1436" s="5" t="s">
        <v>20</v>
      </c>
      <c r="H1436" s="5" t="s">
        <v>19</v>
      </c>
      <c r="I1436" s="5" t="s">
        <v>29</v>
      </c>
      <c r="J1436" s="5">
        <v>1</v>
      </c>
      <c r="K1436" s="5" t="s">
        <v>19</v>
      </c>
      <c r="L1436" s="5" t="str">
        <f>VLOOKUP(Healthcare!$A1436,hospital_details,2,0)</f>
        <v>21-Jun-1983</v>
      </c>
      <c r="M1436" s="5">
        <f t="shared" ref="M1436:M1499" ca="1" si="8601">VLOOKUP(A1436,hospital_details,3,0)</f>
        <v>43</v>
      </c>
      <c r="N1436" s="5">
        <f t="shared" ref="N1436:N1499" si="8602">VLOOKUP($A1436,hospital_details,4,0)</f>
        <v>3</v>
      </c>
      <c r="O1436" s="6">
        <f t="shared" ref="O1436:O1499" si="8603">VLOOKUP($A1436,hospital_details,5,0)</f>
        <v>7357.49</v>
      </c>
      <c r="P1436" s="5" t="str">
        <f t="shared" ref="P1436:P1499" si="8604">VLOOKUP($A1436,hospital_details,6,0)</f>
        <v>tier - 2</v>
      </c>
      <c r="Q1436" s="5" t="str">
        <f t="shared" ref="Q1436:Q1499" si="8605">VLOOKUP($A1436,hospital_details,7,0)</f>
        <v>tier - 2</v>
      </c>
      <c r="R1436" s="5" t="str">
        <f t="shared" ref="R1436:R1499" si="8606">VLOOKUP($A1436,hospital_details,8,0)</f>
        <v>R1012</v>
      </c>
    </row>
    <row r="1437" spans="1:18" ht="14.4" customHeight="1" x14ac:dyDescent="0.3">
      <c r="A1437" s="7" t="s">
        <v>1457</v>
      </c>
      <c r="B1437" s="7" t="str">
        <f>VLOOKUP($A1437,[1]!Customer_Names[#Data],3,0)</f>
        <v xml:space="preserve">  John S</v>
      </c>
      <c r="C1437" s="7">
        <v>35.29</v>
      </c>
      <c r="D1437" s="7" t="str" cm="1">
        <f t="array" ref="D1437">_xlfn.IFS(Healthcare!$C1437&lt;18.5,"under weight",Healthcare!$C1437&lt;=24.9,"Normal Weight",Healthcare!$C1437&gt;=25,"overweight",Healthcare!$C1437&gt;=30,"obese")</f>
        <v>overweight</v>
      </c>
      <c r="E1437" s="7">
        <v>5.9</v>
      </c>
      <c r="F1437" s="7" t="str" cm="1">
        <f t="array" ref="F1437">_xlfn.IFS(Healthcare!$E1437&lt;5.7,"normal",Healthcare!$E1437&lt;=6.4,"prediabetes",Healthcare!$E1437&gt;=6.5,"diabetes")</f>
        <v>prediabetes</v>
      </c>
      <c r="G1437" s="7" t="s">
        <v>19</v>
      </c>
      <c r="H1437" s="7" t="s">
        <v>19</v>
      </c>
      <c r="I1437" s="7" t="s">
        <v>29</v>
      </c>
      <c r="J1437" s="7">
        <v>1</v>
      </c>
      <c r="K1437" s="7" t="s">
        <v>19</v>
      </c>
      <c r="L1437" s="7" t="str">
        <f>VLOOKUP(Healthcare!$A1437,hospital_details,2,0)</f>
        <v>5-Oct-1993</v>
      </c>
      <c r="M1437" s="7">
        <f t="shared" ref="M1437:M1500" ca="1" si="8607">VLOOKUP(A1437,hospital_details,3,0)</f>
        <v>33</v>
      </c>
      <c r="N1437" s="7">
        <f t="shared" ref="N1437:N1500" si="8608">VLOOKUP($A1437,hospital_details,4,0)</f>
        <v>0</v>
      </c>
      <c r="O1437" s="8">
        <f t="shared" ref="O1437:O1500" si="8609">VLOOKUP($A1437,hospital_details,5,0)</f>
        <v>7349.12</v>
      </c>
      <c r="P1437" s="7" t="str">
        <f t="shared" ref="P1437:P1500" si="8610">VLOOKUP($A1437,hospital_details,6,0)</f>
        <v>tier - 2</v>
      </c>
      <c r="Q1437" s="7" t="str">
        <f t="shared" ref="Q1437:Q1500" si="8611">VLOOKUP($A1437,hospital_details,7,0)</f>
        <v>tier - 2</v>
      </c>
      <c r="R1437" s="7" t="str">
        <f t="shared" ref="R1437:R1500" si="8612">VLOOKUP($A1437,hospital_details,8,0)</f>
        <v>R1021</v>
      </c>
    </row>
    <row r="1438" spans="1:18" ht="14.4" customHeight="1" x14ac:dyDescent="0.3">
      <c r="A1438" s="5" t="s">
        <v>1458</v>
      </c>
      <c r="B1438" s="5" t="str">
        <f>VLOOKUP($A1438,[1]!Customer_Names[#Data],3,0)</f>
        <v xml:space="preserve">  April</v>
      </c>
      <c r="C1438" s="5">
        <v>35.299999999999997</v>
      </c>
      <c r="D1438" s="5" t="str" cm="1">
        <f t="array" ref="D1438">_xlfn.IFS(Healthcare!$C1438&lt;18.5,"under weight",Healthcare!$C1438&lt;=24.9,"Normal Weight",Healthcare!$C1438&gt;=25,"overweight",Healthcare!$C1438&gt;=30,"obese")</f>
        <v>overweight</v>
      </c>
      <c r="E1438" s="5">
        <v>4.45</v>
      </c>
      <c r="F1438" s="5" t="str" cm="1">
        <f t="array" ref="F1438">_xlfn.IFS(Healthcare!$E1438&lt;5.7,"normal",Healthcare!$E1438&lt;=6.4,"prediabetes",Healthcare!$E1438&gt;=6.5,"diabetes")</f>
        <v>normal</v>
      </c>
      <c r="G1438" s="5" t="s">
        <v>19</v>
      </c>
      <c r="H1438" s="5" t="s">
        <v>19</v>
      </c>
      <c r="I1438" s="5" t="s">
        <v>19</v>
      </c>
      <c r="J1438" s="5">
        <v>0</v>
      </c>
      <c r="K1438" s="5" t="s">
        <v>19</v>
      </c>
      <c r="L1438" s="5" t="str">
        <f>VLOOKUP(Healthcare!$A1438,hospital_details,2,0)</f>
        <v>1-Dec-1977</v>
      </c>
      <c r="M1438" s="5">
        <f t="shared" ref="M1438:M1501" ca="1" si="8613">VLOOKUP(A1438,hospital_details,3,0)</f>
        <v>48</v>
      </c>
      <c r="N1438" s="5">
        <f t="shared" ref="N1438:N1501" si="8614">VLOOKUP($A1438,hospital_details,4,0)</f>
        <v>0</v>
      </c>
      <c r="O1438" s="6">
        <f t="shared" ref="O1438:O1501" si="8615">VLOOKUP($A1438,hospital_details,5,0)</f>
        <v>7348.14</v>
      </c>
      <c r="P1438" s="5" t="str">
        <f t="shared" ref="P1438:P1501" si="8616">VLOOKUP($A1438,hospital_details,6,0)</f>
        <v>tier - 2</v>
      </c>
      <c r="Q1438" s="5" t="str">
        <f t="shared" ref="Q1438:Q1501" si="8617">VLOOKUP($A1438,hospital_details,7,0)</f>
        <v>tier - 1</v>
      </c>
      <c r="R1438" s="5" t="str">
        <f t="shared" ref="R1438:R1501" si="8618">VLOOKUP($A1438,hospital_details,8,0)</f>
        <v>R1011</v>
      </c>
    </row>
    <row r="1439" spans="1:18" ht="14.4" customHeight="1" x14ac:dyDescent="0.3">
      <c r="A1439" s="7" t="s">
        <v>1459</v>
      </c>
      <c r="B1439" s="7" t="str">
        <f>VLOOKUP($A1439,[1]!Customer_Names[#Data],3,0)</f>
        <v xml:space="preserve">  Ashley N</v>
      </c>
      <c r="C1439" s="7">
        <v>35.64</v>
      </c>
      <c r="D1439" s="7" t="str" cm="1">
        <f t="array" ref="D1439">_xlfn.IFS(Healthcare!$C1439&lt;18.5,"under weight",Healthcare!$C1439&lt;=24.9,"Normal Weight",Healthcare!$C1439&gt;=25,"overweight",Healthcare!$C1439&gt;=30,"obese")</f>
        <v>overweight</v>
      </c>
      <c r="E1439" s="7">
        <v>6.17</v>
      </c>
      <c r="F1439" s="7" t="str" cm="1">
        <f t="array" ref="F1439">_xlfn.IFS(Healthcare!$E1439&lt;5.7,"normal",Healthcare!$E1439&lt;=6.4,"prediabetes",Healthcare!$E1439&gt;=6.5,"diabetes")</f>
        <v>prediabetes</v>
      </c>
      <c r="G1439" s="7" t="s">
        <v>19</v>
      </c>
      <c r="H1439" s="7" t="s">
        <v>19</v>
      </c>
      <c r="I1439" s="7" t="s">
        <v>29</v>
      </c>
      <c r="J1439" s="7">
        <v>1</v>
      </c>
      <c r="K1439" s="7" t="s">
        <v>19</v>
      </c>
      <c r="L1439" s="7" t="str">
        <f>VLOOKUP(Healthcare!$A1439,hospital_details,2,0)</f>
        <v>26-Jun-1979</v>
      </c>
      <c r="M1439" s="7">
        <f t="shared" ref="M1439:M1502" ca="1" si="8619">VLOOKUP(A1439,hospital_details,3,0)</f>
        <v>47</v>
      </c>
      <c r="N1439" s="7">
        <f t="shared" ref="N1439:N1502" si="8620">VLOOKUP($A1439,hospital_details,4,0)</f>
        <v>1</v>
      </c>
      <c r="O1439" s="8">
        <f t="shared" ref="O1439:O1502" si="8621">VLOOKUP($A1439,hospital_details,5,0)</f>
        <v>7345.73</v>
      </c>
      <c r="P1439" s="7" t="str">
        <f t="shared" ref="P1439:P1502" si="8622">VLOOKUP($A1439,hospital_details,6,0)</f>
        <v>tier - 2</v>
      </c>
      <c r="Q1439" s="7" t="str">
        <f t="shared" ref="Q1439:Q1502" si="8623">VLOOKUP($A1439,hospital_details,7,0)</f>
        <v>tier - 1</v>
      </c>
      <c r="R1439" s="7" t="str">
        <f t="shared" ref="R1439:R1502" si="8624">VLOOKUP($A1439,hospital_details,8,0)</f>
        <v>R1013</v>
      </c>
    </row>
    <row r="1440" spans="1:18" ht="14.4" customHeight="1" x14ac:dyDescent="0.3">
      <c r="A1440" s="5" t="s">
        <v>1460</v>
      </c>
      <c r="B1440" s="5" t="str">
        <f>VLOOKUP($A1440,[1]!Customer_Names[#Data],3,0)</f>
        <v xml:space="preserve">  Madeleine</v>
      </c>
      <c r="C1440" s="5">
        <v>33.1</v>
      </c>
      <c r="D1440" s="5" t="str" cm="1">
        <f t="array" ref="D1440">_xlfn.IFS(Healthcare!$C1440&lt;18.5,"under weight",Healthcare!$C1440&lt;=24.9,"Normal Weight",Healthcare!$C1440&gt;=25,"overweight",Healthcare!$C1440&gt;=30,"obese")</f>
        <v>overweight</v>
      </c>
      <c r="E1440" s="5">
        <v>4.93</v>
      </c>
      <c r="F1440" s="5" t="str" cm="1">
        <f t="array" ref="F1440">_xlfn.IFS(Healthcare!$E1440&lt;5.7,"normal",Healthcare!$E1440&lt;=6.4,"prediabetes",Healthcare!$E1440&gt;=6.5,"diabetes")</f>
        <v>normal</v>
      </c>
      <c r="G1440" s="5" t="s">
        <v>19</v>
      </c>
      <c r="H1440" s="5" t="s">
        <v>19</v>
      </c>
      <c r="I1440" s="5" t="s">
        <v>19</v>
      </c>
      <c r="J1440" s="5">
        <v>0</v>
      </c>
      <c r="K1440" s="5" t="s">
        <v>19</v>
      </c>
      <c r="L1440" s="5" t="str">
        <f>VLOOKUP(Healthcare!$A1440,hospital_details,2,0)</f>
        <v>18-Dec-1977</v>
      </c>
      <c r="M1440" s="5">
        <f t="shared" ref="M1440:M1503" ca="1" si="8625">VLOOKUP(A1440,hospital_details,3,0)</f>
        <v>48</v>
      </c>
      <c r="N1440" s="5">
        <f t="shared" ref="N1440:N1503" si="8626">VLOOKUP($A1440,hospital_details,4,0)</f>
        <v>0</v>
      </c>
      <c r="O1440" s="6">
        <f t="shared" ref="O1440:O1503" si="8627">VLOOKUP($A1440,hospital_details,5,0)</f>
        <v>7345.08</v>
      </c>
      <c r="P1440" s="5" t="str">
        <f t="shared" ref="P1440:P1503" si="8628">VLOOKUP($A1440,hospital_details,6,0)</f>
        <v>tier - 2</v>
      </c>
      <c r="Q1440" s="5" t="str">
        <f t="shared" ref="Q1440:Q1503" si="8629">VLOOKUP($A1440,hospital_details,7,0)</f>
        <v>tier - 1</v>
      </c>
      <c r="R1440" s="5" t="str">
        <f t="shared" ref="R1440:R1503" si="8630">VLOOKUP($A1440,hospital_details,8,0)</f>
        <v>R1011</v>
      </c>
    </row>
    <row r="1441" spans="1:18" ht="14.4" customHeight="1" x14ac:dyDescent="0.3">
      <c r="A1441" s="7" t="s">
        <v>1461</v>
      </c>
      <c r="B1441" s="7" t="str">
        <f>VLOOKUP($A1441,[1]!Customer_Names[#Data],3,0)</f>
        <v xml:space="preserve">  Nelly S</v>
      </c>
      <c r="C1441" s="7">
        <v>26.41</v>
      </c>
      <c r="D1441" s="7" t="str" cm="1">
        <f t="array" ref="D1441">_xlfn.IFS(Healthcare!$C1441&lt;18.5,"under weight",Healthcare!$C1441&lt;=24.9,"Normal Weight",Healthcare!$C1441&gt;=25,"overweight",Healthcare!$C1441&gt;=30,"obese")</f>
        <v>overweight</v>
      </c>
      <c r="E1441" s="7">
        <v>7.32</v>
      </c>
      <c r="F1441" s="7" t="str" cm="1">
        <f t="array" ref="F1441">_xlfn.IFS(Healthcare!$E1441&lt;5.7,"normal",Healthcare!$E1441&lt;=6.4,"prediabetes",Healthcare!$E1441&gt;=6.5,"diabetes")</f>
        <v>diabetes</v>
      </c>
      <c r="G1441" s="7" t="s">
        <v>20</v>
      </c>
      <c r="H1441" s="7" t="s">
        <v>19</v>
      </c>
      <c r="I1441" s="7" t="s">
        <v>19</v>
      </c>
      <c r="J1441" s="7">
        <v>1</v>
      </c>
      <c r="K1441" s="7" t="s">
        <v>19</v>
      </c>
      <c r="L1441" s="7" t="str">
        <f>VLOOKUP(Healthcare!$A1441,hospital_details,2,0)</f>
        <v>15-Jun-1986</v>
      </c>
      <c r="M1441" s="7">
        <f t="shared" ref="M1441:M1504" ca="1" si="8631">VLOOKUP(A1441,hospital_details,3,0)</f>
        <v>40</v>
      </c>
      <c r="N1441" s="7">
        <f t="shared" ref="N1441:N1504" si="8632">VLOOKUP($A1441,hospital_details,4,0)</f>
        <v>3</v>
      </c>
      <c r="O1441" s="8">
        <f t="shared" ref="O1441:O1504" si="8633">VLOOKUP($A1441,hospital_details,5,0)</f>
        <v>7339.93</v>
      </c>
      <c r="P1441" s="7" t="str">
        <f t="shared" ref="P1441:P1504" si="8634">VLOOKUP($A1441,hospital_details,6,0)</f>
        <v>tier - 2</v>
      </c>
      <c r="Q1441" s="7" t="str">
        <f t="shared" ref="Q1441:Q1504" si="8635">VLOOKUP($A1441,hospital_details,7,0)</f>
        <v>tier - 2</v>
      </c>
      <c r="R1441" s="7" t="str">
        <f t="shared" ref="R1441:R1504" si="8636">VLOOKUP($A1441,hospital_details,8,0)</f>
        <v>R1012</v>
      </c>
    </row>
    <row r="1442" spans="1:18" ht="14.4" customHeight="1" x14ac:dyDescent="0.3">
      <c r="A1442" s="5" t="s">
        <v>1462</v>
      </c>
      <c r="B1442" s="5" t="str">
        <f>VLOOKUP($A1442,[1]!Customer_Names[#Data],3,0)</f>
        <v xml:space="preserve">  Meredith S</v>
      </c>
      <c r="C1442" s="5">
        <v>29.9</v>
      </c>
      <c r="D1442" s="5" t="str" cm="1">
        <f t="array" ref="D1442">_xlfn.IFS(Healthcare!$C1442&lt;18.5,"under weight",Healthcare!$C1442&lt;=24.9,"Normal Weight",Healthcare!$C1442&gt;=25,"overweight",Healthcare!$C1442&gt;=30,"obese")</f>
        <v>overweight</v>
      </c>
      <c r="E1442" s="5">
        <v>5.27</v>
      </c>
      <c r="F1442" s="5" t="str" cm="1">
        <f t="array" ref="F1442">_xlfn.IFS(Healthcare!$E1442&lt;5.7,"normal",Healthcare!$E1442&lt;=6.4,"prediabetes",Healthcare!$E1442&gt;=6.5,"diabetes")</f>
        <v>normal</v>
      </c>
      <c r="G1442" s="5" t="s">
        <v>19</v>
      </c>
      <c r="H1442" s="5" t="s">
        <v>19</v>
      </c>
      <c r="I1442" s="5" t="s">
        <v>29</v>
      </c>
      <c r="J1442" s="5">
        <v>1</v>
      </c>
      <c r="K1442" s="5" t="s">
        <v>19</v>
      </c>
      <c r="L1442" s="5" t="str">
        <f>VLOOKUP(Healthcare!$A1442,hospital_details,2,0)</f>
        <v>19-Sep-1979</v>
      </c>
      <c r="M1442" s="5">
        <f t="shared" ref="M1442:M1505" ca="1" si="8637">VLOOKUP(A1442,hospital_details,3,0)</f>
        <v>47</v>
      </c>
      <c r="N1442" s="5">
        <f t="shared" ref="N1442:N1505" si="8638">VLOOKUP($A1442,hospital_details,4,0)</f>
        <v>1</v>
      </c>
      <c r="O1442" s="6">
        <f t="shared" ref="O1442:O1505" si="8639">VLOOKUP($A1442,hospital_details,5,0)</f>
        <v>7337.75</v>
      </c>
      <c r="P1442" s="5" t="str">
        <f t="shared" ref="P1442:P1505" si="8640">VLOOKUP($A1442,hospital_details,6,0)</f>
        <v>tier - 2</v>
      </c>
      <c r="Q1442" s="5" t="str">
        <f t="shared" ref="Q1442:Q1505" si="8641">VLOOKUP($A1442,hospital_details,7,0)</f>
        <v>tier - 3</v>
      </c>
      <c r="R1442" s="5" t="str">
        <f t="shared" ref="R1442:R1505" si="8642">VLOOKUP($A1442,hospital_details,8,0)</f>
        <v>R1011</v>
      </c>
    </row>
    <row r="1443" spans="1:18" ht="14.4" customHeight="1" x14ac:dyDescent="0.3">
      <c r="A1443" s="7" t="s">
        <v>1463</v>
      </c>
      <c r="B1443" s="7" t="str">
        <f>VLOOKUP($A1443,[1]!Customer_Names[#Data],3,0)</f>
        <v xml:space="preserve">  Kevin</v>
      </c>
      <c r="C1443" s="7">
        <v>25.24</v>
      </c>
      <c r="D1443" s="7" t="str" cm="1">
        <f t="array" ref="D1443">_xlfn.IFS(Healthcare!$C1443&lt;18.5,"under weight",Healthcare!$C1443&lt;=24.9,"Normal Weight",Healthcare!$C1443&gt;=25,"overweight",Healthcare!$C1443&gt;=30,"obese")</f>
        <v>overweight</v>
      </c>
      <c r="E1443" s="7">
        <v>5.82</v>
      </c>
      <c r="F1443" s="7" t="str" cm="1">
        <f t="array" ref="F1443">_xlfn.IFS(Healthcare!$E1443&lt;5.7,"normal",Healthcare!$E1443&lt;=6.4,"prediabetes",Healthcare!$E1443&gt;=6.5,"diabetes")</f>
        <v>prediabetes</v>
      </c>
      <c r="G1443" s="7" t="s">
        <v>19</v>
      </c>
      <c r="H1443" s="7" t="s">
        <v>19</v>
      </c>
      <c r="I1443" s="7" t="s">
        <v>19</v>
      </c>
      <c r="J1443" s="7">
        <v>1</v>
      </c>
      <c r="K1443" s="7" t="s">
        <v>19</v>
      </c>
      <c r="L1443" s="7" t="str">
        <f>VLOOKUP(Healthcare!$A1443,hospital_details,2,0)</f>
        <v>25-Jul-1984</v>
      </c>
      <c r="M1443" s="7">
        <f t="shared" ref="M1443:M1506" ca="1" si="8643">VLOOKUP(A1443,hospital_details,3,0)</f>
        <v>42</v>
      </c>
      <c r="N1443" s="7">
        <f t="shared" ref="N1443:N1506" si="8644">VLOOKUP($A1443,hospital_details,4,0)</f>
        <v>3</v>
      </c>
      <c r="O1443" s="8">
        <f t="shared" ref="O1443:O1506" si="8645">VLOOKUP($A1443,hospital_details,5,0)</f>
        <v>7325.47</v>
      </c>
      <c r="P1443" s="7" t="str">
        <f t="shared" ref="P1443:P1506" si="8646">VLOOKUP($A1443,hospital_details,6,0)</f>
        <v>tier - 2</v>
      </c>
      <c r="Q1443" s="7" t="str">
        <f t="shared" ref="Q1443:Q1506" si="8647">VLOOKUP($A1443,hospital_details,7,0)</f>
        <v>tier - 1</v>
      </c>
      <c r="R1443" s="7" t="str">
        <f t="shared" ref="R1443:R1506" si="8648">VLOOKUP($A1443,hospital_details,8,0)</f>
        <v>R1012</v>
      </c>
    </row>
    <row r="1444" spans="1:18" ht="14.4" customHeight="1" x14ac:dyDescent="0.3">
      <c r="A1444" s="5" t="s">
        <v>1464</v>
      </c>
      <c r="B1444" s="5" t="str">
        <f>VLOOKUP($A1444,[1]!Customer_Names[#Data],3,0)</f>
        <v xml:space="preserve">  Lisa</v>
      </c>
      <c r="C1444" s="5">
        <v>25.08</v>
      </c>
      <c r="D1444" s="5" t="str" cm="1">
        <f t="array" ref="D1444">_xlfn.IFS(Healthcare!$C1444&lt;18.5,"under weight",Healthcare!$C1444&lt;=24.9,"Normal Weight",Healthcare!$C1444&gt;=25,"overweight",Healthcare!$C1444&gt;=30,"obese")</f>
        <v>overweight</v>
      </c>
      <c r="E1444" s="5">
        <v>5.8</v>
      </c>
      <c r="F1444" s="5" t="str" cm="1">
        <f t="array" ref="F1444">_xlfn.IFS(Healthcare!$E1444&lt;5.7,"normal",Healthcare!$E1444&lt;=6.4,"prediabetes",Healthcare!$E1444&gt;=6.5,"diabetes")</f>
        <v>prediabetes</v>
      </c>
      <c r="G1444" s="5" t="s">
        <v>19</v>
      </c>
      <c r="H1444" s="5" t="s">
        <v>19</v>
      </c>
      <c r="I1444" s="5" t="s">
        <v>29</v>
      </c>
      <c r="J1444" s="5">
        <v>1</v>
      </c>
      <c r="K1444" s="5" t="s">
        <v>19</v>
      </c>
      <c r="L1444" s="5" t="str">
        <f>VLOOKUP(Healthcare!$A1444,hospital_details,2,0)</f>
        <v>19-Jun-1979</v>
      </c>
      <c r="M1444" s="5">
        <f t="shared" ref="M1444:M1507" ca="1" si="8649">VLOOKUP(A1444,hospital_details,3,0)</f>
        <v>47</v>
      </c>
      <c r="N1444" s="5">
        <f t="shared" ref="N1444:N1507" si="8650">VLOOKUP($A1444,hospital_details,4,0)</f>
        <v>0</v>
      </c>
      <c r="O1444" s="6">
        <f t="shared" ref="O1444:O1507" si="8651">VLOOKUP($A1444,hospital_details,5,0)</f>
        <v>7325.05</v>
      </c>
      <c r="P1444" s="5" t="str">
        <f t="shared" ref="P1444:P1507" si="8652">VLOOKUP($A1444,hospital_details,6,0)</f>
        <v>tier - 2</v>
      </c>
      <c r="Q1444" s="5" t="str">
        <f t="shared" ref="Q1444:Q1507" si="8653">VLOOKUP($A1444,hospital_details,7,0)</f>
        <v>tier - 3</v>
      </c>
      <c r="R1444" s="5" t="str">
        <f t="shared" ref="R1444:R1507" si="8654">VLOOKUP($A1444,hospital_details,8,0)</f>
        <v>R1024</v>
      </c>
    </row>
    <row r="1445" spans="1:18" ht="14.4" customHeight="1" x14ac:dyDescent="0.3">
      <c r="A1445" s="7" t="s">
        <v>1465</v>
      </c>
      <c r="B1445" s="7" t="str">
        <f>VLOOKUP($A1445,[1]!Customer_Names[#Data],3,0)</f>
        <v xml:space="preserve">  Katherine A</v>
      </c>
      <c r="C1445" s="7">
        <v>29.164999999999999</v>
      </c>
      <c r="D1445" s="7" t="str" cm="1">
        <f t="array" ref="D1445">_xlfn.IFS(Healthcare!$C1445&lt;18.5,"under weight",Healthcare!$C1445&lt;=24.9,"Normal Weight",Healthcare!$C1445&gt;=25,"overweight",Healthcare!$C1445&gt;=30,"obese")</f>
        <v>overweight</v>
      </c>
      <c r="E1445" s="7">
        <v>4.87</v>
      </c>
      <c r="F1445" s="7" t="str" cm="1">
        <f t="array" ref="F1445">_xlfn.IFS(Healthcare!$E1445&lt;5.7,"normal",Healthcare!$E1445&lt;=6.4,"prediabetes",Healthcare!$E1445&gt;=6.5,"diabetes")</f>
        <v>normal</v>
      </c>
      <c r="G1445" s="7" t="s">
        <v>19</v>
      </c>
      <c r="H1445" s="7" t="s">
        <v>20</v>
      </c>
      <c r="I1445" s="7" t="s">
        <v>19</v>
      </c>
      <c r="J1445" s="7">
        <v>1</v>
      </c>
      <c r="K1445" s="7" t="s">
        <v>19</v>
      </c>
      <c r="L1445" s="7" t="str">
        <f>VLOOKUP(Healthcare!$A1445,hospital_details,2,0)</f>
        <v>15-Nov-2004</v>
      </c>
      <c r="M1445" s="7">
        <f t="shared" ref="M1445:M1508" ca="1" si="8655">VLOOKUP(A1445,hospital_details,3,0)</f>
        <v>21</v>
      </c>
      <c r="N1445" s="7">
        <f t="shared" ref="N1445:N1508" si="8656">VLOOKUP($A1445,hospital_details,4,0)</f>
        <v>0</v>
      </c>
      <c r="O1445" s="8">
        <f t="shared" ref="O1445:O1508" si="8657">VLOOKUP($A1445,hospital_details,5,0)</f>
        <v>7323.73</v>
      </c>
      <c r="P1445" s="7" t="str">
        <f t="shared" ref="P1445:P1508" si="8658">VLOOKUP($A1445,hospital_details,6,0)</f>
        <v>tier - 2</v>
      </c>
      <c r="Q1445" s="7" t="str">
        <f t="shared" ref="Q1445:Q1508" si="8659">VLOOKUP($A1445,hospital_details,7,0)</f>
        <v>tier - 2</v>
      </c>
      <c r="R1445" s="7" t="str">
        <f t="shared" ref="R1445:R1508" si="8660">VLOOKUP($A1445,hospital_details,8,0)</f>
        <v>R1024</v>
      </c>
    </row>
    <row r="1446" spans="1:18" ht="14.4" customHeight="1" x14ac:dyDescent="0.3">
      <c r="A1446" s="5" t="s">
        <v>1466</v>
      </c>
      <c r="B1446" s="5" t="str">
        <f>VLOOKUP($A1446,[1]!Customer_Names[#Data],3,0)</f>
        <v xml:space="preserve">  Steve</v>
      </c>
      <c r="C1446" s="5">
        <v>15.05</v>
      </c>
      <c r="D1446" s="5" t="str" cm="1">
        <f t="array" ref="D1446">_xlfn.IFS(Healthcare!$C1446&lt;18.5,"under weight",Healthcare!$C1446&lt;=24.9,"Normal Weight",Healthcare!$C1446&gt;=25,"overweight",Healthcare!$C1446&gt;=30,"obese")</f>
        <v>under weight</v>
      </c>
      <c r="E1446" s="5">
        <v>8.1199999999999992</v>
      </c>
      <c r="F1446" s="5" t="str" cm="1">
        <f t="array" ref="F1446">_xlfn.IFS(Healthcare!$E1446&lt;5.7,"normal",Healthcare!$E1446&lt;=6.4,"prediabetes",Healthcare!$E1446&gt;=6.5,"diabetes")</f>
        <v>diabetes</v>
      </c>
      <c r="G1446" s="5" t="s">
        <v>19</v>
      </c>
      <c r="H1446" s="5" t="s">
        <v>19</v>
      </c>
      <c r="I1446" s="5" t="s">
        <v>19</v>
      </c>
      <c r="J1446" s="5">
        <v>0</v>
      </c>
      <c r="K1446" s="5" t="s">
        <v>19</v>
      </c>
      <c r="L1446" s="5" t="str">
        <f>VLOOKUP(Healthcare!$A1446,hospital_details,2,0)</f>
        <v>11-Jul-1965</v>
      </c>
      <c r="M1446" s="5">
        <f t="shared" ref="M1446:M1509" ca="1" si="8661">VLOOKUP(A1446,hospital_details,3,0)</f>
        <v>61</v>
      </c>
      <c r="N1446" s="5">
        <f t="shared" ref="N1446:N1509" si="8662">VLOOKUP($A1446,hospital_details,4,0)</f>
        <v>0</v>
      </c>
      <c r="O1446" s="6">
        <f t="shared" ref="O1446:O1509" si="8663">VLOOKUP($A1446,hospital_details,5,0)</f>
        <v>7322.86</v>
      </c>
      <c r="P1446" s="5" t="str">
        <f t="shared" ref="P1446:P1509" si="8664">VLOOKUP($A1446,hospital_details,6,0)</f>
        <v>tier - 3</v>
      </c>
      <c r="Q1446" s="5" t="str">
        <f t="shared" ref="Q1446:Q1509" si="8665">VLOOKUP($A1446,hospital_details,7,0)</f>
        <v>tier - 3</v>
      </c>
      <c r="R1446" s="5" t="str">
        <f t="shared" ref="R1446:R1509" si="8666">VLOOKUP($A1446,hospital_details,8,0)</f>
        <v>R1012</v>
      </c>
    </row>
    <row r="1447" spans="1:18" ht="14.4" customHeight="1" x14ac:dyDescent="0.3">
      <c r="A1447" s="7" t="s">
        <v>1467</v>
      </c>
      <c r="B1447" s="7" t="str">
        <f>VLOOKUP($A1447,[1]!Customer_Names[#Data],3,0)</f>
        <v xml:space="preserve">  Kate L</v>
      </c>
      <c r="C1447" s="7">
        <v>19.95</v>
      </c>
      <c r="D1447" s="7" t="str" cm="1">
        <f t="array" ref="D1447">_xlfn.IFS(Healthcare!$C1447&lt;18.5,"under weight",Healthcare!$C1447&lt;=24.9,"Normal Weight",Healthcare!$C1447&gt;=25,"overweight",Healthcare!$C1447&gt;=30,"obese")</f>
        <v>Normal Weight</v>
      </c>
      <c r="E1447" s="7">
        <v>4.3600000000000003</v>
      </c>
      <c r="F1447" s="7" t="str" cm="1">
        <f t="array" ref="F1447">_xlfn.IFS(Healthcare!$E1447&lt;5.7,"normal",Healthcare!$E1447&lt;=6.4,"prediabetes",Healthcare!$E1447&gt;=6.5,"diabetes")</f>
        <v>normal</v>
      </c>
      <c r="G1447" s="7" t="s">
        <v>19</v>
      </c>
      <c r="H1447" s="7" t="s">
        <v>19</v>
      </c>
      <c r="I1447" s="7" t="s">
        <v>19</v>
      </c>
      <c r="J1447" s="7">
        <v>2</v>
      </c>
      <c r="K1447" s="7" t="s">
        <v>19</v>
      </c>
      <c r="L1447" s="7" t="str">
        <f>VLOOKUP(Healthcare!$A1447,hospital_details,2,0)</f>
        <v>11-Aug-1972</v>
      </c>
      <c r="M1447" s="7">
        <f t="shared" ref="M1447:M1510" ca="1" si="8667">VLOOKUP(A1447,hospital_details,3,0)</f>
        <v>54</v>
      </c>
      <c r="N1447" s="7">
        <f t="shared" ref="N1447:N1510" si="8668">VLOOKUP($A1447,hospital_details,4,0)</f>
        <v>0</v>
      </c>
      <c r="O1447" s="8">
        <f t="shared" ref="O1447:O1510" si="8669">VLOOKUP($A1447,hospital_details,5,0)</f>
        <v>7318.22</v>
      </c>
      <c r="P1447" s="7" t="str">
        <f t="shared" ref="P1447:P1510" si="8670">VLOOKUP($A1447,hospital_details,6,0)</f>
        <v>tier - 2</v>
      </c>
      <c r="Q1447" s="7" t="str">
        <f t="shared" ref="Q1447:Q1510" si="8671">VLOOKUP($A1447,hospital_details,7,0)</f>
        <v>tier - 3</v>
      </c>
      <c r="R1447" s="7" t="str">
        <f t="shared" ref="R1447:R1510" si="8672">VLOOKUP($A1447,hospital_details,8,0)</f>
        <v>R1012</v>
      </c>
    </row>
    <row r="1448" spans="1:18" ht="14.4" customHeight="1" x14ac:dyDescent="0.3">
      <c r="A1448" s="5" t="s">
        <v>1468</v>
      </c>
      <c r="B1448" s="5" t="str">
        <f>VLOOKUP($A1448,[1]!Customer_Names[#Data],3,0)</f>
        <v xml:space="preserve">  Beth</v>
      </c>
      <c r="C1448" s="5">
        <v>16.66</v>
      </c>
      <c r="D1448" s="5" t="str" cm="1">
        <f t="array" ref="D1448">_xlfn.IFS(Healthcare!$C1448&lt;18.5,"under weight",Healthcare!$C1448&lt;=24.9,"Normal Weight",Healthcare!$C1448&gt;=25,"overweight",Healthcare!$C1448&gt;=30,"obese")</f>
        <v>under weight</v>
      </c>
      <c r="E1448" s="5">
        <v>9.16</v>
      </c>
      <c r="F1448" s="5" t="str" cm="1">
        <f t="array" ref="F1448">_xlfn.IFS(Healthcare!$E1448&lt;5.7,"normal",Healthcare!$E1448&lt;=6.4,"prediabetes",Healthcare!$E1448&gt;=6.5,"diabetes")</f>
        <v>diabetes</v>
      </c>
      <c r="G1448" s="5" t="s">
        <v>19</v>
      </c>
      <c r="H1448" s="5" t="s">
        <v>19</v>
      </c>
      <c r="I1448" s="5" t="s">
        <v>19</v>
      </c>
      <c r="J1448" s="5">
        <v>0</v>
      </c>
      <c r="K1448" s="5" t="s">
        <v>19</v>
      </c>
      <c r="L1448" s="5" t="str">
        <f>VLOOKUP(Healthcare!$A1448,hospital_details,2,0)</f>
        <v>25-Jun-1965</v>
      </c>
      <c r="M1448" s="5">
        <f t="shared" ref="M1448:M1511" ca="1" si="8673">VLOOKUP(A1448,hospital_details,3,0)</f>
        <v>61</v>
      </c>
      <c r="N1448" s="5">
        <f t="shared" ref="N1448:N1511" si="8674">VLOOKUP($A1448,hospital_details,4,0)</f>
        <v>0</v>
      </c>
      <c r="O1448" s="6">
        <f t="shared" ref="O1448:O1511" si="8675">VLOOKUP($A1448,hospital_details,5,0)</f>
        <v>7318.21</v>
      </c>
      <c r="P1448" s="5" t="str">
        <f t="shared" ref="P1448:P1511" si="8676">VLOOKUP($A1448,hospital_details,6,0)</f>
        <v>tier - 3</v>
      </c>
      <c r="Q1448" s="5" t="str">
        <f t="shared" ref="Q1448:Q1511" si="8677">VLOOKUP($A1448,hospital_details,7,0)</f>
        <v>tier - 1</v>
      </c>
      <c r="R1448" s="5" t="str">
        <f t="shared" ref="R1448:R1511" si="8678">VLOOKUP($A1448,hospital_details,8,0)</f>
        <v>R1013</v>
      </c>
    </row>
    <row r="1449" spans="1:18" ht="14.4" customHeight="1" x14ac:dyDescent="0.3">
      <c r="A1449" s="7" t="s">
        <v>1469</v>
      </c>
      <c r="B1449" s="7" t="str">
        <f>VLOOKUP($A1449,[1]!Customer_Names[#Data],3,0)</f>
        <v xml:space="preserve">  Katharine</v>
      </c>
      <c r="C1449" s="7">
        <v>16.62</v>
      </c>
      <c r="D1449" s="7" t="str" cm="1">
        <f t="array" ref="D1449">_xlfn.IFS(Healthcare!$C1449&lt;18.5,"under weight",Healthcare!$C1449&lt;=24.9,"Normal Weight",Healthcare!$C1449&gt;=25,"overweight",Healthcare!$C1449&gt;=30,"obese")</f>
        <v>under weight</v>
      </c>
      <c r="E1449" s="7">
        <v>9.14</v>
      </c>
      <c r="F1449" s="7" t="str" cm="1">
        <f t="array" ref="F1449">_xlfn.IFS(Healthcare!$E1449&lt;5.7,"normal",Healthcare!$E1449&lt;=6.4,"prediabetes",Healthcare!$E1449&gt;=6.5,"diabetes")</f>
        <v>diabetes</v>
      </c>
      <c r="G1449" s="7" t="s">
        <v>19</v>
      </c>
      <c r="H1449" s="7" t="s">
        <v>19</v>
      </c>
      <c r="I1449" s="7" t="s">
        <v>19</v>
      </c>
      <c r="J1449" s="7">
        <v>0</v>
      </c>
      <c r="K1449" s="7" t="s">
        <v>19</v>
      </c>
      <c r="L1449" s="7" t="str">
        <f>VLOOKUP(Healthcare!$A1449,hospital_details,2,0)</f>
        <v>6-Jun-1965</v>
      </c>
      <c r="M1449" s="7">
        <f t="shared" ref="M1449:M1512" ca="1" si="8679">VLOOKUP(A1449,hospital_details,3,0)</f>
        <v>61</v>
      </c>
      <c r="N1449" s="7">
        <f t="shared" ref="N1449:N1512" si="8680">VLOOKUP($A1449,hospital_details,4,0)</f>
        <v>0</v>
      </c>
      <c r="O1449" s="8">
        <f t="shared" ref="O1449:O1512" si="8681">VLOOKUP($A1449,hospital_details,5,0)</f>
        <v>7304.65</v>
      </c>
      <c r="P1449" s="7" t="str">
        <f t="shared" ref="P1449:P1512" si="8682">VLOOKUP($A1449,hospital_details,6,0)</f>
        <v>tier - 3</v>
      </c>
      <c r="Q1449" s="7" t="str">
        <f t="shared" ref="Q1449:Q1512" si="8683">VLOOKUP($A1449,hospital_details,7,0)</f>
        <v>tier - 3</v>
      </c>
      <c r="R1449" s="7" t="str">
        <f t="shared" ref="R1449:R1512" si="8684">VLOOKUP($A1449,hospital_details,8,0)</f>
        <v>R1013</v>
      </c>
    </row>
    <row r="1450" spans="1:18" ht="14.4" customHeight="1" x14ac:dyDescent="0.3">
      <c r="A1450" s="5" t="s">
        <v>1470</v>
      </c>
      <c r="B1450" s="5" t="str">
        <f>VLOOKUP($A1450,[1]!Customer_Names[#Data],3,0)</f>
        <v xml:space="preserve">  Heather L</v>
      </c>
      <c r="C1450" s="5">
        <v>15.36</v>
      </c>
      <c r="D1450" s="5" t="str" cm="1">
        <f t="array" ref="D1450">_xlfn.IFS(Healthcare!$C1450&lt;18.5,"under weight",Healthcare!$C1450&lt;=24.9,"Normal Weight",Healthcare!$C1450&gt;=25,"overweight",Healthcare!$C1450&gt;=30,"obese")</f>
        <v>under weight</v>
      </c>
      <c r="E1450" s="5">
        <v>5.49</v>
      </c>
      <c r="F1450" s="5" t="str" cm="1">
        <f t="array" ref="F1450">_xlfn.IFS(Healthcare!$E1450&lt;5.7,"normal",Healthcare!$E1450&lt;=6.4,"prediabetes",Healthcare!$E1450&gt;=6.5,"diabetes")</f>
        <v>normal</v>
      </c>
      <c r="G1450" s="5" t="s">
        <v>20</v>
      </c>
      <c r="H1450" s="5" t="s">
        <v>19</v>
      </c>
      <c r="I1450" s="5" t="s">
        <v>19</v>
      </c>
      <c r="J1450" s="5">
        <v>2</v>
      </c>
      <c r="K1450" s="5" t="s">
        <v>19</v>
      </c>
      <c r="L1450" s="5" t="str">
        <f>VLOOKUP(Healthcare!$A1450,hospital_details,2,0)</f>
        <v>26-Dec-1966</v>
      </c>
      <c r="M1450" s="5">
        <f t="shared" ref="M1450:M1513" ca="1" si="8685">VLOOKUP(A1450,hospital_details,3,0)</f>
        <v>59</v>
      </c>
      <c r="N1450" s="5">
        <f t="shared" ref="N1450:N1513" si="8686">VLOOKUP($A1450,hospital_details,4,0)</f>
        <v>0</v>
      </c>
      <c r="O1450" s="6">
        <f t="shared" ref="O1450:O1513" si="8687">VLOOKUP($A1450,hospital_details,5,0)</f>
        <v>7302.46</v>
      </c>
      <c r="P1450" s="5" t="str">
        <f t="shared" ref="P1450:P1513" si="8688">VLOOKUP($A1450,hospital_details,6,0)</f>
        <v>tier - 3</v>
      </c>
      <c r="Q1450" s="5" t="str">
        <f t="shared" ref="Q1450:Q1513" si="8689">VLOOKUP($A1450,hospital_details,7,0)</f>
        <v>tier - 1</v>
      </c>
      <c r="R1450" s="5" t="str">
        <f t="shared" ref="R1450:R1513" si="8690">VLOOKUP($A1450,hospital_details,8,0)</f>
        <v>R1012</v>
      </c>
    </row>
    <row r="1451" spans="1:18" ht="14.4" customHeight="1" x14ac:dyDescent="0.3">
      <c r="A1451" s="7" t="s">
        <v>1471</v>
      </c>
      <c r="B1451" s="7" t="str">
        <f>VLOOKUP($A1451,[1]!Customer_Names[#Data],3,0)</f>
        <v xml:space="preserve">  Desiree</v>
      </c>
      <c r="C1451" s="7">
        <v>27.74</v>
      </c>
      <c r="D1451" s="7" t="str" cm="1">
        <f t="array" ref="D1451">_xlfn.IFS(Healthcare!$C1451&lt;18.5,"under weight",Healthcare!$C1451&lt;=24.9,"Normal Weight",Healthcare!$C1451&gt;=25,"overweight",Healthcare!$C1451&gt;=30,"obese")</f>
        <v>overweight</v>
      </c>
      <c r="E1451" s="7">
        <v>5.96</v>
      </c>
      <c r="F1451" s="7" t="str" cm="1">
        <f t="array" ref="F1451">_xlfn.IFS(Healthcare!$E1451&lt;5.7,"normal",Healthcare!$E1451&lt;=6.4,"prediabetes",Healthcare!$E1451&gt;=6.5,"diabetes")</f>
        <v>prediabetes</v>
      </c>
      <c r="G1451" s="7" t="s">
        <v>20</v>
      </c>
      <c r="H1451" s="7" t="s">
        <v>19</v>
      </c>
      <c r="I1451" s="7" t="s">
        <v>19</v>
      </c>
      <c r="J1451" s="7">
        <v>0</v>
      </c>
      <c r="K1451" s="7" t="s">
        <v>19</v>
      </c>
      <c r="L1451" s="7" t="str">
        <f>VLOOKUP(Healthcare!$A1451,hospital_details,2,0)</f>
        <v>2-Nov-1985</v>
      </c>
      <c r="M1451" s="7">
        <f t="shared" ref="M1451:M1514" ca="1" si="8691">VLOOKUP(A1451,hospital_details,3,0)</f>
        <v>40</v>
      </c>
      <c r="N1451" s="7">
        <f t="shared" ref="N1451:N1514" si="8692">VLOOKUP($A1451,hospital_details,4,0)</f>
        <v>3</v>
      </c>
      <c r="O1451" s="8">
        <f t="shared" ref="O1451:O1514" si="8693">VLOOKUP($A1451,hospital_details,5,0)</f>
        <v>7281.51</v>
      </c>
      <c r="P1451" s="7" t="str">
        <f t="shared" ref="P1451:P1514" si="8694">VLOOKUP($A1451,hospital_details,6,0)</f>
        <v>tier - 2</v>
      </c>
      <c r="Q1451" s="7" t="str">
        <f t="shared" ref="Q1451:Q1514" si="8695">VLOOKUP($A1451,hospital_details,7,0)</f>
        <v>tier - 1</v>
      </c>
      <c r="R1451" s="7" t="str">
        <f t="shared" ref="R1451:R1514" si="8696">VLOOKUP($A1451,hospital_details,8,0)</f>
        <v>R1012</v>
      </c>
    </row>
    <row r="1452" spans="1:18" ht="14.4" customHeight="1" x14ac:dyDescent="0.3">
      <c r="A1452" s="5" t="s">
        <v>1472</v>
      </c>
      <c r="B1452" s="5" t="str">
        <f>VLOOKUP($A1452,[1]!Customer_Names[#Data],3,0)</f>
        <v xml:space="preserve">  Peter B</v>
      </c>
      <c r="C1452" s="5">
        <v>22.44</v>
      </c>
      <c r="D1452" s="5" t="str" cm="1">
        <f t="array" ref="D1452">_xlfn.IFS(Healthcare!$C1452&lt;18.5,"under weight",Healthcare!$C1452&lt;=24.9,"Normal Weight",Healthcare!$C1452&gt;=25,"overweight",Healthcare!$C1452&gt;=30,"obese")</f>
        <v>Normal Weight</v>
      </c>
      <c r="E1452" s="5">
        <v>4.62</v>
      </c>
      <c r="F1452" s="5" t="str" cm="1">
        <f t="array" ref="F1452">_xlfn.IFS(Healthcare!$E1452&lt;5.7,"normal",Healthcare!$E1452&lt;=6.4,"prediabetes",Healthcare!$E1452&gt;=6.5,"diabetes")</f>
        <v>normal</v>
      </c>
      <c r="G1452" s="5" t="s">
        <v>20</v>
      </c>
      <c r="H1452" s="5" t="s">
        <v>19</v>
      </c>
      <c r="I1452" s="5" t="s">
        <v>19</v>
      </c>
      <c r="J1452" s="5">
        <v>0</v>
      </c>
      <c r="K1452" s="5" t="s">
        <v>19</v>
      </c>
      <c r="L1452" s="5" t="str">
        <f>VLOOKUP(Healthcare!$A1452,hospital_details,2,0)</f>
        <v>18-Dec-1976</v>
      </c>
      <c r="M1452" s="5">
        <f t="shared" ref="M1452:M1515" ca="1" si="8697">VLOOKUP(A1452,hospital_details,3,0)</f>
        <v>49</v>
      </c>
      <c r="N1452" s="5">
        <f t="shared" ref="N1452:N1515" si="8698">VLOOKUP($A1452,hospital_details,4,0)</f>
        <v>2</v>
      </c>
      <c r="O1452" s="6">
        <f t="shared" ref="O1452:O1515" si="8699">VLOOKUP($A1452,hospital_details,5,0)</f>
        <v>7273.02</v>
      </c>
      <c r="P1452" s="5" t="str">
        <f t="shared" ref="P1452:P1515" si="8700">VLOOKUP($A1452,hospital_details,6,0)</f>
        <v>tier - 2</v>
      </c>
      <c r="Q1452" s="5" t="str">
        <f t="shared" ref="Q1452:Q1515" si="8701">VLOOKUP($A1452,hospital_details,7,0)</f>
        <v>tier - 1</v>
      </c>
      <c r="R1452" s="5" t="str">
        <f t="shared" ref="R1452:R1515" si="8702">VLOOKUP($A1452,hospital_details,8,0)</f>
        <v>R1013</v>
      </c>
    </row>
    <row r="1453" spans="1:18" ht="14.4" customHeight="1" x14ac:dyDescent="0.3">
      <c r="A1453" s="7" t="s">
        <v>1473</v>
      </c>
      <c r="B1453" s="7" t="str">
        <f>VLOOKUP($A1453,[1]!Customer_Names[#Data],3,0)</f>
        <v xml:space="preserve">  Adam</v>
      </c>
      <c r="C1453" s="7">
        <v>37.049999999999997</v>
      </c>
      <c r="D1453" s="7" t="str" cm="1">
        <f t="array" ref="D1453">_xlfn.IFS(Healthcare!$C1453&lt;18.5,"under weight",Healthcare!$C1453&lt;=24.9,"Normal Weight",Healthcare!$C1453&gt;=25,"overweight",Healthcare!$C1453&gt;=30,"obese")</f>
        <v>overweight</v>
      </c>
      <c r="E1453" s="7">
        <v>9.9600000000000009</v>
      </c>
      <c r="F1453" s="7" t="str" cm="1">
        <f t="array" ref="F1453">_xlfn.IFS(Healthcare!$E1453&lt;5.7,"normal",Healthcare!$E1453&lt;=6.4,"prediabetes",Healthcare!$E1453&gt;=6.5,"diabetes")</f>
        <v>diabetes</v>
      </c>
      <c r="G1453" s="7" t="s">
        <v>20</v>
      </c>
      <c r="H1453" s="7" t="s">
        <v>19</v>
      </c>
      <c r="I1453" s="7" t="s">
        <v>19</v>
      </c>
      <c r="J1453" s="7">
        <v>0</v>
      </c>
      <c r="K1453" s="7" t="s">
        <v>19</v>
      </c>
      <c r="L1453" s="7" t="str">
        <f>VLOOKUP(Healthcare!$A1453,hospital_details,2,0)</f>
        <v>4-Aug-1981</v>
      </c>
      <c r="M1453" s="7">
        <f t="shared" ref="M1453:M1516" ca="1" si="8703">VLOOKUP(A1453,hospital_details,3,0)</f>
        <v>45</v>
      </c>
      <c r="N1453" s="7">
        <f t="shared" ref="N1453:N1516" si="8704">VLOOKUP($A1453,hospital_details,4,0)</f>
        <v>2</v>
      </c>
      <c r="O1453" s="8">
        <f t="shared" ref="O1453:O1516" si="8705">VLOOKUP($A1453,hospital_details,5,0)</f>
        <v>7265.7</v>
      </c>
      <c r="P1453" s="7" t="str">
        <f t="shared" ref="P1453:P1516" si="8706">VLOOKUP($A1453,hospital_details,6,0)</f>
        <v>tier - 3</v>
      </c>
      <c r="Q1453" s="7" t="str">
        <f t="shared" ref="Q1453:Q1516" si="8707">VLOOKUP($A1453,hospital_details,7,0)</f>
        <v>tier - 3</v>
      </c>
      <c r="R1453" s="7" t="str">
        <f t="shared" ref="R1453:R1516" si="8708">VLOOKUP($A1453,hospital_details,8,0)</f>
        <v>R1012</v>
      </c>
    </row>
    <row r="1454" spans="1:18" ht="14.4" customHeight="1" x14ac:dyDescent="0.3">
      <c r="A1454" s="5" t="s">
        <v>1474</v>
      </c>
      <c r="B1454" s="5" t="str">
        <f>VLOOKUP($A1454,[1]!Customer_Names[#Data],3,0)</f>
        <v xml:space="preserve">  Jeremy J</v>
      </c>
      <c r="C1454" s="5">
        <v>22.95</v>
      </c>
      <c r="D1454" s="5" t="str" cm="1">
        <f t="array" ref="D1454">_xlfn.IFS(Healthcare!$C1454&lt;18.5,"under weight",Healthcare!$C1454&lt;=24.9,"Normal Weight",Healthcare!$C1454&gt;=25,"overweight",Healthcare!$C1454&gt;=30,"obese")</f>
        <v>Normal Weight</v>
      </c>
      <c r="E1454" s="5">
        <v>10.53</v>
      </c>
      <c r="F1454" s="5" t="str" cm="1">
        <f t="array" ref="F1454">_xlfn.IFS(Healthcare!$E1454&lt;5.7,"normal",Healthcare!$E1454&lt;=6.4,"prediabetes",Healthcare!$E1454&gt;=6.5,"diabetes")</f>
        <v>diabetes</v>
      </c>
      <c r="G1454" s="5" t="s">
        <v>19</v>
      </c>
      <c r="H1454" s="5" t="s">
        <v>19</v>
      </c>
      <c r="I1454" s="5" t="s">
        <v>19</v>
      </c>
      <c r="J1454" s="5">
        <v>2</v>
      </c>
      <c r="K1454" s="5" t="s">
        <v>19</v>
      </c>
      <c r="L1454" s="5" t="str">
        <f>VLOOKUP(Healthcare!$A1454,hospital_details,2,0)</f>
        <v>25-Oct-1973</v>
      </c>
      <c r="M1454" s="5">
        <f t="shared" ref="M1454:M1517" ca="1" si="8709">VLOOKUP(A1454,hospital_details,3,0)</f>
        <v>52</v>
      </c>
      <c r="N1454" s="5">
        <f t="shared" ref="N1454:N1517" si="8710">VLOOKUP($A1454,hospital_details,4,0)</f>
        <v>0</v>
      </c>
      <c r="O1454" s="6">
        <f t="shared" ref="O1454:O1517" si="8711">VLOOKUP($A1454,hospital_details,5,0)</f>
        <v>7265.58</v>
      </c>
      <c r="P1454" s="5" t="str">
        <f t="shared" ref="P1454:P1517" si="8712">VLOOKUP($A1454,hospital_details,6,0)</f>
        <v>tier - 2</v>
      </c>
      <c r="Q1454" s="5" t="str">
        <f t="shared" ref="Q1454:Q1517" si="8713">VLOOKUP($A1454,hospital_details,7,0)</f>
        <v>tier - 2</v>
      </c>
      <c r="R1454" s="5" t="str">
        <f t="shared" ref="R1454:R1517" si="8714">VLOOKUP($A1454,hospital_details,8,0)</f>
        <v>R1013</v>
      </c>
    </row>
    <row r="1455" spans="1:18" ht="14.4" customHeight="1" x14ac:dyDescent="0.3">
      <c r="A1455" s="7" t="s">
        <v>1475</v>
      </c>
      <c r="B1455" s="7" t="str">
        <f>VLOOKUP($A1455,[1]!Customer_Names[#Data],3,0)</f>
        <v xml:space="preserve">  Adam C</v>
      </c>
      <c r="C1455" s="7">
        <v>34.200000000000003</v>
      </c>
      <c r="D1455" s="7" t="str" cm="1">
        <f t="array" ref="D1455">_xlfn.IFS(Healthcare!$C1455&lt;18.5,"under weight",Healthcare!$C1455&lt;=24.9,"Normal Weight",Healthcare!$C1455&gt;=25,"overweight",Healthcare!$C1455&gt;=30,"obese")</f>
        <v>overweight</v>
      </c>
      <c r="E1455" s="7">
        <v>6.69</v>
      </c>
      <c r="F1455" s="7" t="str" cm="1">
        <f t="array" ref="F1455">_xlfn.IFS(Healthcare!$E1455&lt;5.7,"normal",Healthcare!$E1455&lt;=6.4,"prediabetes",Healthcare!$E1455&gt;=6.5,"diabetes")</f>
        <v>diabetes</v>
      </c>
      <c r="G1455" s="7" t="s">
        <v>20</v>
      </c>
      <c r="H1455" s="7" t="s">
        <v>19</v>
      </c>
      <c r="I1455" s="7" t="s">
        <v>19</v>
      </c>
      <c r="J1455" s="7">
        <v>0</v>
      </c>
      <c r="K1455" s="7" t="s">
        <v>19</v>
      </c>
      <c r="L1455" s="7" t="str">
        <f>VLOOKUP(Healthcare!$A1455,hospital_details,2,0)</f>
        <v>13-Jun-1981</v>
      </c>
      <c r="M1455" s="7">
        <f t="shared" ref="M1455:M1518" ca="1" si="8715">VLOOKUP(A1455,hospital_details,3,0)</f>
        <v>45</v>
      </c>
      <c r="N1455" s="7">
        <f t="shared" ref="N1455:N1518" si="8716">VLOOKUP($A1455,hospital_details,4,0)</f>
        <v>2</v>
      </c>
      <c r="O1455" s="8">
        <f t="shared" ref="O1455:O1518" si="8717">VLOOKUP($A1455,hospital_details,5,0)</f>
        <v>7261.74</v>
      </c>
      <c r="P1455" s="7" t="str">
        <f t="shared" ref="P1455:P1518" si="8718">VLOOKUP($A1455,hospital_details,6,0)</f>
        <v>tier - 3</v>
      </c>
      <c r="Q1455" s="7" t="str">
        <f t="shared" ref="Q1455:Q1518" si="8719">VLOOKUP($A1455,hospital_details,7,0)</f>
        <v>tier - 3</v>
      </c>
      <c r="R1455" s="7" t="str">
        <f t="shared" ref="R1455:R1518" si="8720">VLOOKUP($A1455,hospital_details,8,0)</f>
        <v>R1012</v>
      </c>
    </row>
    <row r="1456" spans="1:18" ht="14.4" customHeight="1" x14ac:dyDescent="0.3">
      <c r="A1456" s="5" t="s">
        <v>1476</v>
      </c>
      <c r="B1456" s="5" t="str">
        <f>VLOOKUP($A1456,[1]!Customer_Names[#Data],3,0)</f>
        <v xml:space="preserve">  Jon</v>
      </c>
      <c r="C1456" s="5">
        <v>30.59</v>
      </c>
      <c r="D1456" s="5" t="str" cm="1">
        <f t="array" ref="D1456">_xlfn.IFS(Healthcare!$C1456&lt;18.5,"under weight",Healthcare!$C1456&lt;=24.9,"Normal Weight",Healthcare!$C1456&gt;=25,"overweight",Healthcare!$C1456&gt;=30,"obese")</f>
        <v>overweight</v>
      </c>
      <c r="E1456" s="5">
        <v>9.5500000000000007</v>
      </c>
      <c r="F1456" s="5" t="str" cm="1">
        <f t="array" ref="F1456">_xlfn.IFS(Healthcare!$E1456&lt;5.7,"normal",Healthcare!$E1456&lt;=6.4,"prediabetes",Healthcare!$E1456&gt;=6.5,"diabetes")</f>
        <v>diabetes</v>
      </c>
      <c r="G1456" s="5" t="s">
        <v>20</v>
      </c>
      <c r="H1456" s="5" t="s">
        <v>19</v>
      </c>
      <c r="I1456" s="5" t="s">
        <v>19</v>
      </c>
      <c r="J1456" s="5">
        <v>0</v>
      </c>
      <c r="K1456" s="5" t="s">
        <v>19</v>
      </c>
      <c r="L1456" s="5" t="str">
        <f>VLOOKUP(Healthcare!$A1456,hospital_details,2,0)</f>
        <v>14-Aug-1981</v>
      </c>
      <c r="M1456" s="5">
        <f t="shared" ref="M1456:M1519" ca="1" si="8721">VLOOKUP(A1456,hospital_details,3,0)</f>
        <v>45</v>
      </c>
      <c r="N1456" s="5">
        <f t="shared" ref="N1456:N1519" si="8722">VLOOKUP($A1456,hospital_details,4,0)</f>
        <v>2</v>
      </c>
      <c r="O1456" s="6">
        <f t="shared" ref="O1456:O1519" si="8723">VLOOKUP($A1456,hospital_details,5,0)</f>
        <v>7256.72</v>
      </c>
      <c r="P1456" s="5" t="str">
        <f t="shared" ref="P1456:P1519" si="8724">VLOOKUP($A1456,hospital_details,6,0)</f>
        <v>tier - 3</v>
      </c>
      <c r="Q1456" s="5" t="str">
        <f t="shared" ref="Q1456:Q1519" si="8725">VLOOKUP($A1456,hospital_details,7,0)</f>
        <v>tier - 2</v>
      </c>
      <c r="R1456" s="5" t="str">
        <f t="shared" ref="R1456:R1519" si="8726">VLOOKUP($A1456,hospital_details,8,0)</f>
        <v>R1012</v>
      </c>
    </row>
    <row r="1457" spans="1:18" ht="14.4" customHeight="1" x14ac:dyDescent="0.3">
      <c r="A1457" s="7" t="s">
        <v>1477</v>
      </c>
      <c r="B1457" s="7" t="str">
        <f>VLOOKUP($A1457,[1]!Customer_Names[#Data],3,0)</f>
        <v xml:space="preserve">  Steven J</v>
      </c>
      <c r="C1457" s="7">
        <v>25.51</v>
      </c>
      <c r="D1457" s="7" t="str" cm="1">
        <f t="array" ref="D1457">_xlfn.IFS(Healthcare!$C1457&lt;18.5,"under weight",Healthcare!$C1457&lt;=24.9,"Normal Weight",Healthcare!$C1457&gt;=25,"overweight",Healthcare!$C1457&gt;=30,"obese")</f>
        <v>overweight</v>
      </c>
      <c r="E1457" s="7">
        <v>6.05</v>
      </c>
      <c r="F1457" s="7" t="str" cm="1">
        <f t="array" ref="F1457">_xlfn.IFS(Healthcare!$E1457&lt;5.7,"normal",Healthcare!$E1457&lt;=6.4,"prediabetes",Healthcare!$E1457&gt;=6.5,"diabetes")</f>
        <v>prediabetes</v>
      </c>
      <c r="G1457" s="7" t="s">
        <v>19</v>
      </c>
      <c r="H1457" s="7" t="s">
        <v>19</v>
      </c>
      <c r="I1457" s="7" t="s">
        <v>19</v>
      </c>
      <c r="J1457" s="7">
        <v>0</v>
      </c>
      <c r="K1457" s="7" t="s">
        <v>19</v>
      </c>
      <c r="L1457" s="7" t="str">
        <f>VLOOKUP(Healthcare!$A1457,hospital_details,2,0)</f>
        <v>24-Jul-1982</v>
      </c>
      <c r="M1457" s="7">
        <f t="shared" ref="M1457:M1520" ca="1" si="8727">VLOOKUP(A1457,hospital_details,3,0)</f>
        <v>44</v>
      </c>
      <c r="N1457" s="7">
        <f t="shared" ref="N1457:N1520" si="8728">VLOOKUP($A1457,hospital_details,4,0)</f>
        <v>3</v>
      </c>
      <c r="O1457" s="8">
        <f t="shared" ref="O1457:O1520" si="8729">VLOOKUP($A1457,hospital_details,5,0)</f>
        <v>7248.71</v>
      </c>
      <c r="P1457" s="7" t="str">
        <f t="shared" ref="P1457:P1520" si="8730">VLOOKUP($A1457,hospital_details,6,0)</f>
        <v>tier - 2</v>
      </c>
      <c r="Q1457" s="7" t="str">
        <f t="shared" ref="Q1457:Q1520" si="8731">VLOOKUP($A1457,hospital_details,7,0)</f>
        <v>tier - 1</v>
      </c>
      <c r="R1457" s="7" t="str">
        <f t="shared" ref="R1457:R1520" si="8732">VLOOKUP($A1457,hospital_details,8,0)</f>
        <v>R1013</v>
      </c>
    </row>
    <row r="1458" spans="1:18" ht="14.4" customHeight="1" x14ac:dyDescent="0.3">
      <c r="A1458" s="5" t="s">
        <v>1478</v>
      </c>
      <c r="B1458" s="5" t="str">
        <f>VLOOKUP($A1458,[1]!Customer_Names[#Data],3,0)</f>
        <v xml:space="preserve">  Jessica P</v>
      </c>
      <c r="C1458" s="5">
        <v>29.04</v>
      </c>
      <c r="D1458" s="5" t="str" cm="1">
        <f t="array" ref="D1458">_xlfn.IFS(Healthcare!$C1458&lt;18.5,"under weight",Healthcare!$C1458&lt;=24.9,"Normal Weight",Healthcare!$C1458&gt;=25,"overweight",Healthcare!$C1458&gt;=30,"obese")</f>
        <v>overweight</v>
      </c>
      <c r="E1458" s="5">
        <v>10.56</v>
      </c>
      <c r="F1458" s="5" t="str" cm="1">
        <f t="array" ref="F1458">_xlfn.IFS(Healthcare!$E1458&lt;5.7,"normal",Healthcare!$E1458&lt;=6.4,"prediabetes",Healthcare!$E1458&gt;=6.5,"diabetes")</f>
        <v>diabetes</v>
      </c>
      <c r="G1458" s="5" t="s">
        <v>20</v>
      </c>
      <c r="H1458" s="5" t="s">
        <v>19</v>
      </c>
      <c r="I1458" s="5" t="s">
        <v>19</v>
      </c>
      <c r="J1458" s="5">
        <v>1</v>
      </c>
      <c r="K1458" s="5" t="s">
        <v>19</v>
      </c>
      <c r="L1458" s="5" t="str">
        <f>VLOOKUP(Healthcare!$A1458,hospital_details,2,0)</f>
        <v>2-Sep-1986</v>
      </c>
      <c r="M1458" s="5">
        <f t="shared" ref="M1458:M1521" ca="1" si="8733">VLOOKUP(A1458,hospital_details,3,0)</f>
        <v>40</v>
      </c>
      <c r="N1458" s="5">
        <f t="shared" ref="N1458:N1521" si="8734">VLOOKUP($A1458,hospital_details,4,0)</f>
        <v>4</v>
      </c>
      <c r="O1458" s="6">
        <f t="shared" ref="O1458:O1521" si="8735">VLOOKUP($A1458,hospital_details,5,0)</f>
        <v>7243.81</v>
      </c>
      <c r="P1458" s="5" t="str">
        <f t="shared" ref="P1458:P1521" si="8736">VLOOKUP($A1458,hospital_details,6,0)</f>
        <v>tier - 2</v>
      </c>
      <c r="Q1458" s="5" t="str">
        <f t="shared" ref="Q1458:Q1521" si="8737">VLOOKUP($A1458,hospital_details,7,0)</f>
        <v>tier - 3</v>
      </c>
      <c r="R1458" s="5" t="str">
        <f t="shared" ref="R1458:R1521" si="8738">VLOOKUP($A1458,hospital_details,8,0)</f>
        <v>R1013</v>
      </c>
    </row>
    <row r="1459" spans="1:18" ht="14.4" customHeight="1" x14ac:dyDescent="0.3">
      <c r="A1459" s="7" t="s">
        <v>1479</v>
      </c>
      <c r="B1459" s="7" t="str">
        <f>VLOOKUP($A1459,[1]!Customer_Names[#Data],3,0)</f>
        <v xml:space="preserve">  Ashley</v>
      </c>
      <c r="C1459" s="7">
        <v>22.135000000000002</v>
      </c>
      <c r="D1459" s="7" t="str" cm="1">
        <f t="array" ref="D1459">_xlfn.IFS(Healthcare!$C1459&lt;18.5,"under weight",Healthcare!$C1459&lt;=24.9,"Normal Weight",Healthcare!$C1459&gt;=25,"overweight",Healthcare!$C1459&gt;=30,"obese")</f>
        <v>Normal Weight</v>
      </c>
      <c r="E1459" s="7">
        <v>10.81</v>
      </c>
      <c r="F1459" s="7" t="str" cm="1">
        <f t="array" ref="F1459">_xlfn.IFS(Healthcare!$E1459&lt;5.7,"normal",Healthcare!$E1459&lt;=6.4,"prediabetes",Healthcare!$E1459&gt;=6.5,"diabetes")</f>
        <v>diabetes</v>
      </c>
      <c r="G1459" s="7" t="s">
        <v>20</v>
      </c>
      <c r="H1459" s="7" t="s">
        <v>19</v>
      </c>
      <c r="I1459" s="7" t="s">
        <v>19</v>
      </c>
      <c r="J1459" s="7">
        <v>1</v>
      </c>
      <c r="K1459" s="7" t="s">
        <v>19</v>
      </c>
      <c r="L1459" s="7" t="str">
        <f>VLOOKUP(Healthcare!$A1459,hospital_details,2,0)</f>
        <v>13-Jul-1986</v>
      </c>
      <c r="M1459" s="7">
        <f t="shared" ref="M1459:M1522" ca="1" si="8739">VLOOKUP(A1459,hospital_details,3,0)</f>
        <v>40</v>
      </c>
      <c r="N1459" s="7">
        <f t="shared" ref="N1459:N1522" si="8740">VLOOKUP($A1459,hospital_details,4,0)</f>
        <v>3</v>
      </c>
      <c r="O1459" s="8">
        <f t="shared" ref="O1459:O1522" si="8741">VLOOKUP($A1459,hospital_details,5,0)</f>
        <v>7228.22</v>
      </c>
      <c r="P1459" s="7" t="str">
        <f t="shared" ref="P1459:P1522" si="8742">VLOOKUP($A1459,hospital_details,6,0)</f>
        <v>tier - 2</v>
      </c>
      <c r="Q1459" s="7" t="str">
        <f t="shared" ref="Q1459:Q1522" si="8743">VLOOKUP($A1459,hospital_details,7,0)</f>
        <v>tier - 1</v>
      </c>
      <c r="R1459" s="7" t="str">
        <f t="shared" ref="R1459:R1522" si="8744">VLOOKUP($A1459,hospital_details,8,0)</f>
        <v>R1024</v>
      </c>
    </row>
    <row r="1460" spans="1:18" ht="14.4" customHeight="1" x14ac:dyDescent="0.3">
      <c r="A1460" s="5" t="s">
        <v>1480</v>
      </c>
      <c r="B1460" s="5" t="str">
        <f>VLOOKUP($A1460,[1]!Customer_Names[#Data],3,0)</f>
        <v xml:space="preserve">  Arturo H</v>
      </c>
      <c r="C1460" s="5">
        <v>21.375</v>
      </c>
      <c r="D1460" s="5" t="str" cm="1">
        <f t="array" ref="D1460">_xlfn.IFS(Healthcare!$C1460&lt;18.5,"under weight",Healthcare!$C1460&lt;=24.9,"Normal Weight",Healthcare!$C1460&gt;=25,"overweight",Healthcare!$C1460&gt;=30,"obese")</f>
        <v>Normal Weight</v>
      </c>
      <c r="E1460" s="5">
        <v>4.32</v>
      </c>
      <c r="F1460" s="5" t="str" cm="1">
        <f t="array" ref="F1460">_xlfn.IFS(Healthcare!$E1460&lt;5.7,"normal",Healthcare!$E1460&lt;=6.4,"prediabetes",Healthcare!$E1460&gt;=6.5,"diabetes")</f>
        <v>normal</v>
      </c>
      <c r="G1460" s="5" t="s">
        <v>19</v>
      </c>
      <c r="H1460" s="5" t="s">
        <v>19</v>
      </c>
      <c r="I1460" s="5" t="s">
        <v>19</v>
      </c>
      <c r="J1460" s="5">
        <v>0</v>
      </c>
      <c r="K1460" s="5" t="s">
        <v>19</v>
      </c>
      <c r="L1460" s="5" t="str">
        <f>VLOOKUP(Healthcare!$A1460,hospital_details,2,0)</f>
        <v>15-Sep-1977</v>
      </c>
      <c r="M1460" s="5">
        <f t="shared" ref="M1460:M1523" ca="1" si="8745">VLOOKUP(A1460,hospital_details,3,0)</f>
        <v>49</v>
      </c>
      <c r="N1460" s="5">
        <f t="shared" ref="N1460:N1523" si="8746">VLOOKUP($A1460,hospital_details,4,0)</f>
        <v>0</v>
      </c>
      <c r="O1460" s="6">
        <f t="shared" ref="O1460:O1523" si="8747">VLOOKUP($A1460,hospital_details,5,0)</f>
        <v>7222.79</v>
      </c>
      <c r="P1460" s="5" t="str">
        <f t="shared" ref="P1460:P1523" si="8748">VLOOKUP($A1460,hospital_details,6,0)</f>
        <v>tier - 3</v>
      </c>
      <c r="Q1460" s="5" t="str">
        <f t="shared" ref="Q1460:Q1523" si="8749">VLOOKUP($A1460,hospital_details,7,0)</f>
        <v>tier - 3</v>
      </c>
      <c r="R1460" s="5" t="str">
        <f t="shared" ref="R1460:R1523" si="8750">VLOOKUP($A1460,hospital_details,8,0)</f>
        <v>R1012</v>
      </c>
    </row>
    <row r="1461" spans="1:18" ht="14.4" customHeight="1" x14ac:dyDescent="0.3">
      <c r="A1461" s="7" t="s">
        <v>1481</v>
      </c>
      <c r="B1461" s="7" t="str">
        <f>VLOOKUP($A1461,[1]!Customer_Names[#Data],3,0)</f>
        <v xml:space="preserve">  Ketil</v>
      </c>
      <c r="C1461" s="7">
        <v>29.19</v>
      </c>
      <c r="D1461" s="7" t="str" cm="1">
        <f t="array" ref="D1461">_xlfn.IFS(Healthcare!$C1461&lt;18.5,"under weight",Healthcare!$C1461&lt;=24.9,"Normal Weight",Healthcare!$C1461&gt;=25,"overweight",Healthcare!$C1461&gt;=30,"obese")</f>
        <v>overweight</v>
      </c>
      <c r="E1461" s="7">
        <v>4.37</v>
      </c>
      <c r="F1461" s="7" t="str" cm="1">
        <f t="array" ref="F1461">_xlfn.IFS(Healthcare!$E1461&lt;5.7,"normal",Healthcare!$E1461&lt;=6.4,"prediabetes",Healthcare!$E1461&gt;=6.5,"diabetes")</f>
        <v>normal</v>
      </c>
      <c r="G1461" s="7" t="s">
        <v>19</v>
      </c>
      <c r="H1461" s="7" t="s">
        <v>19</v>
      </c>
      <c r="I1461" s="7" t="s">
        <v>19</v>
      </c>
      <c r="J1461" s="7">
        <v>0</v>
      </c>
      <c r="K1461" s="7" t="s">
        <v>19</v>
      </c>
      <c r="L1461" s="7" t="str">
        <f>VLOOKUP(Healthcare!$A1461,hospital_details,2,0)</f>
        <v>28-Jun-1991</v>
      </c>
      <c r="M1461" s="7">
        <f t="shared" ref="M1461:M1524" ca="1" si="8751">VLOOKUP(A1461,hospital_details,3,0)</f>
        <v>35</v>
      </c>
      <c r="N1461" s="7">
        <f t="shared" ref="N1461:N1524" si="8752">VLOOKUP($A1461,hospital_details,4,0)</f>
        <v>3</v>
      </c>
      <c r="O1461" s="8">
        <f t="shared" ref="O1461:O1524" si="8753">VLOOKUP($A1461,hospital_details,5,0)</f>
        <v>7220.25</v>
      </c>
      <c r="P1461" s="7" t="str">
        <f t="shared" ref="P1461:P1524" si="8754">VLOOKUP($A1461,hospital_details,6,0)</f>
        <v>tier - 2</v>
      </c>
      <c r="Q1461" s="7" t="str">
        <f t="shared" ref="Q1461:Q1524" si="8755">VLOOKUP($A1461,hospital_details,7,0)</f>
        <v>tier - 2</v>
      </c>
      <c r="R1461" s="7" t="str">
        <f t="shared" ref="R1461:R1524" si="8756">VLOOKUP($A1461,hospital_details,8,0)</f>
        <v>R1021</v>
      </c>
    </row>
    <row r="1462" spans="1:18" ht="14.4" customHeight="1" x14ac:dyDescent="0.3">
      <c r="A1462" s="5" t="s">
        <v>1482</v>
      </c>
      <c r="B1462" s="5" t="str">
        <f>VLOOKUP($A1462,[1]!Customer_Names[#Data],3,0)</f>
        <v xml:space="preserve">  Katie</v>
      </c>
      <c r="C1462" s="5">
        <v>31.92</v>
      </c>
      <c r="D1462" s="5" t="str" cm="1">
        <f t="array" ref="D1462">_xlfn.IFS(Healthcare!$C1462&lt;18.5,"under weight",Healthcare!$C1462&lt;=24.9,"Normal Weight",Healthcare!$C1462&gt;=25,"overweight",Healthcare!$C1462&gt;=30,"obese")</f>
        <v>overweight</v>
      </c>
      <c r="E1462" s="5">
        <v>4.8099999999999996</v>
      </c>
      <c r="F1462" s="5" t="str" cm="1">
        <f t="array" ref="F1462">_xlfn.IFS(Healthcare!$E1462&lt;5.7,"normal",Healthcare!$E1462&lt;=6.4,"prediabetes",Healthcare!$E1462&gt;=6.5,"diabetes")</f>
        <v>normal</v>
      </c>
      <c r="G1462" s="5" t="s">
        <v>20</v>
      </c>
      <c r="H1462" s="5" t="s">
        <v>19</v>
      </c>
      <c r="I1462" s="5" t="s">
        <v>29</v>
      </c>
      <c r="J1462" s="5">
        <v>1</v>
      </c>
      <c r="K1462" s="5" t="s">
        <v>19</v>
      </c>
      <c r="L1462" s="5" t="str">
        <f>VLOOKUP(Healthcare!$A1462,hospital_details,2,0)</f>
        <v>21-Nov-1983</v>
      </c>
      <c r="M1462" s="5">
        <f t="shared" ref="M1462:M1525" ca="1" si="8757">VLOOKUP(A1462,hospital_details,3,0)</f>
        <v>42</v>
      </c>
      <c r="N1462" s="5">
        <f t="shared" ref="N1462:N1525" si="8758">VLOOKUP($A1462,hospital_details,4,0)</f>
        <v>2</v>
      </c>
      <c r="O1462" s="6">
        <f t="shared" ref="O1462:O1525" si="8759">VLOOKUP($A1462,hospital_details,5,0)</f>
        <v>7209.49</v>
      </c>
      <c r="P1462" s="5" t="str">
        <f t="shared" ref="P1462:P1525" si="8760">VLOOKUP($A1462,hospital_details,6,0)</f>
        <v>tier - 2</v>
      </c>
      <c r="Q1462" s="5" t="str">
        <f t="shared" ref="Q1462:Q1525" si="8761">VLOOKUP($A1462,hospital_details,7,0)</f>
        <v>tier - 3</v>
      </c>
      <c r="R1462" s="5" t="str">
        <f t="shared" ref="R1462:R1525" si="8762">VLOOKUP($A1462,hospital_details,8,0)</f>
        <v>R1012</v>
      </c>
    </row>
    <row r="1463" spans="1:18" ht="14.4" customHeight="1" x14ac:dyDescent="0.3">
      <c r="A1463" s="7" t="s">
        <v>1483</v>
      </c>
      <c r="B1463" s="7" t="str">
        <f>VLOOKUP($A1463,[1]!Customer_Names[#Data],3,0)</f>
        <v xml:space="preserve">  Christi</v>
      </c>
      <c r="C1463" s="7">
        <v>26.315000000000001</v>
      </c>
      <c r="D1463" s="7" t="str" cm="1">
        <f t="array" ref="D1463">_xlfn.IFS(Healthcare!$C1463&lt;18.5,"under weight",Healthcare!$C1463&lt;=24.9,"Normal Weight",Healthcare!$C1463&gt;=25,"overweight",Healthcare!$C1463&gt;=30,"obese")</f>
        <v>overweight</v>
      </c>
      <c r="E1463" s="7">
        <v>4.5599999999999996</v>
      </c>
      <c r="F1463" s="7" t="str" cm="1">
        <f t="array" ref="F1463">_xlfn.IFS(Healthcare!$E1463&lt;5.7,"normal",Healthcare!$E1463&lt;=6.4,"prediabetes",Healthcare!$E1463&gt;=6.5,"diabetes")</f>
        <v>normal</v>
      </c>
      <c r="G1463" s="7" t="s">
        <v>20</v>
      </c>
      <c r="H1463" s="7" t="s">
        <v>19</v>
      </c>
      <c r="I1463" s="7" t="s">
        <v>29</v>
      </c>
      <c r="J1463" s="7">
        <v>1</v>
      </c>
      <c r="K1463" s="7" t="s">
        <v>19</v>
      </c>
      <c r="L1463" s="7" t="str">
        <f>VLOOKUP(Healthcare!$A1463,hospital_details,2,0)</f>
        <v>11-Aug-1983</v>
      </c>
      <c r="M1463" s="7">
        <f t="shared" ref="M1463:M1526" ca="1" si="8763">VLOOKUP(A1463,hospital_details,3,0)</f>
        <v>43</v>
      </c>
      <c r="N1463" s="7">
        <f t="shared" ref="N1463:N1526" si="8764">VLOOKUP($A1463,hospital_details,4,0)</f>
        <v>2</v>
      </c>
      <c r="O1463" s="8">
        <f t="shared" ref="O1463:O1526" si="8765">VLOOKUP($A1463,hospital_details,5,0)</f>
        <v>7201.7</v>
      </c>
      <c r="P1463" s="7" t="str">
        <f t="shared" ref="P1463:P1526" si="8766">VLOOKUP($A1463,hospital_details,6,0)</f>
        <v>tier - 2</v>
      </c>
      <c r="Q1463" s="7" t="str">
        <f t="shared" ref="Q1463:Q1526" si="8767">VLOOKUP($A1463,hospital_details,7,0)</f>
        <v>tier - 3</v>
      </c>
      <c r="R1463" s="7" t="str">
        <f t="shared" ref="R1463:R1526" si="8768">VLOOKUP($A1463,hospital_details,8,0)</f>
        <v>R1012</v>
      </c>
    </row>
    <row r="1464" spans="1:18" ht="14.4" customHeight="1" x14ac:dyDescent="0.3">
      <c r="A1464" s="5" t="s">
        <v>1484</v>
      </c>
      <c r="B1464" s="5" t="str">
        <f>VLOOKUP($A1464,[1]!Customer_Names[#Data],3,0)</f>
        <v xml:space="preserve">  Alan</v>
      </c>
      <c r="C1464" s="5">
        <v>35.299999999999997</v>
      </c>
      <c r="D1464" s="5" t="str" cm="1">
        <f t="array" ref="D1464">_xlfn.IFS(Healthcare!$C1464&lt;18.5,"under weight",Healthcare!$C1464&lt;=24.9,"Normal Weight",Healthcare!$C1464&gt;=25,"overweight",Healthcare!$C1464&gt;=30,"obese")</f>
        <v>overweight</v>
      </c>
      <c r="E1464" s="5">
        <v>4.3899999999999997</v>
      </c>
      <c r="F1464" s="5" t="str" cm="1">
        <f t="array" ref="F1464">_xlfn.IFS(Healthcare!$E1464&lt;5.7,"normal",Healthcare!$E1464&lt;=6.4,"prediabetes",Healthcare!$E1464&gt;=6.5,"diabetes")</f>
        <v>normal</v>
      </c>
      <c r="G1464" s="5" t="s">
        <v>19</v>
      </c>
      <c r="H1464" s="5" t="s">
        <v>19</v>
      </c>
      <c r="I1464" s="5" t="s">
        <v>19</v>
      </c>
      <c r="J1464" s="5">
        <v>0</v>
      </c>
      <c r="K1464" s="5" t="s">
        <v>19</v>
      </c>
      <c r="L1464" s="5" t="str">
        <f>VLOOKUP(Healthcare!$A1464,hospital_details,2,0)</f>
        <v>14-Sep-1982</v>
      </c>
      <c r="M1464" s="5">
        <f t="shared" ref="M1464:M1527" ca="1" si="8769">VLOOKUP(A1464,hospital_details,3,0)</f>
        <v>44</v>
      </c>
      <c r="N1464" s="5">
        <f t="shared" ref="N1464:N1527" si="8770">VLOOKUP($A1464,hospital_details,4,0)</f>
        <v>3</v>
      </c>
      <c r="O1464" s="6">
        <f t="shared" ref="O1464:O1527" si="8771">VLOOKUP($A1464,hospital_details,5,0)</f>
        <v>7196.87</v>
      </c>
      <c r="P1464" s="5" t="str">
        <f t="shared" ref="P1464:P1527" si="8772">VLOOKUP($A1464,hospital_details,6,0)</f>
        <v>tier - 3</v>
      </c>
      <c r="Q1464" s="5" t="str">
        <f t="shared" ref="Q1464:Q1527" si="8773">VLOOKUP($A1464,hospital_details,7,0)</f>
        <v>tier - 2</v>
      </c>
      <c r="R1464" s="5" t="str">
        <f t="shared" ref="R1464:R1527" si="8774">VLOOKUP($A1464,hospital_details,8,0)</f>
        <v>R1011</v>
      </c>
    </row>
    <row r="1465" spans="1:18" ht="14.4" customHeight="1" x14ac:dyDescent="0.3">
      <c r="A1465" s="7" t="s">
        <v>1485</v>
      </c>
      <c r="B1465" s="7" t="str">
        <f>VLOOKUP($A1465,[1]!Customer_Names[#Data],3,0)</f>
        <v xml:space="preserve">  Edivaldo B</v>
      </c>
      <c r="C1465" s="7">
        <v>18.91</v>
      </c>
      <c r="D1465" s="7" t="str" cm="1">
        <f t="array" ref="D1465">_xlfn.IFS(Healthcare!$C1465&lt;18.5,"under weight",Healthcare!$C1465&lt;=24.9,"Normal Weight",Healthcare!$C1465&gt;=25,"overweight",Healthcare!$C1465&gt;=30,"obese")</f>
        <v>Normal Weight</v>
      </c>
      <c r="E1465" s="7">
        <v>11.44</v>
      </c>
      <c r="F1465" s="7" t="str" cm="1">
        <f t="array" ref="F1465">_xlfn.IFS(Healthcare!$E1465&lt;5.7,"normal",Healthcare!$E1465&lt;=6.4,"prediabetes",Healthcare!$E1465&gt;=6.5,"diabetes")</f>
        <v>diabetes</v>
      </c>
      <c r="G1465" s="7" t="s">
        <v>19</v>
      </c>
      <c r="H1465" s="7" t="s">
        <v>19</v>
      </c>
      <c r="I1465" s="7" t="s">
        <v>19</v>
      </c>
      <c r="J1465" s="7">
        <v>0</v>
      </c>
      <c r="K1465" s="7" t="s">
        <v>19</v>
      </c>
      <c r="L1465" s="7" t="str">
        <f>VLOOKUP(Healthcare!$A1465,hospital_details,2,0)</f>
        <v>26-Aug-1968</v>
      </c>
      <c r="M1465" s="7">
        <f t="shared" ref="M1465:M1528" ca="1" si="8775">VLOOKUP(A1465,hospital_details,3,0)</f>
        <v>58</v>
      </c>
      <c r="N1465" s="7">
        <f t="shared" ref="N1465:N1528" si="8776">VLOOKUP($A1465,hospital_details,4,0)</f>
        <v>0</v>
      </c>
      <c r="O1465" s="8">
        <f t="shared" ref="O1465:O1528" si="8777">VLOOKUP($A1465,hospital_details,5,0)</f>
        <v>7179.52</v>
      </c>
      <c r="P1465" s="7" t="str">
        <f t="shared" ref="P1465:P1528" si="8778">VLOOKUP($A1465,hospital_details,6,0)</f>
        <v>tier - 3</v>
      </c>
      <c r="Q1465" s="7" t="str">
        <f t="shared" ref="Q1465:Q1528" si="8779">VLOOKUP($A1465,hospital_details,7,0)</f>
        <v>tier - 3</v>
      </c>
      <c r="R1465" s="7" t="str">
        <f t="shared" ref="R1465:R1528" si="8780">VLOOKUP($A1465,hospital_details,8,0)</f>
        <v>R1013</v>
      </c>
    </row>
    <row r="1466" spans="1:18" ht="14.4" customHeight="1" x14ac:dyDescent="0.3">
      <c r="A1466" s="5" t="s">
        <v>1486</v>
      </c>
      <c r="B1466" s="5" t="str">
        <f>VLOOKUP($A1466,[1]!Customer_Names[#Data],3,0)</f>
        <v xml:space="preserve">  Eve</v>
      </c>
      <c r="C1466" s="5">
        <v>22.41</v>
      </c>
      <c r="D1466" s="5" t="str" cm="1">
        <f t="array" ref="D1466">_xlfn.IFS(Healthcare!$C1466&lt;18.5,"under weight",Healthcare!$C1466&lt;=24.9,"Normal Weight",Healthcare!$C1466&gt;=25,"overweight",Healthcare!$C1466&gt;=30,"obese")</f>
        <v>Normal Weight</v>
      </c>
      <c r="E1466" s="5">
        <v>11.37</v>
      </c>
      <c r="F1466" s="5" t="str" cm="1">
        <f t="array" ref="F1466">_xlfn.IFS(Healthcare!$E1466&lt;5.7,"normal",Healthcare!$E1466&lt;=6.4,"prediabetes",Healthcare!$E1466&gt;=6.5,"diabetes")</f>
        <v>diabetes</v>
      </c>
      <c r="G1466" s="5" t="s">
        <v>20</v>
      </c>
      <c r="H1466" s="5" t="s">
        <v>19</v>
      </c>
      <c r="I1466" s="5" t="s">
        <v>19</v>
      </c>
      <c r="J1466" s="5">
        <v>1</v>
      </c>
      <c r="K1466" s="5" t="s">
        <v>19</v>
      </c>
      <c r="L1466" s="5" t="str">
        <f>VLOOKUP(Healthcare!$A1466,hospital_details,2,0)</f>
        <v>19-Jul-1975</v>
      </c>
      <c r="M1466" s="5">
        <f t="shared" ref="M1466:M1529" ca="1" si="8781">VLOOKUP(A1466,hospital_details,3,0)</f>
        <v>51</v>
      </c>
      <c r="N1466" s="5">
        <f t="shared" ref="N1466:N1529" si="8782">VLOOKUP($A1466,hospital_details,4,0)</f>
        <v>1</v>
      </c>
      <c r="O1466" s="6">
        <f t="shared" ref="O1466:O1529" si="8783">VLOOKUP($A1466,hospital_details,5,0)</f>
        <v>7175.51</v>
      </c>
      <c r="P1466" s="5" t="str">
        <f t="shared" ref="P1466:P1529" si="8784">VLOOKUP($A1466,hospital_details,6,0)</f>
        <v>tier - 2</v>
      </c>
      <c r="Q1466" s="5" t="str">
        <f t="shared" ref="Q1466:Q1529" si="8785">VLOOKUP($A1466,hospital_details,7,0)</f>
        <v>tier - 3</v>
      </c>
      <c r="R1466" s="5" t="str">
        <f t="shared" ref="R1466:R1529" si="8786">VLOOKUP($A1466,hospital_details,8,0)</f>
        <v>R1013</v>
      </c>
    </row>
    <row r="1467" spans="1:18" ht="14.4" customHeight="1" x14ac:dyDescent="0.3">
      <c r="A1467" s="7" t="s">
        <v>1487</v>
      </c>
      <c r="B1467" s="7" t="str">
        <f>VLOOKUP($A1467,[1]!Customer_Names[#Data],3,0)</f>
        <v xml:space="preserve">  Devin</v>
      </c>
      <c r="C1467" s="7">
        <v>22.704999999999998</v>
      </c>
      <c r="D1467" s="7" t="str" cm="1">
        <f t="array" ref="D1467">_xlfn.IFS(Healthcare!$C1467&lt;18.5,"under weight",Healthcare!$C1467&lt;=24.9,"Normal Weight",Healthcare!$C1467&gt;=25,"overweight",Healthcare!$C1467&gt;=30,"obese")</f>
        <v>Normal Weight</v>
      </c>
      <c r="E1467" s="7">
        <v>6.14</v>
      </c>
      <c r="F1467" s="7" t="str" cm="1">
        <f t="array" ref="F1467">_xlfn.IFS(Healthcare!$E1467&lt;5.7,"normal",Healthcare!$E1467&lt;=6.4,"prediabetes",Healthcare!$E1467&gt;=6.5,"diabetes")</f>
        <v>prediabetes</v>
      </c>
      <c r="G1467" s="7" t="s">
        <v>19</v>
      </c>
      <c r="H1467" s="7" t="s">
        <v>19</v>
      </c>
      <c r="I1467" s="7" t="s">
        <v>19</v>
      </c>
      <c r="J1467" s="7">
        <v>0</v>
      </c>
      <c r="K1467" s="7" t="s">
        <v>19</v>
      </c>
      <c r="L1467" s="7" t="str">
        <f>VLOOKUP(Healthcare!$A1467,hospital_details,2,0)</f>
        <v>16-Aug-1982</v>
      </c>
      <c r="M1467" s="7">
        <f t="shared" ref="M1467:M1530" ca="1" si="8787">VLOOKUP(A1467,hospital_details,3,0)</f>
        <v>44</v>
      </c>
      <c r="N1467" s="7">
        <f t="shared" ref="N1467:N1530" si="8788">VLOOKUP($A1467,hospital_details,4,0)</f>
        <v>2</v>
      </c>
      <c r="O1467" s="8">
        <f t="shared" ref="O1467:O1530" si="8789">VLOOKUP($A1467,hospital_details,5,0)</f>
        <v>7173.36</v>
      </c>
      <c r="P1467" s="7" t="str">
        <f t="shared" ref="P1467:P1530" si="8790">VLOOKUP($A1467,hospital_details,6,0)</f>
        <v>tier - 3</v>
      </c>
      <c r="Q1467" s="7" t="str">
        <f t="shared" ref="Q1467:Q1530" si="8791">VLOOKUP($A1467,hospital_details,7,0)</f>
        <v>tier - 2</v>
      </c>
      <c r="R1467" s="7" t="str">
        <f t="shared" ref="R1467:R1530" si="8792">VLOOKUP($A1467,hospital_details,8,0)</f>
        <v>R1016</v>
      </c>
    </row>
    <row r="1468" spans="1:18" ht="14.4" customHeight="1" x14ac:dyDescent="0.3">
      <c r="A1468" s="5" t="s">
        <v>1488</v>
      </c>
      <c r="B1468" s="5" t="str">
        <f>VLOOKUP($A1468,[1]!Customer_Names[#Data],3,0)</f>
        <v xml:space="preserve">  Shaun R</v>
      </c>
      <c r="C1468" s="5">
        <v>37.18</v>
      </c>
      <c r="D1468" s="5" t="str" cm="1">
        <f t="array" ref="D1468">_xlfn.IFS(Healthcare!$C1468&lt;18.5,"under weight",Healthcare!$C1468&lt;=24.9,"Normal Weight",Healthcare!$C1468&gt;=25,"overweight",Healthcare!$C1468&gt;=30,"obese")</f>
        <v>overweight</v>
      </c>
      <c r="E1468" s="5">
        <v>4.8899999999999997</v>
      </c>
      <c r="F1468" s="5" t="str" cm="1">
        <f t="array" ref="F1468">_xlfn.IFS(Healthcare!$E1468&lt;5.7,"normal",Healthcare!$E1468&lt;=6.4,"prediabetes",Healthcare!$E1468&gt;=6.5,"diabetes")</f>
        <v>normal</v>
      </c>
      <c r="G1468" s="5" t="s">
        <v>19</v>
      </c>
      <c r="H1468" s="5" t="s">
        <v>19</v>
      </c>
      <c r="I1468" s="5" t="s">
        <v>19</v>
      </c>
      <c r="J1468" s="5">
        <v>0</v>
      </c>
      <c r="K1468" s="5" t="s">
        <v>19</v>
      </c>
      <c r="L1468" s="5" t="str">
        <f>VLOOKUP(Healthcare!$A1468,hospital_details,2,0)</f>
        <v>30-Sep-1980</v>
      </c>
      <c r="M1468" s="5">
        <f t="shared" ref="M1468:M1531" ca="1" si="8793">VLOOKUP(A1468,hospital_details,3,0)</f>
        <v>46</v>
      </c>
      <c r="N1468" s="5">
        <f t="shared" ref="N1468:N1531" si="8794">VLOOKUP($A1468,hospital_details,4,0)</f>
        <v>2</v>
      </c>
      <c r="O1468" s="6">
        <f t="shared" ref="O1468:O1531" si="8795">VLOOKUP($A1468,hospital_details,5,0)</f>
        <v>7162.01</v>
      </c>
      <c r="P1468" s="5" t="str">
        <f t="shared" ref="P1468:P1531" si="8796">VLOOKUP($A1468,hospital_details,6,0)</f>
        <v>tier - 2</v>
      </c>
      <c r="Q1468" s="5" t="str">
        <f t="shared" ref="Q1468:Q1531" si="8797">VLOOKUP($A1468,hospital_details,7,0)</f>
        <v>tier - 3</v>
      </c>
      <c r="R1468" s="5" t="str">
        <f t="shared" ref="R1468:R1531" si="8798">VLOOKUP($A1468,hospital_details,8,0)</f>
        <v>R1013</v>
      </c>
    </row>
    <row r="1469" spans="1:18" ht="14.4" customHeight="1" x14ac:dyDescent="0.3">
      <c r="A1469" s="7" t="s">
        <v>1489</v>
      </c>
      <c r="B1469" s="7" t="str">
        <f>VLOOKUP($A1469,[1]!Customer_Names[#Data],3,0)</f>
        <v xml:space="preserve">  Adrian</v>
      </c>
      <c r="C1469" s="7">
        <v>35.97</v>
      </c>
      <c r="D1469" s="7" t="str" cm="1">
        <f t="array" ref="D1469">_xlfn.IFS(Healthcare!$C1469&lt;18.5,"under weight",Healthcare!$C1469&lt;=24.9,"Normal Weight",Healthcare!$C1469&gt;=25,"overweight",Healthcare!$C1469&gt;=30,"obese")</f>
        <v>overweight</v>
      </c>
      <c r="E1469" s="7">
        <v>4.5999999999999996</v>
      </c>
      <c r="F1469" s="7" t="str" cm="1">
        <f t="array" ref="F1469">_xlfn.IFS(Healthcare!$E1469&lt;5.7,"normal",Healthcare!$E1469&lt;=6.4,"prediabetes",Healthcare!$E1469&gt;=6.5,"diabetes")</f>
        <v>normal</v>
      </c>
      <c r="G1469" s="7" t="s">
        <v>19</v>
      </c>
      <c r="H1469" s="7" t="s">
        <v>19</v>
      </c>
      <c r="I1469" s="7" t="s">
        <v>19</v>
      </c>
      <c r="J1469" s="7">
        <v>0</v>
      </c>
      <c r="K1469" s="7" t="s">
        <v>19</v>
      </c>
      <c r="L1469" s="7" t="str">
        <f>VLOOKUP(Healthcare!$A1469,hospital_details,2,0)</f>
        <v>7-Oct-1980</v>
      </c>
      <c r="M1469" s="7">
        <f t="shared" ref="M1469:M1532" ca="1" si="8799">VLOOKUP(A1469,hospital_details,3,0)</f>
        <v>46</v>
      </c>
      <c r="N1469" s="7">
        <f t="shared" ref="N1469:N1532" si="8800">VLOOKUP($A1469,hospital_details,4,0)</f>
        <v>2</v>
      </c>
      <c r="O1469" s="8">
        <f t="shared" ref="O1469:O1532" si="8801">VLOOKUP($A1469,hospital_details,5,0)</f>
        <v>7160.33</v>
      </c>
      <c r="P1469" s="7" t="str">
        <f t="shared" ref="P1469:P1532" si="8802">VLOOKUP($A1469,hospital_details,6,0)</f>
        <v>tier - 2</v>
      </c>
      <c r="Q1469" s="7" t="str">
        <f t="shared" ref="Q1469:Q1532" si="8803">VLOOKUP($A1469,hospital_details,7,0)</f>
        <v>tier - 1</v>
      </c>
      <c r="R1469" s="7" t="str">
        <f t="shared" ref="R1469:R1532" si="8804">VLOOKUP($A1469,hospital_details,8,0)</f>
        <v>R1013</v>
      </c>
    </row>
    <row r="1470" spans="1:18" ht="14.4" customHeight="1" x14ac:dyDescent="0.3">
      <c r="A1470" s="5" t="s">
        <v>1490</v>
      </c>
      <c r="B1470" s="5" t="str">
        <f>VLOOKUP($A1470,[1]!Customer_Names[#Data],3,0)</f>
        <v xml:space="preserve">  Andrew</v>
      </c>
      <c r="C1470" s="5">
        <v>35.799999999999997</v>
      </c>
      <c r="D1470" s="5" t="str" cm="1">
        <f t="array" ref="D1470">_xlfn.IFS(Healthcare!$C1470&lt;18.5,"under weight",Healthcare!$C1470&lt;=24.9,"Normal Weight",Healthcare!$C1470&gt;=25,"overweight",Healthcare!$C1470&gt;=30,"obese")</f>
        <v>overweight</v>
      </c>
      <c r="E1470" s="5">
        <v>4.42</v>
      </c>
      <c r="F1470" s="5" t="str" cm="1">
        <f t="array" ref="F1470">_xlfn.IFS(Healthcare!$E1470&lt;5.7,"normal",Healthcare!$E1470&lt;=6.4,"prediabetes",Healthcare!$E1470&gt;=6.5,"diabetes")</f>
        <v>normal</v>
      </c>
      <c r="G1470" s="5" t="s">
        <v>19</v>
      </c>
      <c r="H1470" s="5" t="s">
        <v>19</v>
      </c>
      <c r="I1470" s="5" t="s">
        <v>19</v>
      </c>
      <c r="J1470" s="5">
        <v>0</v>
      </c>
      <c r="K1470" s="5" t="s">
        <v>19</v>
      </c>
      <c r="L1470" s="5" t="str">
        <f>VLOOKUP(Healthcare!$A1470,hospital_details,2,0)</f>
        <v>22-Jun-1980</v>
      </c>
      <c r="M1470" s="5">
        <f t="shared" ref="M1470:M1533" ca="1" si="8805">VLOOKUP(A1470,hospital_details,3,0)</f>
        <v>46</v>
      </c>
      <c r="N1470" s="5">
        <f t="shared" ref="N1470:N1533" si="8806">VLOOKUP($A1470,hospital_details,4,0)</f>
        <v>2</v>
      </c>
      <c r="O1470" s="6">
        <f t="shared" ref="O1470:O1533" si="8807">VLOOKUP($A1470,hospital_details,5,0)</f>
        <v>7160.09</v>
      </c>
      <c r="P1470" s="5" t="str">
        <f t="shared" ref="P1470:P1533" si="8808">VLOOKUP($A1470,hospital_details,6,0)</f>
        <v>tier - 2</v>
      </c>
      <c r="Q1470" s="5" t="str">
        <f t="shared" ref="Q1470:Q1533" si="8809">VLOOKUP($A1470,hospital_details,7,0)</f>
        <v>tier - 2</v>
      </c>
      <c r="R1470" s="5" t="str">
        <f t="shared" ref="R1470:R1533" si="8810">VLOOKUP($A1470,hospital_details,8,0)</f>
        <v>R1011</v>
      </c>
    </row>
    <row r="1471" spans="1:18" ht="14.4" customHeight="1" x14ac:dyDescent="0.3">
      <c r="A1471" s="7" t="s">
        <v>1491</v>
      </c>
      <c r="B1471" s="7" t="str">
        <f>VLOOKUP($A1471,[1]!Customer_Names[#Data],3,0)</f>
        <v xml:space="preserve">  Mallory</v>
      </c>
      <c r="C1471" s="7">
        <v>28.31</v>
      </c>
      <c r="D1471" s="7" t="str" cm="1">
        <f t="array" ref="D1471">_xlfn.IFS(Healthcare!$C1471&lt;18.5,"under weight",Healthcare!$C1471&lt;=24.9,"Normal Weight",Healthcare!$C1471&gt;=25,"overweight",Healthcare!$C1471&gt;=30,"obese")</f>
        <v>overweight</v>
      </c>
      <c r="E1471" s="7">
        <v>7.48</v>
      </c>
      <c r="F1471" s="7" t="str" cm="1">
        <f t="array" ref="F1471">_xlfn.IFS(Healthcare!$E1471&lt;5.7,"normal",Healthcare!$E1471&lt;=6.4,"prediabetes",Healthcare!$E1471&gt;=6.5,"diabetes")</f>
        <v>diabetes</v>
      </c>
      <c r="G1471" s="7" t="s">
        <v>20</v>
      </c>
      <c r="H1471" s="7" t="s">
        <v>19</v>
      </c>
      <c r="I1471" s="7" t="s">
        <v>19</v>
      </c>
      <c r="J1471" s="7">
        <v>0</v>
      </c>
      <c r="K1471" s="7" t="s">
        <v>19</v>
      </c>
      <c r="L1471" s="7" t="str">
        <f>VLOOKUP(Healthcare!$A1471,hospital_details,2,0)</f>
        <v>17-Jul-1981</v>
      </c>
      <c r="M1471" s="7">
        <f t="shared" ref="M1471:M1534" ca="1" si="8811">VLOOKUP(A1471,hospital_details,3,0)</f>
        <v>45</v>
      </c>
      <c r="N1471" s="7">
        <f t="shared" ref="N1471:N1534" si="8812">VLOOKUP($A1471,hospital_details,4,0)</f>
        <v>1</v>
      </c>
      <c r="O1471" s="8">
        <f t="shared" ref="O1471:O1534" si="8813">VLOOKUP($A1471,hospital_details,5,0)</f>
        <v>7153.55</v>
      </c>
      <c r="P1471" s="7" t="str">
        <f t="shared" ref="P1471:P1534" si="8814">VLOOKUP($A1471,hospital_details,6,0)</f>
        <v>tier - 2</v>
      </c>
      <c r="Q1471" s="7" t="str">
        <f t="shared" ref="Q1471:Q1534" si="8815">VLOOKUP($A1471,hospital_details,7,0)</f>
        <v>tier - 1</v>
      </c>
      <c r="R1471" s="7" t="str">
        <f t="shared" ref="R1471:R1534" si="8816">VLOOKUP($A1471,hospital_details,8,0)</f>
        <v>R1012</v>
      </c>
    </row>
    <row r="1472" spans="1:18" ht="14.4" customHeight="1" x14ac:dyDescent="0.3">
      <c r="A1472" s="5" t="s">
        <v>1492</v>
      </c>
      <c r="B1472" s="5" t="str">
        <f>VLOOKUP($A1472,[1]!Customer_Names[#Data],3,0)</f>
        <v xml:space="preserve">  Shawn E</v>
      </c>
      <c r="C1472" s="5">
        <v>38.06</v>
      </c>
      <c r="D1472" s="5" t="str" cm="1">
        <f t="array" ref="D1472">_xlfn.IFS(Healthcare!$C1472&lt;18.5,"under weight",Healthcare!$C1472&lt;=24.9,"Normal Weight",Healthcare!$C1472&gt;=25,"overweight",Healthcare!$C1472&gt;=30,"obese")</f>
        <v>overweight</v>
      </c>
      <c r="E1472" s="5">
        <v>10.74</v>
      </c>
      <c r="F1472" s="5" t="str" cm="1">
        <f t="array" ref="F1472">_xlfn.IFS(Healthcare!$E1472&lt;5.7,"normal",Healthcare!$E1472&lt;=6.4,"prediabetes",Healthcare!$E1472&gt;=6.5,"diabetes")</f>
        <v>diabetes</v>
      </c>
      <c r="G1472" s="5" t="s">
        <v>19</v>
      </c>
      <c r="H1472" s="5" t="s">
        <v>19</v>
      </c>
      <c r="I1472" s="5" t="s">
        <v>19</v>
      </c>
      <c r="J1472" s="5">
        <v>0</v>
      </c>
      <c r="K1472" s="5" t="s">
        <v>19</v>
      </c>
      <c r="L1472" s="5" t="str">
        <f>VLOOKUP(Healthcare!$A1472,hospital_details,2,0)</f>
        <v>6-Sep-1978</v>
      </c>
      <c r="M1472" s="5">
        <f t="shared" ref="M1472:M1535" ca="1" si="8817">VLOOKUP(A1472,hospital_details,3,0)</f>
        <v>48</v>
      </c>
      <c r="N1472" s="5">
        <f t="shared" ref="N1472:N1535" si="8818">VLOOKUP($A1472,hospital_details,4,0)</f>
        <v>1</v>
      </c>
      <c r="O1472" s="6">
        <f t="shared" ref="O1472:O1535" si="8819">VLOOKUP($A1472,hospital_details,5,0)</f>
        <v>7152.67</v>
      </c>
      <c r="P1472" s="5" t="str">
        <f t="shared" ref="P1472:P1535" si="8820">VLOOKUP($A1472,hospital_details,6,0)</f>
        <v>tier - 3</v>
      </c>
      <c r="Q1472" s="5" t="str">
        <f t="shared" ref="Q1472:Q1535" si="8821">VLOOKUP($A1472,hospital_details,7,0)</f>
        <v>tier - 2</v>
      </c>
      <c r="R1472" s="5" t="str">
        <f t="shared" ref="R1472:R1535" si="8822">VLOOKUP($A1472,hospital_details,8,0)</f>
        <v>R1013</v>
      </c>
    </row>
    <row r="1473" spans="1:18" ht="14.4" customHeight="1" x14ac:dyDescent="0.3">
      <c r="A1473" s="7" t="s">
        <v>1493</v>
      </c>
      <c r="B1473" s="7" t="str">
        <f>VLOOKUP($A1473,[1]!Customer_Names[#Data],3,0)</f>
        <v xml:space="preserve">  Sarah E</v>
      </c>
      <c r="C1473" s="7">
        <v>28</v>
      </c>
      <c r="D1473" s="7" t="str" cm="1">
        <f t="array" ref="D1473">_xlfn.IFS(Healthcare!$C1473&lt;18.5,"under weight",Healthcare!$C1473&lt;=24.9,"Normal Weight",Healthcare!$C1473&gt;=25,"overweight",Healthcare!$C1473&gt;=30,"obese")</f>
        <v>overweight</v>
      </c>
      <c r="E1473" s="7">
        <v>5.19</v>
      </c>
      <c r="F1473" s="7" t="str" cm="1">
        <f t="array" ref="F1473">_xlfn.IFS(Healthcare!$E1473&lt;5.7,"normal",Healthcare!$E1473&lt;=6.4,"prediabetes",Healthcare!$E1473&gt;=6.5,"diabetes")</f>
        <v>normal</v>
      </c>
      <c r="G1473" s="7" t="s">
        <v>19</v>
      </c>
      <c r="H1473" s="7" t="s">
        <v>19</v>
      </c>
      <c r="I1473" s="7" t="s">
        <v>19</v>
      </c>
      <c r="J1473" s="7">
        <v>1</v>
      </c>
      <c r="K1473" s="7" t="s">
        <v>19</v>
      </c>
      <c r="L1473" s="7" t="str">
        <f>VLOOKUP(Healthcare!$A1473,hospital_details,2,0)</f>
        <v>29-Jun-1984</v>
      </c>
      <c r="M1473" s="7">
        <f t="shared" ref="M1473:M1536" ca="1" si="8823">VLOOKUP(A1473,hospital_details,3,0)</f>
        <v>42</v>
      </c>
      <c r="N1473" s="7">
        <f t="shared" ref="N1473:N1536" si="8824">VLOOKUP($A1473,hospital_details,4,0)</f>
        <v>3</v>
      </c>
      <c r="O1473" s="8">
        <f t="shared" ref="O1473:O1536" si="8825">VLOOKUP($A1473,hospital_details,5,0)</f>
        <v>7151.09</v>
      </c>
      <c r="P1473" s="7" t="str">
        <f t="shared" ref="P1473:P1536" si="8826">VLOOKUP($A1473,hospital_details,6,0)</f>
        <v>tier - 2</v>
      </c>
      <c r="Q1473" s="7" t="str">
        <f t="shared" ref="Q1473:Q1536" si="8827">VLOOKUP($A1473,hospital_details,7,0)</f>
        <v>tier - 2</v>
      </c>
      <c r="R1473" s="7" t="str">
        <f t="shared" ref="R1473:R1536" si="8828">VLOOKUP($A1473,hospital_details,8,0)</f>
        <v>R1011</v>
      </c>
    </row>
    <row r="1474" spans="1:18" ht="14.4" customHeight="1" x14ac:dyDescent="0.3">
      <c r="A1474" s="5" t="s">
        <v>1494</v>
      </c>
      <c r="B1474" s="5" t="str">
        <f>VLOOKUP($A1474,[1]!Customer_Names[#Data],3,0)</f>
        <v xml:space="preserve">  Josh</v>
      </c>
      <c r="C1474" s="5">
        <v>34.32</v>
      </c>
      <c r="D1474" s="5" t="str" cm="1">
        <f t="array" ref="D1474">_xlfn.IFS(Healthcare!$C1474&lt;18.5,"under weight",Healthcare!$C1474&lt;=24.9,"Normal Weight",Healthcare!$C1474&gt;=25,"overweight",Healthcare!$C1474&gt;=30,"obese")</f>
        <v>overweight</v>
      </c>
      <c r="E1474" s="5">
        <v>9.17</v>
      </c>
      <c r="F1474" s="5" t="str" cm="1">
        <f t="array" ref="F1474">_xlfn.IFS(Healthcare!$E1474&lt;5.7,"normal",Healthcare!$E1474&lt;=6.4,"prediabetes",Healthcare!$E1474&gt;=6.5,"diabetes")</f>
        <v>diabetes</v>
      </c>
      <c r="G1474" s="5" t="s">
        <v>19</v>
      </c>
      <c r="H1474" s="5" t="s">
        <v>19</v>
      </c>
      <c r="I1474" s="5" t="s">
        <v>19</v>
      </c>
      <c r="J1474" s="5">
        <v>0</v>
      </c>
      <c r="K1474" s="5" t="s">
        <v>19</v>
      </c>
      <c r="L1474" s="5" t="str">
        <f>VLOOKUP(Healthcare!$A1474,hospital_details,2,0)</f>
        <v>30-Jul-1978</v>
      </c>
      <c r="M1474" s="5">
        <f t="shared" ref="M1474:M1537" ca="1" si="8829">VLOOKUP(A1474,hospital_details,3,0)</f>
        <v>48</v>
      </c>
      <c r="N1474" s="5">
        <f t="shared" ref="N1474:N1537" si="8830">VLOOKUP($A1474,hospital_details,4,0)</f>
        <v>1</v>
      </c>
      <c r="O1474" s="6">
        <f t="shared" ref="O1474:O1537" si="8831">VLOOKUP($A1474,hospital_details,5,0)</f>
        <v>7147.47</v>
      </c>
      <c r="P1474" s="5" t="str">
        <f t="shared" ref="P1474:P1537" si="8832">VLOOKUP($A1474,hospital_details,6,0)</f>
        <v>tier - 2</v>
      </c>
      <c r="Q1474" s="5" t="str">
        <f t="shared" ref="Q1474:Q1537" si="8833">VLOOKUP($A1474,hospital_details,7,0)</f>
        <v>tier - 3</v>
      </c>
      <c r="R1474" s="5" t="str">
        <f t="shared" ref="R1474:R1537" si="8834">VLOOKUP($A1474,hospital_details,8,0)</f>
        <v>R1013</v>
      </c>
    </row>
    <row r="1475" spans="1:18" ht="14.4" customHeight="1" x14ac:dyDescent="0.3">
      <c r="A1475" s="7" t="s">
        <v>1495</v>
      </c>
      <c r="B1475" s="7" t="str">
        <f>VLOOKUP($A1475,[1]!Customer_Names[#Data],3,0)</f>
        <v xml:space="preserve">  Johann A</v>
      </c>
      <c r="C1475" s="7">
        <v>22.3</v>
      </c>
      <c r="D1475" s="7" t="str" cm="1">
        <f t="array" ref="D1475">_xlfn.IFS(Healthcare!$C1475&lt;18.5,"under weight",Healthcare!$C1475&lt;=24.9,"Normal Weight",Healthcare!$C1475&gt;=25,"overweight",Healthcare!$C1475&gt;=30,"obese")</f>
        <v>Normal Weight</v>
      </c>
      <c r="E1475" s="7">
        <v>4.95</v>
      </c>
      <c r="F1475" s="7" t="str" cm="1">
        <f t="array" ref="F1475">_xlfn.IFS(Healthcare!$E1475&lt;5.7,"normal",Healthcare!$E1475&lt;=6.4,"prediabetes",Healthcare!$E1475&gt;=6.5,"diabetes")</f>
        <v>normal</v>
      </c>
      <c r="G1475" s="7" t="s">
        <v>20</v>
      </c>
      <c r="H1475" s="7" t="s">
        <v>19</v>
      </c>
      <c r="I1475" s="7" t="s">
        <v>19</v>
      </c>
      <c r="J1475" s="7">
        <v>0</v>
      </c>
      <c r="K1475" s="7" t="s">
        <v>19</v>
      </c>
      <c r="L1475" s="7" t="str">
        <f>VLOOKUP(Healthcare!$A1475,hospital_details,2,0)</f>
        <v>24-Jun-1976</v>
      </c>
      <c r="M1475" s="7">
        <f t="shared" ref="M1475:M1538" ca="1" si="8835">VLOOKUP(A1475,hospital_details,3,0)</f>
        <v>50</v>
      </c>
      <c r="N1475" s="7">
        <f t="shared" ref="N1475:N1538" si="8836">VLOOKUP($A1475,hospital_details,4,0)</f>
        <v>0</v>
      </c>
      <c r="O1475" s="8">
        <f t="shared" ref="O1475:O1538" si="8837">VLOOKUP($A1475,hospital_details,5,0)</f>
        <v>7147.11</v>
      </c>
      <c r="P1475" s="7" t="str">
        <f t="shared" ref="P1475:P1538" si="8838">VLOOKUP($A1475,hospital_details,6,0)</f>
        <v>tier - 3</v>
      </c>
      <c r="Q1475" s="7" t="str">
        <f t="shared" ref="Q1475:Q1538" si="8839">VLOOKUP($A1475,hospital_details,7,0)</f>
        <v>tier - 2</v>
      </c>
      <c r="R1475" s="7" t="str">
        <f t="shared" ref="R1475:R1538" si="8840">VLOOKUP($A1475,hospital_details,8,0)</f>
        <v>R1011</v>
      </c>
    </row>
    <row r="1476" spans="1:18" ht="14.4" customHeight="1" x14ac:dyDescent="0.3">
      <c r="A1476" s="5" t="s">
        <v>1496</v>
      </c>
      <c r="B1476" s="5" t="str">
        <f>VLOOKUP($A1476,[1]!Customer_Names[#Data],3,0)</f>
        <v xml:space="preserve">  Robin M</v>
      </c>
      <c r="C1476" s="5">
        <v>27.835000000000001</v>
      </c>
      <c r="D1476" s="5" t="str" cm="1">
        <f t="array" ref="D1476">_xlfn.IFS(Healthcare!$C1476&lt;18.5,"under weight",Healthcare!$C1476&lt;=24.9,"Normal Weight",Healthcare!$C1476&gt;=25,"overweight",Healthcare!$C1476&gt;=30,"obese")</f>
        <v>overweight</v>
      </c>
      <c r="E1476" s="5">
        <v>6.03</v>
      </c>
      <c r="F1476" s="5" t="str" cm="1">
        <f t="array" ref="F1476">_xlfn.IFS(Healthcare!$E1476&lt;5.7,"normal",Healthcare!$E1476&lt;=6.4,"prediabetes",Healthcare!$E1476&gt;=6.5,"diabetes")</f>
        <v>prediabetes</v>
      </c>
      <c r="G1476" s="5" t="s">
        <v>19</v>
      </c>
      <c r="H1476" s="5" t="s">
        <v>19</v>
      </c>
      <c r="I1476" s="5" t="s">
        <v>19</v>
      </c>
      <c r="J1476" s="5">
        <v>1</v>
      </c>
      <c r="K1476" s="5" t="s">
        <v>19</v>
      </c>
      <c r="L1476" s="5" t="str">
        <f>VLOOKUP(Healthcare!$A1476,hospital_details,2,0)</f>
        <v>21-Nov-1984</v>
      </c>
      <c r="M1476" s="5">
        <f t="shared" ref="M1476:M1539" ca="1" si="8841">VLOOKUP(A1476,hospital_details,3,0)</f>
        <v>41</v>
      </c>
      <c r="N1476" s="5">
        <f t="shared" ref="N1476:N1539" si="8842">VLOOKUP($A1476,hospital_details,4,0)</f>
        <v>2</v>
      </c>
      <c r="O1476" s="6">
        <f t="shared" ref="O1476:O1539" si="8843">VLOOKUP($A1476,hospital_details,5,0)</f>
        <v>7144.86</v>
      </c>
      <c r="P1476" s="5" t="str">
        <f t="shared" ref="P1476:P1539" si="8844">VLOOKUP($A1476,hospital_details,6,0)</f>
        <v>tier - 2</v>
      </c>
      <c r="Q1476" s="5" t="str">
        <f t="shared" ref="Q1476:Q1539" si="8845">VLOOKUP($A1476,hospital_details,7,0)</f>
        <v>tier - 2</v>
      </c>
      <c r="R1476" s="5" t="str">
        <f t="shared" ref="R1476:R1539" si="8846">VLOOKUP($A1476,hospital_details,8,0)</f>
        <v>R1024</v>
      </c>
    </row>
    <row r="1477" spans="1:18" ht="14.4" customHeight="1" x14ac:dyDescent="0.3">
      <c r="A1477" s="7" t="s">
        <v>1497</v>
      </c>
      <c r="B1477" s="7" t="str">
        <f>VLOOKUP($A1477,[1]!Customer_Names[#Data],3,0)</f>
        <v xml:space="preserve">  Kyle K</v>
      </c>
      <c r="C1477" s="7">
        <v>39.229999999999997</v>
      </c>
      <c r="D1477" s="7" t="str" cm="1">
        <f t="array" ref="D1477">_xlfn.IFS(Healthcare!$C1477&lt;18.5,"under weight",Healthcare!$C1477&lt;=24.9,"Normal Weight",Healthcare!$C1477&gt;=25,"overweight",Healthcare!$C1477&gt;=30,"obese")</f>
        <v>overweight</v>
      </c>
      <c r="E1477" s="7">
        <v>5.36</v>
      </c>
      <c r="F1477" s="7" t="str" cm="1">
        <f t="array" ref="F1477">_xlfn.IFS(Healthcare!$E1477&lt;5.7,"normal",Healthcare!$E1477&lt;=6.4,"prediabetes",Healthcare!$E1477&gt;=6.5,"diabetes")</f>
        <v>normal</v>
      </c>
      <c r="G1477" s="7" t="s">
        <v>19</v>
      </c>
      <c r="H1477" s="7" t="s">
        <v>19</v>
      </c>
      <c r="I1477" s="7" t="s">
        <v>19</v>
      </c>
      <c r="J1477" s="7">
        <v>0</v>
      </c>
      <c r="K1477" s="7" t="s">
        <v>19</v>
      </c>
      <c r="L1477" s="7" t="str">
        <f>VLOOKUP(Healthcare!$A1477,hospital_details,2,0)</f>
        <v>8-Aug-1999</v>
      </c>
      <c r="M1477" s="7">
        <f t="shared" ref="M1477:M1540" ca="1" si="8847">VLOOKUP(A1477,hospital_details,3,0)</f>
        <v>27</v>
      </c>
      <c r="N1477" s="7">
        <f t="shared" ref="N1477:N1540" si="8848">VLOOKUP($A1477,hospital_details,4,0)</f>
        <v>0</v>
      </c>
      <c r="O1477" s="8">
        <f t="shared" ref="O1477:O1540" si="8849">VLOOKUP($A1477,hospital_details,5,0)</f>
        <v>7144.4</v>
      </c>
      <c r="P1477" s="7" t="str">
        <f t="shared" ref="P1477:P1540" si="8850">VLOOKUP($A1477,hospital_details,6,0)</f>
        <v>tier - 2</v>
      </c>
      <c r="Q1477" s="7" t="str">
        <f t="shared" ref="Q1477:Q1540" si="8851">VLOOKUP($A1477,hospital_details,7,0)</f>
        <v>tier - 1</v>
      </c>
      <c r="R1477" s="7" t="str">
        <f t="shared" ref="R1477:R1540" si="8852">VLOOKUP($A1477,hospital_details,8,0)</f>
        <v>R1022</v>
      </c>
    </row>
    <row r="1478" spans="1:18" ht="14.4" customHeight="1" x14ac:dyDescent="0.3">
      <c r="A1478" s="5" t="s">
        <v>1498</v>
      </c>
      <c r="B1478" s="5" t="str">
        <f>VLOOKUP($A1478,[1]!Customer_Names[#Data],3,0)</f>
        <v xml:space="preserve">  Alison</v>
      </c>
      <c r="C1478" s="5">
        <v>19.95</v>
      </c>
      <c r="D1478" s="5" t="str" cm="1">
        <f t="array" ref="D1478">_xlfn.IFS(Healthcare!$C1478&lt;18.5,"under weight",Healthcare!$C1478&lt;=24.9,"Normal Weight",Healthcare!$C1478&gt;=25,"overweight",Healthcare!$C1478&gt;=30,"obese")</f>
        <v>Normal Weight</v>
      </c>
      <c r="E1478" s="5">
        <v>6.11</v>
      </c>
      <c r="F1478" s="5" t="str" cm="1">
        <f t="array" ref="F1478">_xlfn.IFS(Healthcare!$E1478&lt;5.7,"normal",Healthcare!$E1478&lt;=6.4,"prediabetes",Healthcare!$E1478&gt;=6.5,"diabetes")</f>
        <v>prediabetes</v>
      </c>
      <c r="G1478" s="5" t="s">
        <v>19</v>
      </c>
      <c r="H1478" s="5" t="s">
        <v>19</v>
      </c>
      <c r="I1478" s="5" t="s">
        <v>19</v>
      </c>
      <c r="J1478" s="5">
        <v>1</v>
      </c>
      <c r="K1478" s="5" t="s">
        <v>19</v>
      </c>
      <c r="L1478" s="5" t="str">
        <f>VLOOKUP(Healthcare!$A1478,hospital_details,2,0)</f>
        <v>7-Jul-1984</v>
      </c>
      <c r="M1478" s="5">
        <f t="shared" ref="M1478:M1541" ca="1" si="8853">VLOOKUP(A1478,hospital_details,3,0)</f>
        <v>42</v>
      </c>
      <c r="N1478" s="5">
        <f t="shared" ref="N1478:N1541" si="8854">VLOOKUP($A1478,hospital_details,4,0)</f>
        <v>2</v>
      </c>
      <c r="O1478" s="6">
        <f t="shared" ref="O1478:O1541" si="8855">VLOOKUP($A1478,hospital_details,5,0)</f>
        <v>7133.9</v>
      </c>
      <c r="P1478" s="5" t="str">
        <f t="shared" ref="P1478:P1541" si="8856">VLOOKUP($A1478,hospital_details,6,0)</f>
        <v>tier - 2</v>
      </c>
      <c r="Q1478" s="5" t="str">
        <f t="shared" ref="Q1478:Q1541" si="8857">VLOOKUP($A1478,hospital_details,7,0)</f>
        <v>tier - 1</v>
      </c>
      <c r="R1478" s="5" t="str">
        <f t="shared" ref="R1478:R1541" si="8858">VLOOKUP($A1478,hospital_details,8,0)</f>
        <v>R1024</v>
      </c>
    </row>
    <row r="1479" spans="1:18" ht="14.4" customHeight="1" x14ac:dyDescent="0.3">
      <c r="A1479" s="7" t="s">
        <v>1499</v>
      </c>
      <c r="B1479" s="7" t="str">
        <f>VLOOKUP($A1479,[1]!Customer_Names[#Data],3,0)</f>
        <v xml:space="preserve">  Michael A</v>
      </c>
      <c r="C1479" s="7">
        <v>34.64</v>
      </c>
      <c r="D1479" s="7" t="str" cm="1">
        <f t="array" ref="D1479">_xlfn.IFS(Healthcare!$C1479&lt;18.5,"under weight",Healthcare!$C1479&lt;=24.9,"Normal Weight",Healthcare!$C1479&gt;=25,"overweight",Healthcare!$C1479&gt;=30,"obese")</f>
        <v>overweight</v>
      </c>
      <c r="E1479" s="7">
        <v>4.88</v>
      </c>
      <c r="F1479" s="7" t="str" cm="1">
        <f t="array" ref="F1479">_xlfn.IFS(Healthcare!$E1479&lt;5.7,"normal",Healthcare!$E1479&lt;=6.4,"prediabetes",Healthcare!$E1479&gt;=6.5,"diabetes")</f>
        <v>normal</v>
      </c>
      <c r="G1479" s="7" t="s">
        <v>19</v>
      </c>
      <c r="H1479" s="7" t="s">
        <v>19</v>
      </c>
      <c r="I1479" s="7" t="s">
        <v>29</v>
      </c>
      <c r="J1479" s="7">
        <v>1</v>
      </c>
      <c r="K1479" s="7" t="s">
        <v>19</v>
      </c>
      <c r="L1479" s="7" t="str">
        <f>VLOOKUP(Healthcare!$A1479,hospital_details,2,0)</f>
        <v>1-Aug-1993</v>
      </c>
      <c r="M1479" s="7">
        <f t="shared" ref="M1479:M1542" ca="1" si="8859">VLOOKUP(A1479,hospital_details,3,0)</f>
        <v>33</v>
      </c>
      <c r="N1479" s="7">
        <f t="shared" ref="N1479:N1542" si="8860">VLOOKUP($A1479,hospital_details,4,0)</f>
        <v>0</v>
      </c>
      <c r="O1479" s="8">
        <f t="shared" ref="O1479:O1542" si="8861">VLOOKUP($A1479,hospital_details,5,0)</f>
        <v>7128.64</v>
      </c>
      <c r="P1479" s="7" t="str">
        <f t="shared" ref="P1479:P1542" si="8862">VLOOKUP($A1479,hospital_details,6,0)</f>
        <v>tier - 2</v>
      </c>
      <c r="Q1479" s="7" t="str">
        <f t="shared" ref="Q1479:Q1542" si="8863">VLOOKUP($A1479,hospital_details,7,0)</f>
        <v>tier - 2</v>
      </c>
      <c r="R1479" s="7" t="str">
        <f t="shared" ref="R1479:R1542" si="8864">VLOOKUP($A1479,hospital_details,8,0)</f>
        <v>R1021</v>
      </c>
    </row>
    <row r="1480" spans="1:18" ht="14.4" customHeight="1" x14ac:dyDescent="0.3">
      <c r="A1480" s="5" t="s">
        <v>1500</v>
      </c>
      <c r="B1480" s="5" t="str">
        <f>VLOOKUP($A1480,[1]!Customer_Names[#Data],3,0)</f>
        <v xml:space="preserve">  Byron A</v>
      </c>
      <c r="C1480" s="5">
        <v>18.75</v>
      </c>
      <c r="D1480" s="5" t="str" cm="1">
        <f t="array" ref="D1480">_xlfn.IFS(Healthcare!$C1480&lt;18.5,"under weight",Healthcare!$C1480&lt;=24.9,"Normal Weight",Healthcare!$C1480&gt;=25,"overweight",Healthcare!$C1480&gt;=30,"obese")</f>
        <v>Normal Weight</v>
      </c>
      <c r="E1480" s="5">
        <v>6.72</v>
      </c>
      <c r="F1480" s="5" t="str" cm="1">
        <f t="array" ref="F1480">_xlfn.IFS(Healthcare!$E1480&lt;5.7,"normal",Healthcare!$E1480&lt;=6.4,"prediabetes",Healthcare!$E1480&gt;=6.5,"diabetes")</f>
        <v>diabetes</v>
      </c>
      <c r="G1480" s="5" t="s">
        <v>19</v>
      </c>
      <c r="H1480" s="5" t="s">
        <v>19</v>
      </c>
      <c r="I1480" s="5" t="s">
        <v>19</v>
      </c>
      <c r="J1480" s="5">
        <v>0</v>
      </c>
      <c r="K1480" s="5" t="s">
        <v>19</v>
      </c>
      <c r="L1480" s="5" t="str">
        <f>VLOOKUP(Healthcare!$A1480,hospital_details,2,0)</f>
        <v>29-Jun-1968</v>
      </c>
      <c r="M1480" s="5">
        <f t="shared" ref="M1480:M1543" ca="1" si="8865">VLOOKUP(A1480,hospital_details,3,0)</f>
        <v>58</v>
      </c>
      <c r="N1480" s="5">
        <f t="shared" ref="N1480:N1543" si="8866">VLOOKUP($A1480,hospital_details,4,0)</f>
        <v>0</v>
      </c>
      <c r="O1480" s="6">
        <f t="shared" ref="O1480:O1543" si="8867">VLOOKUP($A1480,hospital_details,5,0)</f>
        <v>7125.25</v>
      </c>
      <c r="P1480" s="5" t="str">
        <f t="shared" ref="P1480:P1543" si="8868">VLOOKUP($A1480,hospital_details,6,0)</f>
        <v>tier - 3</v>
      </c>
      <c r="Q1480" s="5" t="str">
        <f t="shared" ref="Q1480:Q1543" si="8869">VLOOKUP($A1480,hospital_details,7,0)</f>
        <v>tier - 2</v>
      </c>
      <c r="R1480" s="5" t="str">
        <f t="shared" ref="R1480:R1543" si="8870">VLOOKUP($A1480,hospital_details,8,0)</f>
        <v>R1013</v>
      </c>
    </row>
    <row r="1481" spans="1:18" ht="14.4" customHeight="1" x14ac:dyDescent="0.3">
      <c r="A1481" s="7" t="s">
        <v>1501</v>
      </c>
      <c r="B1481" s="7" t="str">
        <f>VLOOKUP($A1481,[1]!Customer_Names[#Data],3,0)</f>
        <v xml:space="preserve">  Carine A</v>
      </c>
      <c r="C1481" s="7">
        <v>26.48</v>
      </c>
      <c r="D1481" s="7" t="str" cm="1">
        <f t="array" ref="D1481">_xlfn.IFS(Healthcare!$C1481&lt;18.5,"under weight",Healthcare!$C1481&lt;=24.9,"Normal Weight",Healthcare!$C1481&gt;=25,"overweight",Healthcare!$C1481&gt;=30,"obese")</f>
        <v>overweight</v>
      </c>
      <c r="E1481" s="7">
        <v>4.2</v>
      </c>
      <c r="F1481" s="7" t="str" cm="1">
        <f t="array" ref="F1481">_xlfn.IFS(Healthcare!$E1481&lt;5.7,"normal",Healthcare!$E1481&lt;=6.4,"prediabetes",Healthcare!$E1481&gt;=6.5,"diabetes")</f>
        <v>normal</v>
      </c>
      <c r="G1481" s="7" t="s">
        <v>19</v>
      </c>
      <c r="H1481" s="7" t="s">
        <v>19</v>
      </c>
      <c r="I1481" s="7" t="s">
        <v>19</v>
      </c>
      <c r="J1481" s="7">
        <v>1</v>
      </c>
      <c r="K1481" s="7" t="s">
        <v>19</v>
      </c>
      <c r="L1481" s="7" t="str">
        <f>VLOOKUP(Healthcare!$A1481,hospital_details,2,0)</f>
        <v>11-Aug-1987</v>
      </c>
      <c r="M1481" s="7">
        <f t="shared" ref="M1481:M1544" ca="1" si="8871">VLOOKUP(A1481,hospital_details,3,0)</f>
        <v>39</v>
      </c>
      <c r="N1481" s="7">
        <f t="shared" ref="N1481:N1544" si="8872">VLOOKUP($A1481,hospital_details,4,0)</f>
        <v>3</v>
      </c>
      <c r="O1481" s="8">
        <f t="shared" ref="O1481:O1544" si="8873">VLOOKUP($A1481,hospital_details,5,0)</f>
        <v>7106.81</v>
      </c>
      <c r="P1481" s="7" t="str">
        <f t="shared" ref="P1481:P1544" si="8874">VLOOKUP($A1481,hospital_details,6,0)</f>
        <v>tier - 2</v>
      </c>
      <c r="Q1481" s="7" t="str">
        <f t="shared" ref="Q1481:Q1544" si="8875">VLOOKUP($A1481,hospital_details,7,0)</f>
        <v>tier - 1</v>
      </c>
      <c r="R1481" s="7" t="str">
        <f t="shared" ref="R1481:R1544" si="8876">VLOOKUP($A1481,hospital_details,8,0)</f>
        <v>R1012</v>
      </c>
    </row>
    <row r="1482" spans="1:18" ht="14.4" customHeight="1" x14ac:dyDescent="0.3">
      <c r="A1482" s="5" t="s">
        <v>1502</v>
      </c>
      <c r="B1482" s="5" t="str">
        <f>VLOOKUP($A1482,[1]!Customer_Names[#Data],3,0)</f>
        <v xml:space="preserve">  Nathaniel</v>
      </c>
      <c r="C1482" s="5">
        <v>34.83</v>
      </c>
      <c r="D1482" s="5" t="str" cm="1">
        <f t="array" ref="D1482">_xlfn.IFS(Healthcare!$C1482&lt;18.5,"under weight",Healthcare!$C1482&lt;=24.9,"Normal Weight",Healthcare!$C1482&gt;=25,"overweight",Healthcare!$C1482&gt;=30,"obese")</f>
        <v>overweight</v>
      </c>
      <c r="E1482" s="5">
        <v>5.79</v>
      </c>
      <c r="F1482" s="5" t="str" cm="1">
        <f t="array" ref="F1482">_xlfn.IFS(Healthcare!$E1482&lt;5.7,"normal",Healthcare!$E1482&lt;=6.4,"prediabetes",Healthcare!$E1482&gt;=6.5,"diabetes")</f>
        <v>prediabetes</v>
      </c>
      <c r="G1482" s="5" t="s">
        <v>19</v>
      </c>
      <c r="H1482" s="5" t="s">
        <v>19</v>
      </c>
      <c r="I1482" s="5" t="s">
        <v>19</v>
      </c>
      <c r="J1482" s="5">
        <v>1</v>
      </c>
      <c r="K1482" s="5" t="s">
        <v>19</v>
      </c>
      <c r="L1482" s="5" t="str">
        <f>VLOOKUP(Healthcare!$A1482,hospital_details,2,0)</f>
        <v>18-Jun-1992</v>
      </c>
      <c r="M1482" s="5">
        <f t="shared" ref="M1482:M1545" ca="1" si="8877">VLOOKUP(A1482,hospital_details,3,0)</f>
        <v>34</v>
      </c>
      <c r="N1482" s="5">
        <f t="shared" ref="N1482:N1545" si="8878">VLOOKUP($A1482,hospital_details,4,0)</f>
        <v>0</v>
      </c>
      <c r="O1482" s="6">
        <f t="shared" ref="O1482:O1545" si="8879">VLOOKUP($A1482,hospital_details,5,0)</f>
        <v>7096.98</v>
      </c>
      <c r="P1482" s="5" t="str">
        <f t="shared" ref="P1482:P1545" si="8880">VLOOKUP($A1482,hospital_details,6,0)</f>
        <v>tier - 2</v>
      </c>
      <c r="Q1482" s="5" t="str">
        <f t="shared" ref="Q1482:Q1545" si="8881">VLOOKUP($A1482,hospital_details,7,0)</f>
        <v>tier - 2</v>
      </c>
      <c r="R1482" s="5" t="str">
        <f t="shared" ref="R1482:R1545" si="8882">VLOOKUP($A1482,hospital_details,8,0)</f>
        <v>R1012</v>
      </c>
    </row>
    <row r="1483" spans="1:18" ht="14.4" customHeight="1" x14ac:dyDescent="0.3">
      <c r="A1483" s="7" t="s">
        <v>1503</v>
      </c>
      <c r="B1483" s="7" t="str">
        <f>VLOOKUP($A1483,[1]!Customer_Names[#Data],3,0)</f>
        <v xml:space="preserve">  Lindsay A</v>
      </c>
      <c r="C1483" s="7">
        <v>25.46</v>
      </c>
      <c r="D1483" s="7" t="str" cm="1">
        <f t="array" ref="D1483">_xlfn.IFS(Healthcare!$C1483&lt;18.5,"under weight",Healthcare!$C1483&lt;=24.9,"Normal Weight",Healthcare!$C1483&gt;=25,"overweight",Healthcare!$C1483&gt;=30,"obese")</f>
        <v>overweight</v>
      </c>
      <c r="E1483" s="7">
        <v>4.29</v>
      </c>
      <c r="F1483" s="7" t="str" cm="1">
        <f t="array" ref="F1483">_xlfn.IFS(Healthcare!$E1483&lt;5.7,"normal",Healthcare!$E1483&lt;=6.4,"prediabetes",Healthcare!$E1483&gt;=6.5,"diabetes")</f>
        <v>normal</v>
      </c>
      <c r="G1483" s="7" t="s">
        <v>19</v>
      </c>
      <c r="H1483" s="7" t="s">
        <v>19</v>
      </c>
      <c r="I1483" s="7" t="s">
        <v>19</v>
      </c>
      <c r="J1483" s="7">
        <v>0</v>
      </c>
      <c r="K1483" s="7" t="s">
        <v>19</v>
      </c>
      <c r="L1483" s="7" t="str">
        <f>VLOOKUP(Healthcare!$A1483,hospital_details,2,0)</f>
        <v>6-Oct-1982</v>
      </c>
      <c r="M1483" s="7">
        <f t="shared" ref="M1483:M1546" ca="1" si="8883">VLOOKUP(A1483,hospital_details,3,0)</f>
        <v>44</v>
      </c>
      <c r="N1483" s="7">
        <f t="shared" ref="N1483:N1546" si="8884">VLOOKUP($A1483,hospital_details,4,0)</f>
        <v>1</v>
      </c>
      <c r="O1483" s="8">
        <f t="shared" ref="O1483:O1546" si="8885">VLOOKUP($A1483,hospital_details,5,0)</f>
        <v>7077.19</v>
      </c>
      <c r="P1483" s="7" t="str">
        <f t="shared" ref="P1483:P1546" si="8886">VLOOKUP($A1483,hospital_details,6,0)</f>
        <v>tier - 2</v>
      </c>
      <c r="Q1483" s="7" t="str">
        <f t="shared" ref="Q1483:Q1546" si="8887">VLOOKUP($A1483,hospital_details,7,0)</f>
        <v>tier - 3</v>
      </c>
      <c r="R1483" s="7" t="str">
        <f t="shared" ref="R1483:R1546" si="8888">VLOOKUP($A1483,hospital_details,8,0)</f>
        <v>R1024</v>
      </c>
    </row>
    <row r="1484" spans="1:18" ht="14.4" customHeight="1" x14ac:dyDescent="0.3">
      <c r="A1484" s="5" t="s">
        <v>1504</v>
      </c>
      <c r="B1484" s="5" t="str">
        <f>VLOOKUP($A1484,[1]!Customer_Names[#Data],3,0)</f>
        <v xml:space="preserve">  Justin R</v>
      </c>
      <c r="C1484" s="5">
        <v>23.31</v>
      </c>
      <c r="D1484" s="5" t="str" cm="1">
        <f t="array" ref="D1484">_xlfn.IFS(Healthcare!$C1484&lt;18.5,"under weight",Healthcare!$C1484&lt;=24.9,"Normal Weight",Healthcare!$C1484&gt;=25,"overweight",Healthcare!$C1484&gt;=30,"obese")</f>
        <v>Normal Weight</v>
      </c>
      <c r="E1484" s="5">
        <v>8.27</v>
      </c>
      <c r="F1484" s="5" t="str" cm="1">
        <f t="array" ref="F1484">_xlfn.IFS(Healthcare!$E1484&lt;5.7,"normal",Healthcare!$E1484&lt;=6.4,"prediabetes",Healthcare!$E1484&gt;=6.5,"diabetes")</f>
        <v>diabetes</v>
      </c>
      <c r="G1484" s="5" t="s">
        <v>19</v>
      </c>
      <c r="H1484" s="5" t="s">
        <v>19</v>
      </c>
      <c r="I1484" s="5" t="s">
        <v>19</v>
      </c>
      <c r="J1484" s="5">
        <v>0</v>
      </c>
      <c r="K1484" s="5" t="s">
        <v>19</v>
      </c>
      <c r="L1484" s="5" t="str">
        <f>VLOOKUP(Healthcare!$A1484,hospital_details,2,0)</f>
        <v>24-Jun-1978</v>
      </c>
      <c r="M1484" s="5">
        <f t="shared" ref="M1484:M1547" ca="1" si="8889">VLOOKUP(A1484,hospital_details,3,0)</f>
        <v>48</v>
      </c>
      <c r="N1484" s="5">
        <f t="shared" ref="N1484:N1547" si="8890">VLOOKUP($A1484,hospital_details,4,0)</f>
        <v>2</v>
      </c>
      <c r="O1484" s="6">
        <f t="shared" ref="O1484:O1547" si="8891">VLOOKUP($A1484,hospital_details,5,0)</f>
        <v>7054.41</v>
      </c>
      <c r="P1484" s="5" t="str">
        <f t="shared" ref="P1484:P1547" si="8892">VLOOKUP($A1484,hospital_details,6,0)</f>
        <v>tier - 2</v>
      </c>
      <c r="Q1484" s="5" t="str">
        <f t="shared" ref="Q1484:Q1547" si="8893">VLOOKUP($A1484,hospital_details,7,0)</f>
        <v>tier - 2</v>
      </c>
      <c r="R1484" s="5" t="str">
        <f t="shared" ref="R1484:R1547" si="8894">VLOOKUP($A1484,hospital_details,8,0)</f>
        <v>R1013</v>
      </c>
    </row>
    <row r="1485" spans="1:18" ht="14.4" customHeight="1" x14ac:dyDescent="0.3">
      <c r="A1485" s="7" t="s">
        <v>1505</v>
      </c>
      <c r="B1485" s="7" t="str">
        <f>VLOOKUP($A1485,[1]!Customer_Names[#Data],3,0)</f>
        <v xml:space="preserve">  Casey</v>
      </c>
      <c r="C1485" s="7">
        <v>29</v>
      </c>
      <c r="D1485" s="7" t="str" cm="1">
        <f t="array" ref="D1485">_xlfn.IFS(Healthcare!$C1485&lt;18.5,"under weight",Healthcare!$C1485&lt;=24.9,"Normal Weight",Healthcare!$C1485&gt;=25,"overweight",Healthcare!$C1485&gt;=30,"obese")</f>
        <v>overweight</v>
      </c>
      <c r="E1485" s="7">
        <v>4.5599999999999996</v>
      </c>
      <c r="F1485" s="7" t="str" cm="1">
        <f t="array" ref="F1485">_xlfn.IFS(Healthcare!$E1485&lt;5.7,"normal",Healthcare!$E1485&lt;=6.4,"prediabetes",Healthcare!$E1485&gt;=6.5,"diabetes")</f>
        <v>normal</v>
      </c>
      <c r="G1485" s="7" t="s">
        <v>19</v>
      </c>
      <c r="H1485" s="7" t="s">
        <v>19</v>
      </c>
      <c r="I1485" s="7" t="s">
        <v>19</v>
      </c>
      <c r="J1485" s="7">
        <v>0</v>
      </c>
      <c r="K1485" s="7" t="s">
        <v>19</v>
      </c>
      <c r="L1485" s="7" t="str">
        <f>VLOOKUP(Healthcare!$A1485,hospital_details,2,0)</f>
        <v>28-Jun-1980</v>
      </c>
      <c r="M1485" s="7">
        <f t="shared" ref="M1485:M1548" ca="1" si="8895">VLOOKUP(A1485,hospital_details,3,0)</f>
        <v>46</v>
      </c>
      <c r="N1485" s="7">
        <f t="shared" ref="N1485:N1548" si="8896">VLOOKUP($A1485,hospital_details,4,0)</f>
        <v>1</v>
      </c>
      <c r="O1485" s="8">
        <f t="shared" ref="O1485:O1548" si="8897">VLOOKUP($A1485,hospital_details,5,0)</f>
        <v>7050.64</v>
      </c>
      <c r="P1485" s="7" t="str">
        <f t="shared" ref="P1485:P1548" si="8898">VLOOKUP($A1485,hospital_details,6,0)</f>
        <v>tier - 2</v>
      </c>
      <c r="Q1485" s="7" t="str">
        <f t="shared" ref="Q1485:Q1548" si="8899">VLOOKUP($A1485,hospital_details,7,0)</f>
        <v>tier - 3</v>
      </c>
      <c r="R1485" s="7" t="str">
        <f t="shared" ref="R1485:R1548" si="8900">VLOOKUP($A1485,hospital_details,8,0)</f>
        <v>R1011</v>
      </c>
    </row>
    <row r="1486" spans="1:18" ht="14.4" customHeight="1" x14ac:dyDescent="0.3">
      <c r="A1486" s="5" t="s">
        <v>1506</v>
      </c>
      <c r="B1486" s="5" t="str">
        <f>VLOOKUP($A1486,[1]!Customer_Names[#Data],3,0)</f>
        <v xml:space="preserve">  Amanda L</v>
      </c>
      <c r="C1486" s="5">
        <v>32.869999999999997</v>
      </c>
      <c r="D1486" s="5" t="str" cm="1">
        <f t="array" ref="D1486">_xlfn.IFS(Healthcare!$C1486&lt;18.5,"under weight",Healthcare!$C1486&lt;=24.9,"Normal Weight",Healthcare!$C1486&gt;=25,"overweight",Healthcare!$C1486&gt;=30,"obese")</f>
        <v>overweight</v>
      </c>
      <c r="E1486" s="5">
        <v>5.33</v>
      </c>
      <c r="F1486" s="5" t="str" cm="1">
        <f t="array" ref="F1486">_xlfn.IFS(Healthcare!$E1486&lt;5.7,"normal",Healthcare!$E1486&lt;=6.4,"prediabetes",Healthcare!$E1486&gt;=6.5,"diabetes")</f>
        <v>normal</v>
      </c>
      <c r="G1486" s="5" t="s">
        <v>19</v>
      </c>
      <c r="H1486" s="5" t="s">
        <v>19</v>
      </c>
      <c r="I1486" s="5" t="s">
        <v>19</v>
      </c>
      <c r="J1486" s="5">
        <v>0</v>
      </c>
      <c r="K1486" s="5" t="s">
        <v>19</v>
      </c>
      <c r="L1486" s="5" t="str">
        <f>VLOOKUP(Healthcare!$A1486,hospital_details,2,0)</f>
        <v>21-Jul-1980</v>
      </c>
      <c r="M1486" s="5">
        <f t="shared" ref="M1486:M1549" ca="1" si="8901">VLOOKUP(A1486,hospital_details,3,0)</f>
        <v>46</v>
      </c>
      <c r="N1486" s="5">
        <f t="shared" ref="N1486:N1549" si="8902">VLOOKUP($A1486,hospital_details,4,0)</f>
        <v>0</v>
      </c>
      <c r="O1486" s="6">
        <f t="shared" ref="O1486:O1549" si="8903">VLOOKUP($A1486,hospital_details,5,0)</f>
        <v>7050.02</v>
      </c>
      <c r="P1486" s="5" t="str">
        <f t="shared" ref="P1486:P1549" si="8904">VLOOKUP($A1486,hospital_details,6,0)</f>
        <v>tier - 2</v>
      </c>
      <c r="Q1486" s="5" t="str">
        <f t="shared" ref="Q1486:Q1549" si="8905">VLOOKUP($A1486,hospital_details,7,0)</f>
        <v>tier - 1</v>
      </c>
      <c r="R1486" s="5" t="str">
        <f t="shared" ref="R1486:R1549" si="8906">VLOOKUP($A1486,hospital_details,8,0)</f>
        <v>R1024</v>
      </c>
    </row>
    <row r="1487" spans="1:18" ht="14.4" customHeight="1" x14ac:dyDescent="0.3">
      <c r="A1487" s="7" t="s">
        <v>1507</v>
      </c>
      <c r="B1487" s="7" t="str">
        <f>VLOOKUP($A1487,[1]!Customer_Names[#Data],3,0)</f>
        <v xml:space="preserve">  Ayako N</v>
      </c>
      <c r="C1487" s="7">
        <v>26.18</v>
      </c>
      <c r="D1487" s="7" t="str" cm="1">
        <f t="array" ref="D1487">_xlfn.IFS(Healthcare!$C1487&lt;18.5,"under weight",Healthcare!$C1487&lt;=24.9,"Normal Weight",Healthcare!$C1487&gt;=25,"overweight",Healthcare!$C1487&gt;=30,"obese")</f>
        <v>overweight</v>
      </c>
      <c r="E1487" s="7">
        <v>5.63</v>
      </c>
      <c r="F1487" s="7" t="str" cm="1">
        <f t="array" ref="F1487">_xlfn.IFS(Healthcare!$E1487&lt;5.7,"normal",Healthcare!$E1487&lt;=6.4,"prediabetes",Healthcare!$E1487&gt;=6.5,"diabetes")</f>
        <v>normal</v>
      </c>
      <c r="G1487" s="7" t="s">
        <v>19</v>
      </c>
      <c r="H1487" s="7" t="s">
        <v>19</v>
      </c>
      <c r="I1487" s="7" t="s">
        <v>19</v>
      </c>
      <c r="J1487" s="7">
        <v>0</v>
      </c>
      <c r="K1487" s="7" t="s">
        <v>19</v>
      </c>
      <c r="L1487" s="7" t="str">
        <f>VLOOKUP(Healthcare!$A1487,hospital_details,2,0)</f>
        <v>22-Oct-1980</v>
      </c>
      <c r="M1487" s="7">
        <f t="shared" ref="M1487:M1550" ca="1" si="8907">VLOOKUP(A1487,hospital_details,3,0)</f>
        <v>45</v>
      </c>
      <c r="N1487" s="7">
        <f t="shared" ref="N1487:N1550" si="8908">VLOOKUP($A1487,hospital_details,4,0)</f>
        <v>1</v>
      </c>
      <c r="O1487" s="8">
        <f t="shared" ref="O1487:O1550" si="8909">VLOOKUP($A1487,hospital_details,5,0)</f>
        <v>7046.72</v>
      </c>
      <c r="P1487" s="7" t="str">
        <f t="shared" ref="P1487:P1550" si="8910">VLOOKUP($A1487,hospital_details,6,0)</f>
        <v>tier - 2</v>
      </c>
      <c r="Q1487" s="7" t="str">
        <f t="shared" ref="Q1487:Q1550" si="8911">VLOOKUP($A1487,hospital_details,7,0)</f>
        <v>tier - 3</v>
      </c>
      <c r="R1487" s="7" t="str">
        <f t="shared" ref="R1487:R1550" si="8912">VLOOKUP($A1487,hospital_details,8,0)</f>
        <v>R1013</v>
      </c>
    </row>
    <row r="1488" spans="1:18" ht="14.4" customHeight="1" x14ac:dyDescent="0.3">
      <c r="A1488" s="5" t="s">
        <v>1508</v>
      </c>
      <c r="B1488" s="5" t="str">
        <f>VLOOKUP($A1488,[1]!Customer_Names[#Data],3,0)</f>
        <v xml:space="preserve">  Emilee</v>
      </c>
      <c r="C1488" s="5">
        <v>25.3</v>
      </c>
      <c r="D1488" s="5" t="str" cm="1">
        <f t="array" ref="D1488">_xlfn.IFS(Healthcare!$C1488&lt;18.5,"under weight",Healthcare!$C1488&lt;=24.9,"Normal Weight",Healthcare!$C1488&gt;=25,"overweight",Healthcare!$C1488&gt;=30,"obese")</f>
        <v>overweight</v>
      </c>
      <c r="E1488" s="5">
        <v>5.12</v>
      </c>
      <c r="F1488" s="5" t="str" cm="1">
        <f t="array" ref="F1488">_xlfn.IFS(Healthcare!$E1488&lt;5.7,"normal",Healthcare!$E1488&lt;=6.4,"prediabetes",Healthcare!$E1488&gt;=6.5,"diabetes")</f>
        <v>normal</v>
      </c>
      <c r="G1488" s="5" t="s">
        <v>19</v>
      </c>
      <c r="H1488" s="5" t="s">
        <v>19</v>
      </c>
      <c r="I1488" s="5" t="s">
        <v>19</v>
      </c>
      <c r="J1488" s="5">
        <v>0</v>
      </c>
      <c r="K1488" s="5" t="s">
        <v>19</v>
      </c>
      <c r="L1488" s="5" t="str">
        <f>VLOOKUP(Healthcare!$A1488,hospital_details,2,0)</f>
        <v>26-Jul-1980</v>
      </c>
      <c r="M1488" s="5">
        <f t="shared" ref="M1488:M1551" ca="1" si="8913">VLOOKUP(A1488,hospital_details,3,0)</f>
        <v>46</v>
      </c>
      <c r="N1488" s="5">
        <f t="shared" ref="N1488:N1551" si="8914">VLOOKUP($A1488,hospital_details,4,0)</f>
        <v>1</v>
      </c>
      <c r="O1488" s="6">
        <f t="shared" ref="O1488:O1551" si="8915">VLOOKUP($A1488,hospital_details,5,0)</f>
        <v>7045.5</v>
      </c>
      <c r="P1488" s="5" t="str">
        <f t="shared" ref="P1488:P1551" si="8916">VLOOKUP($A1488,hospital_details,6,0)</f>
        <v>tier - 2</v>
      </c>
      <c r="Q1488" s="5" t="str">
        <f t="shared" ref="Q1488:Q1551" si="8917">VLOOKUP($A1488,hospital_details,7,0)</f>
        <v>tier - 1</v>
      </c>
      <c r="R1488" s="5" t="str">
        <f t="shared" ref="R1488:R1551" si="8918">VLOOKUP($A1488,hospital_details,8,0)</f>
        <v>R1011</v>
      </c>
    </row>
    <row r="1489" spans="1:18" ht="14.4" customHeight="1" x14ac:dyDescent="0.3">
      <c r="A1489" s="7" t="s">
        <v>1509</v>
      </c>
      <c r="B1489" s="7" t="str">
        <f>VLOOKUP($A1489,[1]!Customer_Names[#Data],3,0)</f>
        <v xml:space="preserve">  Stephen M</v>
      </c>
      <c r="C1489" s="7">
        <v>36.94</v>
      </c>
      <c r="D1489" s="7" t="str" cm="1">
        <f t="array" ref="D1489">_xlfn.IFS(Healthcare!$C1489&lt;18.5,"under weight",Healthcare!$C1489&lt;=24.9,"Normal Weight",Healthcare!$C1489&gt;=25,"overweight",Healthcare!$C1489&gt;=30,"obese")</f>
        <v>overweight</v>
      </c>
      <c r="E1489" s="7">
        <v>5.15</v>
      </c>
      <c r="F1489" s="7" t="str" cm="1">
        <f t="array" ref="F1489">_xlfn.IFS(Healthcare!$E1489&lt;5.7,"normal",Healthcare!$E1489&lt;=6.4,"prediabetes",Healthcare!$E1489&gt;=6.5,"diabetes")</f>
        <v>normal</v>
      </c>
      <c r="G1489" s="7" t="s">
        <v>20</v>
      </c>
      <c r="H1489" s="7" t="s">
        <v>19</v>
      </c>
      <c r="I1489" s="7" t="s">
        <v>19</v>
      </c>
      <c r="J1489" s="7">
        <v>1</v>
      </c>
      <c r="K1489" s="7" t="s">
        <v>19</v>
      </c>
      <c r="L1489" s="7" t="str">
        <f>VLOOKUP(Healthcare!$A1489,hospital_details,2,0)</f>
        <v>29-Oct-1995</v>
      </c>
      <c r="M1489" s="7">
        <f t="shared" ref="M1489:M1552" ca="1" si="8919">VLOOKUP(A1489,hospital_details,3,0)</f>
        <v>30</v>
      </c>
      <c r="N1489" s="7">
        <f t="shared" ref="N1489:N1552" si="8920">VLOOKUP($A1489,hospital_details,4,0)</f>
        <v>0</v>
      </c>
      <c r="O1489" s="8">
        <f t="shared" ref="O1489:O1552" si="8921">VLOOKUP($A1489,hospital_details,5,0)</f>
        <v>7042.11</v>
      </c>
      <c r="P1489" s="7" t="str">
        <f t="shared" ref="P1489:P1552" si="8922">VLOOKUP($A1489,hospital_details,6,0)</f>
        <v>tier - 2</v>
      </c>
      <c r="Q1489" s="7" t="str">
        <f t="shared" ref="Q1489:Q1552" si="8923">VLOOKUP($A1489,hospital_details,7,0)</f>
        <v>tier - 3</v>
      </c>
      <c r="R1489" s="7" t="str">
        <f t="shared" ref="R1489:R1552" si="8924">VLOOKUP($A1489,hospital_details,8,0)</f>
        <v>R1012</v>
      </c>
    </row>
    <row r="1490" spans="1:18" ht="14.4" customHeight="1" x14ac:dyDescent="0.3">
      <c r="A1490" s="5" t="s">
        <v>1510</v>
      </c>
      <c r="B1490" s="5" t="str">
        <f>VLOOKUP($A1490,[1]!Customer_Names[#Data],3,0)</f>
        <v xml:space="preserve">  Annemarie A</v>
      </c>
      <c r="C1490" s="5">
        <v>22.86</v>
      </c>
      <c r="D1490" s="5" t="str" cm="1">
        <f t="array" ref="D1490">_xlfn.IFS(Healthcare!$C1490&lt;18.5,"under weight",Healthcare!$C1490&lt;=24.9,"Normal Weight",Healthcare!$C1490&gt;=25,"overweight",Healthcare!$C1490&gt;=30,"obese")</f>
        <v>Normal Weight</v>
      </c>
      <c r="E1490" s="5">
        <v>7.5</v>
      </c>
      <c r="F1490" s="5" t="str" cm="1">
        <f t="array" ref="F1490">_xlfn.IFS(Healthcare!$E1490&lt;5.7,"normal",Healthcare!$E1490&lt;=6.4,"prediabetes",Healthcare!$E1490&gt;=6.5,"diabetes")</f>
        <v>diabetes</v>
      </c>
      <c r="G1490" s="5" t="s">
        <v>19</v>
      </c>
      <c r="H1490" s="5" t="s">
        <v>19</v>
      </c>
      <c r="I1490" s="5" t="s">
        <v>19</v>
      </c>
      <c r="J1490" s="5">
        <v>0</v>
      </c>
      <c r="K1490" s="5" t="s">
        <v>19</v>
      </c>
      <c r="L1490" s="5" t="str">
        <f>VLOOKUP(Healthcare!$A1490,hospital_details,2,0)</f>
        <v>2-Jun-1978</v>
      </c>
      <c r="M1490" s="5">
        <f t="shared" ref="M1490:M1553" ca="1" si="8925">VLOOKUP(A1490,hospital_details,3,0)</f>
        <v>48</v>
      </c>
      <c r="N1490" s="5">
        <f t="shared" ref="N1490:N1553" si="8926">VLOOKUP($A1490,hospital_details,4,0)</f>
        <v>2</v>
      </c>
      <c r="O1490" s="6">
        <f t="shared" ref="O1490:O1553" si="8927">VLOOKUP($A1490,hospital_details,5,0)</f>
        <v>7033.08</v>
      </c>
      <c r="P1490" s="5" t="str">
        <f t="shared" ref="P1490:P1553" si="8928">VLOOKUP($A1490,hospital_details,6,0)</f>
        <v>tier - 2</v>
      </c>
      <c r="Q1490" s="5" t="str">
        <f t="shared" ref="Q1490:Q1553" si="8929">VLOOKUP($A1490,hospital_details,7,0)</f>
        <v>tier - 2</v>
      </c>
      <c r="R1490" s="5" t="str">
        <f t="shared" ref="R1490:R1553" si="8930">VLOOKUP($A1490,hospital_details,8,0)</f>
        <v>R1013</v>
      </c>
    </row>
    <row r="1491" spans="1:18" ht="14.4" customHeight="1" x14ac:dyDescent="0.3">
      <c r="A1491" s="7" t="s">
        <v>1511</v>
      </c>
      <c r="B1491" s="7" t="str">
        <f>VLOOKUP($A1491,[1]!Customer_Names[#Data],3,0)</f>
        <v xml:space="preserve">  Ashley R</v>
      </c>
      <c r="C1491" s="7">
        <v>18.760000000000002</v>
      </c>
      <c r="D1491" s="7" t="str" cm="1">
        <f t="array" ref="D1491">_xlfn.IFS(Healthcare!$C1491&lt;18.5,"under weight",Healthcare!$C1491&lt;=24.9,"Normal Weight",Healthcare!$C1491&gt;=25,"overweight",Healthcare!$C1491&gt;=30,"obese")</f>
        <v>Normal Weight</v>
      </c>
      <c r="E1491" s="7">
        <v>4.88</v>
      </c>
      <c r="F1491" s="7" t="str" cm="1">
        <f t="array" ref="F1491">_xlfn.IFS(Healthcare!$E1491&lt;5.7,"normal",Healthcare!$E1491&lt;=6.4,"prediabetes",Healthcare!$E1491&gt;=6.5,"diabetes")</f>
        <v>normal</v>
      </c>
      <c r="G1491" s="7" t="s">
        <v>20</v>
      </c>
      <c r="H1491" s="7" t="s">
        <v>19</v>
      </c>
      <c r="I1491" s="7" t="s">
        <v>29</v>
      </c>
      <c r="J1491" s="7">
        <v>1</v>
      </c>
      <c r="K1491" s="7" t="s">
        <v>19</v>
      </c>
      <c r="L1491" s="7" t="str">
        <f>VLOOKUP(Healthcare!$A1491,hospital_details,2,0)</f>
        <v>6-Jul-1969</v>
      </c>
      <c r="M1491" s="7">
        <f t="shared" ref="M1491:M1554" ca="1" si="8931">VLOOKUP(A1491,hospital_details,3,0)</f>
        <v>57</v>
      </c>
      <c r="N1491" s="7">
        <f t="shared" ref="N1491:N1554" si="8932">VLOOKUP($A1491,hospital_details,4,0)</f>
        <v>0</v>
      </c>
      <c r="O1491" s="8">
        <f t="shared" ref="O1491:O1554" si="8933">VLOOKUP($A1491,hospital_details,5,0)</f>
        <v>7003.1</v>
      </c>
      <c r="P1491" s="7" t="str">
        <f t="shared" ref="P1491:P1554" si="8934">VLOOKUP($A1491,hospital_details,6,0)</f>
        <v>tier - 2</v>
      </c>
      <c r="Q1491" s="7" t="str">
        <f t="shared" ref="Q1491:Q1554" si="8935">VLOOKUP($A1491,hospital_details,7,0)</f>
        <v>tier - 3</v>
      </c>
      <c r="R1491" s="7" t="str">
        <f t="shared" ref="R1491:R1554" si="8936">VLOOKUP($A1491,hospital_details,8,0)</f>
        <v>R1013</v>
      </c>
    </row>
    <row r="1492" spans="1:18" ht="14.4" customHeight="1" x14ac:dyDescent="0.3">
      <c r="A1492" s="5" t="s">
        <v>1512</v>
      </c>
      <c r="B1492" s="5" t="str">
        <f>VLOOKUP($A1492,[1]!Customer_Names[#Data],3,0)</f>
        <v xml:space="preserve">  Leslie A</v>
      </c>
      <c r="C1492" s="5">
        <v>24.36</v>
      </c>
      <c r="D1492" s="5" t="str" cm="1">
        <f t="array" ref="D1492">_xlfn.IFS(Healthcare!$C1492&lt;18.5,"under weight",Healthcare!$C1492&lt;=24.9,"Normal Weight",Healthcare!$C1492&gt;=25,"overweight",Healthcare!$C1492&gt;=30,"obese")</f>
        <v>Normal Weight</v>
      </c>
      <c r="E1492" s="5">
        <v>5.57</v>
      </c>
      <c r="F1492" s="5" t="str" cm="1">
        <f t="array" ref="F1492">_xlfn.IFS(Healthcare!$E1492&lt;5.7,"normal",Healthcare!$E1492&lt;=6.4,"prediabetes",Healthcare!$E1492&gt;=6.5,"diabetes")</f>
        <v>normal</v>
      </c>
      <c r="G1492" s="5" t="s">
        <v>19</v>
      </c>
      <c r="H1492" s="5" t="s">
        <v>19</v>
      </c>
      <c r="I1492" s="5" t="s">
        <v>19</v>
      </c>
      <c r="J1492" s="5">
        <v>0</v>
      </c>
      <c r="K1492" s="5" t="s">
        <v>19</v>
      </c>
      <c r="L1492" s="5" t="str">
        <f>VLOOKUP(Healthcare!$A1492,hospital_details,2,0)</f>
        <v>1-Sep-1982</v>
      </c>
      <c r="M1492" s="5">
        <f t="shared" ref="M1492:M1555" ca="1" si="8937">VLOOKUP(A1492,hospital_details,3,0)</f>
        <v>44</v>
      </c>
      <c r="N1492" s="5">
        <f t="shared" ref="N1492:N1555" si="8938">VLOOKUP($A1492,hospital_details,4,0)</f>
        <v>3</v>
      </c>
      <c r="O1492" s="6">
        <f t="shared" ref="O1492:O1555" si="8939">VLOOKUP($A1492,hospital_details,5,0)</f>
        <v>6989.95</v>
      </c>
      <c r="P1492" s="5" t="str">
        <f t="shared" ref="P1492:P1555" si="8940">VLOOKUP($A1492,hospital_details,6,0)</f>
        <v>tier - 2</v>
      </c>
      <c r="Q1492" s="5" t="str">
        <f t="shared" ref="Q1492:Q1555" si="8941">VLOOKUP($A1492,hospital_details,7,0)</f>
        <v>tier - 1</v>
      </c>
      <c r="R1492" s="5" t="str">
        <f t="shared" ref="R1492:R1555" si="8942">VLOOKUP($A1492,hospital_details,8,0)</f>
        <v>R1013</v>
      </c>
    </row>
    <row r="1493" spans="1:18" ht="14.4" customHeight="1" x14ac:dyDescent="0.3">
      <c r="A1493" s="7" t="s">
        <v>1513</v>
      </c>
      <c r="B1493" s="7" t="str">
        <f>VLOOKUP($A1493,[1]!Customer_Names[#Data],3,0)</f>
        <v xml:space="preserve">  Mauricio J</v>
      </c>
      <c r="C1493" s="7">
        <v>32.299999999999997</v>
      </c>
      <c r="D1493" s="7" t="str" cm="1">
        <f t="array" ref="D1493">_xlfn.IFS(Healthcare!$C1493&lt;18.5,"under weight",Healthcare!$C1493&lt;=24.9,"Normal Weight",Healthcare!$C1493&gt;=25,"overweight",Healthcare!$C1493&gt;=30,"obese")</f>
        <v>overweight</v>
      </c>
      <c r="E1493" s="7">
        <v>5.31</v>
      </c>
      <c r="F1493" s="7" t="str" cm="1">
        <f t="array" ref="F1493">_xlfn.IFS(Healthcare!$E1493&lt;5.7,"normal",Healthcare!$E1493&lt;=6.4,"prediabetes",Healthcare!$E1493&gt;=6.5,"diabetes")</f>
        <v>normal</v>
      </c>
      <c r="G1493" s="7" t="s">
        <v>19</v>
      </c>
      <c r="H1493" s="7" t="s">
        <v>19</v>
      </c>
      <c r="I1493" s="7" t="s">
        <v>19</v>
      </c>
      <c r="J1493" s="7">
        <v>0</v>
      </c>
      <c r="K1493" s="7" t="s">
        <v>19</v>
      </c>
      <c r="L1493" s="7" t="str">
        <f>VLOOKUP(Healthcare!$A1493,hospital_details,2,0)</f>
        <v>18-Oct-1982</v>
      </c>
      <c r="M1493" s="7">
        <f t="shared" ref="M1493:M1556" ca="1" si="8943">VLOOKUP(A1493,hospital_details,3,0)</f>
        <v>44</v>
      </c>
      <c r="N1493" s="7">
        <f t="shared" ref="N1493:N1556" si="8944">VLOOKUP($A1493,hospital_details,4,0)</f>
        <v>2</v>
      </c>
      <c r="O1493" s="8">
        <f t="shared" ref="O1493:O1556" si="8945">VLOOKUP($A1493,hospital_details,5,0)</f>
        <v>6986.7</v>
      </c>
      <c r="P1493" s="7" t="str">
        <f t="shared" ref="P1493:P1556" si="8946">VLOOKUP($A1493,hospital_details,6,0)</f>
        <v>tier - 3</v>
      </c>
      <c r="Q1493" s="7" t="str">
        <f t="shared" ref="Q1493:Q1556" si="8947">VLOOKUP($A1493,hospital_details,7,0)</f>
        <v>tier - 1</v>
      </c>
      <c r="R1493" s="7" t="str">
        <f t="shared" ref="R1493:R1556" si="8948">VLOOKUP($A1493,hospital_details,8,0)</f>
        <v>R1012</v>
      </c>
    </row>
    <row r="1494" spans="1:18" ht="14.4" customHeight="1" x14ac:dyDescent="0.3">
      <c r="A1494" s="5" t="s">
        <v>1514</v>
      </c>
      <c r="B1494" s="5" t="str">
        <f>VLOOKUP($A1494,[1]!Customer_Names[#Data],3,0)</f>
        <v xml:space="preserve">  Kieran</v>
      </c>
      <c r="C1494" s="5">
        <v>22.704999999999998</v>
      </c>
      <c r="D1494" s="5" t="str" cm="1">
        <f t="array" ref="D1494">_xlfn.IFS(Healthcare!$C1494&lt;18.5,"under weight",Healthcare!$C1494&lt;=24.9,"Normal Weight",Healthcare!$C1494&gt;=25,"overweight",Healthcare!$C1494&gt;=30,"obese")</f>
        <v>Normal Weight</v>
      </c>
      <c r="E1494" s="5">
        <v>4.57</v>
      </c>
      <c r="F1494" s="5" t="str" cm="1">
        <f t="array" ref="F1494">_xlfn.IFS(Healthcare!$E1494&lt;5.7,"normal",Healthcare!$E1494&lt;=6.4,"prediabetes",Healthcare!$E1494&gt;=6.5,"diabetes")</f>
        <v>normal</v>
      </c>
      <c r="G1494" s="5" t="s">
        <v>20</v>
      </c>
      <c r="H1494" s="5" t="s">
        <v>19</v>
      </c>
      <c r="I1494" s="5" t="s">
        <v>19</v>
      </c>
      <c r="J1494" s="5">
        <v>0</v>
      </c>
      <c r="K1494" s="5" t="s">
        <v>19</v>
      </c>
      <c r="L1494" s="5" t="str">
        <f>VLOOKUP(Healthcare!$A1494,hospital_details,2,0)</f>
        <v>10-Dec-1985</v>
      </c>
      <c r="M1494" s="5">
        <f t="shared" ref="M1494:M1557" ca="1" si="8949">VLOOKUP(A1494,hospital_details,3,0)</f>
        <v>40</v>
      </c>
      <c r="N1494" s="5">
        <f t="shared" ref="N1494:N1557" si="8950">VLOOKUP($A1494,hospital_details,4,0)</f>
        <v>3</v>
      </c>
      <c r="O1494" s="6">
        <f t="shared" ref="O1494:O1557" si="8951">VLOOKUP($A1494,hospital_details,5,0)</f>
        <v>6985.51</v>
      </c>
      <c r="P1494" s="5" t="str">
        <f t="shared" ref="P1494:P1557" si="8952">VLOOKUP($A1494,hospital_details,6,0)</f>
        <v>tier - 2</v>
      </c>
      <c r="Q1494" s="5" t="str">
        <f t="shared" ref="Q1494:Q1557" si="8953">VLOOKUP($A1494,hospital_details,7,0)</f>
        <v>tier - 2</v>
      </c>
      <c r="R1494" s="5" t="str">
        <f t="shared" ref="R1494:R1557" si="8954">VLOOKUP($A1494,hospital_details,8,0)</f>
        <v>R1019</v>
      </c>
    </row>
    <row r="1495" spans="1:18" ht="14.4" customHeight="1" x14ac:dyDescent="0.3">
      <c r="A1495" s="7" t="s">
        <v>1515</v>
      </c>
      <c r="B1495" s="7" t="str">
        <f>VLOOKUP($A1495,[1]!Customer_Names[#Data],3,0)</f>
        <v xml:space="preserve">  Elizabeth A</v>
      </c>
      <c r="C1495" s="7">
        <v>21.79</v>
      </c>
      <c r="D1495" s="7" t="str" cm="1">
        <f t="array" ref="D1495">_xlfn.IFS(Healthcare!$C1495&lt;18.5,"under weight",Healthcare!$C1495&lt;=24.9,"Normal Weight",Healthcare!$C1495&gt;=25,"overweight",Healthcare!$C1495&gt;=30,"obese")</f>
        <v>Normal Weight</v>
      </c>
      <c r="E1495" s="7">
        <v>8.6999999999999993</v>
      </c>
      <c r="F1495" s="7" t="str" cm="1">
        <f t="array" ref="F1495">_xlfn.IFS(Healthcare!$E1495&lt;5.7,"normal",Healthcare!$E1495&lt;=6.4,"prediabetes",Healthcare!$E1495&gt;=6.5,"diabetes")</f>
        <v>diabetes</v>
      </c>
      <c r="G1495" s="7" t="s">
        <v>20</v>
      </c>
      <c r="H1495" s="7" t="s">
        <v>19</v>
      </c>
      <c r="I1495" s="7" t="s">
        <v>19</v>
      </c>
      <c r="J1495" s="7">
        <v>1</v>
      </c>
      <c r="K1495" s="7" t="s">
        <v>19</v>
      </c>
      <c r="L1495" s="7" t="str">
        <f>VLOOKUP(Healthcare!$A1495,hospital_details,2,0)</f>
        <v>3-Jun-1975</v>
      </c>
      <c r="M1495" s="7">
        <f t="shared" ref="M1495:M1558" ca="1" si="8955">VLOOKUP(A1495,hospital_details,3,0)</f>
        <v>51</v>
      </c>
      <c r="N1495" s="7">
        <f t="shared" ref="N1495:N1558" si="8956">VLOOKUP($A1495,hospital_details,4,0)</f>
        <v>1</v>
      </c>
      <c r="O1495" s="8">
        <f t="shared" ref="O1495:O1558" si="8957">VLOOKUP($A1495,hospital_details,5,0)</f>
        <v>6965.21</v>
      </c>
      <c r="P1495" s="7" t="str">
        <f t="shared" ref="P1495:P1558" si="8958">VLOOKUP($A1495,hospital_details,6,0)</f>
        <v>tier - 2</v>
      </c>
      <c r="Q1495" s="7" t="str">
        <f t="shared" ref="Q1495:Q1558" si="8959">VLOOKUP($A1495,hospital_details,7,0)</f>
        <v>tier - 3</v>
      </c>
      <c r="R1495" s="7" t="str">
        <f t="shared" ref="R1495:R1558" si="8960">VLOOKUP($A1495,hospital_details,8,0)</f>
        <v>R1013</v>
      </c>
    </row>
    <row r="1496" spans="1:18" ht="14.4" customHeight="1" x14ac:dyDescent="0.3">
      <c r="A1496" s="5" t="s">
        <v>1516</v>
      </c>
      <c r="B1496" s="5" t="str">
        <f>VLOOKUP($A1496,[1]!Customer_Names[#Data],3,0)</f>
        <v xml:space="preserve">  Zeke M</v>
      </c>
      <c r="C1496" s="5">
        <v>24.52</v>
      </c>
      <c r="D1496" s="5" t="str" cm="1">
        <f t="array" ref="D1496">_xlfn.IFS(Healthcare!$C1496&lt;18.5,"under weight",Healthcare!$C1496&lt;=24.9,"Normal Weight",Healthcare!$C1496&gt;=25,"overweight",Healthcare!$C1496&gt;=30,"obese")</f>
        <v>Normal Weight</v>
      </c>
      <c r="E1496" s="5">
        <v>4.76</v>
      </c>
      <c r="F1496" s="5" t="str" cm="1">
        <f t="array" ref="F1496">_xlfn.IFS(Healthcare!$E1496&lt;5.7,"normal",Healthcare!$E1496&lt;=6.4,"prediabetes",Healthcare!$E1496&gt;=6.5,"diabetes")</f>
        <v>normal</v>
      </c>
      <c r="G1496" s="5" t="s">
        <v>19</v>
      </c>
      <c r="H1496" s="5" t="s">
        <v>19</v>
      </c>
      <c r="I1496" s="5" t="s">
        <v>19</v>
      </c>
      <c r="J1496" s="5">
        <v>0</v>
      </c>
      <c r="K1496" s="5" t="s">
        <v>19</v>
      </c>
      <c r="L1496" s="5" t="str">
        <f>VLOOKUP(Healthcare!$A1496,hospital_details,2,0)</f>
        <v>18-Aug-1980</v>
      </c>
      <c r="M1496" s="5">
        <f t="shared" ref="M1496:M1559" ca="1" si="8961">VLOOKUP(A1496,hospital_details,3,0)</f>
        <v>46</v>
      </c>
      <c r="N1496" s="5">
        <f t="shared" ref="N1496:N1559" si="8962">VLOOKUP($A1496,hospital_details,4,0)</f>
        <v>2</v>
      </c>
      <c r="O1496" s="6">
        <f t="shared" ref="O1496:O1559" si="8963">VLOOKUP($A1496,hospital_details,5,0)</f>
        <v>6951.12</v>
      </c>
      <c r="P1496" s="5" t="str">
        <f t="shared" ref="P1496:P1559" si="8964">VLOOKUP($A1496,hospital_details,6,0)</f>
        <v>tier - 2</v>
      </c>
      <c r="Q1496" s="5" t="str">
        <f t="shared" ref="Q1496:Q1559" si="8965">VLOOKUP($A1496,hospital_details,7,0)</f>
        <v>tier - 2</v>
      </c>
      <c r="R1496" s="5" t="str">
        <f t="shared" ref="R1496:R1559" si="8966">VLOOKUP($A1496,hospital_details,8,0)</f>
        <v>R1013</v>
      </c>
    </row>
    <row r="1497" spans="1:18" ht="14.4" customHeight="1" x14ac:dyDescent="0.3">
      <c r="A1497" s="7" t="s">
        <v>1517</v>
      </c>
      <c r="B1497" s="7" t="str">
        <f>VLOOKUP($A1497,[1]!Customer_Names[#Data],3,0)</f>
        <v xml:space="preserve">  Chip</v>
      </c>
      <c r="C1497" s="7">
        <v>39.520000000000003</v>
      </c>
      <c r="D1497" s="7" t="str" cm="1">
        <f t="array" ref="D1497">_xlfn.IFS(Healthcare!$C1497&lt;18.5,"under weight",Healthcare!$C1497&lt;=24.9,"Normal Weight",Healthcare!$C1497&gt;=25,"overweight",Healthcare!$C1497&gt;=30,"obese")</f>
        <v>overweight</v>
      </c>
      <c r="E1497" s="7">
        <v>11.81</v>
      </c>
      <c r="F1497" s="7" t="str" cm="1">
        <f t="array" ref="F1497">_xlfn.IFS(Healthcare!$E1497&lt;5.7,"normal",Healthcare!$E1497&lt;=6.4,"prediabetes",Healthcare!$E1497&gt;=6.5,"diabetes")</f>
        <v>diabetes</v>
      </c>
      <c r="G1497" s="7" t="s">
        <v>19</v>
      </c>
      <c r="H1497" s="7" t="s">
        <v>19</v>
      </c>
      <c r="I1497" s="7" t="s">
        <v>19</v>
      </c>
      <c r="J1497" s="7">
        <v>0</v>
      </c>
      <c r="K1497" s="7" t="s">
        <v>19</v>
      </c>
      <c r="L1497" s="7" t="str">
        <f>VLOOKUP(Healthcare!$A1497,hospital_details,2,0)</f>
        <v>15-Dec-1978</v>
      </c>
      <c r="M1497" s="7">
        <f t="shared" ref="M1497:M1560" ca="1" si="8967">VLOOKUP(A1497,hospital_details,3,0)</f>
        <v>47</v>
      </c>
      <c r="N1497" s="7">
        <f t="shared" ref="N1497:N1560" si="8968">VLOOKUP($A1497,hospital_details,4,0)</f>
        <v>0</v>
      </c>
      <c r="O1497" s="8">
        <f t="shared" ref="O1497:O1560" si="8969">VLOOKUP($A1497,hospital_details,5,0)</f>
        <v>6948.7</v>
      </c>
      <c r="P1497" s="7" t="str">
        <f t="shared" ref="P1497:P1560" si="8970">VLOOKUP($A1497,hospital_details,6,0)</f>
        <v>tier - 1</v>
      </c>
      <c r="Q1497" s="7" t="str">
        <f t="shared" ref="Q1497:Q1560" si="8971">VLOOKUP($A1497,hospital_details,7,0)</f>
        <v>tier - 2</v>
      </c>
      <c r="R1497" s="7" t="str">
        <f t="shared" ref="R1497:R1560" si="8972">VLOOKUP($A1497,hospital_details,8,0)</f>
        <v>R1012</v>
      </c>
    </row>
    <row r="1498" spans="1:18" ht="14.4" customHeight="1" x14ac:dyDescent="0.3">
      <c r="A1498" s="5" t="s">
        <v>1518</v>
      </c>
      <c r="B1498" s="5" t="str">
        <f>VLOOKUP($A1498,[1]!Customer_Names[#Data],3,0)</f>
        <v xml:space="preserve">  Miguel Angel Sr</v>
      </c>
      <c r="C1498" s="5">
        <v>24.49</v>
      </c>
      <c r="D1498" s="5" t="str" cm="1">
        <f t="array" ref="D1498">_xlfn.IFS(Healthcare!$C1498&lt;18.5,"under weight",Healthcare!$C1498&lt;=24.9,"Normal Weight",Healthcare!$C1498&gt;=25,"overweight",Healthcare!$C1498&gt;=30,"obese")</f>
        <v>Normal Weight</v>
      </c>
      <c r="E1498" s="5">
        <v>4.67</v>
      </c>
      <c r="F1498" s="5" t="str" cm="1">
        <f t="array" ref="F1498">_xlfn.IFS(Healthcare!$E1498&lt;5.7,"normal",Healthcare!$E1498&lt;=6.4,"prediabetes",Healthcare!$E1498&gt;=6.5,"diabetes")</f>
        <v>normal</v>
      </c>
      <c r="G1498" s="5" t="s">
        <v>19</v>
      </c>
      <c r="H1498" s="5" t="s">
        <v>19</v>
      </c>
      <c r="I1498" s="5" t="s">
        <v>19</v>
      </c>
      <c r="J1498" s="5">
        <v>0</v>
      </c>
      <c r="K1498" s="5" t="s">
        <v>19</v>
      </c>
      <c r="L1498" s="5" t="str">
        <f>VLOOKUP(Healthcare!$A1498,hospital_details,2,0)</f>
        <v>5-Oct-1980</v>
      </c>
      <c r="M1498" s="5">
        <f t="shared" ref="M1498:M1561" ca="1" si="8973">VLOOKUP(A1498,hospital_details,3,0)</f>
        <v>46</v>
      </c>
      <c r="N1498" s="5">
        <f t="shared" ref="N1498:N1561" si="8974">VLOOKUP($A1498,hospital_details,4,0)</f>
        <v>2</v>
      </c>
      <c r="O1498" s="6">
        <f t="shared" ref="O1498:O1561" si="8975">VLOOKUP($A1498,hospital_details,5,0)</f>
        <v>6940.94</v>
      </c>
      <c r="P1498" s="5" t="str">
        <f t="shared" ref="P1498:P1561" si="8976">VLOOKUP($A1498,hospital_details,6,0)</f>
        <v>tier - 2</v>
      </c>
      <c r="Q1498" s="5" t="str">
        <f t="shared" ref="Q1498:Q1561" si="8977">VLOOKUP($A1498,hospital_details,7,0)</f>
        <v>tier - 3</v>
      </c>
      <c r="R1498" s="5" t="str">
        <f t="shared" ref="R1498:R1561" si="8978">VLOOKUP($A1498,hospital_details,8,0)</f>
        <v>R1013</v>
      </c>
    </row>
    <row r="1499" spans="1:18" ht="14.4" customHeight="1" x14ac:dyDescent="0.3">
      <c r="A1499" s="7" t="s">
        <v>1519</v>
      </c>
      <c r="B1499" s="7" t="str">
        <f>VLOOKUP($A1499,[1]!Customer_Names[#Data],3,0)</f>
        <v xml:space="preserve">  Brian</v>
      </c>
      <c r="C1499" s="7">
        <v>26.315000000000001</v>
      </c>
      <c r="D1499" s="7" t="str" cm="1">
        <f t="array" ref="D1499">_xlfn.IFS(Healthcare!$C1499&lt;18.5,"under weight",Healthcare!$C1499&lt;=24.9,"Normal Weight",Healthcare!$C1499&gt;=25,"overweight",Healthcare!$C1499&gt;=30,"obese")</f>
        <v>overweight</v>
      </c>
      <c r="E1499" s="7">
        <v>6.02</v>
      </c>
      <c r="F1499" s="7" t="str" cm="1">
        <f t="array" ref="F1499">_xlfn.IFS(Healthcare!$E1499&lt;5.7,"normal",Healthcare!$E1499&lt;=6.4,"prediabetes",Healthcare!$E1499&gt;=6.5,"diabetes")</f>
        <v>prediabetes</v>
      </c>
      <c r="G1499" s="7" t="s">
        <v>19</v>
      </c>
      <c r="H1499" s="7" t="s">
        <v>19</v>
      </c>
      <c r="I1499" s="7" t="s">
        <v>19</v>
      </c>
      <c r="J1499" s="7">
        <v>0</v>
      </c>
      <c r="K1499" s="7" t="s">
        <v>19</v>
      </c>
      <c r="L1499" s="7" t="str">
        <f>VLOOKUP(Healthcare!$A1499,hospital_details,2,0)</f>
        <v>30-Aug-1980</v>
      </c>
      <c r="M1499" s="7">
        <f t="shared" ref="M1499:M1562" ca="1" si="8979">VLOOKUP(A1499,hospital_details,3,0)</f>
        <v>46</v>
      </c>
      <c r="N1499" s="7">
        <f t="shared" ref="N1499:N1562" si="8980">VLOOKUP($A1499,hospital_details,4,0)</f>
        <v>1</v>
      </c>
      <c r="O1499" s="8">
        <f t="shared" ref="O1499:O1562" si="8981">VLOOKUP($A1499,hospital_details,5,0)</f>
        <v>6940.91</v>
      </c>
      <c r="P1499" s="7" t="str">
        <f t="shared" ref="P1499:P1562" si="8982">VLOOKUP($A1499,hospital_details,6,0)</f>
        <v>tier - 2</v>
      </c>
      <c r="Q1499" s="7" t="str">
        <f t="shared" ref="Q1499:Q1562" si="8983">VLOOKUP($A1499,hospital_details,7,0)</f>
        <v>tier - 2</v>
      </c>
      <c r="R1499" s="7" t="str">
        <f t="shared" ref="R1499:R1562" si="8984">VLOOKUP($A1499,hospital_details,8,0)</f>
        <v>R1012</v>
      </c>
    </row>
    <row r="1500" spans="1:18" ht="14.4" customHeight="1" x14ac:dyDescent="0.3">
      <c r="A1500" s="5" t="s">
        <v>1520</v>
      </c>
      <c r="B1500" s="5" t="str">
        <f>VLOOKUP($A1500,[1]!Customer_Names[#Data],3,0)</f>
        <v xml:space="preserve">  Meghan</v>
      </c>
      <c r="C1500" s="5">
        <v>22.58</v>
      </c>
      <c r="D1500" s="5" t="str" cm="1">
        <f t="array" ref="D1500">_xlfn.IFS(Healthcare!$C1500&lt;18.5,"under weight",Healthcare!$C1500&lt;=24.9,"Normal Weight",Healthcare!$C1500&gt;=25,"overweight",Healthcare!$C1500&gt;=30,"obese")</f>
        <v>Normal Weight</v>
      </c>
      <c r="E1500" s="5">
        <v>7.46</v>
      </c>
      <c r="F1500" s="5" t="str" cm="1">
        <f t="array" ref="F1500">_xlfn.IFS(Healthcare!$E1500&lt;5.7,"normal",Healthcare!$E1500&lt;=6.4,"prediabetes",Healthcare!$E1500&gt;=6.5,"diabetes")</f>
        <v>diabetes</v>
      </c>
      <c r="G1500" s="5" t="s">
        <v>19</v>
      </c>
      <c r="H1500" s="5" t="s">
        <v>19</v>
      </c>
      <c r="I1500" s="5" t="s">
        <v>19</v>
      </c>
      <c r="J1500" s="5">
        <v>0</v>
      </c>
      <c r="K1500" s="5" t="s">
        <v>19</v>
      </c>
      <c r="L1500" s="5" t="str">
        <f>VLOOKUP(Healthcare!$A1500,hospital_details,2,0)</f>
        <v>29-Nov-1978</v>
      </c>
      <c r="M1500" s="5">
        <f t="shared" ref="M1500:M1563" ca="1" si="8985">VLOOKUP(A1500,hospital_details,3,0)</f>
        <v>47</v>
      </c>
      <c r="N1500" s="5">
        <f t="shared" ref="N1500:N1563" si="8986">VLOOKUP($A1500,hospital_details,4,0)</f>
        <v>2</v>
      </c>
      <c r="O1500" s="6">
        <f t="shared" ref="O1500:O1563" si="8987">VLOOKUP($A1500,hospital_details,5,0)</f>
        <v>6938.11</v>
      </c>
      <c r="P1500" s="5" t="str">
        <f t="shared" ref="P1500:P1563" si="8988">VLOOKUP($A1500,hospital_details,6,0)</f>
        <v>tier - 2</v>
      </c>
      <c r="Q1500" s="5" t="str">
        <f t="shared" ref="Q1500:Q1563" si="8989">VLOOKUP($A1500,hospital_details,7,0)</f>
        <v>tier - 2</v>
      </c>
      <c r="R1500" s="5" t="str">
        <f t="shared" ref="R1500:R1563" si="8990">VLOOKUP($A1500,hospital_details,8,0)</f>
        <v>R1013</v>
      </c>
    </row>
    <row r="1501" spans="1:18" ht="14.4" customHeight="1" x14ac:dyDescent="0.3">
      <c r="A1501" s="7" t="s">
        <v>1521</v>
      </c>
      <c r="B1501" s="7" t="str">
        <f>VLOOKUP($A1501,[1]!Customer_Names[#Data],3,0)</f>
        <v xml:space="preserve">  Meredith L</v>
      </c>
      <c r="C1501" s="7">
        <v>19.475000000000001</v>
      </c>
      <c r="D1501" s="7" t="str" cm="1">
        <f t="array" ref="D1501">_xlfn.IFS(Healthcare!$C1501&lt;18.5,"under weight",Healthcare!$C1501&lt;=24.9,"Normal Weight",Healthcare!$C1501&gt;=25,"overweight",Healthcare!$C1501&gt;=30,"obese")</f>
        <v>Normal Weight</v>
      </c>
      <c r="E1501" s="7">
        <v>4.74</v>
      </c>
      <c r="F1501" s="7" t="str" cm="1">
        <f t="array" ref="F1501">_xlfn.IFS(Healthcare!$E1501&lt;5.7,"normal",Healthcare!$E1501&lt;=6.4,"prediabetes",Healthcare!$E1501&gt;=6.5,"diabetes")</f>
        <v>normal</v>
      </c>
      <c r="G1501" s="7" t="s">
        <v>19</v>
      </c>
      <c r="H1501" s="7" t="s">
        <v>19</v>
      </c>
      <c r="I1501" s="7" t="s">
        <v>19</v>
      </c>
      <c r="J1501" s="7">
        <v>1</v>
      </c>
      <c r="K1501" s="7" t="s">
        <v>19</v>
      </c>
      <c r="L1501" s="7" t="str">
        <f>VLOOKUP(Healthcare!$A1501,hospital_details,2,0)</f>
        <v>5-Sep-1984</v>
      </c>
      <c r="M1501" s="7">
        <f t="shared" ref="M1501:M1564" ca="1" si="8991">VLOOKUP(A1501,hospital_details,3,0)</f>
        <v>42</v>
      </c>
      <c r="N1501" s="7">
        <f t="shared" ref="N1501:N1564" si="8992">VLOOKUP($A1501,hospital_details,4,0)</f>
        <v>2</v>
      </c>
      <c r="O1501" s="8">
        <f t="shared" ref="O1501:O1564" si="8993">VLOOKUP($A1501,hospital_details,5,0)</f>
        <v>6933.24</v>
      </c>
      <c r="P1501" s="7" t="str">
        <f t="shared" ref="P1501:P1564" si="8994">VLOOKUP($A1501,hospital_details,6,0)</f>
        <v>tier - 2</v>
      </c>
      <c r="Q1501" s="7" t="str">
        <f t="shared" ref="Q1501:Q1564" si="8995">VLOOKUP($A1501,hospital_details,7,0)</f>
        <v>tier - 3</v>
      </c>
      <c r="R1501" s="7" t="str">
        <f t="shared" ref="R1501:R1564" si="8996">VLOOKUP($A1501,hospital_details,8,0)</f>
        <v>R1012</v>
      </c>
    </row>
    <row r="1502" spans="1:18" ht="14.4" customHeight="1" x14ac:dyDescent="0.3">
      <c r="A1502" s="5" t="s">
        <v>1522</v>
      </c>
      <c r="B1502" s="5" t="str">
        <f>VLOOKUP($A1502,[1]!Customer_Names[#Data],3,0)</f>
        <v xml:space="preserve">  Millicent M</v>
      </c>
      <c r="C1502" s="5">
        <v>26.33</v>
      </c>
      <c r="D1502" s="5" t="str" cm="1">
        <f t="array" ref="D1502">_xlfn.IFS(Healthcare!$C1502&lt;18.5,"under weight",Healthcare!$C1502&lt;=24.9,"Normal Weight",Healthcare!$C1502&gt;=25,"overweight",Healthcare!$C1502&gt;=30,"obese")</f>
        <v>overweight</v>
      </c>
      <c r="E1502" s="5">
        <v>4.79</v>
      </c>
      <c r="F1502" s="5" t="str" cm="1">
        <f t="array" ref="F1502">_xlfn.IFS(Healthcare!$E1502&lt;5.7,"normal",Healthcare!$E1502&lt;=6.4,"prediabetes",Healthcare!$E1502&gt;=6.5,"diabetes")</f>
        <v>normal</v>
      </c>
      <c r="G1502" s="5" t="s">
        <v>19</v>
      </c>
      <c r="H1502" s="5" t="s">
        <v>19</v>
      </c>
      <c r="I1502" s="5" t="s">
        <v>19</v>
      </c>
      <c r="J1502" s="5">
        <v>0</v>
      </c>
      <c r="K1502" s="5" t="s">
        <v>19</v>
      </c>
      <c r="L1502" s="5" t="str">
        <f>VLOOKUP(Healthcare!$A1502,hospital_details,2,0)</f>
        <v>21-Dec-1989</v>
      </c>
      <c r="M1502" s="5">
        <f t="shared" ref="M1502:M1565" ca="1" si="8997">VLOOKUP(A1502,hospital_details,3,0)</f>
        <v>36</v>
      </c>
      <c r="N1502" s="5">
        <f t="shared" ref="N1502:N1565" si="8998">VLOOKUP($A1502,hospital_details,4,0)</f>
        <v>3</v>
      </c>
      <c r="O1502" s="6">
        <f t="shared" ref="O1502:O1565" si="8999">VLOOKUP($A1502,hospital_details,5,0)</f>
        <v>6895.19</v>
      </c>
      <c r="P1502" s="5" t="str">
        <f t="shared" ref="P1502:P1565" si="9000">VLOOKUP($A1502,hospital_details,6,0)</f>
        <v>tier - 2</v>
      </c>
      <c r="Q1502" s="5" t="str">
        <f t="shared" ref="Q1502:Q1565" si="9001">VLOOKUP($A1502,hospital_details,7,0)</f>
        <v>tier - 3</v>
      </c>
      <c r="R1502" s="5" t="str">
        <f t="shared" ref="R1502:R1565" si="9002">VLOOKUP($A1502,hospital_details,8,0)</f>
        <v>R1024</v>
      </c>
    </row>
    <row r="1503" spans="1:18" ht="14.4" customHeight="1" x14ac:dyDescent="0.3">
      <c r="A1503" s="7" t="s">
        <v>1523</v>
      </c>
      <c r="B1503" s="7" t="str">
        <f>VLOOKUP($A1503,[1]!Customer_Names[#Data],3,0)</f>
        <v xml:space="preserve">  Kathleen</v>
      </c>
      <c r="C1503" s="7">
        <v>17.29</v>
      </c>
      <c r="D1503" s="7" t="str" cm="1">
        <f t="array" ref="D1503">_xlfn.IFS(Healthcare!$C1503&lt;18.5,"under weight",Healthcare!$C1503&lt;=24.9,"Normal Weight",Healthcare!$C1503&gt;=25,"overweight",Healthcare!$C1503&gt;=30,"obese")</f>
        <v>under weight</v>
      </c>
      <c r="E1503" s="7">
        <v>5.35</v>
      </c>
      <c r="F1503" s="7" t="str" cm="1">
        <f t="array" ref="F1503">_xlfn.IFS(Healthcare!$E1503&lt;5.7,"normal",Healthcare!$E1503&lt;=6.4,"prediabetes",Healthcare!$E1503&gt;=6.5,"diabetes")</f>
        <v>normal</v>
      </c>
      <c r="G1503" s="7" t="s">
        <v>20</v>
      </c>
      <c r="H1503" s="7" t="s">
        <v>19</v>
      </c>
      <c r="I1503" s="7" t="s">
        <v>19</v>
      </c>
      <c r="J1503" s="7">
        <v>0</v>
      </c>
      <c r="K1503" s="7" t="s">
        <v>19</v>
      </c>
      <c r="L1503" s="7" t="str">
        <f>VLOOKUP(Healthcare!$A1503,hospital_details,2,0)</f>
        <v>10-Sep-1985</v>
      </c>
      <c r="M1503" s="7">
        <f t="shared" ref="M1503:M1566" ca="1" si="9003">VLOOKUP(A1503,hospital_details,3,0)</f>
        <v>41</v>
      </c>
      <c r="N1503" s="7">
        <f t="shared" ref="N1503:N1566" si="9004">VLOOKUP($A1503,hospital_details,4,0)</f>
        <v>2</v>
      </c>
      <c r="O1503" s="8">
        <f t="shared" ref="O1503:O1566" si="9005">VLOOKUP($A1503,hospital_details,5,0)</f>
        <v>6877.98</v>
      </c>
      <c r="P1503" s="7" t="str">
        <f t="shared" ref="P1503:P1566" si="9006">VLOOKUP($A1503,hospital_details,6,0)</f>
        <v>tier - 2</v>
      </c>
      <c r="Q1503" s="7" t="str">
        <f t="shared" ref="Q1503:Q1566" si="9007">VLOOKUP($A1503,hospital_details,7,0)</f>
        <v>tier - 1</v>
      </c>
      <c r="R1503" s="7" t="str">
        <f t="shared" ref="R1503:R1566" si="9008">VLOOKUP($A1503,hospital_details,8,0)</f>
        <v>R1024</v>
      </c>
    </row>
    <row r="1504" spans="1:18" ht="14.4" customHeight="1" x14ac:dyDescent="0.3">
      <c r="A1504" s="5" t="s">
        <v>1524</v>
      </c>
      <c r="B1504" s="5" t="str">
        <f>VLOOKUP($A1504,[1]!Customer_Names[#Data],3,0)</f>
        <v xml:space="preserve">  Kimberly K</v>
      </c>
      <c r="C1504" s="5">
        <v>42.88</v>
      </c>
      <c r="D1504" s="5" t="str" cm="1">
        <f t="array" ref="D1504">_xlfn.IFS(Healthcare!$C1504&lt;18.5,"under weight",Healthcare!$C1504&lt;=24.9,"Normal Weight",Healthcare!$C1504&gt;=25,"overweight",Healthcare!$C1504&gt;=30,"obese")</f>
        <v>overweight</v>
      </c>
      <c r="E1504" s="5">
        <v>4.87</v>
      </c>
      <c r="F1504" s="5" t="str" cm="1">
        <f t="array" ref="F1504">_xlfn.IFS(Healthcare!$E1504&lt;5.7,"normal",Healthcare!$E1504&lt;=6.4,"prediabetes",Healthcare!$E1504&gt;=6.5,"diabetes")</f>
        <v>normal</v>
      </c>
      <c r="G1504" s="5" t="s">
        <v>19</v>
      </c>
      <c r="H1504" s="5" t="s">
        <v>20</v>
      </c>
      <c r="I1504" s="5" t="s">
        <v>19</v>
      </c>
      <c r="J1504" s="5">
        <v>1</v>
      </c>
      <c r="K1504" s="5" t="s">
        <v>19</v>
      </c>
      <c r="L1504" s="5" t="str">
        <f>VLOOKUP(Healthcare!$A1504,hospital_details,2,0)</f>
        <v>24-Dec-2004</v>
      </c>
      <c r="M1504" s="5">
        <f t="shared" ref="M1504:M1567" ca="1" si="9009">VLOOKUP(A1504,hospital_details,3,0)</f>
        <v>21</v>
      </c>
      <c r="N1504" s="5">
        <f t="shared" ref="N1504:N1567" si="9010">VLOOKUP($A1504,hospital_details,4,0)</f>
        <v>0</v>
      </c>
      <c r="O1504" s="6">
        <f t="shared" ref="O1504:O1567" si="9011">VLOOKUP($A1504,hospital_details,5,0)</f>
        <v>6876.53</v>
      </c>
      <c r="P1504" s="5" t="str">
        <f t="shared" ref="P1504:P1567" si="9012">VLOOKUP($A1504,hospital_details,6,0)</f>
        <v>tier - 2</v>
      </c>
      <c r="Q1504" s="5" t="str">
        <f t="shared" ref="Q1504:Q1567" si="9013">VLOOKUP($A1504,hospital_details,7,0)</f>
        <v>tier - 1</v>
      </c>
      <c r="R1504" s="5" t="str">
        <f t="shared" ref="R1504:R1567" si="9014">VLOOKUP($A1504,hospital_details,8,0)</f>
        <v>R1012</v>
      </c>
    </row>
    <row r="1505" spans="1:18" ht="14.4" customHeight="1" x14ac:dyDescent="0.3">
      <c r="A1505" s="7" t="s">
        <v>1525</v>
      </c>
      <c r="B1505" s="7" t="str">
        <f>VLOOKUP($A1505,[1]!Customer_Names[#Data],3,0)</f>
        <v xml:space="preserve">  Justin C</v>
      </c>
      <c r="C1505" s="7">
        <v>32.200000000000003</v>
      </c>
      <c r="D1505" s="7" t="str" cm="1">
        <f t="array" ref="D1505">_xlfn.IFS(Healthcare!$C1505&lt;18.5,"under weight",Healthcare!$C1505&lt;=24.9,"Normal Weight",Healthcare!$C1505&gt;=25,"overweight",Healthcare!$C1505&gt;=30,"obese")</f>
        <v>overweight</v>
      </c>
      <c r="E1505" s="7">
        <v>10.09</v>
      </c>
      <c r="F1505" s="7" t="str" cm="1">
        <f t="array" ref="F1505">_xlfn.IFS(Healthcare!$E1505&lt;5.7,"normal",Healthcare!$E1505&lt;=6.4,"prediabetes",Healthcare!$E1505&gt;=6.5,"diabetes")</f>
        <v>diabetes</v>
      </c>
      <c r="G1505" s="7" t="s">
        <v>20</v>
      </c>
      <c r="H1505" s="7" t="s">
        <v>19</v>
      </c>
      <c r="I1505" s="7" t="s">
        <v>19</v>
      </c>
      <c r="J1505" s="7">
        <v>0</v>
      </c>
      <c r="K1505" s="7" t="s">
        <v>19</v>
      </c>
      <c r="L1505" s="7" t="str">
        <f>VLOOKUP(Healthcare!$A1505,hospital_details,2,0)</f>
        <v>23-Jun-1981</v>
      </c>
      <c r="M1505" s="7">
        <f t="shared" ref="M1505:M1568" ca="1" si="9015">VLOOKUP(A1505,hospital_details,3,0)</f>
        <v>45</v>
      </c>
      <c r="N1505" s="7">
        <f t="shared" ref="N1505:N1568" si="9016">VLOOKUP($A1505,hospital_details,4,0)</f>
        <v>2</v>
      </c>
      <c r="O1505" s="8">
        <f t="shared" ref="O1505:O1568" si="9017">VLOOKUP($A1505,hospital_details,5,0)</f>
        <v>6875.96</v>
      </c>
      <c r="P1505" s="7" t="str">
        <f t="shared" ref="P1505:P1568" si="9018">VLOOKUP($A1505,hospital_details,6,0)</f>
        <v>tier - 2</v>
      </c>
      <c r="Q1505" s="7" t="str">
        <f t="shared" ref="Q1505:Q1568" si="9019">VLOOKUP($A1505,hospital_details,7,0)</f>
        <v>tier - 2</v>
      </c>
      <c r="R1505" s="7" t="str">
        <f t="shared" ref="R1505:R1568" si="9020">VLOOKUP($A1505,hospital_details,8,0)</f>
        <v>R1011</v>
      </c>
    </row>
    <row r="1506" spans="1:18" ht="14.4" customHeight="1" x14ac:dyDescent="0.3">
      <c r="A1506" s="5" t="s">
        <v>1526</v>
      </c>
      <c r="B1506" s="5" t="str">
        <f>VLOOKUP($A1506,[1]!Customer_Names[#Data],3,0)</f>
        <v xml:space="preserve">  Tristan P</v>
      </c>
      <c r="C1506" s="5">
        <v>18.75</v>
      </c>
      <c r="D1506" s="5" t="str" cm="1">
        <f t="array" ref="D1506">_xlfn.IFS(Healthcare!$C1506&lt;18.5,"under weight",Healthcare!$C1506&lt;=24.9,"Normal Weight",Healthcare!$C1506&gt;=25,"overweight",Healthcare!$C1506&gt;=30,"obese")</f>
        <v>Normal Weight</v>
      </c>
      <c r="E1506" s="5">
        <v>5.47</v>
      </c>
      <c r="F1506" s="5" t="str" cm="1">
        <f t="array" ref="F1506">_xlfn.IFS(Healthcare!$E1506&lt;5.7,"normal",Healthcare!$E1506&lt;=6.4,"prediabetes",Healthcare!$E1506&gt;=6.5,"diabetes")</f>
        <v>normal</v>
      </c>
      <c r="G1506" s="5" t="s">
        <v>20</v>
      </c>
      <c r="H1506" s="5" t="s">
        <v>19</v>
      </c>
      <c r="I1506" s="5" t="s">
        <v>29</v>
      </c>
      <c r="J1506" s="5">
        <v>1</v>
      </c>
      <c r="K1506" s="5" t="s">
        <v>19</v>
      </c>
      <c r="L1506" s="5" t="str">
        <f>VLOOKUP(Healthcare!$A1506,hospital_details,2,0)</f>
        <v>23-Oct-1969</v>
      </c>
      <c r="M1506" s="5">
        <f t="shared" ref="M1506:M1569" ca="1" si="9021">VLOOKUP(A1506,hospital_details,3,0)</f>
        <v>56</v>
      </c>
      <c r="N1506" s="5">
        <f t="shared" ref="N1506:N1569" si="9022">VLOOKUP($A1506,hospital_details,4,0)</f>
        <v>0</v>
      </c>
      <c r="O1506" s="6">
        <f t="shared" ref="O1506:O1569" si="9023">VLOOKUP($A1506,hospital_details,5,0)</f>
        <v>6868.39</v>
      </c>
      <c r="P1506" s="5" t="str">
        <f t="shared" ref="P1506:P1569" si="9024">VLOOKUP($A1506,hospital_details,6,0)</f>
        <v>tier - 2</v>
      </c>
      <c r="Q1506" s="5" t="str">
        <f t="shared" ref="Q1506:Q1569" si="9025">VLOOKUP($A1506,hospital_details,7,0)</f>
        <v>tier - 2</v>
      </c>
      <c r="R1506" s="5" t="str">
        <f t="shared" ref="R1506:R1569" si="9026">VLOOKUP($A1506,hospital_details,8,0)</f>
        <v>R1013</v>
      </c>
    </row>
    <row r="1507" spans="1:18" ht="14.4" customHeight="1" x14ac:dyDescent="0.3">
      <c r="A1507" s="7" t="s">
        <v>1527</v>
      </c>
      <c r="B1507" s="7" t="str">
        <f>VLOOKUP($A1507,[1]!Customer_Names[#Data],3,0)</f>
        <v xml:space="preserve">  Traci A</v>
      </c>
      <c r="C1507" s="7">
        <v>22.36</v>
      </c>
      <c r="D1507" s="7" t="str" cm="1">
        <f t="array" ref="D1507">_xlfn.IFS(Healthcare!$C1507&lt;18.5,"under weight",Healthcare!$C1507&lt;=24.9,"Normal Weight",Healthcare!$C1507&gt;=25,"overweight",Healthcare!$C1507&gt;=30,"obese")</f>
        <v>Normal Weight</v>
      </c>
      <c r="E1507" s="7">
        <v>8.6</v>
      </c>
      <c r="F1507" s="7" t="str" cm="1">
        <f t="array" ref="F1507">_xlfn.IFS(Healthcare!$E1507&lt;5.7,"normal",Healthcare!$E1507&lt;=6.4,"prediabetes",Healthcare!$E1507&gt;=6.5,"diabetes")</f>
        <v>diabetes</v>
      </c>
      <c r="G1507" s="7" t="s">
        <v>19</v>
      </c>
      <c r="H1507" s="7" t="s">
        <v>19</v>
      </c>
      <c r="I1507" s="7" t="s">
        <v>19</v>
      </c>
      <c r="J1507" s="7">
        <v>0</v>
      </c>
      <c r="K1507" s="7" t="s">
        <v>19</v>
      </c>
      <c r="L1507" s="7" t="str">
        <f>VLOOKUP(Healthcare!$A1507,hospital_details,2,0)</f>
        <v>5-Aug-1978</v>
      </c>
      <c r="M1507" s="7">
        <f t="shared" ref="M1507:M1570" ca="1" si="9027">VLOOKUP(A1507,hospital_details,3,0)</f>
        <v>48</v>
      </c>
      <c r="N1507" s="7">
        <f t="shared" ref="N1507:N1570" si="9028">VLOOKUP($A1507,hospital_details,4,0)</f>
        <v>2</v>
      </c>
      <c r="O1507" s="8">
        <f t="shared" ref="O1507:O1570" si="9029">VLOOKUP($A1507,hospital_details,5,0)</f>
        <v>6863.49</v>
      </c>
      <c r="P1507" s="7" t="str">
        <f t="shared" ref="P1507:P1570" si="9030">VLOOKUP($A1507,hospital_details,6,0)</f>
        <v>tier - 2</v>
      </c>
      <c r="Q1507" s="7" t="str">
        <f t="shared" ref="Q1507:Q1570" si="9031">VLOOKUP($A1507,hospital_details,7,0)</f>
        <v>tier - 1</v>
      </c>
      <c r="R1507" s="7" t="str">
        <f t="shared" ref="R1507:R1570" si="9032">VLOOKUP($A1507,hospital_details,8,0)</f>
        <v>R1013</v>
      </c>
    </row>
    <row r="1508" spans="1:18" ht="14.4" customHeight="1" x14ac:dyDescent="0.3">
      <c r="A1508" s="5" t="s">
        <v>1528</v>
      </c>
      <c r="B1508" s="5" t="str">
        <f>VLOOKUP($A1508,[1]!Customer_Names[#Data],3,0)</f>
        <v xml:space="preserve">  Justin P</v>
      </c>
      <c r="C1508" s="5">
        <v>23.94</v>
      </c>
      <c r="D1508" s="5" t="str" cm="1">
        <f t="array" ref="D1508">_xlfn.IFS(Healthcare!$C1508&lt;18.5,"under weight",Healthcare!$C1508&lt;=24.9,"Normal Weight",Healthcare!$C1508&gt;=25,"overweight",Healthcare!$C1508&gt;=30,"obese")</f>
        <v>Normal Weight</v>
      </c>
      <c r="E1508" s="5">
        <v>10.74</v>
      </c>
      <c r="F1508" s="5" t="str" cm="1">
        <f t="array" ref="F1508">_xlfn.IFS(Healthcare!$E1508&lt;5.7,"normal",Healthcare!$E1508&lt;=6.4,"prediabetes",Healthcare!$E1508&gt;=6.5,"diabetes")</f>
        <v>diabetes</v>
      </c>
      <c r="G1508" s="5" t="s">
        <v>20</v>
      </c>
      <c r="H1508" s="5" t="s">
        <v>19</v>
      </c>
      <c r="I1508" s="5" t="s">
        <v>19</v>
      </c>
      <c r="J1508" s="5">
        <v>0</v>
      </c>
      <c r="K1508" s="5" t="s">
        <v>19</v>
      </c>
      <c r="L1508" s="5" t="str">
        <f>VLOOKUP(Healthcare!$A1508,hospital_details,2,0)</f>
        <v>19-Jun-1981</v>
      </c>
      <c r="M1508" s="5">
        <f t="shared" ref="M1508:M1571" ca="1" si="9033">VLOOKUP(A1508,hospital_details,3,0)</f>
        <v>45</v>
      </c>
      <c r="N1508" s="5">
        <f t="shared" ref="N1508:N1571" si="9034">VLOOKUP($A1508,hospital_details,4,0)</f>
        <v>1</v>
      </c>
      <c r="O1508" s="6">
        <f t="shared" ref="O1508:O1571" si="9035">VLOOKUP($A1508,hospital_details,5,0)</f>
        <v>6858.48</v>
      </c>
      <c r="P1508" s="5" t="str">
        <f t="shared" ref="P1508:P1571" si="9036">VLOOKUP($A1508,hospital_details,6,0)</f>
        <v>tier - 2</v>
      </c>
      <c r="Q1508" s="5" t="str">
        <f t="shared" ref="Q1508:Q1571" si="9037">VLOOKUP($A1508,hospital_details,7,0)</f>
        <v>tier - 2</v>
      </c>
      <c r="R1508" s="5" t="str">
        <f t="shared" ref="R1508:R1571" si="9038">VLOOKUP($A1508,hospital_details,8,0)</f>
        <v>R1019</v>
      </c>
    </row>
    <row r="1509" spans="1:18" ht="14.4" customHeight="1" x14ac:dyDescent="0.3">
      <c r="A1509" s="7" t="s">
        <v>1529</v>
      </c>
      <c r="B1509" s="7" t="str">
        <f>VLOOKUP($A1509,[1]!Customer_Names[#Data],3,0)</f>
        <v xml:space="preserve">  Logan M</v>
      </c>
      <c r="C1509" s="7">
        <v>30.1</v>
      </c>
      <c r="D1509" s="7" t="str" cm="1">
        <f t="array" ref="D1509">_xlfn.IFS(Healthcare!$C1509&lt;18.5,"under weight",Healthcare!$C1509&lt;=24.9,"Normal Weight",Healthcare!$C1509&gt;=25,"overweight",Healthcare!$C1509&gt;=30,"obese")</f>
        <v>overweight</v>
      </c>
      <c r="E1509" s="7">
        <v>4.3899999999999997</v>
      </c>
      <c r="F1509" s="7" t="str" cm="1">
        <f t="array" ref="F1509">_xlfn.IFS(Healthcare!$E1509&lt;5.7,"normal",Healthcare!$E1509&lt;=6.4,"prediabetes",Healthcare!$E1509&gt;=6.5,"diabetes")</f>
        <v>normal</v>
      </c>
      <c r="G1509" s="7" t="s">
        <v>19</v>
      </c>
      <c r="H1509" s="7" t="s">
        <v>19</v>
      </c>
      <c r="I1509" s="7" t="s">
        <v>29</v>
      </c>
      <c r="J1509" s="7">
        <v>1</v>
      </c>
      <c r="K1509" s="7" t="s">
        <v>19</v>
      </c>
      <c r="L1509" s="7" t="str">
        <f>VLOOKUP(Healthcare!$A1509,hospital_details,2,0)</f>
        <v>4-Nov-1979</v>
      </c>
      <c r="M1509" s="7">
        <f t="shared" ref="M1509:M1572" ca="1" si="9039">VLOOKUP(A1509,hospital_details,3,0)</f>
        <v>46</v>
      </c>
      <c r="N1509" s="7">
        <f t="shared" ref="N1509:N1572" si="9040">VLOOKUP($A1509,hospital_details,4,0)</f>
        <v>1</v>
      </c>
      <c r="O1509" s="8">
        <f t="shared" ref="O1509:O1572" si="9041">VLOOKUP($A1509,hospital_details,5,0)</f>
        <v>6849.03</v>
      </c>
      <c r="P1509" s="7" t="str">
        <f t="shared" ref="P1509:P1572" si="9042">VLOOKUP($A1509,hospital_details,6,0)</f>
        <v>tier - 2</v>
      </c>
      <c r="Q1509" s="7" t="str">
        <f t="shared" ref="Q1509:Q1572" si="9043">VLOOKUP($A1509,hospital_details,7,0)</f>
        <v>tier - 2</v>
      </c>
      <c r="R1509" s="7" t="str">
        <f t="shared" ref="R1509:R1572" si="9044">VLOOKUP($A1509,hospital_details,8,0)</f>
        <v>R1011</v>
      </c>
    </row>
    <row r="1510" spans="1:18" ht="14.4" customHeight="1" x14ac:dyDescent="0.3">
      <c r="A1510" s="5" t="s">
        <v>1530</v>
      </c>
      <c r="B1510" s="5" t="str">
        <f>VLOOKUP($A1510,[1]!Customer_Names[#Data],3,0)</f>
        <v xml:space="preserve">  Sebastien</v>
      </c>
      <c r="C1510" s="5">
        <v>21.93</v>
      </c>
      <c r="D1510" s="5" t="str" cm="1">
        <f t="array" ref="D1510">_xlfn.IFS(Healthcare!$C1510&lt;18.5,"under weight",Healthcare!$C1510&lt;=24.9,"Normal Weight",Healthcare!$C1510&gt;=25,"overweight",Healthcare!$C1510&gt;=30,"obese")</f>
        <v>Normal Weight</v>
      </c>
      <c r="E1510" s="5">
        <v>6.3</v>
      </c>
      <c r="F1510" s="5" t="str" cm="1">
        <f t="array" ref="F1510">_xlfn.IFS(Healthcare!$E1510&lt;5.7,"normal",Healthcare!$E1510&lt;=6.4,"prediabetes",Healthcare!$E1510&gt;=6.5,"diabetes")</f>
        <v>prediabetes</v>
      </c>
      <c r="G1510" s="5" t="s">
        <v>19</v>
      </c>
      <c r="H1510" s="5" t="s">
        <v>19</v>
      </c>
      <c r="I1510" s="5" t="s">
        <v>19</v>
      </c>
      <c r="J1510" s="5">
        <v>0</v>
      </c>
      <c r="K1510" s="5" t="s">
        <v>19</v>
      </c>
      <c r="L1510" s="5" t="str">
        <f>VLOOKUP(Healthcare!$A1510,hospital_details,2,0)</f>
        <v>15-Jun-1977</v>
      </c>
      <c r="M1510" s="5">
        <f t="shared" ref="M1510:M1573" ca="1" si="9045">VLOOKUP(A1510,hospital_details,3,0)</f>
        <v>49</v>
      </c>
      <c r="N1510" s="5">
        <f t="shared" ref="N1510:N1573" si="9046">VLOOKUP($A1510,hospital_details,4,0)</f>
        <v>2</v>
      </c>
      <c r="O1510" s="6">
        <f t="shared" ref="O1510:O1573" si="9047">VLOOKUP($A1510,hospital_details,5,0)</f>
        <v>6843.17</v>
      </c>
      <c r="P1510" s="5" t="str">
        <f t="shared" ref="P1510:P1573" si="9048">VLOOKUP($A1510,hospital_details,6,0)</f>
        <v>tier - 2</v>
      </c>
      <c r="Q1510" s="5" t="str">
        <f t="shared" ref="Q1510:Q1573" si="9049">VLOOKUP($A1510,hospital_details,7,0)</f>
        <v>tier - 1</v>
      </c>
      <c r="R1510" s="5" t="str">
        <f t="shared" ref="R1510:R1573" si="9050">VLOOKUP($A1510,hospital_details,8,0)</f>
        <v>R1013</v>
      </c>
    </row>
    <row r="1511" spans="1:18" ht="14.4" customHeight="1" x14ac:dyDescent="0.3">
      <c r="A1511" s="7" t="s">
        <v>1531</v>
      </c>
      <c r="B1511" s="7" t="str">
        <f>VLOOKUP($A1511,[1]!Customer_Names[#Data],3,0)</f>
        <v xml:space="preserve">  Tiffany A</v>
      </c>
      <c r="C1511" s="7">
        <v>39.75</v>
      </c>
      <c r="D1511" s="7" t="str" cm="1">
        <f t="array" ref="D1511">_xlfn.IFS(Healthcare!$C1511&lt;18.5,"under weight",Healthcare!$C1511&lt;=24.9,"Normal Weight",Healthcare!$C1511&gt;=25,"overweight",Healthcare!$C1511&gt;=30,"obese")</f>
        <v>overweight</v>
      </c>
      <c r="E1511" s="7">
        <v>5.41</v>
      </c>
      <c r="F1511" s="7" t="str" cm="1">
        <f t="array" ref="F1511">_xlfn.IFS(Healthcare!$E1511&lt;5.7,"normal",Healthcare!$E1511&lt;=6.4,"prediabetes",Healthcare!$E1511&gt;=6.5,"diabetes")</f>
        <v>normal</v>
      </c>
      <c r="G1511" s="7" t="s">
        <v>19</v>
      </c>
      <c r="H1511" s="7" t="s">
        <v>20</v>
      </c>
      <c r="I1511" s="7" t="s">
        <v>19</v>
      </c>
      <c r="J1511" s="7">
        <v>1</v>
      </c>
      <c r="K1511" s="7" t="s">
        <v>19</v>
      </c>
      <c r="L1511" s="7" t="str">
        <f>VLOOKUP(Healthcare!$A1511,hospital_details,2,0)</f>
        <v>30-Nov-2000</v>
      </c>
      <c r="M1511" s="7">
        <f t="shared" ref="M1511:M1574" ca="1" si="9051">VLOOKUP(A1511,hospital_details,3,0)</f>
        <v>25</v>
      </c>
      <c r="N1511" s="7">
        <f t="shared" ref="N1511:N1574" si="9052">VLOOKUP($A1511,hospital_details,4,0)</f>
        <v>0</v>
      </c>
      <c r="O1511" s="8">
        <f t="shared" ref="O1511:O1574" si="9053">VLOOKUP($A1511,hospital_details,5,0)</f>
        <v>6842.28</v>
      </c>
      <c r="P1511" s="7" t="str">
        <f t="shared" ref="P1511:P1574" si="9054">VLOOKUP($A1511,hospital_details,6,0)</f>
        <v>tier - 2</v>
      </c>
      <c r="Q1511" s="7" t="str">
        <f t="shared" ref="Q1511:Q1574" si="9055">VLOOKUP($A1511,hospital_details,7,0)</f>
        <v>tier - 1</v>
      </c>
      <c r="R1511" s="7" t="str">
        <f t="shared" ref="R1511:R1574" si="9056">VLOOKUP($A1511,hospital_details,8,0)</f>
        <v>R1012</v>
      </c>
    </row>
    <row r="1512" spans="1:18" ht="14.4" customHeight="1" x14ac:dyDescent="0.3">
      <c r="A1512" s="5" t="s">
        <v>1532</v>
      </c>
      <c r="B1512" s="5" t="str">
        <f>VLOOKUP($A1512,[1]!Customer_Names[#Data],3,0)</f>
        <v xml:space="preserve">  Matthew</v>
      </c>
      <c r="C1512" s="5">
        <v>26.03</v>
      </c>
      <c r="D1512" s="5" t="str" cm="1">
        <f t="array" ref="D1512">_xlfn.IFS(Healthcare!$C1512&lt;18.5,"under weight",Healthcare!$C1512&lt;=24.9,"Normal Weight",Healthcare!$C1512&gt;=25,"overweight",Healthcare!$C1512&gt;=30,"obese")</f>
        <v>overweight</v>
      </c>
      <c r="E1512" s="5">
        <v>4.47</v>
      </c>
      <c r="F1512" s="5" t="str" cm="1">
        <f t="array" ref="F1512">_xlfn.IFS(Healthcare!$E1512&lt;5.7,"normal",Healthcare!$E1512&lt;=6.4,"prediabetes",Healthcare!$E1512&gt;=6.5,"diabetes")</f>
        <v>normal</v>
      </c>
      <c r="G1512" s="5" t="s">
        <v>19</v>
      </c>
      <c r="H1512" s="5" t="s">
        <v>19</v>
      </c>
      <c r="I1512" s="5" t="s">
        <v>29</v>
      </c>
      <c r="J1512" s="5">
        <v>1</v>
      </c>
      <c r="K1512" s="5" t="s">
        <v>19</v>
      </c>
      <c r="L1512" s="5" t="str">
        <f>VLOOKUP(Healthcare!$A1512,hospital_details,2,0)</f>
        <v>15-Jul-1979</v>
      </c>
      <c r="M1512" s="5">
        <f t="shared" ref="M1512:M1575" ca="1" si="9057">VLOOKUP(A1512,hospital_details,3,0)</f>
        <v>47</v>
      </c>
      <c r="N1512" s="5">
        <f t="shared" ref="N1512:N1575" si="9058">VLOOKUP($A1512,hospital_details,4,0)</f>
        <v>0</v>
      </c>
      <c r="O1512" s="6">
        <f t="shared" ref="O1512:O1575" si="9059">VLOOKUP($A1512,hospital_details,5,0)</f>
        <v>6837.37</v>
      </c>
      <c r="P1512" s="5" t="str">
        <f t="shared" ref="P1512:P1575" si="9060">VLOOKUP($A1512,hospital_details,6,0)</f>
        <v>tier - 3</v>
      </c>
      <c r="Q1512" s="5" t="str">
        <f t="shared" ref="Q1512:Q1575" si="9061">VLOOKUP($A1512,hospital_details,7,0)</f>
        <v>tier - 1</v>
      </c>
      <c r="R1512" s="5" t="str">
        <f t="shared" ref="R1512:R1575" si="9062">VLOOKUP($A1512,hospital_details,8,0)</f>
        <v>R1016</v>
      </c>
    </row>
    <row r="1513" spans="1:18" ht="14.4" customHeight="1" x14ac:dyDescent="0.3">
      <c r="A1513" s="7" t="s">
        <v>1533</v>
      </c>
      <c r="B1513" s="7" t="str">
        <f>VLOOKUP($A1513,[1]!Customer_Names[#Data],3,0)</f>
        <v xml:space="preserve">  Luke</v>
      </c>
      <c r="C1513" s="7">
        <v>34.51</v>
      </c>
      <c r="D1513" s="7" t="str" cm="1">
        <f t="array" ref="D1513">_xlfn.IFS(Healthcare!$C1513&lt;18.5,"under weight",Healthcare!$C1513&lt;=24.9,"Normal Weight",Healthcare!$C1513&gt;=25,"overweight",Healthcare!$C1513&gt;=30,"obese")</f>
        <v>overweight</v>
      </c>
      <c r="E1513" s="7">
        <v>6.26</v>
      </c>
      <c r="F1513" s="7" t="str" cm="1">
        <f t="array" ref="F1513">_xlfn.IFS(Healthcare!$E1513&lt;5.7,"normal",Healthcare!$E1513&lt;=6.4,"prediabetes",Healthcare!$E1513&gt;=6.5,"diabetes")</f>
        <v>prediabetes</v>
      </c>
      <c r="G1513" s="7" t="s">
        <v>19</v>
      </c>
      <c r="H1513" s="7" t="s">
        <v>19</v>
      </c>
      <c r="I1513" s="7" t="s">
        <v>19</v>
      </c>
      <c r="J1513" s="7">
        <v>0</v>
      </c>
      <c r="K1513" s="7" t="s">
        <v>19</v>
      </c>
      <c r="L1513" s="7" t="str">
        <f>VLOOKUP(Healthcare!$A1513,hospital_details,2,0)</f>
        <v>8-Jul-1994</v>
      </c>
      <c r="M1513" s="7">
        <f t="shared" ref="M1513:M1576" ca="1" si="9063">VLOOKUP(A1513,hospital_details,3,0)</f>
        <v>32</v>
      </c>
      <c r="N1513" s="7">
        <f t="shared" ref="N1513:N1576" si="9064">VLOOKUP($A1513,hospital_details,4,0)</f>
        <v>0</v>
      </c>
      <c r="O1513" s="8">
        <f t="shared" ref="O1513:O1576" si="9065">VLOOKUP($A1513,hospital_details,5,0)</f>
        <v>6827.69</v>
      </c>
      <c r="P1513" s="7" t="str">
        <f t="shared" ref="P1513:P1576" si="9066">VLOOKUP($A1513,hospital_details,6,0)</f>
        <v>tier - 2</v>
      </c>
      <c r="Q1513" s="7" t="str">
        <f t="shared" ref="Q1513:Q1576" si="9067">VLOOKUP($A1513,hospital_details,7,0)</f>
        <v>tier - 2</v>
      </c>
      <c r="R1513" s="7" t="str">
        <f t="shared" ref="R1513:R1576" si="9068">VLOOKUP($A1513,hospital_details,8,0)</f>
        <v>R1021</v>
      </c>
    </row>
    <row r="1514" spans="1:18" ht="14.4" customHeight="1" x14ac:dyDescent="0.3">
      <c r="A1514" s="5" t="s">
        <v>1534</v>
      </c>
      <c r="B1514" s="5" t="str">
        <f>VLOOKUP($A1514,[1]!Customer_Names[#Data],3,0)</f>
        <v xml:space="preserve">  Leigh</v>
      </c>
      <c r="C1514" s="5">
        <v>19.32</v>
      </c>
      <c r="D1514" s="5" t="str" cm="1">
        <f t="array" ref="D1514">_xlfn.IFS(Healthcare!$C1514&lt;18.5,"under weight",Healthcare!$C1514&lt;=24.9,"Normal Weight",Healthcare!$C1514&gt;=25,"overweight",Healthcare!$C1514&gt;=30,"obese")</f>
        <v>Normal Weight</v>
      </c>
      <c r="E1514" s="5">
        <v>11.58</v>
      </c>
      <c r="F1514" s="5" t="str" cm="1">
        <f t="array" ref="F1514">_xlfn.IFS(Healthcare!$E1514&lt;5.7,"normal",Healthcare!$E1514&lt;=6.4,"prediabetes",Healthcare!$E1514&gt;=6.5,"diabetes")</f>
        <v>diabetes</v>
      </c>
      <c r="G1514" s="5" t="s">
        <v>20</v>
      </c>
      <c r="H1514" s="5" t="s">
        <v>19</v>
      </c>
      <c r="I1514" s="5" t="s">
        <v>19</v>
      </c>
      <c r="J1514" s="5">
        <v>1</v>
      </c>
      <c r="K1514" s="5" t="s">
        <v>19</v>
      </c>
      <c r="L1514" s="5" t="str">
        <f>VLOOKUP(Healthcare!$A1514,hospital_details,2,0)</f>
        <v>17-Aug-1975</v>
      </c>
      <c r="M1514" s="5">
        <f t="shared" ref="M1514:M1577" ca="1" si="9069">VLOOKUP(A1514,hospital_details,3,0)</f>
        <v>51</v>
      </c>
      <c r="N1514" s="5">
        <f t="shared" ref="N1514:N1577" si="9070">VLOOKUP($A1514,hospital_details,4,0)</f>
        <v>1</v>
      </c>
      <c r="O1514" s="6">
        <f t="shared" ref="O1514:O1577" si="9071">VLOOKUP($A1514,hospital_details,5,0)</f>
        <v>6809.46</v>
      </c>
      <c r="P1514" s="5" t="str">
        <f t="shared" ref="P1514:P1577" si="9072">VLOOKUP($A1514,hospital_details,6,0)</f>
        <v>tier - 2</v>
      </c>
      <c r="Q1514" s="5" t="str">
        <f t="shared" ref="Q1514:Q1577" si="9073">VLOOKUP($A1514,hospital_details,7,0)</f>
        <v>tier - 1</v>
      </c>
      <c r="R1514" s="5" t="str">
        <f t="shared" ref="R1514:R1577" si="9074">VLOOKUP($A1514,hospital_details,8,0)</f>
        <v>R1012</v>
      </c>
    </row>
    <row r="1515" spans="1:18" ht="14.4" customHeight="1" x14ac:dyDescent="0.3">
      <c r="A1515" s="7" t="s">
        <v>1535</v>
      </c>
      <c r="B1515" s="7" t="str">
        <f>VLOOKUP($A1515,[1]!Customer_Names[#Data],3,0)</f>
        <v xml:space="preserve">  Yosuke</v>
      </c>
      <c r="C1515" s="7">
        <v>28.5</v>
      </c>
      <c r="D1515" s="7" t="str" cm="1">
        <f t="array" ref="D1515">_xlfn.IFS(Healthcare!$C1515&lt;18.5,"under weight",Healthcare!$C1515&lt;=24.9,"Normal Weight",Healthcare!$C1515&gt;=25,"overweight",Healthcare!$C1515&gt;=30,"obese")</f>
        <v>overweight</v>
      </c>
      <c r="E1515" s="7">
        <v>4.3600000000000003</v>
      </c>
      <c r="F1515" s="7" t="str" cm="1">
        <f t="array" ref="F1515">_xlfn.IFS(Healthcare!$E1515&lt;5.7,"normal",Healthcare!$E1515&lt;=6.4,"prediabetes",Healthcare!$E1515&gt;=6.5,"diabetes")</f>
        <v>normal</v>
      </c>
      <c r="G1515" s="7" t="s">
        <v>19</v>
      </c>
      <c r="H1515" s="7" t="s">
        <v>19</v>
      </c>
      <c r="I1515" s="7" t="s">
        <v>19</v>
      </c>
      <c r="J1515" s="7">
        <v>0</v>
      </c>
      <c r="K1515" s="7" t="s">
        <v>19</v>
      </c>
      <c r="L1515" s="7" t="str">
        <f>VLOOKUP(Healthcare!$A1515,hospital_details,2,0)</f>
        <v>29-Jun-1991</v>
      </c>
      <c r="M1515" s="7">
        <f t="shared" ref="M1515:M1578" ca="1" si="9075">VLOOKUP(A1515,hospital_details,3,0)</f>
        <v>35</v>
      </c>
      <c r="N1515" s="7">
        <f t="shared" ref="N1515:N1578" si="9076">VLOOKUP($A1515,hospital_details,4,0)</f>
        <v>5</v>
      </c>
      <c r="O1515" s="8">
        <f t="shared" ref="O1515:O1578" si="9077">VLOOKUP($A1515,hospital_details,5,0)</f>
        <v>6799.46</v>
      </c>
      <c r="P1515" s="7" t="str">
        <f t="shared" ref="P1515:P1578" si="9078">VLOOKUP($A1515,hospital_details,6,0)</f>
        <v>tier - 1</v>
      </c>
      <c r="Q1515" s="7" t="str">
        <f t="shared" ref="Q1515:Q1578" si="9079">VLOOKUP($A1515,hospital_details,7,0)</f>
        <v>tier - 2</v>
      </c>
      <c r="R1515" s="7" t="str">
        <f t="shared" ref="R1515:R1578" si="9080">VLOOKUP($A1515,hospital_details,8,0)</f>
        <v>R1014</v>
      </c>
    </row>
    <row r="1516" spans="1:18" ht="14.4" customHeight="1" x14ac:dyDescent="0.3">
      <c r="A1516" s="5" t="s">
        <v>1536</v>
      </c>
      <c r="B1516" s="5" t="str">
        <f>VLOOKUP($A1516,[1]!Customer_Names[#Data],3,0)</f>
        <v xml:space="preserve">  Matthew</v>
      </c>
      <c r="C1516" s="5">
        <v>30.875</v>
      </c>
      <c r="D1516" s="5" t="str" cm="1">
        <f t="array" ref="D1516">_xlfn.IFS(Healthcare!$C1516&lt;18.5,"under weight",Healthcare!$C1516&lt;=24.9,"Normal Weight",Healthcare!$C1516&gt;=25,"overweight",Healthcare!$C1516&gt;=30,"obese")</f>
        <v>overweight</v>
      </c>
      <c r="E1516" s="5">
        <v>4.1399999999999997</v>
      </c>
      <c r="F1516" s="5" t="str" cm="1">
        <f t="array" ref="F1516">_xlfn.IFS(Healthcare!$E1516&lt;5.7,"normal",Healthcare!$E1516&lt;=6.4,"prediabetes",Healthcare!$E1516&gt;=6.5,"diabetes")</f>
        <v>normal</v>
      </c>
      <c r="G1516" s="5" t="s">
        <v>20</v>
      </c>
      <c r="H1516" s="5" t="s">
        <v>19</v>
      </c>
      <c r="I1516" s="5" t="s">
        <v>19</v>
      </c>
      <c r="J1516" s="5">
        <v>0</v>
      </c>
      <c r="K1516" s="5" t="s">
        <v>19</v>
      </c>
      <c r="L1516" s="5" t="str">
        <f>VLOOKUP(Healthcare!$A1516,hospital_details,2,0)</f>
        <v>24-Dec-1985</v>
      </c>
      <c r="M1516" s="5">
        <f t="shared" ref="M1516:M1579" ca="1" si="9081">VLOOKUP(A1516,hospital_details,3,0)</f>
        <v>40</v>
      </c>
      <c r="N1516" s="5">
        <f t="shared" ref="N1516:N1579" si="9082">VLOOKUP($A1516,hospital_details,4,0)</f>
        <v>3</v>
      </c>
      <c r="O1516" s="6">
        <f t="shared" ref="O1516:O1579" si="9083">VLOOKUP($A1516,hospital_details,5,0)</f>
        <v>6796.86</v>
      </c>
      <c r="P1516" s="5" t="str">
        <f t="shared" ref="P1516:P1579" si="9084">VLOOKUP($A1516,hospital_details,6,0)</f>
        <v>tier - 3</v>
      </c>
      <c r="Q1516" s="5" t="str">
        <f t="shared" ref="Q1516:Q1579" si="9085">VLOOKUP($A1516,hospital_details,7,0)</f>
        <v>tier - 3</v>
      </c>
      <c r="R1516" s="5" t="str">
        <f t="shared" ref="R1516:R1579" si="9086">VLOOKUP($A1516,hospital_details,8,0)</f>
        <v>R1012</v>
      </c>
    </row>
    <row r="1517" spans="1:18" ht="14.4" customHeight="1" x14ac:dyDescent="0.3">
      <c r="A1517" s="7" t="s">
        <v>1537</v>
      </c>
      <c r="B1517" s="7" t="str">
        <f>VLOOKUP($A1517,[1]!Customer_Names[#Data],3,0)</f>
        <v xml:space="preserve">  Jacob</v>
      </c>
      <c r="C1517" s="7">
        <v>24.02</v>
      </c>
      <c r="D1517" s="7" t="str" cm="1">
        <f t="array" ref="D1517">_xlfn.IFS(Healthcare!$C1517&lt;18.5,"under weight",Healthcare!$C1517&lt;=24.9,"Normal Weight",Healthcare!$C1517&gt;=25,"overweight",Healthcare!$C1517&gt;=30,"obese")</f>
        <v>Normal Weight</v>
      </c>
      <c r="E1517" s="7">
        <v>4.38</v>
      </c>
      <c r="F1517" s="7" t="str" cm="1">
        <f t="array" ref="F1517">_xlfn.IFS(Healthcare!$E1517&lt;5.7,"normal",Healthcare!$E1517&lt;=6.4,"prediabetes",Healthcare!$E1517&gt;=6.5,"diabetes")</f>
        <v>normal</v>
      </c>
      <c r="G1517" s="7" t="s">
        <v>19</v>
      </c>
      <c r="H1517" s="7" t="s">
        <v>19</v>
      </c>
      <c r="I1517" s="7" t="s">
        <v>19</v>
      </c>
      <c r="J1517" s="7">
        <v>0</v>
      </c>
      <c r="K1517" s="7" t="s">
        <v>19</v>
      </c>
      <c r="L1517" s="7" t="str">
        <f>VLOOKUP(Healthcare!$A1517,hospital_details,2,0)</f>
        <v>23-Nov-1980</v>
      </c>
      <c r="M1517" s="7">
        <f t="shared" ref="M1517:M1580" ca="1" si="9087">VLOOKUP(A1517,hospital_details,3,0)</f>
        <v>45</v>
      </c>
      <c r="N1517" s="7">
        <f t="shared" ref="N1517:N1580" si="9088">VLOOKUP($A1517,hospital_details,4,0)</f>
        <v>2</v>
      </c>
      <c r="O1517" s="8">
        <f t="shared" ref="O1517:O1580" si="9089">VLOOKUP($A1517,hospital_details,5,0)</f>
        <v>6781.52</v>
      </c>
      <c r="P1517" s="7" t="str">
        <f t="shared" ref="P1517:P1580" si="9090">VLOOKUP($A1517,hospital_details,6,0)</f>
        <v>tier - 2</v>
      </c>
      <c r="Q1517" s="7" t="str">
        <f t="shared" ref="Q1517:Q1580" si="9091">VLOOKUP($A1517,hospital_details,7,0)</f>
        <v>tier - 2</v>
      </c>
      <c r="R1517" s="7" t="str">
        <f t="shared" ref="R1517:R1580" si="9092">VLOOKUP($A1517,hospital_details,8,0)</f>
        <v>R1013</v>
      </c>
    </row>
    <row r="1518" spans="1:18" ht="14.4" customHeight="1" x14ac:dyDescent="0.3">
      <c r="A1518" s="5" t="s">
        <v>1538</v>
      </c>
      <c r="B1518" s="5" t="str">
        <f>VLOOKUP($A1518,[1]!Customer_Names[#Data],3,0)</f>
        <v xml:space="preserve">  Jodi</v>
      </c>
      <c r="C1518" s="5">
        <v>36.08</v>
      </c>
      <c r="D1518" s="5" t="str" cm="1">
        <f t="array" ref="D1518">_xlfn.IFS(Healthcare!$C1518&lt;18.5,"under weight",Healthcare!$C1518&lt;=24.9,"Normal Weight",Healthcare!$C1518&gt;=25,"overweight",Healthcare!$C1518&gt;=30,"obese")</f>
        <v>overweight</v>
      </c>
      <c r="E1518" s="5">
        <v>11.61</v>
      </c>
      <c r="F1518" s="5" t="str" cm="1">
        <f t="array" ref="F1518">_xlfn.IFS(Healthcare!$E1518&lt;5.7,"normal",Healthcare!$E1518&lt;=6.4,"prediabetes",Healthcare!$E1518&gt;=6.5,"diabetes")</f>
        <v>diabetes</v>
      </c>
      <c r="G1518" s="5" t="s">
        <v>20</v>
      </c>
      <c r="H1518" s="5" t="s">
        <v>19</v>
      </c>
      <c r="I1518" s="5" t="s">
        <v>19</v>
      </c>
      <c r="J1518" s="5">
        <v>0</v>
      </c>
      <c r="K1518" s="5" t="s">
        <v>19</v>
      </c>
      <c r="L1518" s="5" t="str">
        <f>VLOOKUP(Healthcare!$A1518,hospital_details,2,0)</f>
        <v>8-Oct-1981</v>
      </c>
      <c r="M1518" s="5">
        <f t="shared" ref="M1518:M1581" ca="1" si="9093">VLOOKUP(A1518,hospital_details,3,0)</f>
        <v>45</v>
      </c>
      <c r="N1518" s="5">
        <f t="shared" ref="N1518:N1581" si="9094">VLOOKUP($A1518,hospital_details,4,0)</f>
        <v>1</v>
      </c>
      <c r="O1518" s="6">
        <f t="shared" ref="O1518:O1581" si="9095">VLOOKUP($A1518,hospital_details,5,0)</f>
        <v>6781.35</v>
      </c>
      <c r="P1518" s="5" t="str">
        <f t="shared" ref="P1518:P1581" si="9096">VLOOKUP($A1518,hospital_details,6,0)</f>
        <v>tier - 2</v>
      </c>
      <c r="Q1518" s="5" t="str">
        <f t="shared" ref="Q1518:Q1581" si="9097">VLOOKUP($A1518,hospital_details,7,0)</f>
        <v>tier - 1</v>
      </c>
      <c r="R1518" s="5" t="str">
        <f t="shared" ref="R1518:R1581" si="9098">VLOOKUP($A1518,hospital_details,8,0)</f>
        <v>R1013</v>
      </c>
    </row>
    <row r="1519" spans="1:18" ht="14.4" customHeight="1" x14ac:dyDescent="0.3">
      <c r="A1519" s="7" t="s">
        <v>1539</v>
      </c>
      <c r="B1519" s="7" t="str">
        <f>VLOOKUP($A1519,[1]!Customer_Names[#Data],3,0)</f>
        <v xml:space="preserve">  Lauren</v>
      </c>
      <c r="C1519" s="7">
        <v>32.200000000000003</v>
      </c>
      <c r="D1519" s="7" t="str" cm="1">
        <f t="array" ref="D1519">_xlfn.IFS(Healthcare!$C1519&lt;18.5,"under weight",Healthcare!$C1519&lt;=24.9,"Normal Weight",Healthcare!$C1519&gt;=25,"overweight",Healthcare!$C1519&gt;=30,"obese")</f>
        <v>overweight</v>
      </c>
      <c r="E1519" s="7">
        <v>10.59</v>
      </c>
      <c r="F1519" s="7" t="str" cm="1">
        <f t="array" ref="F1519">_xlfn.IFS(Healthcare!$E1519&lt;5.7,"normal",Healthcare!$E1519&lt;=6.4,"prediabetes",Healthcare!$E1519&gt;=6.5,"diabetes")</f>
        <v>diabetes</v>
      </c>
      <c r="G1519" s="7" t="s">
        <v>20</v>
      </c>
      <c r="H1519" s="7" t="s">
        <v>19</v>
      </c>
      <c r="I1519" s="7" t="s">
        <v>19</v>
      </c>
      <c r="J1519" s="7">
        <v>0</v>
      </c>
      <c r="K1519" s="7" t="s">
        <v>19</v>
      </c>
      <c r="L1519" s="7" t="str">
        <f>VLOOKUP(Healthcare!$A1519,hospital_details,2,0)</f>
        <v>3-Sep-1981</v>
      </c>
      <c r="M1519" s="7">
        <f t="shared" ref="M1519:M1582" ca="1" si="9099">VLOOKUP(A1519,hospital_details,3,0)</f>
        <v>45</v>
      </c>
      <c r="N1519" s="7">
        <f t="shared" ref="N1519:N1582" si="9100">VLOOKUP($A1519,hospital_details,4,0)</f>
        <v>1</v>
      </c>
      <c r="O1519" s="8">
        <f t="shared" ref="O1519:O1582" si="9101">VLOOKUP($A1519,hospital_details,5,0)</f>
        <v>6775.96</v>
      </c>
      <c r="P1519" s="7" t="str">
        <f t="shared" ref="P1519:P1582" si="9102">VLOOKUP($A1519,hospital_details,6,0)</f>
        <v>tier - 2</v>
      </c>
      <c r="Q1519" s="7" t="str">
        <f t="shared" ref="Q1519:Q1582" si="9103">VLOOKUP($A1519,hospital_details,7,0)</f>
        <v>tier - 3</v>
      </c>
      <c r="R1519" s="7" t="str">
        <f t="shared" ref="R1519:R1582" si="9104">VLOOKUP($A1519,hospital_details,8,0)</f>
        <v>R1011</v>
      </c>
    </row>
    <row r="1520" spans="1:18" ht="14.4" customHeight="1" x14ac:dyDescent="0.3">
      <c r="A1520" s="5" t="s">
        <v>1540</v>
      </c>
      <c r="B1520" s="5" t="str">
        <f>VLOOKUP($A1520,[1]!Customer_Names[#Data],3,0)</f>
        <v xml:space="preserve">  Misti C</v>
      </c>
      <c r="C1520" s="5">
        <v>28.05</v>
      </c>
      <c r="D1520" s="5" t="str" cm="1">
        <f t="array" ref="D1520">_xlfn.IFS(Healthcare!$C1520&lt;18.5,"under weight",Healthcare!$C1520&lt;=24.9,"Normal Weight",Healthcare!$C1520&gt;=25,"overweight",Healthcare!$C1520&gt;=30,"obese")</f>
        <v>overweight</v>
      </c>
      <c r="E1520" s="5">
        <v>11.85</v>
      </c>
      <c r="F1520" s="5" t="str" cm="1">
        <f t="array" ref="F1520">_xlfn.IFS(Healthcare!$E1520&lt;5.7,"normal",Healthcare!$E1520&lt;=6.4,"prediabetes",Healthcare!$E1520&gt;=6.5,"diabetes")</f>
        <v>diabetes</v>
      </c>
      <c r="G1520" s="5" t="s">
        <v>20</v>
      </c>
      <c r="H1520" s="5" t="s">
        <v>19</v>
      </c>
      <c r="I1520" s="5" t="s">
        <v>19</v>
      </c>
      <c r="J1520" s="5">
        <v>0</v>
      </c>
      <c r="K1520" s="5" t="s">
        <v>19</v>
      </c>
      <c r="L1520" s="5" t="str">
        <f>VLOOKUP(Healthcare!$A1520,hospital_details,2,0)</f>
        <v>21-Sep-1981</v>
      </c>
      <c r="M1520" s="5">
        <f t="shared" ref="M1520:M1583" ca="1" si="9105">VLOOKUP(A1520,hospital_details,3,0)</f>
        <v>45</v>
      </c>
      <c r="N1520" s="5">
        <f t="shared" ref="N1520:N1583" si="9106">VLOOKUP($A1520,hospital_details,4,0)</f>
        <v>1</v>
      </c>
      <c r="O1520" s="6">
        <f t="shared" ref="O1520:O1583" si="9107">VLOOKUP($A1520,hospital_details,5,0)</f>
        <v>6770.19</v>
      </c>
      <c r="P1520" s="5" t="str">
        <f t="shared" ref="P1520:P1583" si="9108">VLOOKUP($A1520,hospital_details,6,0)</f>
        <v>tier - 2</v>
      </c>
      <c r="Q1520" s="5" t="str">
        <f t="shared" ref="Q1520:Q1583" si="9109">VLOOKUP($A1520,hospital_details,7,0)</f>
        <v>tier - 3</v>
      </c>
      <c r="R1520" s="5" t="str">
        <f t="shared" ref="R1520:R1583" si="9110">VLOOKUP($A1520,hospital_details,8,0)</f>
        <v>R1013</v>
      </c>
    </row>
    <row r="1521" spans="1:18" ht="14.4" customHeight="1" x14ac:dyDescent="0.3">
      <c r="A1521" s="7" t="s">
        <v>1541</v>
      </c>
      <c r="B1521" s="7" t="str">
        <f>VLOOKUP($A1521,[1]!Customer_Names[#Data],3,0)</f>
        <v xml:space="preserve">  Angela J</v>
      </c>
      <c r="C1521" s="7">
        <v>19</v>
      </c>
      <c r="D1521" s="7" t="str" cm="1">
        <f t="array" ref="D1521">_xlfn.IFS(Healthcare!$C1521&lt;18.5,"under weight",Healthcare!$C1521&lt;=24.9,"Normal Weight",Healthcare!$C1521&gt;=25,"overweight",Healthcare!$C1521&gt;=30,"obese")</f>
        <v>Normal Weight</v>
      </c>
      <c r="E1521" s="7">
        <v>5.46</v>
      </c>
      <c r="F1521" s="7" t="str" cm="1">
        <f t="array" ref="F1521">_xlfn.IFS(Healthcare!$E1521&lt;5.7,"normal",Healthcare!$E1521&lt;=6.4,"prediabetes",Healthcare!$E1521&gt;=6.5,"diabetes")</f>
        <v>normal</v>
      </c>
      <c r="G1521" s="7" t="s">
        <v>20</v>
      </c>
      <c r="H1521" s="7" t="s">
        <v>19</v>
      </c>
      <c r="I1521" s="7" t="s">
        <v>19</v>
      </c>
      <c r="J1521" s="7">
        <v>1</v>
      </c>
      <c r="K1521" s="7" t="s">
        <v>19</v>
      </c>
      <c r="L1521" s="7" t="str">
        <f>VLOOKUP(Healthcare!$A1521,hospital_details,2,0)</f>
        <v>10-Oct-1988</v>
      </c>
      <c r="M1521" s="7">
        <f t="shared" ref="M1521:M1584" ca="1" si="9111">VLOOKUP(A1521,hospital_details,3,0)</f>
        <v>38</v>
      </c>
      <c r="N1521" s="7">
        <f t="shared" ref="N1521:N1584" si="9112">VLOOKUP($A1521,hospital_details,4,0)</f>
        <v>3</v>
      </c>
      <c r="O1521" s="8">
        <f t="shared" ref="O1521:O1584" si="9113">VLOOKUP($A1521,hospital_details,5,0)</f>
        <v>6753.04</v>
      </c>
      <c r="P1521" s="7" t="str">
        <f t="shared" ref="P1521:P1584" si="9114">VLOOKUP($A1521,hospital_details,6,0)</f>
        <v>tier - 2</v>
      </c>
      <c r="Q1521" s="7" t="str">
        <f t="shared" ref="Q1521:Q1584" si="9115">VLOOKUP($A1521,hospital_details,7,0)</f>
        <v>tier - 2</v>
      </c>
      <c r="R1521" s="7" t="str">
        <f t="shared" ref="R1521:R1584" si="9116">VLOOKUP($A1521,hospital_details,8,0)</f>
        <v>R1024</v>
      </c>
    </row>
    <row r="1522" spans="1:18" ht="14.4" customHeight="1" x14ac:dyDescent="0.3">
      <c r="A1522" s="5" t="s">
        <v>1542</v>
      </c>
      <c r="B1522" s="5" t="str">
        <f>VLOOKUP($A1522,[1]!Customer_Names[#Data],3,0)</f>
        <v xml:space="preserve">  Jonathan D</v>
      </c>
      <c r="C1522" s="5">
        <v>16.13</v>
      </c>
      <c r="D1522" s="5" t="str" cm="1">
        <f t="array" ref="D1522">_xlfn.IFS(Healthcare!$C1522&lt;18.5,"under weight",Healthcare!$C1522&lt;=24.9,"Normal Weight",Healthcare!$C1522&gt;=25,"overweight",Healthcare!$C1522&gt;=30,"obese")</f>
        <v>under weight</v>
      </c>
      <c r="E1522" s="5">
        <v>4.54</v>
      </c>
      <c r="F1522" s="5" t="str" cm="1">
        <f t="array" ref="F1522">_xlfn.IFS(Healthcare!$E1522&lt;5.7,"normal",Healthcare!$E1522&lt;=6.4,"prediabetes",Healthcare!$E1522&gt;=6.5,"diabetes")</f>
        <v>normal</v>
      </c>
      <c r="G1522" s="5" t="s">
        <v>20</v>
      </c>
      <c r="H1522" s="5" t="s">
        <v>19</v>
      </c>
      <c r="I1522" s="5" t="s">
        <v>19</v>
      </c>
      <c r="J1522" s="5">
        <v>2</v>
      </c>
      <c r="K1522" s="5" t="s">
        <v>19</v>
      </c>
      <c r="L1522" s="5" t="str">
        <f>VLOOKUP(Healthcare!$A1522,hospital_details,2,0)</f>
        <v>9-Dec-1966</v>
      </c>
      <c r="M1522" s="5">
        <f t="shared" ref="M1522:M1585" ca="1" si="9117">VLOOKUP(A1522,hospital_details,3,0)</f>
        <v>59</v>
      </c>
      <c r="N1522" s="5">
        <f t="shared" ref="N1522:N1585" si="9118">VLOOKUP($A1522,hospital_details,4,0)</f>
        <v>0</v>
      </c>
      <c r="O1522" s="6">
        <f t="shared" ref="O1522:O1585" si="9119">VLOOKUP($A1522,hospital_details,5,0)</f>
        <v>6750.27</v>
      </c>
      <c r="P1522" s="5" t="str">
        <f t="shared" ref="P1522:P1585" si="9120">VLOOKUP($A1522,hospital_details,6,0)</f>
        <v>tier - 3</v>
      </c>
      <c r="Q1522" s="5" t="str">
        <f t="shared" ref="Q1522:Q1585" si="9121">VLOOKUP($A1522,hospital_details,7,0)</f>
        <v>tier - 2</v>
      </c>
      <c r="R1522" s="5" t="str">
        <f t="shared" ref="R1522:R1585" si="9122">VLOOKUP($A1522,hospital_details,8,0)</f>
        <v>R1013</v>
      </c>
    </row>
    <row r="1523" spans="1:18" ht="14.4" customHeight="1" x14ac:dyDescent="0.3">
      <c r="A1523" s="7" t="s">
        <v>1543</v>
      </c>
      <c r="B1523" s="7" t="str">
        <f>VLOOKUP($A1523,[1]!Customer_Names[#Data],3,0)</f>
        <v xml:space="preserve">  Victoria</v>
      </c>
      <c r="C1523" s="7">
        <v>18.77</v>
      </c>
      <c r="D1523" s="7" t="str" cm="1">
        <f t="array" ref="D1523">_xlfn.IFS(Healthcare!$C1523&lt;18.5,"under weight",Healthcare!$C1523&lt;=24.9,"Normal Weight",Healthcare!$C1523&gt;=25,"overweight",Healthcare!$C1523&gt;=30,"obese")</f>
        <v>Normal Weight</v>
      </c>
      <c r="E1523" s="7">
        <v>11.98</v>
      </c>
      <c r="F1523" s="7" t="str" cm="1">
        <f t="array" ref="F1523">_xlfn.IFS(Healthcare!$E1523&lt;5.7,"normal",Healthcare!$E1523&lt;=6.4,"prediabetes",Healthcare!$E1523&gt;=6.5,"diabetes")</f>
        <v>diabetes</v>
      </c>
      <c r="G1523" s="7" t="s">
        <v>20</v>
      </c>
      <c r="H1523" s="7" t="s">
        <v>19</v>
      </c>
      <c r="I1523" s="7" t="s">
        <v>19</v>
      </c>
      <c r="J1523" s="7">
        <v>2</v>
      </c>
      <c r="K1523" s="7" t="s">
        <v>19</v>
      </c>
      <c r="L1523" s="7" t="str">
        <f>VLOOKUP(Healthcare!$A1523,hospital_details,2,0)</f>
        <v>17-Jun-1970</v>
      </c>
      <c r="M1523" s="7">
        <f t="shared" ref="M1523:M1586" ca="1" si="9123">VLOOKUP(A1523,hospital_details,3,0)</f>
        <v>56</v>
      </c>
      <c r="N1523" s="7">
        <f t="shared" ref="N1523:N1586" si="9124">VLOOKUP($A1523,hospital_details,4,0)</f>
        <v>0</v>
      </c>
      <c r="O1523" s="8">
        <f t="shared" ref="O1523:O1586" si="9125">VLOOKUP($A1523,hospital_details,5,0)</f>
        <v>6749.63</v>
      </c>
      <c r="P1523" s="7" t="str">
        <f t="shared" ref="P1523:P1586" si="9126">VLOOKUP($A1523,hospital_details,6,0)</f>
        <v>tier - 2</v>
      </c>
      <c r="Q1523" s="7" t="str">
        <f t="shared" ref="Q1523:Q1586" si="9127">VLOOKUP($A1523,hospital_details,7,0)</f>
        <v>tier - 1</v>
      </c>
      <c r="R1523" s="7" t="str">
        <f t="shared" ref="R1523:R1586" si="9128">VLOOKUP($A1523,hospital_details,8,0)</f>
        <v>R1013</v>
      </c>
    </row>
    <row r="1524" spans="1:18" ht="14.4" customHeight="1" x14ac:dyDescent="0.3">
      <c r="A1524" s="5" t="s">
        <v>1544</v>
      </c>
      <c r="B1524" s="5" t="str">
        <f>VLOOKUP($A1524,[1]!Customer_Names[#Data],3,0)</f>
        <v xml:space="preserve">  Adrian R</v>
      </c>
      <c r="C1524" s="5">
        <v>28.88</v>
      </c>
      <c r="D1524" s="5" t="str" cm="1">
        <f t="array" ref="D1524">_xlfn.IFS(Healthcare!$C1524&lt;18.5,"under weight",Healthcare!$C1524&lt;=24.9,"Normal Weight",Healthcare!$C1524&gt;=25,"overweight",Healthcare!$C1524&gt;=30,"obese")</f>
        <v>overweight</v>
      </c>
      <c r="E1524" s="5">
        <v>6.59</v>
      </c>
      <c r="F1524" s="5" t="str" cm="1">
        <f t="array" ref="F1524">_xlfn.IFS(Healthcare!$E1524&lt;5.7,"normal",Healthcare!$E1524&lt;=6.4,"prediabetes",Healthcare!$E1524&gt;=6.5,"diabetes")</f>
        <v>diabetes</v>
      </c>
      <c r="G1524" s="5" t="s">
        <v>20</v>
      </c>
      <c r="H1524" s="5" t="s">
        <v>19</v>
      </c>
      <c r="I1524" s="5" t="s">
        <v>19</v>
      </c>
      <c r="J1524" s="5">
        <v>1</v>
      </c>
      <c r="K1524" s="5" t="s">
        <v>19</v>
      </c>
      <c r="L1524" s="5" t="str">
        <f>VLOOKUP(Healthcare!$A1524,hospital_details,2,0)</f>
        <v>5-Jun-1986</v>
      </c>
      <c r="M1524" s="5">
        <f t="shared" ref="M1524:M1587" ca="1" si="9129">VLOOKUP(A1524,hospital_details,3,0)</f>
        <v>40</v>
      </c>
      <c r="N1524" s="5">
        <f t="shared" ref="N1524:N1587" si="9130">VLOOKUP($A1524,hospital_details,4,0)</f>
        <v>3</v>
      </c>
      <c r="O1524" s="6">
        <f t="shared" ref="O1524:O1587" si="9131">VLOOKUP($A1524,hospital_details,5,0)</f>
        <v>6748.59</v>
      </c>
      <c r="P1524" s="5" t="str">
        <f t="shared" ref="P1524:P1587" si="9132">VLOOKUP($A1524,hospital_details,6,0)</f>
        <v>tier - 3</v>
      </c>
      <c r="Q1524" s="5" t="str">
        <f t="shared" ref="Q1524:Q1587" si="9133">VLOOKUP($A1524,hospital_details,7,0)</f>
        <v>tier - 1</v>
      </c>
      <c r="R1524" s="5" t="str">
        <f t="shared" ref="R1524:R1587" si="9134">VLOOKUP($A1524,hospital_details,8,0)</f>
        <v>R1016</v>
      </c>
    </row>
    <row r="1525" spans="1:18" ht="14.4" customHeight="1" x14ac:dyDescent="0.3">
      <c r="A1525" s="7" t="s">
        <v>1545</v>
      </c>
      <c r="B1525" s="7" t="str">
        <f>VLOOKUP($A1525,[1]!Customer_Names[#Data],3,0)</f>
        <v xml:space="preserve">  Andrew</v>
      </c>
      <c r="C1525" s="7">
        <v>27.55</v>
      </c>
      <c r="D1525" s="7" t="str" cm="1">
        <f t="array" ref="D1525">_xlfn.IFS(Healthcare!$C1525&lt;18.5,"under weight",Healthcare!$C1525&lt;=24.9,"Normal Weight",Healthcare!$C1525&gt;=25,"overweight",Healthcare!$C1525&gt;=30,"obese")</f>
        <v>overweight</v>
      </c>
      <c r="E1525" s="7">
        <v>10.83</v>
      </c>
      <c r="F1525" s="7" t="str" cm="1">
        <f t="array" ref="F1525">_xlfn.IFS(Healthcare!$E1525&lt;5.7,"normal",Healthcare!$E1525&lt;=6.4,"prediabetes",Healthcare!$E1525&gt;=6.5,"diabetes")</f>
        <v>diabetes</v>
      </c>
      <c r="G1525" s="7" t="s">
        <v>20</v>
      </c>
      <c r="H1525" s="7" t="s">
        <v>19</v>
      </c>
      <c r="I1525" s="7" t="s">
        <v>19</v>
      </c>
      <c r="J1525" s="7">
        <v>1</v>
      </c>
      <c r="K1525" s="7" t="s">
        <v>19</v>
      </c>
      <c r="L1525" s="7" t="str">
        <f>VLOOKUP(Healthcare!$A1525,hospital_details,2,0)</f>
        <v>7-Aug-1986</v>
      </c>
      <c r="M1525" s="7">
        <f t="shared" ref="M1525:M1588" ca="1" si="9135">VLOOKUP(A1525,hospital_details,3,0)</f>
        <v>40</v>
      </c>
      <c r="N1525" s="7">
        <f t="shared" ref="N1525:N1588" si="9136">VLOOKUP($A1525,hospital_details,4,0)</f>
        <v>3</v>
      </c>
      <c r="O1525" s="8">
        <f t="shared" ref="O1525:O1588" si="9137">VLOOKUP($A1525,hospital_details,5,0)</f>
        <v>6746.74</v>
      </c>
      <c r="P1525" s="7" t="str">
        <f t="shared" ref="P1525:P1588" si="9138">VLOOKUP($A1525,hospital_details,6,0)</f>
        <v>tier - 3</v>
      </c>
      <c r="Q1525" s="7" t="str">
        <f t="shared" ref="Q1525:Q1588" si="9139">VLOOKUP($A1525,hospital_details,7,0)</f>
        <v>tier - 2</v>
      </c>
      <c r="R1525" s="7" t="str">
        <f t="shared" ref="R1525:R1588" si="9140">VLOOKUP($A1525,hospital_details,8,0)</f>
        <v>R1016</v>
      </c>
    </row>
    <row r="1526" spans="1:18" ht="14.4" customHeight="1" x14ac:dyDescent="0.3">
      <c r="A1526" s="5" t="s">
        <v>1546</v>
      </c>
      <c r="B1526" s="5" t="str">
        <f>VLOOKUP($A1526,[1]!Customer_Names[#Data],3,0)</f>
        <v xml:space="preserve">  Jason A</v>
      </c>
      <c r="C1526" s="5">
        <v>15.6</v>
      </c>
      <c r="D1526" s="5" t="str" cm="1">
        <f t="array" ref="D1526">_xlfn.IFS(Healthcare!$C1526&lt;18.5,"under weight",Healthcare!$C1526&lt;=24.9,"Normal Weight",Healthcare!$C1526&gt;=25,"overweight",Healthcare!$C1526&gt;=30,"obese")</f>
        <v>under weight</v>
      </c>
      <c r="E1526" s="5">
        <v>8.6</v>
      </c>
      <c r="F1526" s="5" t="str" cm="1">
        <f t="array" ref="F1526">_xlfn.IFS(Healthcare!$E1526&lt;5.7,"normal",Healthcare!$E1526&lt;=6.4,"prediabetes",Healthcare!$E1526&gt;=6.5,"diabetes")</f>
        <v>diabetes</v>
      </c>
      <c r="G1526" s="5" t="s">
        <v>19</v>
      </c>
      <c r="H1526" s="5" t="s">
        <v>19</v>
      </c>
      <c r="I1526" s="5" t="s">
        <v>19</v>
      </c>
      <c r="J1526" s="5">
        <v>0</v>
      </c>
      <c r="K1526" s="5" t="s">
        <v>19</v>
      </c>
      <c r="L1526" s="5" t="str">
        <f>VLOOKUP(Healthcare!$A1526,hospital_details,2,0)</f>
        <v>18-Jul-1968</v>
      </c>
      <c r="M1526" s="5">
        <f t="shared" ref="M1526:M1589" ca="1" si="9141">VLOOKUP(A1526,hospital_details,3,0)</f>
        <v>58</v>
      </c>
      <c r="N1526" s="5">
        <f t="shared" ref="N1526:N1589" si="9142">VLOOKUP($A1526,hospital_details,4,0)</f>
        <v>0</v>
      </c>
      <c r="O1526" s="6">
        <f t="shared" ref="O1526:O1589" si="9143">VLOOKUP($A1526,hospital_details,5,0)</f>
        <v>6738.84</v>
      </c>
      <c r="P1526" s="5" t="str">
        <f t="shared" ref="P1526:P1589" si="9144">VLOOKUP($A1526,hospital_details,6,0)</f>
        <v>tier - 3</v>
      </c>
      <c r="Q1526" s="5" t="str">
        <f t="shared" ref="Q1526:Q1589" si="9145">VLOOKUP($A1526,hospital_details,7,0)</f>
        <v>tier - 1</v>
      </c>
      <c r="R1526" s="5" t="str">
        <f t="shared" ref="R1526:R1589" si="9146">VLOOKUP($A1526,hospital_details,8,0)</f>
        <v>R1012</v>
      </c>
    </row>
    <row r="1527" spans="1:18" ht="14.4" customHeight="1" x14ac:dyDescent="0.3">
      <c r="A1527" s="7" t="s">
        <v>1547</v>
      </c>
      <c r="B1527" s="7" t="str">
        <f>VLOOKUP($A1527,[1]!Customer_Names[#Data],3,0)</f>
        <v xml:space="preserve">  Rachel</v>
      </c>
      <c r="C1527" s="7">
        <v>21.99</v>
      </c>
      <c r="D1527" s="7" t="str" cm="1">
        <f t="array" ref="D1527">_xlfn.IFS(Healthcare!$C1527&lt;18.5,"under weight",Healthcare!$C1527&lt;=24.9,"Normal Weight",Healthcare!$C1527&gt;=25,"overweight",Healthcare!$C1527&gt;=30,"obese")</f>
        <v>Normal Weight</v>
      </c>
      <c r="E1527" s="7">
        <v>11.17</v>
      </c>
      <c r="F1527" s="7" t="str" cm="1">
        <f t="array" ref="F1527">_xlfn.IFS(Healthcare!$E1527&lt;5.7,"normal",Healthcare!$E1527&lt;=6.4,"prediabetes",Healthcare!$E1527&gt;=6.5,"diabetes")</f>
        <v>diabetes</v>
      </c>
      <c r="G1527" s="7" t="s">
        <v>19</v>
      </c>
      <c r="H1527" s="7" t="s">
        <v>19</v>
      </c>
      <c r="I1527" s="7" t="s">
        <v>19</v>
      </c>
      <c r="J1527" s="7">
        <v>0</v>
      </c>
      <c r="K1527" s="7" t="s">
        <v>19</v>
      </c>
      <c r="L1527" s="7" t="str">
        <f>VLOOKUP(Healthcare!$A1527,hospital_details,2,0)</f>
        <v>21-Oct-1978</v>
      </c>
      <c r="M1527" s="7">
        <f t="shared" ref="M1527:M1590" ca="1" si="9147">VLOOKUP(A1527,hospital_details,3,0)</f>
        <v>47</v>
      </c>
      <c r="N1527" s="7">
        <f t="shared" ref="N1527:N1590" si="9148">VLOOKUP($A1527,hospital_details,4,0)</f>
        <v>2</v>
      </c>
      <c r="O1527" s="8">
        <f t="shared" ref="O1527:O1590" si="9149">VLOOKUP($A1527,hospital_details,5,0)</f>
        <v>6737.98</v>
      </c>
      <c r="P1527" s="7" t="str">
        <f t="shared" ref="P1527:P1590" si="9150">VLOOKUP($A1527,hospital_details,6,0)</f>
        <v>tier - 2</v>
      </c>
      <c r="Q1527" s="7" t="str">
        <f t="shared" ref="Q1527:Q1590" si="9151">VLOOKUP($A1527,hospital_details,7,0)</f>
        <v>tier - 3</v>
      </c>
      <c r="R1527" s="7" t="str">
        <f t="shared" ref="R1527:R1590" si="9152">VLOOKUP($A1527,hospital_details,8,0)</f>
        <v>R1013</v>
      </c>
    </row>
    <row r="1528" spans="1:18" ht="14.4" customHeight="1" x14ac:dyDescent="0.3">
      <c r="A1528" s="5" t="s">
        <v>1548</v>
      </c>
      <c r="B1528" s="5" t="str">
        <f>VLOOKUP($A1528,[1]!Customer_Names[#Data],3,0)</f>
        <v xml:space="preserve">  Susan</v>
      </c>
      <c r="C1528" s="5">
        <v>34.85</v>
      </c>
      <c r="D1528" s="5" t="str" cm="1">
        <f t="array" ref="D1528">_xlfn.IFS(Healthcare!$C1528&lt;18.5,"under weight",Healthcare!$C1528&lt;=24.9,"Normal Weight",Healthcare!$C1528&gt;=25,"overweight",Healthcare!$C1528&gt;=30,"obese")</f>
        <v>overweight</v>
      </c>
      <c r="E1528" s="5">
        <v>5.75</v>
      </c>
      <c r="F1528" s="5" t="str" cm="1">
        <f t="array" ref="F1528">_xlfn.IFS(Healthcare!$E1528&lt;5.7,"normal",Healthcare!$E1528&lt;=6.4,"prediabetes",Healthcare!$E1528&gt;=6.5,"diabetes")</f>
        <v>prediabetes</v>
      </c>
      <c r="G1528" s="5" t="s">
        <v>19</v>
      </c>
      <c r="H1528" s="5" t="s">
        <v>19</v>
      </c>
      <c r="I1528" s="5" t="s">
        <v>19</v>
      </c>
      <c r="J1528" s="5">
        <v>0</v>
      </c>
      <c r="K1528" s="5" t="s">
        <v>19</v>
      </c>
      <c r="L1528" s="5" t="str">
        <f>VLOOKUP(Healthcare!$A1528,hospital_details,2,0)</f>
        <v>13-Jun-1994</v>
      </c>
      <c r="M1528" s="5">
        <f t="shared" ref="M1528:M1591" ca="1" si="9153">VLOOKUP(A1528,hospital_details,3,0)</f>
        <v>32</v>
      </c>
      <c r="N1528" s="5">
        <f t="shared" ref="N1528:N1591" si="9154">VLOOKUP($A1528,hospital_details,4,0)</f>
        <v>0</v>
      </c>
      <c r="O1528" s="6">
        <f t="shared" ref="O1528:O1591" si="9155">VLOOKUP($A1528,hospital_details,5,0)</f>
        <v>6721.37</v>
      </c>
      <c r="P1528" s="5" t="str">
        <f t="shared" ref="P1528:P1591" si="9156">VLOOKUP($A1528,hospital_details,6,0)</f>
        <v>tier - 2</v>
      </c>
      <c r="Q1528" s="5" t="str">
        <f t="shared" ref="Q1528:Q1591" si="9157">VLOOKUP($A1528,hospital_details,7,0)</f>
        <v>tier - 1</v>
      </c>
      <c r="R1528" s="5" t="str">
        <f t="shared" ref="R1528:R1591" si="9158">VLOOKUP($A1528,hospital_details,8,0)</f>
        <v>R1012</v>
      </c>
    </row>
    <row r="1529" spans="1:18" ht="14.4" customHeight="1" x14ac:dyDescent="0.3">
      <c r="A1529" s="7" t="s">
        <v>1549</v>
      </c>
      <c r="B1529" s="7" t="str">
        <f>VLOOKUP($A1529,[1]!Customer_Names[#Data],3,0)</f>
        <v xml:space="preserve">  Cameron M</v>
      </c>
      <c r="C1529" s="7">
        <v>24.51</v>
      </c>
      <c r="D1529" s="7" t="str" cm="1">
        <f t="array" ref="D1529">_xlfn.IFS(Healthcare!$C1529&lt;18.5,"under weight",Healthcare!$C1529&lt;=24.9,"Normal Weight",Healthcare!$C1529&gt;=25,"overweight",Healthcare!$C1529&gt;=30,"obese")</f>
        <v>Normal Weight</v>
      </c>
      <c r="E1529" s="7">
        <v>4.83</v>
      </c>
      <c r="F1529" s="7" t="str" cm="1">
        <f t="array" ref="F1529">_xlfn.IFS(Healthcare!$E1529&lt;5.7,"normal",Healthcare!$E1529&lt;=6.4,"prediabetes",Healthcare!$E1529&gt;=6.5,"diabetes")</f>
        <v>normal</v>
      </c>
      <c r="G1529" s="7" t="s">
        <v>20</v>
      </c>
      <c r="H1529" s="7" t="s">
        <v>19</v>
      </c>
      <c r="I1529" s="7" t="s">
        <v>29</v>
      </c>
      <c r="J1529" s="7">
        <v>1</v>
      </c>
      <c r="K1529" s="7" t="s">
        <v>19</v>
      </c>
      <c r="L1529" s="7" t="str">
        <f>VLOOKUP(Healthcare!$A1529,hospital_details,2,0)</f>
        <v>12-Jun-1983</v>
      </c>
      <c r="M1529" s="7">
        <f t="shared" ref="M1529:M1592" ca="1" si="9159">VLOOKUP(A1529,hospital_details,3,0)</f>
        <v>43</v>
      </c>
      <c r="N1529" s="7">
        <f t="shared" ref="N1529:N1592" si="9160">VLOOKUP($A1529,hospital_details,4,0)</f>
        <v>2</v>
      </c>
      <c r="O1529" s="8">
        <f t="shared" ref="O1529:O1592" si="9161">VLOOKUP($A1529,hospital_details,5,0)</f>
        <v>6710.19</v>
      </c>
      <c r="P1529" s="7" t="str">
        <f t="shared" ref="P1529:P1592" si="9162">VLOOKUP($A1529,hospital_details,6,0)</f>
        <v>tier - 3</v>
      </c>
      <c r="Q1529" s="7" t="str">
        <f t="shared" ref="Q1529:Q1592" si="9163">VLOOKUP($A1529,hospital_details,7,0)</f>
        <v>tier - 3</v>
      </c>
      <c r="R1529" s="7" t="str">
        <f t="shared" ref="R1529:R1592" si="9164">VLOOKUP($A1529,hospital_details,8,0)</f>
        <v>R1012</v>
      </c>
    </row>
    <row r="1530" spans="1:18" ht="14.4" customHeight="1" x14ac:dyDescent="0.3">
      <c r="A1530" s="5" t="s">
        <v>1550</v>
      </c>
      <c r="B1530" s="5" t="str">
        <f>VLOOKUP($A1530,[1]!Customer_Names[#Data],3,0)</f>
        <v xml:space="preserve">  Claudia A</v>
      </c>
      <c r="C1530" s="5">
        <v>19.399999999999999</v>
      </c>
      <c r="D1530" s="5" t="str" cm="1">
        <f t="array" ref="D1530">_xlfn.IFS(Healthcare!$C1530&lt;18.5,"under weight",Healthcare!$C1530&lt;=24.9,"Normal Weight",Healthcare!$C1530&gt;=25,"overweight",Healthcare!$C1530&gt;=30,"obese")</f>
        <v>Normal Weight</v>
      </c>
      <c r="E1530" s="5">
        <v>11.93</v>
      </c>
      <c r="F1530" s="5" t="str" cm="1">
        <f t="array" ref="F1530">_xlfn.IFS(Healthcare!$E1530&lt;5.7,"normal",Healthcare!$E1530&lt;=6.4,"prediabetes",Healthcare!$E1530&gt;=6.5,"diabetes")</f>
        <v>diabetes</v>
      </c>
      <c r="G1530" s="5" t="s">
        <v>19</v>
      </c>
      <c r="H1530" s="5" t="s">
        <v>19</v>
      </c>
      <c r="I1530" s="5" t="s">
        <v>19</v>
      </c>
      <c r="J1530" s="5">
        <v>0</v>
      </c>
      <c r="K1530" s="5" t="s">
        <v>19</v>
      </c>
      <c r="L1530" s="5" t="str">
        <f>VLOOKUP(Healthcare!$A1530,hospital_details,2,0)</f>
        <v>12-Dec-1971</v>
      </c>
      <c r="M1530" s="5">
        <f t="shared" ref="M1530:M1593" ca="1" si="9165">VLOOKUP(A1530,hospital_details,3,0)</f>
        <v>54</v>
      </c>
      <c r="N1530" s="5">
        <f t="shared" ref="N1530:N1593" si="9166">VLOOKUP($A1530,hospital_details,4,0)</f>
        <v>0</v>
      </c>
      <c r="O1530" s="6">
        <f t="shared" ref="O1530:O1593" si="9167">VLOOKUP($A1530,hospital_details,5,0)</f>
        <v>6706.47</v>
      </c>
      <c r="P1530" s="5" t="str">
        <f t="shared" ref="P1530:P1593" si="9168">VLOOKUP($A1530,hospital_details,6,0)</f>
        <v>tier - 2</v>
      </c>
      <c r="Q1530" s="5" t="str">
        <f t="shared" ref="Q1530:Q1593" si="9169">VLOOKUP($A1530,hospital_details,7,0)</f>
        <v>tier - 1</v>
      </c>
      <c r="R1530" s="5" t="str">
        <f t="shared" ref="R1530:R1593" si="9170">VLOOKUP($A1530,hospital_details,8,0)</f>
        <v>R1013</v>
      </c>
    </row>
    <row r="1531" spans="1:18" ht="14.4" customHeight="1" x14ac:dyDescent="0.3">
      <c r="A1531" s="7" t="s">
        <v>1551</v>
      </c>
      <c r="B1531" s="7" t="str">
        <f>VLOOKUP($A1531,[1]!Customer_Names[#Data],3,0)</f>
        <v xml:space="preserve">  Kate</v>
      </c>
      <c r="C1531" s="7">
        <v>15.1</v>
      </c>
      <c r="D1531" s="7" t="str" cm="1">
        <f t="array" ref="D1531">_xlfn.IFS(Healthcare!$C1531&lt;18.5,"under weight",Healthcare!$C1531&lt;=24.9,"Normal Weight",Healthcare!$C1531&gt;=25,"overweight",Healthcare!$C1531&gt;=30,"obese")</f>
        <v>under weight</v>
      </c>
      <c r="E1531" s="7">
        <v>8.41</v>
      </c>
      <c r="F1531" s="7" t="str" cm="1">
        <f t="array" ref="F1531">_xlfn.IFS(Healthcare!$E1531&lt;5.7,"normal",Healthcare!$E1531&lt;=6.4,"prediabetes",Healthcare!$E1531&gt;=6.5,"diabetes")</f>
        <v>diabetes</v>
      </c>
      <c r="G1531" s="7" t="s">
        <v>19</v>
      </c>
      <c r="H1531" s="7" t="s">
        <v>19</v>
      </c>
      <c r="I1531" s="7" t="s">
        <v>19</v>
      </c>
      <c r="J1531" s="7">
        <v>0</v>
      </c>
      <c r="K1531" s="7" t="s">
        <v>19</v>
      </c>
      <c r="L1531" s="7" t="str">
        <f>VLOOKUP(Healthcare!$A1531,hospital_details,2,0)</f>
        <v>13-Jul-1968</v>
      </c>
      <c r="M1531" s="7">
        <f t="shared" ref="M1531:M1594" ca="1" si="9171">VLOOKUP(A1531,hospital_details,3,0)</f>
        <v>58</v>
      </c>
      <c r="N1531" s="7">
        <f t="shared" ref="N1531:N1594" si="9172">VLOOKUP($A1531,hospital_details,4,0)</f>
        <v>0</v>
      </c>
      <c r="O1531" s="8">
        <f t="shared" ref="O1531:O1594" si="9173">VLOOKUP($A1531,hospital_details,5,0)</f>
        <v>6700.56</v>
      </c>
      <c r="P1531" s="7" t="str">
        <f t="shared" ref="P1531:P1594" si="9174">VLOOKUP($A1531,hospital_details,6,0)</f>
        <v>tier - 3</v>
      </c>
      <c r="Q1531" s="7" t="str">
        <f t="shared" ref="Q1531:Q1594" si="9175">VLOOKUP($A1531,hospital_details,7,0)</f>
        <v>tier - 1</v>
      </c>
      <c r="R1531" s="7" t="str">
        <f t="shared" ref="R1531:R1594" si="9176">VLOOKUP($A1531,hospital_details,8,0)</f>
        <v>R1012</v>
      </c>
    </row>
    <row r="1532" spans="1:18" ht="14.4" customHeight="1" x14ac:dyDescent="0.3">
      <c r="A1532" s="5" t="s">
        <v>1552</v>
      </c>
      <c r="B1532" s="5" t="str">
        <f>VLOOKUP($A1532,[1]!Customer_Names[#Data],3,0)</f>
        <v xml:space="preserve">  Nicole M</v>
      </c>
      <c r="C1532" s="5">
        <v>23.37</v>
      </c>
      <c r="D1532" s="5" t="str" cm="1">
        <f t="array" ref="D1532">_xlfn.IFS(Healthcare!$C1532&lt;18.5,"under weight",Healthcare!$C1532&lt;=24.9,"Normal Weight",Healthcare!$C1532&gt;=25,"overweight",Healthcare!$C1532&gt;=30,"obese")</f>
        <v>Normal Weight</v>
      </c>
      <c r="E1532" s="5">
        <v>5.59</v>
      </c>
      <c r="F1532" s="5" t="str" cm="1">
        <f t="array" ref="F1532">_xlfn.IFS(Healthcare!$E1532&lt;5.7,"normal",Healthcare!$E1532&lt;=6.4,"prediabetes",Healthcare!$E1532&gt;=6.5,"diabetes")</f>
        <v>normal</v>
      </c>
      <c r="G1532" s="5" t="s">
        <v>20</v>
      </c>
      <c r="H1532" s="5" t="s">
        <v>19</v>
      </c>
      <c r="I1532" s="5" t="s">
        <v>19</v>
      </c>
      <c r="J1532" s="5">
        <v>0</v>
      </c>
      <c r="K1532" s="5" t="s">
        <v>19</v>
      </c>
      <c r="L1532" s="5" t="str">
        <f>VLOOKUP(Healthcare!$A1532,hospital_details,2,0)</f>
        <v>9-Jul-1985</v>
      </c>
      <c r="M1532" s="5">
        <f t="shared" ref="M1532:M1595" ca="1" si="9177">VLOOKUP(A1532,hospital_details,3,0)</f>
        <v>41</v>
      </c>
      <c r="N1532" s="5">
        <f t="shared" ref="N1532:N1595" si="9178">VLOOKUP($A1532,hospital_details,4,0)</f>
        <v>2</v>
      </c>
      <c r="O1532" s="6">
        <f t="shared" ref="O1532:O1595" si="9179">VLOOKUP($A1532,hospital_details,5,0)</f>
        <v>6686.43</v>
      </c>
      <c r="P1532" s="5" t="str">
        <f t="shared" ref="P1532:P1595" si="9180">VLOOKUP($A1532,hospital_details,6,0)</f>
        <v>tier - 2</v>
      </c>
      <c r="Q1532" s="5" t="str">
        <f t="shared" ref="Q1532:Q1595" si="9181">VLOOKUP($A1532,hospital_details,7,0)</f>
        <v>tier - 3</v>
      </c>
      <c r="R1532" s="5" t="str">
        <f t="shared" ref="R1532:R1595" si="9182">VLOOKUP($A1532,hospital_details,8,0)</f>
        <v>R1012</v>
      </c>
    </row>
    <row r="1533" spans="1:18" ht="14.4" customHeight="1" x14ac:dyDescent="0.3">
      <c r="A1533" s="7" t="s">
        <v>1553</v>
      </c>
      <c r="B1533" s="7" t="str">
        <f>VLOOKUP($A1533,[1]!Customer_Names[#Data],3,0)</f>
        <v xml:space="preserve">  Jack</v>
      </c>
      <c r="C1533" s="7">
        <v>42.4</v>
      </c>
      <c r="D1533" s="7" t="str" cm="1">
        <f t="array" ref="D1533">_xlfn.IFS(Healthcare!$C1533&lt;18.5,"under weight",Healthcare!$C1533&lt;=24.9,"Normal Weight",Healthcare!$C1533&gt;=25,"overweight",Healthcare!$C1533&gt;=30,"obese")</f>
        <v>overweight</v>
      </c>
      <c r="E1533" s="7">
        <v>4.0599999999999996</v>
      </c>
      <c r="F1533" s="7" t="str" cm="1">
        <f t="array" ref="F1533">_xlfn.IFS(Healthcare!$E1533&lt;5.7,"normal",Healthcare!$E1533&lt;=6.4,"prediabetes",Healthcare!$E1533&gt;=6.5,"diabetes")</f>
        <v>normal</v>
      </c>
      <c r="G1533" s="7" t="s">
        <v>19</v>
      </c>
      <c r="H1533" s="7" t="s">
        <v>19</v>
      </c>
      <c r="I1533" s="7" t="s">
        <v>19</v>
      </c>
      <c r="J1533" s="7">
        <v>0</v>
      </c>
      <c r="K1533" s="7" t="s">
        <v>19</v>
      </c>
      <c r="L1533" s="7" t="str">
        <f>VLOOKUP(Healthcare!$A1533,hospital_details,2,0)</f>
        <v>20-Oct-1989</v>
      </c>
      <c r="M1533" s="7">
        <f t="shared" ref="M1533:M1596" ca="1" si="9183">VLOOKUP(A1533,hospital_details,3,0)</f>
        <v>36</v>
      </c>
      <c r="N1533" s="7">
        <f t="shared" ref="N1533:N1596" si="9184">VLOOKUP($A1533,hospital_details,4,0)</f>
        <v>5</v>
      </c>
      <c r="O1533" s="8">
        <f t="shared" ref="O1533:O1596" si="9185">VLOOKUP($A1533,hospital_details,5,0)</f>
        <v>6666.24</v>
      </c>
      <c r="P1533" s="7" t="str">
        <f t="shared" ref="P1533:P1596" si="9186">VLOOKUP($A1533,hospital_details,6,0)</f>
        <v>tier - 3</v>
      </c>
      <c r="Q1533" s="7" t="str">
        <f t="shared" ref="Q1533:Q1596" si="9187">VLOOKUP($A1533,hospital_details,7,0)</f>
        <v>tier - 1</v>
      </c>
      <c r="R1533" s="7" t="str">
        <f t="shared" ref="R1533:R1596" si="9188">VLOOKUP($A1533,hospital_details,8,0)</f>
        <v>R1011</v>
      </c>
    </row>
    <row r="1534" spans="1:18" ht="14.4" customHeight="1" x14ac:dyDescent="0.3">
      <c r="A1534" s="5" t="s">
        <v>1554</v>
      </c>
      <c r="B1534" s="5" t="str">
        <f>VLOOKUP($A1534,[1]!Customer_Names[#Data],3,0)</f>
        <v xml:space="preserve">  Gregory</v>
      </c>
      <c r="C1534" s="5">
        <v>28.405000000000001</v>
      </c>
      <c r="D1534" s="5" t="str" cm="1">
        <f t="array" ref="D1534">_xlfn.IFS(Healthcare!$C1534&lt;18.5,"under weight",Healthcare!$C1534&lt;=24.9,"Normal Weight",Healthcare!$C1534&gt;=25,"overweight",Healthcare!$C1534&gt;=30,"obese")</f>
        <v>overweight</v>
      </c>
      <c r="E1534" s="5">
        <v>7.02</v>
      </c>
      <c r="F1534" s="5" t="str" cm="1">
        <f t="array" ref="F1534">_xlfn.IFS(Healthcare!$E1534&lt;5.7,"normal",Healthcare!$E1534&lt;=6.4,"prediabetes",Healthcare!$E1534&gt;=6.5,"diabetes")</f>
        <v>diabetes</v>
      </c>
      <c r="G1534" s="5" t="s">
        <v>20</v>
      </c>
      <c r="H1534" s="5" t="s">
        <v>19</v>
      </c>
      <c r="I1534" s="5" t="s">
        <v>19</v>
      </c>
      <c r="J1534" s="5">
        <v>0</v>
      </c>
      <c r="K1534" s="5" t="s">
        <v>19</v>
      </c>
      <c r="L1534" s="5" t="str">
        <f>VLOOKUP(Healthcare!$A1534,hospital_details,2,0)</f>
        <v>17-Sep-1981</v>
      </c>
      <c r="M1534" s="5">
        <f t="shared" ref="M1534:M1597" ca="1" si="9189">VLOOKUP(A1534,hospital_details,3,0)</f>
        <v>45</v>
      </c>
      <c r="N1534" s="5">
        <f t="shared" ref="N1534:N1597" si="9190">VLOOKUP($A1534,hospital_details,4,0)</f>
        <v>1</v>
      </c>
      <c r="O1534" s="6">
        <f t="shared" ref="O1534:O1597" si="9191">VLOOKUP($A1534,hospital_details,5,0)</f>
        <v>6664.69</v>
      </c>
      <c r="P1534" s="5" t="str">
        <f t="shared" ref="P1534:P1597" si="9192">VLOOKUP($A1534,hospital_details,6,0)</f>
        <v>tier - 3</v>
      </c>
      <c r="Q1534" s="5" t="str">
        <f t="shared" ref="Q1534:Q1597" si="9193">VLOOKUP($A1534,hospital_details,7,0)</f>
        <v>tier - 1</v>
      </c>
      <c r="R1534" s="5" t="str">
        <f t="shared" ref="R1534:R1597" si="9194">VLOOKUP($A1534,hospital_details,8,0)</f>
        <v>R1012</v>
      </c>
    </row>
    <row r="1535" spans="1:18" ht="14.4" customHeight="1" x14ac:dyDescent="0.3">
      <c r="A1535" s="7" t="s">
        <v>1555</v>
      </c>
      <c r="B1535" s="7" t="str">
        <f>VLOOKUP($A1535,[1]!Customer_Names[#Data],3,0)</f>
        <v xml:space="preserve">  Rebecca</v>
      </c>
      <c r="C1535" s="7">
        <v>23.4</v>
      </c>
      <c r="D1535" s="7" t="str" cm="1">
        <f t="array" ref="D1535">_xlfn.IFS(Healthcare!$C1535&lt;18.5,"under weight",Healthcare!$C1535&lt;=24.9,"Normal Weight",Healthcare!$C1535&gt;=25,"overweight",Healthcare!$C1535&gt;=30,"obese")</f>
        <v>Normal Weight</v>
      </c>
      <c r="E1535" s="7">
        <v>4.47</v>
      </c>
      <c r="F1535" s="7" t="str" cm="1">
        <f t="array" ref="F1535">_xlfn.IFS(Healthcare!$E1535&lt;5.7,"normal",Healthcare!$E1535&lt;=6.4,"prediabetes",Healthcare!$E1535&gt;=6.5,"diabetes")</f>
        <v>normal</v>
      </c>
      <c r="G1535" s="7" t="s">
        <v>19</v>
      </c>
      <c r="H1535" s="7" t="s">
        <v>19</v>
      </c>
      <c r="I1535" s="7" t="s">
        <v>19</v>
      </c>
      <c r="J1535" s="7">
        <v>0</v>
      </c>
      <c r="K1535" s="7" t="s">
        <v>19</v>
      </c>
      <c r="L1535" s="7" t="str">
        <f>VLOOKUP(Healthcare!$A1535,hospital_details,2,0)</f>
        <v>27-Sep-1982</v>
      </c>
      <c r="M1535" s="7">
        <f t="shared" ref="M1535:M1598" ca="1" si="9195">VLOOKUP(A1535,hospital_details,3,0)</f>
        <v>44</v>
      </c>
      <c r="N1535" s="7">
        <f t="shared" ref="N1535:N1598" si="9196">VLOOKUP($A1535,hospital_details,4,0)</f>
        <v>3</v>
      </c>
      <c r="O1535" s="8">
        <f t="shared" ref="O1535:O1598" si="9197">VLOOKUP($A1535,hospital_details,5,0)</f>
        <v>6664.32</v>
      </c>
      <c r="P1535" s="7" t="str">
        <f t="shared" ref="P1535:P1598" si="9198">VLOOKUP($A1535,hospital_details,6,0)</f>
        <v>tier - 2</v>
      </c>
      <c r="Q1535" s="7" t="str">
        <f t="shared" ref="Q1535:Q1598" si="9199">VLOOKUP($A1535,hospital_details,7,0)</f>
        <v>tier - 2</v>
      </c>
      <c r="R1535" s="7" t="str">
        <f t="shared" ref="R1535:R1598" si="9200">VLOOKUP($A1535,hospital_details,8,0)</f>
        <v>R1013</v>
      </c>
    </row>
    <row r="1536" spans="1:18" ht="14.4" customHeight="1" x14ac:dyDescent="0.3">
      <c r="A1536" s="5" t="s">
        <v>1556</v>
      </c>
      <c r="B1536" s="5" t="str">
        <f>VLOOKUP($A1536,[1]!Customer_Names[#Data],3,0)</f>
        <v xml:space="preserve">  Adam</v>
      </c>
      <c r="C1536" s="5">
        <v>33.44</v>
      </c>
      <c r="D1536" s="5" t="str" cm="1">
        <f t="array" ref="D1536">_xlfn.IFS(Healthcare!$C1536&lt;18.5,"under weight",Healthcare!$C1536&lt;=24.9,"Normal Weight",Healthcare!$C1536&gt;=25,"overweight",Healthcare!$C1536&gt;=30,"obese")</f>
        <v>overweight</v>
      </c>
      <c r="E1536" s="5">
        <v>4.54</v>
      </c>
      <c r="F1536" s="5" t="str" cm="1">
        <f t="array" ref="F1536">_xlfn.IFS(Healthcare!$E1536&lt;5.7,"normal",Healthcare!$E1536&lt;=6.4,"prediabetes",Healthcare!$E1536&gt;=6.5,"diabetes")</f>
        <v>normal</v>
      </c>
      <c r="G1536" s="5" t="s">
        <v>19</v>
      </c>
      <c r="H1536" s="5" t="s">
        <v>19</v>
      </c>
      <c r="I1536" s="5" t="s">
        <v>19</v>
      </c>
      <c r="J1536" s="5">
        <v>0</v>
      </c>
      <c r="K1536" s="5" t="s">
        <v>19</v>
      </c>
      <c r="L1536" s="5" t="str">
        <f>VLOOKUP(Healthcare!$A1536,hospital_details,2,0)</f>
        <v>19-Nov-1989</v>
      </c>
      <c r="M1536" s="5">
        <f t="shared" ref="M1536:M1599" ca="1" si="9201">VLOOKUP(A1536,hospital_details,3,0)</f>
        <v>36</v>
      </c>
      <c r="N1536" s="5">
        <f t="shared" ref="N1536:N1599" si="9202">VLOOKUP($A1536,hospital_details,4,0)</f>
        <v>5</v>
      </c>
      <c r="O1536" s="6">
        <f t="shared" ref="O1536:O1599" si="9203">VLOOKUP($A1536,hospital_details,5,0)</f>
        <v>6653.79</v>
      </c>
      <c r="P1536" s="5" t="str">
        <f t="shared" ref="P1536:P1599" si="9204">VLOOKUP($A1536,hospital_details,6,0)</f>
        <v>tier - 2</v>
      </c>
      <c r="Q1536" s="5" t="str">
        <f t="shared" ref="Q1536:Q1599" si="9205">VLOOKUP($A1536,hospital_details,7,0)</f>
        <v>tier - 1</v>
      </c>
      <c r="R1536" s="5" t="str">
        <f t="shared" ref="R1536:R1599" si="9206">VLOOKUP($A1536,hospital_details,8,0)</f>
        <v>R1013</v>
      </c>
    </row>
    <row r="1537" spans="1:18" ht="14.4" customHeight="1" x14ac:dyDescent="0.3">
      <c r="A1537" s="7" t="s">
        <v>1557</v>
      </c>
      <c r="B1537" s="7" t="str">
        <f>VLOOKUP($A1537,[1]!Customer_Names[#Data],3,0)</f>
        <v xml:space="preserve">  Ryan</v>
      </c>
      <c r="C1537" s="7">
        <v>21.12</v>
      </c>
      <c r="D1537" s="7" t="str" cm="1">
        <f t="array" ref="D1537">_xlfn.IFS(Healthcare!$C1537&lt;18.5,"under weight",Healthcare!$C1537&lt;=24.9,"Normal Weight",Healthcare!$C1537&gt;=25,"overweight",Healthcare!$C1537&gt;=30,"obese")</f>
        <v>Normal Weight</v>
      </c>
      <c r="E1537" s="7">
        <v>4.99</v>
      </c>
      <c r="F1537" s="7" t="str" cm="1">
        <f t="array" ref="F1537">_xlfn.IFS(Healthcare!$E1537&lt;5.7,"normal",Healthcare!$E1537&lt;=6.4,"prediabetes",Healthcare!$E1537&gt;=6.5,"diabetes")</f>
        <v>normal</v>
      </c>
      <c r="G1537" s="7" t="s">
        <v>19</v>
      </c>
      <c r="H1537" s="7" t="s">
        <v>19</v>
      </c>
      <c r="I1537" s="7" t="s">
        <v>19</v>
      </c>
      <c r="J1537" s="7">
        <v>1</v>
      </c>
      <c r="K1537" s="7" t="s">
        <v>19</v>
      </c>
      <c r="L1537" s="7" t="str">
        <f>VLOOKUP(Healthcare!$A1537,hospital_details,2,0)</f>
        <v>1-Jul-1984</v>
      </c>
      <c r="M1537" s="7">
        <f t="shared" ref="M1537:M1600" ca="1" si="9207">VLOOKUP(A1537,hospital_details,3,0)</f>
        <v>42</v>
      </c>
      <c r="N1537" s="7">
        <f t="shared" ref="N1537:N1600" si="9208">VLOOKUP($A1537,hospital_details,4,0)</f>
        <v>3</v>
      </c>
      <c r="O1537" s="8">
        <f t="shared" ref="O1537:O1600" si="9209">VLOOKUP($A1537,hospital_details,5,0)</f>
        <v>6652.53</v>
      </c>
      <c r="P1537" s="7" t="str">
        <f t="shared" ref="P1537:P1600" si="9210">VLOOKUP($A1537,hospital_details,6,0)</f>
        <v>tier - 3</v>
      </c>
      <c r="Q1537" s="7" t="str">
        <f t="shared" ref="Q1537:Q1600" si="9211">VLOOKUP($A1537,hospital_details,7,0)</f>
        <v>tier - 2</v>
      </c>
      <c r="R1537" s="7" t="str">
        <f t="shared" ref="R1537:R1600" si="9212">VLOOKUP($A1537,hospital_details,8,0)</f>
        <v>R1013</v>
      </c>
    </row>
    <row r="1538" spans="1:18" ht="14.4" customHeight="1" x14ac:dyDescent="0.3">
      <c r="A1538" s="5" t="s">
        <v>1558</v>
      </c>
      <c r="B1538" s="5" t="str">
        <f>VLOOKUP($A1538,[1]!Customer_Names[#Data],3,0)</f>
        <v xml:space="preserve">  Jackie K</v>
      </c>
      <c r="C1538" s="5">
        <v>18.48</v>
      </c>
      <c r="D1538" s="5" t="str" cm="1">
        <f t="array" ref="D1538">_xlfn.IFS(Healthcare!$C1538&lt;18.5,"under weight",Healthcare!$C1538&lt;=24.9,"Normal Weight",Healthcare!$C1538&gt;=25,"overweight",Healthcare!$C1538&gt;=30,"obese")</f>
        <v>under weight</v>
      </c>
      <c r="E1538" s="5">
        <v>10.84</v>
      </c>
      <c r="F1538" s="5" t="str" cm="1">
        <f t="array" ref="F1538">_xlfn.IFS(Healthcare!$E1538&lt;5.7,"normal",Healthcare!$E1538&lt;=6.4,"prediabetes",Healthcare!$E1538&gt;=6.5,"diabetes")</f>
        <v>diabetes</v>
      </c>
      <c r="G1538" s="5" t="s">
        <v>20</v>
      </c>
      <c r="H1538" s="5" t="s">
        <v>19</v>
      </c>
      <c r="I1538" s="5" t="s">
        <v>19</v>
      </c>
      <c r="J1538" s="5">
        <v>2</v>
      </c>
      <c r="K1538" s="5" t="s">
        <v>19</v>
      </c>
      <c r="L1538" s="5" t="str">
        <f>VLOOKUP(Healthcare!$A1538,hospital_details,2,0)</f>
        <v>8-Nov-1970</v>
      </c>
      <c r="M1538" s="5">
        <f t="shared" ref="M1538:M1601" ca="1" si="9213">VLOOKUP(A1538,hospital_details,3,0)</f>
        <v>55</v>
      </c>
      <c r="N1538" s="5">
        <f t="shared" ref="N1538:N1601" si="9214">VLOOKUP($A1538,hospital_details,4,0)</f>
        <v>0</v>
      </c>
      <c r="O1538" s="6">
        <f t="shared" ref="O1538:O1601" si="9215">VLOOKUP($A1538,hospital_details,5,0)</f>
        <v>6651.26</v>
      </c>
      <c r="P1538" s="5" t="str">
        <f t="shared" ref="P1538:P1601" si="9216">VLOOKUP($A1538,hospital_details,6,0)</f>
        <v>tier - 2</v>
      </c>
      <c r="Q1538" s="5" t="str">
        <f t="shared" ref="Q1538:Q1601" si="9217">VLOOKUP($A1538,hospital_details,7,0)</f>
        <v>tier - 3</v>
      </c>
      <c r="R1538" s="5" t="str">
        <f t="shared" ref="R1538:R1601" si="9218">VLOOKUP($A1538,hospital_details,8,0)</f>
        <v>R1013</v>
      </c>
    </row>
    <row r="1539" spans="1:18" ht="14.4" customHeight="1" x14ac:dyDescent="0.3">
      <c r="A1539" s="7" t="s">
        <v>1559</v>
      </c>
      <c r="B1539" s="7" t="str">
        <f>VLOOKUP($A1539,[1]!Customer_Names[#Data],3,0)</f>
        <v xml:space="preserve">  Chris</v>
      </c>
      <c r="C1539" s="7">
        <v>16.815000000000001</v>
      </c>
      <c r="D1539" s="7" t="str" cm="1">
        <f t="array" ref="D1539">_xlfn.IFS(Healthcare!$C1539&lt;18.5,"under weight",Healthcare!$C1539&lt;=24.9,"Normal Weight",Healthcare!$C1539&gt;=25,"overweight",Healthcare!$C1539&gt;=30,"obese")</f>
        <v>under weight</v>
      </c>
      <c r="E1539" s="7">
        <v>5.63</v>
      </c>
      <c r="F1539" s="7" t="str" cm="1">
        <f t="array" ref="F1539">_xlfn.IFS(Healthcare!$E1539&lt;5.7,"normal",Healthcare!$E1539&lt;=6.4,"prediabetes",Healthcare!$E1539&gt;=6.5,"diabetes")</f>
        <v>normal</v>
      </c>
      <c r="G1539" s="7" t="s">
        <v>19</v>
      </c>
      <c r="H1539" s="7" t="s">
        <v>19</v>
      </c>
      <c r="I1539" s="7" t="s">
        <v>19</v>
      </c>
      <c r="J1539" s="7">
        <v>1</v>
      </c>
      <c r="K1539" s="7" t="s">
        <v>19</v>
      </c>
      <c r="L1539" s="7" t="str">
        <f>VLOOKUP(Healthcare!$A1539,hospital_details,2,0)</f>
        <v>8-Dec-1984</v>
      </c>
      <c r="M1539" s="7">
        <f t="shared" ref="M1539:M1602" ca="1" si="9219">VLOOKUP(A1539,hospital_details,3,0)</f>
        <v>41</v>
      </c>
      <c r="N1539" s="7">
        <f t="shared" ref="N1539:N1602" si="9220">VLOOKUP($A1539,hospital_details,4,0)</f>
        <v>2</v>
      </c>
      <c r="O1539" s="8">
        <f t="shared" ref="O1539:O1602" si="9221">VLOOKUP($A1539,hospital_details,5,0)</f>
        <v>6640.54</v>
      </c>
      <c r="P1539" s="7" t="str">
        <f t="shared" ref="P1539:P1602" si="9222">VLOOKUP($A1539,hospital_details,6,0)</f>
        <v>tier - 2</v>
      </c>
      <c r="Q1539" s="7" t="str">
        <f t="shared" ref="Q1539:Q1602" si="9223">VLOOKUP($A1539,hospital_details,7,0)</f>
        <v>tier - 3</v>
      </c>
      <c r="R1539" s="7" t="str">
        <f t="shared" ref="R1539:R1602" si="9224">VLOOKUP($A1539,hospital_details,8,0)</f>
        <v>R1019</v>
      </c>
    </row>
    <row r="1540" spans="1:18" ht="14.4" customHeight="1" x14ac:dyDescent="0.3">
      <c r="A1540" s="5" t="s">
        <v>1560</v>
      </c>
      <c r="B1540" s="5" t="str">
        <f>VLOOKUP($A1540,[1]!Customer_Names[#Data],3,0)</f>
        <v xml:space="preserve">  Tyler C</v>
      </c>
      <c r="C1540" s="5">
        <v>26.72</v>
      </c>
      <c r="D1540" s="5" t="str" cm="1">
        <f t="array" ref="D1540">_xlfn.IFS(Healthcare!$C1540&lt;18.5,"under weight",Healthcare!$C1540&lt;=24.9,"Normal Weight",Healthcare!$C1540&gt;=25,"overweight",Healthcare!$C1540&gt;=30,"obese")</f>
        <v>overweight</v>
      </c>
      <c r="E1540" s="5">
        <v>4.1399999999999997</v>
      </c>
      <c r="F1540" s="5" t="str" cm="1">
        <f t="array" ref="F1540">_xlfn.IFS(Healthcare!$E1540&lt;5.7,"normal",Healthcare!$E1540&lt;=6.4,"prediabetes",Healthcare!$E1540&gt;=6.5,"diabetes")</f>
        <v>normal</v>
      </c>
      <c r="G1540" s="5" t="s">
        <v>19</v>
      </c>
      <c r="H1540" s="5" t="s">
        <v>19</v>
      </c>
      <c r="I1540" s="5" t="s">
        <v>19</v>
      </c>
      <c r="J1540" s="5">
        <v>0</v>
      </c>
      <c r="K1540" s="5" t="s">
        <v>19</v>
      </c>
      <c r="L1540" s="5" t="str">
        <f>VLOOKUP(Healthcare!$A1540,hospital_details,2,0)</f>
        <v>6-Jun-1990</v>
      </c>
      <c r="M1540" s="5">
        <f t="shared" ref="M1540:M1603" ca="1" si="9225">VLOOKUP(A1540,hospital_details,3,0)</f>
        <v>36</v>
      </c>
      <c r="N1540" s="5">
        <f t="shared" ref="N1540:N1603" si="9226">VLOOKUP($A1540,hospital_details,4,0)</f>
        <v>3</v>
      </c>
      <c r="O1540" s="6">
        <f t="shared" ref="O1540:O1603" si="9227">VLOOKUP($A1540,hospital_details,5,0)</f>
        <v>6639.3</v>
      </c>
      <c r="P1540" s="5" t="str">
        <f t="shared" ref="P1540:P1603" si="9228">VLOOKUP($A1540,hospital_details,6,0)</f>
        <v>tier - 2</v>
      </c>
      <c r="Q1540" s="5" t="str">
        <f t="shared" ref="Q1540:Q1603" si="9229">VLOOKUP($A1540,hospital_details,7,0)</f>
        <v>tier - 2</v>
      </c>
      <c r="R1540" s="5" t="str">
        <f t="shared" ref="R1540:R1603" si="9230">VLOOKUP($A1540,hospital_details,8,0)</f>
        <v>R1021</v>
      </c>
    </row>
    <row r="1541" spans="1:18" ht="14.4" customHeight="1" x14ac:dyDescent="0.3">
      <c r="A1541" s="7" t="s">
        <v>1561</v>
      </c>
      <c r="B1541" s="7" t="str">
        <f>VLOOKUP($A1541,[1]!Customer_Names[#Data],3,0)</f>
        <v xml:space="preserve">  Yoshie</v>
      </c>
      <c r="C1541" s="7">
        <v>41.42</v>
      </c>
      <c r="D1541" s="7" t="str" cm="1">
        <f t="array" ref="D1541">_xlfn.IFS(Healthcare!$C1541&lt;18.5,"under weight",Healthcare!$C1541&lt;=24.9,"Normal Weight",Healthcare!$C1541&gt;=25,"overweight",Healthcare!$C1541&gt;=30,"obese")</f>
        <v>overweight</v>
      </c>
      <c r="E1541" s="7">
        <v>5.17</v>
      </c>
      <c r="F1541" s="7" t="str" cm="1">
        <f t="array" ref="F1541">_xlfn.IFS(Healthcare!$E1541&lt;5.7,"normal",Healthcare!$E1541&lt;=6.4,"prediabetes",Healthcare!$E1541&gt;=6.5,"diabetes")</f>
        <v>normal</v>
      </c>
      <c r="G1541" s="7" t="s">
        <v>19</v>
      </c>
      <c r="H1541" s="7" t="s">
        <v>19</v>
      </c>
      <c r="I1541" s="7" t="s">
        <v>29</v>
      </c>
      <c r="J1541" s="7">
        <v>1</v>
      </c>
      <c r="K1541" s="7" t="s">
        <v>19</v>
      </c>
      <c r="L1541" s="7" t="str">
        <f>VLOOKUP(Healthcare!$A1541,hospital_details,2,0)</f>
        <v>4-Sep-2003</v>
      </c>
      <c r="M1541" s="7">
        <f t="shared" ref="M1541:M1604" ca="1" si="9231">VLOOKUP(A1541,hospital_details,3,0)</f>
        <v>23</v>
      </c>
      <c r="N1541" s="7">
        <f t="shared" ref="N1541:N1604" si="9232">VLOOKUP($A1541,hospital_details,4,0)</f>
        <v>0</v>
      </c>
      <c r="O1541" s="8">
        <f t="shared" ref="O1541:O1604" si="9233">VLOOKUP($A1541,hospital_details,5,0)</f>
        <v>6638.16</v>
      </c>
      <c r="P1541" s="7" t="str">
        <f t="shared" ref="P1541:P1604" si="9234">VLOOKUP($A1541,hospital_details,6,0)</f>
        <v>tier - 2</v>
      </c>
      <c r="Q1541" s="7" t="str">
        <f t="shared" ref="Q1541:Q1604" si="9235">VLOOKUP($A1541,hospital_details,7,0)</f>
        <v>tier - 1</v>
      </c>
      <c r="R1541" s="7" t="str">
        <f t="shared" ref="R1541:R1604" si="9236">VLOOKUP($A1541,hospital_details,8,0)</f>
        <v>R1012</v>
      </c>
    </row>
    <row r="1542" spans="1:18" ht="14.4" customHeight="1" x14ac:dyDescent="0.3">
      <c r="A1542" s="5" t="s">
        <v>1562</v>
      </c>
      <c r="B1542" s="5" t="str">
        <f>VLOOKUP($A1542,[1]!Customer_Names[#Data],3,0)</f>
        <v xml:space="preserve">  Lauren A</v>
      </c>
      <c r="C1542" s="5">
        <v>20.69</v>
      </c>
      <c r="D1542" s="5" t="str" cm="1">
        <f t="array" ref="D1542">_xlfn.IFS(Healthcare!$C1542&lt;18.5,"under weight",Healthcare!$C1542&lt;=24.9,"Normal Weight",Healthcare!$C1542&gt;=25,"overweight",Healthcare!$C1542&gt;=30,"obese")</f>
        <v>Normal Weight</v>
      </c>
      <c r="E1542" s="5">
        <v>6.93</v>
      </c>
      <c r="F1542" s="5" t="str" cm="1">
        <f t="array" ref="F1542">_xlfn.IFS(Healthcare!$E1542&lt;5.7,"normal",Healthcare!$E1542&lt;=6.4,"prediabetes",Healthcare!$E1542&gt;=6.5,"diabetes")</f>
        <v>diabetes</v>
      </c>
      <c r="G1542" s="5" t="s">
        <v>19</v>
      </c>
      <c r="H1542" s="5" t="s">
        <v>19</v>
      </c>
      <c r="I1542" s="5" t="s">
        <v>19</v>
      </c>
      <c r="J1542" s="5">
        <v>2</v>
      </c>
      <c r="K1542" s="5" t="s">
        <v>19</v>
      </c>
      <c r="L1542" s="5" t="str">
        <f>VLOOKUP(Healthcare!$A1542,hospital_details,2,0)</f>
        <v>29-Aug-1973</v>
      </c>
      <c r="M1542" s="5">
        <f t="shared" ref="M1542:M1605" ca="1" si="9237">VLOOKUP(A1542,hospital_details,3,0)</f>
        <v>53</v>
      </c>
      <c r="N1542" s="5">
        <f t="shared" ref="N1542:N1605" si="9238">VLOOKUP($A1542,hospital_details,4,0)</f>
        <v>0</v>
      </c>
      <c r="O1542" s="6">
        <f t="shared" ref="O1542:O1605" si="9239">VLOOKUP($A1542,hospital_details,5,0)</f>
        <v>6630.31</v>
      </c>
      <c r="P1542" s="5" t="str">
        <f t="shared" ref="P1542:P1605" si="9240">VLOOKUP($A1542,hospital_details,6,0)</f>
        <v>tier - 2</v>
      </c>
      <c r="Q1542" s="5" t="str">
        <f t="shared" ref="Q1542:Q1605" si="9241">VLOOKUP($A1542,hospital_details,7,0)</f>
        <v>tier - 1</v>
      </c>
      <c r="R1542" s="5" t="str">
        <f t="shared" ref="R1542:R1605" si="9242">VLOOKUP($A1542,hospital_details,8,0)</f>
        <v>R1013</v>
      </c>
    </row>
    <row r="1543" spans="1:18" ht="14.4" customHeight="1" x14ac:dyDescent="0.3">
      <c r="A1543" s="7" t="s">
        <v>1563</v>
      </c>
      <c r="B1543" s="7" t="str">
        <f>VLOOKUP($A1543,[1]!Customer_Names[#Data],3,0)</f>
        <v xml:space="preserve">  Mason D</v>
      </c>
      <c r="C1543" s="7">
        <v>41.23</v>
      </c>
      <c r="D1543" s="7" t="str" cm="1">
        <f t="array" ref="D1543">_xlfn.IFS(Healthcare!$C1543&lt;18.5,"under weight",Healthcare!$C1543&lt;=24.9,"Normal Weight",Healthcare!$C1543&gt;=25,"overweight",Healthcare!$C1543&gt;=30,"obese")</f>
        <v>overweight</v>
      </c>
      <c r="E1543" s="7">
        <v>4.24</v>
      </c>
      <c r="F1543" s="7" t="str" cm="1">
        <f t="array" ref="F1543">_xlfn.IFS(Healthcare!$E1543&lt;5.7,"normal",Healthcare!$E1543&lt;=6.4,"prediabetes",Healthcare!$E1543&gt;=6.5,"diabetes")</f>
        <v>normal</v>
      </c>
      <c r="G1543" s="7" t="s">
        <v>19</v>
      </c>
      <c r="H1543" s="7" t="s">
        <v>19</v>
      </c>
      <c r="I1543" s="7" t="s">
        <v>19</v>
      </c>
      <c r="J1543" s="7">
        <v>0</v>
      </c>
      <c r="K1543" s="7" t="s">
        <v>19</v>
      </c>
      <c r="L1543" s="7" t="str">
        <f>VLOOKUP(Healthcare!$A1543,hospital_details,2,0)</f>
        <v>28-Aug-1982</v>
      </c>
      <c r="M1543" s="7">
        <f t="shared" ref="M1543:M1606" ca="1" si="9243">VLOOKUP(A1543,hospital_details,3,0)</f>
        <v>44</v>
      </c>
      <c r="N1543" s="7">
        <f t="shared" ref="N1543:N1606" si="9244">VLOOKUP($A1543,hospital_details,4,0)</f>
        <v>1</v>
      </c>
      <c r="O1543" s="8">
        <f t="shared" ref="O1543:O1606" si="9245">VLOOKUP($A1543,hospital_details,5,0)</f>
        <v>6610.11</v>
      </c>
      <c r="P1543" s="7" t="str">
        <f t="shared" ref="P1543:P1606" si="9246">VLOOKUP($A1543,hospital_details,6,0)</f>
        <v>tier - 3</v>
      </c>
      <c r="Q1543" s="7" t="str">
        <f t="shared" ref="Q1543:Q1606" si="9247">VLOOKUP($A1543,hospital_details,7,0)</f>
        <v>tier - 2</v>
      </c>
      <c r="R1543" s="7" t="str">
        <f t="shared" ref="R1543:R1606" si="9248">VLOOKUP($A1543,hospital_details,8,0)</f>
        <v>R1015</v>
      </c>
    </row>
    <row r="1544" spans="1:18" ht="14.4" customHeight="1" x14ac:dyDescent="0.3">
      <c r="A1544" s="5" t="s">
        <v>1564</v>
      </c>
      <c r="B1544" s="5" t="str">
        <f>VLOOKUP($A1544,[1]!Customer_Names[#Data],3,0)</f>
        <v xml:space="preserve">  Ryan</v>
      </c>
      <c r="C1544" s="5">
        <v>29.9</v>
      </c>
      <c r="D1544" s="5" t="str" cm="1">
        <f t="array" ref="D1544">_xlfn.IFS(Healthcare!$C1544&lt;18.5,"under weight",Healthcare!$C1544&lt;=24.9,"Normal Weight",Healthcare!$C1544&gt;=25,"overweight",Healthcare!$C1544&gt;=30,"obese")</f>
        <v>overweight</v>
      </c>
      <c r="E1544" s="5">
        <v>5.91</v>
      </c>
      <c r="F1544" s="5" t="str" cm="1">
        <f t="array" ref="F1544">_xlfn.IFS(Healthcare!$E1544&lt;5.7,"normal",Healthcare!$E1544&lt;=6.4,"prediabetes",Healthcare!$E1544&gt;=6.5,"diabetes")</f>
        <v>prediabetes</v>
      </c>
      <c r="G1544" s="5" t="s">
        <v>19</v>
      </c>
      <c r="H1544" s="5" t="s">
        <v>19</v>
      </c>
      <c r="I1544" s="5" t="s">
        <v>19</v>
      </c>
      <c r="J1544" s="5">
        <v>0</v>
      </c>
      <c r="K1544" s="5" t="s">
        <v>19</v>
      </c>
      <c r="L1544" s="5" t="str">
        <f>VLOOKUP(Healthcare!$A1544,hospital_details,2,0)</f>
        <v>7-Nov-1982</v>
      </c>
      <c r="M1544" s="5">
        <f t="shared" ref="M1544:M1607" ca="1" si="9249">VLOOKUP(A1544,hospital_details,3,0)</f>
        <v>43</v>
      </c>
      <c r="N1544" s="5">
        <f t="shared" ref="N1544:N1607" si="9250">VLOOKUP($A1544,hospital_details,4,0)</f>
        <v>2</v>
      </c>
      <c r="O1544" s="6">
        <f t="shared" ref="O1544:O1607" si="9251">VLOOKUP($A1544,hospital_details,5,0)</f>
        <v>6600.36</v>
      </c>
      <c r="P1544" s="5" t="str">
        <f t="shared" ref="P1544:P1607" si="9252">VLOOKUP($A1544,hospital_details,6,0)</f>
        <v>tier - 2</v>
      </c>
      <c r="Q1544" s="5" t="str">
        <f t="shared" ref="Q1544:Q1607" si="9253">VLOOKUP($A1544,hospital_details,7,0)</f>
        <v>tier - 3</v>
      </c>
      <c r="R1544" s="5" t="str">
        <f t="shared" ref="R1544:R1607" si="9254">VLOOKUP($A1544,hospital_details,8,0)</f>
        <v>R1011</v>
      </c>
    </row>
    <row r="1545" spans="1:18" ht="14.4" customHeight="1" x14ac:dyDescent="0.3">
      <c r="A1545" s="7" t="s">
        <v>1565</v>
      </c>
      <c r="B1545" s="7" t="str">
        <f>VLOOKUP($A1545,[1]!Customer_Names[#Data],3,0)</f>
        <v xml:space="preserve">  Arturo</v>
      </c>
      <c r="C1545" s="7">
        <v>34.104999999999997</v>
      </c>
      <c r="D1545" s="7" t="str" cm="1">
        <f t="array" ref="D1545">_xlfn.IFS(Healthcare!$C1545&lt;18.5,"under weight",Healthcare!$C1545&lt;=24.9,"Normal Weight",Healthcare!$C1545&gt;=25,"overweight",Healthcare!$C1545&gt;=30,"obese")</f>
        <v>overweight</v>
      </c>
      <c r="E1545" s="7">
        <v>5.93</v>
      </c>
      <c r="F1545" s="7" t="str" cm="1">
        <f t="array" ref="F1545">_xlfn.IFS(Healthcare!$E1545&lt;5.7,"normal",Healthcare!$E1545&lt;=6.4,"prediabetes",Healthcare!$E1545&gt;=6.5,"diabetes")</f>
        <v>prediabetes</v>
      </c>
      <c r="G1545" s="7" t="s">
        <v>19</v>
      </c>
      <c r="H1545" s="7" t="s">
        <v>19</v>
      </c>
      <c r="I1545" s="7" t="s">
        <v>19</v>
      </c>
      <c r="J1545" s="7">
        <v>0</v>
      </c>
      <c r="K1545" s="7" t="s">
        <v>19</v>
      </c>
      <c r="L1545" s="7" t="str">
        <f>VLOOKUP(Healthcare!$A1545,hospital_details,2,0)</f>
        <v>29-Dec-1982</v>
      </c>
      <c r="M1545" s="7">
        <f t="shared" ref="M1545:M1608" ca="1" si="9255">VLOOKUP(A1545,hospital_details,3,0)</f>
        <v>43</v>
      </c>
      <c r="N1545" s="7">
        <f t="shared" ref="N1545:N1608" si="9256">VLOOKUP($A1545,hospital_details,4,0)</f>
        <v>1</v>
      </c>
      <c r="O1545" s="8">
        <f t="shared" ref="O1545:O1608" si="9257">VLOOKUP($A1545,hospital_details,5,0)</f>
        <v>6600.21</v>
      </c>
      <c r="P1545" s="7" t="str">
        <f t="shared" ref="P1545:P1608" si="9258">VLOOKUP($A1545,hospital_details,6,0)</f>
        <v>tier - 3</v>
      </c>
      <c r="Q1545" s="7" t="str">
        <f t="shared" ref="Q1545:Q1608" si="9259">VLOOKUP($A1545,hospital_details,7,0)</f>
        <v>tier - 2</v>
      </c>
      <c r="R1545" s="7" t="str">
        <f t="shared" ref="R1545:R1608" si="9260">VLOOKUP($A1545,hospital_details,8,0)</f>
        <v>R1016</v>
      </c>
    </row>
    <row r="1546" spans="1:18" ht="14.4" customHeight="1" x14ac:dyDescent="0.3">
      <c r="A1546" s="5" t="s">
        <v>1566</v>
      </c>
      <c r="B1546" s="5" t="str">
        <f>VLOOKUP($A1546,[1]!Customer_Names[#Data],3,0)</f>
        <v xml:space="preserve">  Jake</v>
      </c>
      <c r="C1546" s="5">
        <v>24.97</v>
      </c>
      <c r="D1546" s="5" t="str" cm="1">
        <f t="array" ref="D1546">_xlfn.IFS(Healthcare!$C560&lt;18.5,"under weight",Healthcare!$C560&lt;=24.9,"Normal Weight",Healthcare!$C560&gt;=25,"overweight",Healthcare!$C560&gt;=30,"obese")</f>
        <v>overweight</v>
      </c>
      <c r="E1546" s="5">
        <v>5.66</v>
      </c>
      <c r="F1546" s="5" t="str" cm="1">
        <f t="array" ref="F1546">_xlfn.IFS(Healthcare!$E1546&lt;5.7,"normal",Healthcare!$E1546&lt;=6.4,"prediabetes",Healthcare!$E1546&gt;=6.5,"diabetes")</f>
        <v>normal</v>
      </c>
      <c r="G1546" s="5" t="s">
        <v>19</v>
      </c>
      <c r="H1546" s="5" t="s">
        <v>19</v>
      </c>
      <c r="I1546" s="5" t="s">
        <v>19</v>
      </c>
      <c r="J1546" s="5">
        <v>0</v>
      </c>
      <c r="K1546" s="5" t="s">
        <v>19</v>
      </c>
      <c r="L1546" s="5" t="str">
        <f>VLOOKUP(Healthcare!$A1546,hospital_details,2,0)</f>
        <v>22-Nov-1982</v>
      </c>
      <c r="M1546" s="5">
        <f t="shared" ref="M1546:M1609" ca="1" si="9261">VLOOKUP(A1546,hospital_details,3,0)</f>
        <v>43</v>
      </c>
      <c r="N1546" s="5">
        <f t="shared" ref="N1546:N1609" si="9262">VLOOKUP($A1546,hospital_details,4,0)</f>
        <v>2</v>
      </c>
      <c r="O1546" s="6">
        <f t="shared" ref="O1546:O1609" si="9263">VLOOKUP($A1546,hospital_details,5,0)</f>
        <v>6593.51</v>
      </c>
      <c r="P1546" s="5" t="str">
        <f t="shared" ref="P1546:P1609" si="9264">VLOOKUP($A1546,hospital_details,6,0)</f>
        <v>tier - 2</v>
      </c>
      <c r="Q1546" s="5" t="str">
        <f t="shared" ref="Q1546:Q1609" si="9265">VLOOKUP($A1546,hospital_details,7,0)</f>
        <v>tier - 1</v>
      </c>
      <c r="R1546" s="5" t="str">
        <f t="shared" ref="R1546:R1609" si="9266">VLOOKUP($A1546,hospital_details,8,0)</f>
        <v>R1013</v>
      </c>
    </row>
    <row r="1547" spans="1:18" ht="14.4" customHeight="1" x14ac:dyDescent="0.3">
      <c r="A1547" s="7" t="s">
        <v>1567</v>
      </c>
      <c r="B1547" s="7" t="str">
        <f>VLOOKUP($A1547,[1]!Customer_Names[#Data],3,0)</f>
        <v xml:space="preserve">  Sarah E</v>
      </c>
      <c r="C1547" s="7">
        <v>34.799999999999997</v>
      </c>
      <c r="D1547" s="7" t="str" cm="1">
        <f t="array" ref="D1547">_xlfn.IFS(Healthcare!$C1547&lt;18.5,"under weight",Healthcare!$C1547&lt;=24.9,"Normal Weight",Healthcare!$C1547&gt;=25,"overweight",Healthcare!$C1547&gt;=30,"obese")</f>
        <v>overweight</v>
      </c>
      <c r="E1547" s="7">
        <v>4.1900000000000004</v>
      </c>
      <c r="F1547" s="7" t="str" cm="1">
        <f t="array" ref="F1547">_xlfn.IFS(Healthcare!$E1547&lt;5.7,"normal",Healthcare!$E1547&lt;=6.4,"prediabetes",Healthcare!$E1547&gt;=6.5,"diabetes")</f>
        <v>normal</v>
      </c>
      <c r="G1547" s="7" t="s">
        <v>19</v>
      </c>
      <c r="H1547" s="7" t="s">
        <v>19</v>
      </c>
      <c r="I1547" s="7" t="s">
        <v>19</v>
      </c>
      <c r="J1547" s="7">
        <v>1</v>
      </c>
      <c r="K1547" s="7" t="s">
        <v>19</v>
      </c>
      <c r="L1547" s="7" t="str">
        <f>VLOOKUP(Healthcare!$A1547,hospital_details,2,0)</f>
        <v>5-Oct-1984</v>
      </c>
      <c r="M1547" s="7">
        <f t="shared" ref="M1547:M1610" ca="1" si="9267">VLOOKUP(A1547,hospital_details,3,0)</f>
        <v>42</v>
      </c>
      <c r="N1547" s="7">
        <f t="shared" ref="N1547:N1610" si="9268">VLOOKUP($A1547,hospital_details,4,0)</f>
        <v>2</v>
      </c>
      <c r="O1547" s="8">
        <f t="shared" ref="O1547:O1610" si="9269">VLOOKUP($A1547,hospital_details,5,0)</f>
        <v>6571.54</v>
      </c>
      <c r="P1547" s="7" t="str">
        <f t="shared" ref="P1547:P1610" si="9270">VLOOKUP($A1547,hospital_details,6,0)</f>
        <v>tier - 2</v>
      </c>
      <c r="Q1547" s="7" t="str">
        <f t="shared" ref="Q1547:Q1610" si="9271">VLOOKUP($A1547,hospital_details,7,0)</f>
        <v>tier - 3</v>
      </c>
      <c r="R1547" s="7" t="str">
        <f t="shared" ref="R1547:R1610" si="9272">VLOOKUP($A1547,hospital_details,8,0)</f>
        <v>R1011</v>
      </c>
    </row>
    <row r="1548" spans="1:18" ht="14.4" customHeight="1" x14ac:dyDescent="0.3">
      <c r="A1548" s="5" t="s">
        <v>1568</v>
      </c>
      <c r="B1548" s="5" t="str">
        <f>VLOOKUP($A1548,[1]!Customer_Names[#Data],3,0)</f>
        <v xml:space="preserve">  Alison L</v>
      </c>
      <c r="C1548" s="5">
        <v>32.965000000000003</v>
      </c>
      <c r="D1548" s="5" t="str" cm="1">
        <f t="array" ref="D1548">_xlfn.IFS(Healthcare!$C1548&lt;18.5,"under weight",Healthcare!$C1548&lt;=24.9,"Normal Weight",Healthcare!$C1548&gt;=25,"overweight",Healthcare!$C1548&gt;=30,"obese")</f>
        <v>overweight</v>
      </c>
      <c r="E1548" s="5">
        <v>9.2100000000000009</v>
      </c>
      <c r="F1548" s="5" t="str" cm="1">
        <f t="array" ref="F1548">_xlfn.IFS(Healthcare!$E1548&lt;5.7,"normal",Healthcare!$E1548&lt;=6.4,"prediabetes",Healthcare!$E1548&gt;=6.5,"diabetes")</f>
        <v>diabetes</v>
      </c>
      <c r="G1548" s="5" t="s">
        <v>20</v>
      </c>
      <c r="H1548" s="5" t="s">
        <v>19</v>
      </c>
      <c r="I1548" s="5" t="s">
        <v>19</v>
      </c>
      <c r="J1548" s="5">
        <v>0</v>
      </c>
      <c r="K1548" s="5" t="s">
        <v>19</v>
      </c>
      <c r="L1548" s="5" t="str">
        <f>VLOOKUP(Healthcare!$A1548,hospital_details,2,0)</f>
        <v>20-Jul-1981</v>
      </c>
      <c r="M1548" s="5">
        <f t="shared" ref="M1548:M1611" ca="1" si="9273">VLOOKUP(A1548,hospital_details,3,0)</f>
        <v>45</v>
      </c>
      <c r="N1548" s="5">
        <f t="shared" ref="N1548:N1611" si="9274">VLOOKUP($A1548,hospital_details,4,0)</f>
        <v>0</v>
      </c>
      <c r="O1548" s="6">
        <f t="shared" ref="O1548:O1611" si="9275">VLOOKUP($A1548,hospital_details,5,0)</f>
        <v>6571.02</v>
      </c>
      <c r="P1548" s="5" t="str">
        <f t="shared" ref="P1548:P1611" si="9276">VLOOKUP($A1548,hospital_details,6,0)</f>
        <v>tier - 2</v>
      </c>
      <c r="Q1548" s="5" t="str">
        <f t="shared" ref="Q1548:Q1611" si="9277">VLOOKUP($A1548,hospital_details,7,0)</f>
        <v>tier - 1</v>
      </c>
      <c r="R1548" s="5" t="str">
        <f t="shared" ref="R1548:R1611" si="9278">VLOOKUP($A1548,hospital_details,8,0)</f>
        <v>R1012</v>
      </c>
    </row>
    <row r="1549" spans="1:18" ht="14.4" customHeight="1" x14ac:dyDescent="0.3">
      <c r="A1549" s="7" t="s">
        <v>1569</v>
      </c>
      <c r="B1549" s="7" t="str">
        <f>VLOOKUP($A1549,[1]!Customer_Names[#Data],3,0)</f>
        <v xml:space="preserve">  Karen A</v>
      </c>
      <c r="C1549" s="7">
        <v>27.265000000000001</v>
      </c>
      <c r="D1549" s="7" t="str" cm="1">
        <f t="array" ref="D1549">_xlfn.IFS(Healthcare!$C1549&lt;18.5,"under weight",Healthcare!$C1549&lt;=24.9,"Normal Weight",Healthcare!$C1549&gt;=25,"overweight",Healthcare!$C1549&gt;=30,"obese")</f>
        <v>overweight</v>
      </c>
      <c r="E1549" s="7">
        <v>5.51</v>
      </c>
      <c r="F1549" s="7" t="str" cm="1">
        <f t="array" ref="F1549">_xlfn.IFS(Healthcare!$E1549&lt;5.7,"normal",Healthcare!$E1549&lt;=6.4,"prediabetes",Healthcare!$E1549&gt;=6.5,"diabetes")</f>
        <v>normal</v>
      </c>
      <c r="G1549" s="7" t="s">
        <v>19</v>
      </c>
      <c r="H1549" s="7" t="s">
        <v>19</v>
      </c>
      <c r="I1549" s="7" t="s">
        <v>19</v>
      </c>
      <c r="J1549" s="7">
        <v>1</v>
      </c>
      <c r="K1549" s="7" t="s">
        <v>19</v>
      </c>
      <c r="L1549" s="7" t="str">
        <f>VLOOKUP(Healthcare!$A1549,hospital_details,2,0)</f>
        <v>20-Sep-1984</v>
      </c>
      <c r="M1549" s="7">
        <f t="shared" ref="M1549:M1612" ca="1" si="9279">VLOOKUP(A1549,hospital_details,3,0)</f>
        <v>42</v>
      </c>
      <c r="N1549" s="7">
        <f t="shared" ref="N1549:N1612" si="9280">VLOOKUP($A1549,hospital_details,4,0)</f>
        <v>1</v>
      </c>
      <c r="O1549" s="8">
        <f t="shared" ref="O1549:O1612" si="9281">VLOOKUP($A1549,hospital_details,5,0)</f>
        <v>6555.07</v>
      </c>
      <c r="P1549" s="7" t="str">
        <f t="shared" ref="P1549:P1612" si="9282">VLOOKUP($A1549,hospital_details,6,0)</f>
        <v>tier - 2</v>
      </c>
      <c r="Q1549" s="7" t="str">
        <f t="shared" ref="Q1549:Q1612" si="9283">VLOOKUP($A1549,hospital_details,7,0)</f>
        <v>tier - 2</v>
      </c>
      <c r="R1549" s="7" t="str">
        <f t="shared" ref="R1549:R1612" si="9284">VLOOKUP($A1549,hospital_details,8,0)</f>
        <v>R1024</v>
      </c>
    </row>
    <row r="1550" spans="1:18" ht="14.4" customHeight="1" x14ac:dyDescent="0.3">
      <c r="A1550" s="5" t="s">
        <v>1570</v>
      </c>
      <c r="B1550" s="5" t="str">
        <f>VLOOKUP($A1550,[1]!Customer_Names[#Data],3,0)</f>
        <v xml:space="preserve">  Thomas R</v>
      </c>
      <c r="C1550" s="5">
        <v>17.059999999999999</v>
      </c>
      <c r="D1550" s="5" t="str" cm="1">
        <f t="array" ref="D1550">_xlfn.IFS(Healthcare!$C1550&lt;18.5,"under weight",Healthcare!$C1550&lt;=24.9,"Normal Weight",Healthcare!$C1550&gt;=25,"overweight",Healthcare!$C1550&gt;=30,"obese")</f>
        <v>under weight</v>
      </c>
      <c r="E1550" s="5">
        <v>8.5</v>
      </c>
      <c r="F1550" s="5" t="str" cm="1">
        <f t="array" ref="F1550">_xlfn.IFS(Healthcare!$E1550&lt;5.7,"normal",Healthcare!$E1550&lt;=6.4,"prediabetes",Healthcare!$E1550&gt;=6.5,"diabetes")</f>
        <v>diabetes</v>
      </c>
      <c r="G1550" s="5" t="s">
        <v>19</v>
      </c>
      <c r="H1550" s="5" t="s">
        <v>19</v>
      </c>
      <c r="I1550" s="5" t="s">
        <v>19</v>
      </c>
      <c r="J1550" s="5">
        <v>0</v>
      </c>
      <c r="K1550" s="5" t="s">
        <v>19</v>
      </c>
      <c r="L1550" s="5" t="str">
        <f>VLOOKUP(Healthcare!$A1550,hospital_details,2,0)</f>
        <v>11-Dec-1968</v>
      </c>
      <c r="M1550" s="5">
        <f t="shared" ref="M1550:M1613" ca="1" si="9285">VLOOKUP(A1550,hospital_details,3,0)</f>
        <v>57</v>
      </c>
      <c r="N1550" s="5">
        <f t="shared" ref="N1550:N1613" si="9286">VLOOKUP($A1550,hospital_details,4,0)</f>
        <v>0</v>
      </c>
      <c r="O1550" s="6">
        <f t="shared" ref="O1550:O1613" si="9287">VLOOKUP($A1550,hospital_details,5,0)</f>
        <v>6552.01</v>
      </c>
      <c r="P1550" s="5" t="str">
        <f t="shared" ref="P1550:P1613" si="9288">VLOOKUP($A1550,hospital_details,6,0)</f>
        <v>tier - 3</v>
      </c>
      <c r="Q1550" s="5" t="str">
        <f t="shared" ref="Q1550:Q1613" si="9289">VLOOKUP($A1550,hospital_details,7,0)</f>
        <v>tier - 2</v>
      </c>
      <c r="R1550" s="5" t="str">
        <f t="shared" ref="R1550:R1613" si="9290">VLOOKUP($A1550,hospital_details,8,0)</f>
        <v>R1013</v>
      </c>
    </row>
    <row r="1551" spans="1:18" ht="14.4" customHeight="1" x14ac:dyDescent="0.3">
      <c r="A1551" s="7" t="s">
        <v>1571</v>
      </c>
      <c r="B1551" s="7" t="str">
        <f>VLOOKUP($A1551,[1]!Customer_Names[#Data],3,0)</f>
        <v xml:space="preserve">  Stephanie W</v>
      </c>
      <c r="C1551" s="7">
        <v>36.29</v>
      </c>
      <c r="D1551" s="7" t="str" cm="1">
        <f t="array" ref="D1551">_xlfn.IFS(Healthcare!$C1551&lt;18.5,"under weight",Healthcare!$C1551&lt;=24.9,"Normal Weight",Healthcare!$C1551&gt;=25,"overweight",Healthcare!$C1551&gt;=30,"obese")</f>
        <v>overweight</v>
      </c>
      <c r="E1551" s="7">
        <v>6.23</v>
      </c>
      <c r="F1551" s="7" t="str" cm="1">
        <f t="array" ref="F1551">_xlfn.IFS(Healthcare!$E1551&lt;5.7,"normal",Healthcare!$E1551&lt;=6.4,"prediabetes",Healthcare!$E1551&gt;=6.5,"diabetes")</f>
        <v>prediabetes</v>
      </c>
      <c r="G1551" s="7" t="s">
        <v>19</v>
      </c>
      <c r="H1551" s="7" t="s">
        <v>19</v>
      </c>
      <c r="I1551" s="7" t="s">
        <v>19</v>
      </c>
      <c r="J1551" s="7">
        <v>0</v>
      </c>
      <c r="K1551" s="7" t="s">
        <v>19</v>
      </c>
      <c r="L1551" s="7" t="str">
        <f>VLOOKUP(Healthcare!$A1551,hospital_details,2,0)</f>
        <v>6-Aug-1989</v>
      </c>
      <c r="M1551" s="7">
        <f t="shared" ref="M1551:M1614" ca="1" si="9291">VLOOKUP(A1551,hospital_details,3,0)</f>
        <v>37</v>
      </c>
      <c r="N1551" s="7">
        <f t="shared" ref="N1551:N1614" si="9292">VLOOKUP($A1551,hospital_details,4,0)</f>
        <v>3</v>
      </c>
      <c r="O1551" s="8">
        <f t="shared" ref="O1551:O1614" si="9293">VLOOKUP($A1551,hospital_details,5,0)</f>
        <v>6551.75</v>
      </c>
      <c r="P1551" s="7" t="str">
        <f t="shared" ref="P1551:P1614" si="9294">VLOOKUP($A1551,hospital_details,6,0)</f>
        <v>tier - 2</v>
      </c>
      <c r="Q1551" s="7" t="str">
        <f t="shared" ref="Q1551:Q1614" si="9295">VLOOKUP($A1551,hospital_details,7,0)</f>
        <v>tier - 2</v>
      </c>
      <c r="R1551" s="7" t="str">
        <f t="shared" ref="R1551:R1614" si="9296">VLOOKUP($A1551,hospital_details,8,0)</f>
        <v>R1024</v>
      </c>
    </row>
    <row r="1552" spans="1:18" ht="14.4" customHeight="1" x14ac:dyDescent="0.3">
      <c r="A1552" s="5" t="s">
        <v>1572</v>
      </c>
      <c r="B1552" s="5" t="str">
        <f>VLOOKUP($A1552,[1]!Customer_Names[#Data],3,0)</f>
        <v xml:space="preserve">  Ezra</v>
      </c>
      <c r="C1552" s="5">
        <v>28.594999999999999</v>
      </c>
      <c r="D1552" s="5" t="str" cm="1">
        <f t="array" ref="D1552">_xlfn.IFS(Healthcare!$C1552&lt;18.5,"under weight",Healthcare!$C1552&lt;=24.9,"Normal Weight",Healthcare!$C1552&gt;=25,"overweight",Healthcare!$C1552&gt;=30,"obese")</f>
        <v>overweight</v>
      </c>
      <c r="E1552" s="5">
        <v>8.5299999999999994</v>
      </c>
      <c r="F1552" s="5" t="str" cm="1">
        <f t="array" ref="F1552">_xlfn.IFS(Healthcare!$E1552&lt;5.7,"normal",Healthcare!$E1552&lt;=6.4,"prediabetes",Healthcare!$E1552&gt;=6.5,"diabetes")</f>
        <v>diabetes</v>
      </c>
      <c r="G1552" s="5" t="s">
        <v>20</v>
      </c>
      <c r="H1552" s="5" t="s">
        <v>19</v>
      </c>
      <c r="I1552" s="5" t="s">
        <v>19</v>
      </c>
      <c r="J1552" s="5">
        <v>1</v>
      </c>
      <c r="K1552" s="5" t="s">
        <v>19</v>
      </c>
      <c r="L1552" s="5" t="str">
        <f>VLOOKUP(Healthcare!$A1552,hospital_details,2,0)</f>
        <v>18-Dec-1986</v>
      </c>
      <c r="M1552" s="5">
        <f t="shared" ref="M1552:M1615" ca="1" si="9297">VLOOKUP(A1552,hospital_details,3,0)</f>
        <v>39</v>
      </c>
      <c r="N1552" s="5">
        <f t="shared" ref="N1552:N1615" si="9298">VLOOKUP($A1552,hospital_details,4,0)</f>
        <v>3</v>
      </c>
      <c r="O1552" s="6">
        <f t="shared" ref="O1552:O1615" si="9299">VLOOKUP($A1552,hospital_details,5,0)</f>
        <v>6548.2</v>
      </c>
      <c r="P1552" s="5" t="str">
        <f t="shared" ref="P1552:P1615" si="9300">VLOOKUP($A1552,hospital_details,6,0)</f>
        <v>tier - 2</v>
      </c>
      <c r="Q1552" s="5" t="str">
        <f t="shared" ref="Q1552:Q1615" si="9301">VLOOKUP($A1552,hospital_details,7,0)</f>
        <v>tier - 3</v>
      </c>
      <c r="R1552" s="5" t="str">
        <f t="shared" ref="R1552:R1615" si="9302">VLOOKUP($A1552,hospital_details,8,0)</f>
        <v>R1012</v>
      </c>
    </row>
    <row r="1553" spans="1:18" ht="14.4" customHeight="1" x14ac:dyDescent="0.3">
      <c r="A1553" s="7" t="s">
        <v>1573</v>
      </c>
      <c r="B1553" s="7" t="str">
        <f>VLOOKUP($A1553,[1]!Customer_Names[#Data],3,0)</f>
        <v xml:space="preserve">  Jim</v>
      </c>
      <c r="C1553" s="7">
        <v>17.8</v>
      </c>
      <c r="D1553" s="7" t="str" cm="1">
        <f t="array" ref="D1553">_xlfn.IFS(Healthcare!$C1553&lt;18.5,"under weight",Healthcare!$C1553&lt;=24.9,"Normal Weight",Healthcare!$C1553&gt;=25,"overweight",Healthcare!$C1553&gt;=30,"obese")</f>
        <v>under weight</v>
      </c>
      <c r="E1553" s="7">
        <v>5.75</v>
      </c>
      <c r="F1553" s="7" t="str" cm="1">
        <f t="array" ref="F1553">_xlfn.IFS(Healthcare!$E1553&lt;5.7,"normal",Healthcare!$E1553&lt;=6.4,"prediabetes",Healthcare!$E1553&gt;=6.5,"diabetes")</f>
        <v>prediabetes</v>
      </c>
      <c r="G1553" s="7" t="s">
        <v>20</v>
      </c>
      <c r="H1553" s="7" t="s">
        <v>19</v>
      </c>
      <c r="I1553" s="7" t="s">
        <v>29</v>
      </c>
      <c r="J1553" s="7">
        <v>1</v>
      </c>
      <c r="K1553" s="7" t="s">
        <v>19</v>
      </c>
      <c r="L1553" s="7" t="str">
        <f>VLOOKUP(Healthcare!$A1553,hospital_details,2,0)</f>
        <v>3-Dec-1969</v>
      </c>
      <c r="M1553" s="7">
        <f t="shared" ref="M1553:M1616" ca="1" si="9303">VLOOKUP(A1553,hospital_details,3,0)</f>
        <v>56</v>
      </c>
      <c r="N1553" s="7">
        <f t="shared" ref="N1553:N1616" si="9304">VLOOKUP($A1553,hospital_details,4,0)</f>
        <v>0</v>
      </c>
      <c r="O1553" s="8">
        <f t="shared" ref="O1553:O1616" si="9305">VLOOKUP($A1553,hospital_details,5,0)</f>
        <v>6546.16</v>
      </c>
      <c r="P1553" s="7" t="str">
        <f t="shared" ref="P1553:P1616" si="9306">VLOOKUP($A1553,hospital_details,6,0)</f>
        <v>tier - 2</v>
      </c>
      <c r="Q1553" s="7" t="str">
        <f t="shared" ref="Q1553:Q1616" si="9307">VLOOKUP($A1553,hospital_details,7,0)</f>
        <v>tier - 3</v>
      </c>
      <c r="R1553" s="7" t="str">
        <f t="shared" ref="R1553:R1616" si="9308">VLOOKUP($A1553,hospital_details,8,0)</f>
        <v>R1013</v>
      </c>
    </row>
    <row r="1554" spans="1:18" ht="14.4" customHeight="1" x14ac:dyDescent="0.3">
      <c r="A1554" s="5" t="s">
        <v>1574</v>
      </c>
      <c r="B1554" s="5" t="str">
        <f>VLOOKUP($A1554,[1]!Customer_Names[#Data],3,0)</f>
        <v xml:space="preserve">  Ari L</v>
      </c>
      <c r="C1554" s="5">
        <v>21.4</v>
      </c>
      <c r="D1554" s="5" t="str" cm="1">
        <f t="array" ref="D1554">_xlfn.IFS(Healthcare!$C1554&lt;18.5,"under weight",Healthcare!$C1554&lt;=24.9,"Normal Weight",Healthcare!$C1554&gt;=25,"overweight",Healthcare!$C1554&gt;=30,"obese")</f>
        <v>Normal Weight</v>
      </c>
      <c r="E1554" s="5">
        <v>5.6</v>
      </c>
      <c r="F1554" s="5" t="str" cm="1">
        <f t="array" ref="F1554">_xlfn.IFS(Healthcare!$E1554&lt;5.7,"normal",Healthcare!$E1554&lt;=6.4,"prediabetes",Healthcare!$E1554&gt;=6.5,"diabetes")</f>
        <v>normal</v>
      </c>
      <c r="G1554" s="5" t="s">
        <v>19</v>
      </c>
      <c r="H1554" s="5" t="s">
        <v>19</v>
      </c>
      <c r="I1554" s="5" t="s">
        <v>19</v>
      </c>
      <c r="J1554" s="5">
        <v>0</v>
      </c>
      <c r="K1554" s="5" t="s">
        <v>19</v>
      </c>
      <c r="L1554" s="5" t="str">
        <f>VLOOKUP(Healthcare!$A1554,hospital_details,2,0)</f>
        <v>2-Oct-1982</v>
      </c>
      <c r="M1554" s="5">
        <f t="shared" ref="M1554:M1617" ca="1" si="9309">VLOOKUP(A1554,hospital_details,3,0)</f>
        <v>44</v>
      </c>
      <c r="N1554" s="5">
        <f t="shared" ref="N1554:N1617" si="9310">VLOOKUP($A1554,hospital_details,4,0)</f>
        <v>3</v>
      </c>
      <c r="O1554" s="6">
        <f t="shared" ref="O1554:O1617" si="9311">VLOOKUP($A1554,hospital_details,5,0)</f>
        <v>6536.68</v>
      </c>
      <c r="P1554" s="5" t="str">
        <f t="shared" ref="P1554:P1617" si="9312">VLOOKUP($A1554,hospital_details,6,0)</f>
        <v>tier - 2</v>
      </c>
      <c r="Q1554" s="5" t="str">
        <f t="shared" ref="Q1554:Q1617" si="9313">VLOOKUP($A1554,hospital_details,7,0)</f>
        <v>tier - 2</v>
      </c>
      <c r="R1554" s="5" t="str">
        <f t="shared" ref="R1554:R1617" si="9314">VLOOKUP($A1554,hospital_details,8,0)</f>
        <v>R1012</v>
      </c>
    </row>
    <row r="1555" spans="1:18" ht="14.4" customHeight="1" x14ac:dyDescent="0.3">
      <c r="A1555" s="7" t="s">
        <v>1575</v>
      </c>
      <c r="B1555" s="7" t="str">
        <f>VLOOKUP($A1555,[1]!Customer_Names[#Data],3,0)</f>
        <v xml:space="preserve">  Fanny</v>
      </c>
      <c r="C1555" s="7">
        <v>23.01</v>
      </c>
      <c r="D1555" s="7" t="str" cm="1">
        <f t="array" ref="D1555">_xlfn.IFS(Healthcare!$C1555&lt;18.5,"under weight",Healthcare!$C1555&lt;=24.9,"Normal Weight",Healthcare!$C1555&gt;=25,"overweight",Healthcare!$C1555&gt;=30,"obese")</f>
        <v>Normal Weight</v>
      </c>
      <c r="E1555" s="7">
        <v>4.68</v>
      </c>
      <c r="F1555" s="7" t="str" cm="1">
        <f t="array" ref="F1555">_xlfn.IFS(Healthcare!$E1555&lt;5.7,"normal",Healthcare!$E1555&lt;=6.4,"prediabetes",Healthcare!$E1555&gt;=6.5,"diabetes")</f>
        <v>normal</v>
      </c>
      <c r="G1555" s="7" t="s">
        <v>19</v>
      </c>
      <c r="H1555" s="7" t="s">
        <v>19</v>
      </c>
      <c r="I1555" s="7" t="s">
        <v>19</v>
      </c>
      <c r="J1555" s="7">
        <v>0</v>
      </c>
      <c r="K1555" s="7" t="s">
        <v>19</v>
      </c>
      <c r="L1555" s="7" t="str">
        <f>VLOOKUP(Healthcare!$A1555,hospital_details,2,0)</f>
        <v>12-Aug-1982</v>
      </c>
      <c r="M1555" s="7">
        <f t="shared" ref="M1555:M1618" ca="1" si="9315">VLOOKUP(A1555,hospital_details,3,0)</f>
        <v>44</v>
      </c>
      <c r="N1555" s="7">
        <f t="shared" ref="N1555:N1618" si="9316">VLOOKUP($A1555,hospital_details,4,0)</f>
        <v>3</v>
      </c>
      <c r="O1555" s="8">
        <f t="shared" ref="O1555:O1618" si="9317">VLOOKUP($A1555,hospital_details,5,0)</f>
        <v>6532.04</v>
      </c>
      <c r="P1555" s="7" t="str">
        <f t="shared" ref="P1555:P1618" si="9318">VLOOKUP($A1555,hospital_details,6,0)</f>
        <v>tier - 2</v>
      </c>
      <c r="Q1555" s="7" t="str">
        <f t="shared" ref="Q1555:Q1618" si="9319">VLOOKUP($A1555,hospital_details,7,0)</f>
        <v>tier - 1</v>
      </c>
      <c r="R1555" s="7" t="str">
        <f t="shared" ref="R1555:R1618" si="9320">VLOOKUP($A1555,hospital_details,8,0)</f>
        <v>R1013</v>
      </c>
    </row>
    <row r="1556" spans="1:18" ht="14.4" customHeight="1" x14ac:dyDescent="0.3">
      <c r="A1556" s="5" t="s">
        <v>1576</v>
      </c>
      <c r="B1556" s="5" t="str">
        <f>VLOOKUP($A1556,[1]!Customer_Names[#Data],3,0)</f>
        <v xml:space="preserve">  Heather</v>
      </c>
      <c r="C1556" s="5">
        <v>19.86</v>
      </c>
      <c r="D1556" s="5" t="str" cm="1">
        <f t="array" ref="D1556">_xlfn.IFS(Healthcare!$C1556&lt;18.5,"under weight",Healthcare!$C1556&lt;=24.9,"Normal Weight",Healthcare!$C1556&gt;=25,"overweight",Healthcare!$C1556&gt;=30,"obese")</f>
        <v>Normal Weight</v>
      </c>
      <c r="E1556" s="5">
        <v>5.62</v>
      </c>
      <c r="F1556" s="5" t="str" cm="1">
        <f t="array" ref="F1556">_xlfn.IFS(Healthcare!$E1556&lt;5.7,"normal",Healthcare!$E1556&lt;=6.4,"prediabetes",Healthcare!$E1556&gt;=6.5,"diabetes")</f>
        <v>normal</v>
      </c>
      <c r="G1556" s="5" t="s">
        <v>20</v>
      </c>
      <c r="H1556" s="5" t="s">
        <v>19</v>
      </c>
      <c r="I1556" s="5" t="s">
        <v>19</v>
      </c>
      <c r="J1556" s="5">
        <v>0</v>
      </c>
      <c r="K1556" s="5" t="s">
        <v>19</v>
      </c>
      <c r="L1556" s="5" t="str">
        <f>VLOOKUP(Healthcare!$A1556,hospital_details,2,0)</f>
        <v>23-Oct-1976</v>
      </c>
      <c r="M1556" s="5">
        <f t="shared" ref="M1556:M1619" ca="1" si="9321">VLOOKUP(A1556,hospital_details,3,0)</f>
        <v>49</v>
      </c>
      <c r="N1556" s="5">
        <f t="shared" ref="N1556:N1619" si="9322">VLOOKUP($A1556,hospital_details,4,0)</f>
        <v>2</v>
      </c>
      <c r="O1556" s="6">
        <f t="shared" ref="O1556:O1619" si="9323">VLOOKUP($A1556,hospital_details,5,0)</f>
        <v>6529.21</v>
      </c>
      <c r="P1556" s="5" t="str">
        <f t="shared" ref="P1556:P1619" si="9324">VLOOKUP($A1556,hospital_details,6,0)</f>
        <v>tier - 2</v>
      </c>
      <c r="Q1556" s="5" t="str">
        <f t="shared" ref="Q1556:Q1619" si="9325">VLOOKUP($A1556,hospital_details,7,0)</f>
        <v>tier - 1</v>
      </c>
      <c r="R1556" s="5" t="str">
        <f t="shared" ref="R1556:R1619" si="9326">VLOOKUP($A1556,hospital_details,8,0)</f>
        <v>R1013</v>
      </c>
    </row>
    <row r="1557" spans="1:18" ht="14.4" customHeight="1" x14ac:dyDescent="0.3">
      <c r="A1557" s="7" t="s">
        <v>1577</v>
      </c>
      <c r="B1557" s="7" t="str">
        <f>VLOOKUP($A1557,[1]!Customer_Names[#Data],3,0)</f>
        <v xml:space="preserve">  Peter W</v>
      </c>
      <c r="C1557" s="7">
        <v>33.58</v>
      </c>
      <c r="D1557" s="7" t="str" cm="1">
        <f t="array" ref="D1557">_xlfn.IFS(Healthcare!$C1557&lt;18.5,"under weight",Healthcare!$C1557&lt;=24.9,"Normal Weight",Healthcare!$C1557&gt;=25,"overweight",Healthcare!$C1557&gt;=30,"obese")</f>
        <v>overweight</v>
      </c>
      <c r="E1557" s="7">
        <v>5.08</v>
      </c>
      <c r="F1557" s="7" t="str" cm="1">
        <f t="array" ref="F1557">_xlfn.IFS(Healthcare!$E1557&lt;5.7,"normal",Healthcare!$E1557&lt;=6.4,"prediabetes",Healthcare!$E1557&gt;=6.5,"diabetes")</f>
        <v>normal</v>
      </c>
      <c r="G1557" s="7" t="s">
        <v>19</v>
      </c>
      <c r="H1557" s="7" t="s">
        <v>19</v>
      </c>
      <c r="I1557" s="7" t="s">
        <v>19</v>
      </c>
      <c r="J1557" s="7">
        <v>0</v>
      </c>
      <c r="K1557" s="7" t="s">
        <v>19</v>
      </c>
      <c r="L1557" s="7" t="str">
        <f>VLOOKUP(Healthcare!$A1557,hospital_details,2,0)</f>
        <v>7-Jul-1994</v>
      </c>
      <c r="M1557" s="7">
        <f t="shared" ref="M1557:M1620" ca="1" si="9327">VLOOKUP(A1557,hospital_details,3,0)</f>
        <v>32</v>
      </c>
      <c r="N1557" s="7">
        <f t="shared" ref="N1557:N1620" si="9328">VLOOKUP($A1557,hospital_details,4,0)</f>
        <v>0</v>
      </c>
      <c r="O1557" s="8">
        <f t="shared" ref="O1557:O1620" si="9329">VLOOKUP($A1557,hospital_details,5,0)</f>
        <v>6512.24</v>
      </c>
      <c r="P1557" s="7" t="str">
        <f t="shared" ref="P1557:P1620" si="9330">VLOOKUP($A1557,hospital_details,6,0)</f>
        <v>tier - 2</v>
      </c>
      <c r="Q1557" s="7" t="str">
        <f t="shared" ref="Q1557:Q1620" si="9331">VLOOKUP($A1557,hospital_details,7,0)</f>
        <v>tier - 1</v>
      </c>
      <c r="R1557" s="7" t="str">
        <f t="shared" ref="R1557:R1620" si="9332">VLOOKUP($A1557,hospital_details,8,0)</f>
        <v>R1021</v>
      </c>
    </row>
    <row r="1558" spans="1:18" ht="14.4" customHeight="1" x14ac:dyDescent="0.3">
      <c r="A1558" s="5" t="s">
        <v>1578</v>
      </c>
      <c r="B1558" s="5" t="str">
        <f>VLOOKUP($A1558,[1]!Customer_Names[#Data],3,0)</f>
        <v xml:space="preserve">  Catherine A</v>
      </c>
      <c r="C1558" s="5">
        <v>29.81</v>
      </c>
      <c r="D1558" s="5" t="str" cm="1">
        <f t="array" ref="D1558">_xlfn.IFS(Healthcare!$C1558&lt;18.5,"under weight",Healthcare!$C1558&lt;=24.9,"Normal Weight",Healthcare!$C1558&gt;=25,"overweight",Healthcare!$C1558&gt;=30,"obese")</f>
        <v>overweight</v>
      </c>
      <c r="E1558" s="5">
        <v>5.28</v>
      </c>
      <c r="F1558" s="5" t="str" cm="1">
        <f t="array" ref="F1558">_xlfn.IFS(Healthcare!$E1558&lt;5.7,"normal",Healthcare!$E1558&lt;=6.4,"prediabetes",Healthcare!$E1558&gt;=6.5,"diabetes")</f>
        <v>normal</v>
      </c>
      <c r="G1558" s="5" t="s">
        <v>19</v>
      </c>
      <c r="H1558" s="5" t="s">
        <v>19</v>
      </c>
      <c r="I1558" s="5" t="s">
        <v>19</v>
      </c>
      <c r="J1558" s="5">
        <v>0</v>
      </c>
      <c r="K1558" s="5" t="s">
        <v>19</v>
      </c>
      <c r="L1558" s="5" t="str">
        <f>VLOOKUP(Healthcare!$A1558,hospital_details,2,0)</f>
        <v>28-Aug-1982</v>
      </c>
      <c r="M1558" s="5">
        <f t="shared" ref="M1558:M1621" ca="1" si="9333">VLOOKUP(A1558,hospital_details,3,0)</f>
        <v>44</v>
      </c>
      <c r="N1558" s="5">
        <f t="shared" ref="N1558:N1621" si="9334">VLOOKUP($A1558,hospital_details,4,0)</f>
        <v>1</v>
      </c>
      <c r="O1558" s="6">
        <f t="shared" ref="O1558:O1621" si="9335">VLOOKUP($A1558,hospital_details,5,0)</f>
        <v>6500.24</v>
      </c>
      <c r="P1558" s="5" t="str">
        <f t="shared" ref="P1558:P1621" si="9336">VLOOKUP($A1558,hospital_details,6,0)</f>
        <v>tier - 2</v>
      </c>
      <c r="Q1558" s="5" t="str">
        <f t="shared" ref="Q1558:Q1621" si="9337">VLOOKUP($A1558,hospital_details,7,0)</f>
        <v>tier - 2</v>
      </c>
      <c r="R1558" s="5" t="str">
        <f t="shared" ref="R1558:R1621" si="9338">VLOOKUP($A1558,hospital_details,8,0)</f>
        <v>R1013</v>
      </c>
    </row>
    <row r="1559" spans="1:18" ht="14.4" customHeight="1" x14ac:dyDescent="0.3">
      <c r="A1559" s="7" t="s">
        <v>1579</v>
      </c>
      <c r="B1559" s="7" t="str">
        <f>VLOOKUP($A1559,[1]!Customer_Names[#Data],3,0)</f>
        <v xml:space="preserve">  Kelly A</v>
      </c>
      <c r="C1559" s="7">
        <v>27.4</v>
      </c>
      <c r="D1559" s="7" t="str" cm="1">
        <f t="array" ref="D1559">_xlfn.IFS(Healthcare!$C1559&lt;18.5,"under weight",Healthcare!$C1559&lt;=24.9,"Normal Weight",Healthcare!$C1559&gt;=25,"overweight",Healthcare!$C1559&gt;=30,"obese")</f>
        <v>overweight</v>
      </c>
      <c r="E1559" s="7">
        <v>4.6100000000000003</v>
      </c>
      <c r="F1559" s="7" t="str" cm="1">
        <f t="array" ref="F1559">_xlfn.IFS(Healthcare!$E1559&lt;5.7,"normal",Healthcare!$E1559&lt;=6.4,"prediabetes",Healthcare!$E1559&gt;=6.5,"diabetes")</f>
        <v>normal</v>
      </c>
      <c r="G1559" s="7" t="s">
        <v>19</v>
      </c>
      <c r="H1559" s="7" t="s">
        <v>19</v>
      </c>
      <c r="I1559" s="7" t="s">
        <v>19</v>
      </c>
      <c r="J1559" s="7">
        <v>0</v>
      </c>
      <c r="K1559" s="7" t="s">
        <v>19</v>
      </c>
      <c r="L1559" s="7" t="str">
        <f>VLOOKUP(Healthcare!$A1559,hospital_details,2,0)</f>
        <v>9-Oct-1982</v>
      </c>
      <c r="M1559" s="7">
        <f t="shared" ref="M1559:M1622" ca="1" si="9339">VLOOKUP(A1559,hospital_details,3,0)</f>
        <v>44</v>
      </c>
      <c r="N1559" s="7">
        <f t="shared" ref="N1559:N1622" si="9340">VLOOKUP($A1559,hospital_details,4,0)</f>
        <v>1</v>
      </c>
      <c r="O1559" s="8">
        <f t="shared" ref="O1559:O1622" si="9341">VLOOKUP($A1559,hospital_details,5,0)</f>
        <v>6496.89</v>
      </c>
      <c r="P1559" s="7" t="str">
        <f t="shared" ref="P1559:P1622" si="9342">VLOOKUP($A1559,hospital_details,6,0)</f>
        <v>tier - 2</v>
      </c>
      <c r="Q1559" s="7" t="str">
        <f t="shared" ref="Q1559:Q1622" si="9343">VLOOKUP($A1559,hospital_details,7,0)</f>
        <v>tier - 3</v>
      </c>
      <c r="R1559" s="7" t="str">
        <f t="shared" ref="R1559:R1622" si="9344">VLOOKUP($A1559,hospital_details,8,0)</f>
        <v>R1011</v>
      </c>
    </row>
    <row r="1560" spans="1:18" ht="14.4" customHeight="1" x14ac:dyDescent="0.3">
      <c r="A1560" s="5" t="s">
        <v>1580</v>
      </c>
      <c r="B1560" s="5" t="str">
        <f>VLOOKUP($A1560,[1]!Customer_Names[#Data],3,0)</f>
        <v xml:space="preserve">  Janel N</v>
      </c>
      <c r="C1560" s="5">
        <v>17.98</v>
      </c>
      <c r="D1560" s="5" t="str" cm="1">
        <f t="array" ref="D1560">_xlfn.IFS(Healthcare!$C1560&lt;18.5,"under weight",Healthcare!$C1560&lt;=24.9,"Normal Weight",Healthcare!$C1560&gt;=25,"overweight",Healthcare!$C1560&gt;=30,"obese")</f>
        <v>under weight</v>
      </c>
      <c r="E1560" s="5">
        <v>6.57</v>
      </c>
      <c r="F1560" s="5" t="str" cm="1">
        <f t="array" ref="F1560">_xlfn.IFS(Healthcare!$E1560&lt;5.7,"normal",Healthcare!$E1560&lt;=6.4,"prediabetes",Healthcare!$E1560&gt;=6.5,"diabetes")</f>
        <v>diabetes</v>
      </c>
      <c r="G1560" s="5" t="s">
        <v>20</v>
      </c>
      <c r="H1560" s="5" t="s">
        <v>19</v>
      </c>
      <c r="I1560" s="5" t="s">
        <v>19</v>
      </c>
      <c r="J1560" s="5">
        <v>2</v>
      </c>
      <c r="K1560" s="5" t="s">
        <v>19</v>
      </c>
      <c r="L1560" s="5" t="str">
        <f>VLOOKUP(Healthcare!$A1560,hospital_details,2,0)</f>
        <v>1-Dec-1970</v>
      </c>
      <c r="M1560" s="5">
        <f t="shared" ref="M1560:M1623" ca="1" si="9345">VLOOKUP(A1560,hospital_details,3,0)</f>
        <v>55</v>
      </c>
      <c r="N1560" s="5">
        <f t="shared" ref="N1560:N1623" si="9346">VLOOKUP($A1560,hospital_details,4,0)</f>
        <v>0</v>
      </c>
      <c r="O1560" s="6">
        <f t="shared" ref="O1560:O1623" si="9347">VLOOKUP($A1560,hospital_details,5,0)</f>
        <v>6481.67</v>
      </c>
      <c r="P1560" s="5" t="str">
        <f t="shared" ref="P1560:P1623" si="9348">VLOOKUP($A1560,hospital_details,6,0)</f>
        <v>tier - 2</v>
      </c>
      <c r="Q1560" s="5" t="str">
        <f t="shared" ref="Q1560:Q1623" si="9349">VLOOKUP($A1560,hospital_details,7,0)</f>
        <v>tier - 2</v>
      </c>
      <c r="R1560" s="5" t="str">
        <f t="shared" ref="R1560:R1623" si="9350">VLOOKUP($A1560,hospital_details,8,0)</f>
        <v>R1013</v>
      </c>
    </row>
    <row r="1561" spans="1:18" ht="14.4" customHeight="1" x14ac:dyDescent="0.3">
      <c r="A1561" s="7" t="s">
        <v>1581</v>
      </c>
      <c r="B1561" s="7" t="str">
        <f>VLOOKUP($A1561,[1]!Customer_Names[#Data],3,0)</f>
        <v xml:space="preserve">  Yann Kai</v>
      </c>
      <c r="C1561" s="7">
        <v>37.9</v>
      </c>
      <c r="D1561" s="7" t="str" cm="1">
        <f t="array" ref="D1561">_xlfn.IFS(Healthcare!$C1561&lt;18.5,"under weight",Healthcare!$C1561&lt;=24.9,"Normal Weight",Healthcare!$C1561&gt;=25,"overweight",Healthcare!$C1561&gt;=30,"obese")</f>
        <v>overweight</v>
      </c>
      <c r="E1561" s="7">
        <v>5.83</v>
      </c>
      <c r="F1561" s="7" t="str" cm="1">
        <f t="array" ref="F1561">_xlfn.IFS(Healthcare!$E1561&lt;5.7,"normal",Healthcare!$E1561&lt;=6.4,"prediabetes",Healthcare!$E1561&gt;=6.5,"diabetes")</f>
        <v>prediabetes</v>
      </c>
      <c r="G1561" s="7" t="s">
        <v>19</v>
      </c>
      <c r="H1561" s="7" t="s">
        <v>19</v>
      </c>
      <c r="I1561" s="7" t="s">
        <v>19</v>
      </c>
      <c r="J1561" s="7">
        <v>0</v>
      </c>
      <c r="K1561" s="7" t="s">
        <v>19</v>
      </c>
      <c r="L1561" s="7" t="str">
        <f>VLOOKUP(Healthcare!$A1561,hospital_details,2,0)</f>
        <v>8-Jun-1980</v>
      </c>
      <c r="M1561" s="7">
        <f t="shared" ref="M1561:M1624" ca="1" si="9351">VLOOKUP(A1561,hospital_details,3,0)</f>
        <v>46</v>
      </c>
      <c r="N1561" s="7">
        <f t="shared" ref="N1561:N1624" si="9352">VLOOKUP($A1561,hospital_details,4,0)</f>
        <v>0</v>
      </c>
      <c r="O1561" s="8">
        <f t="shared" ref="O1561:O1624" si="9353">VLOOKUP($A1561,hospital_details,5,0)</f>
        <v>6474.01</v>
      </c>
      <c r="P1561" s="7" t="str">
        <f t="shared" ref="P1561:P1624" si="9354">VLOOKUP($A1561,hospital_details,6,0)</f>
        <v>tier - 2</v>
      </c>
      <c r="Q1561" s="7" t="str">
        <f t="shared" ref="Q1561:Q1624" si="9355">VLOOKUP($A1561,hospital_details,7,0)</f>
        <v>tier - 3</v>
      </c>
      <c r="R1561" s="7" t="str">
        <f t="shared" ref="R1561:R1624" si="9356">VLOOKUP($A1561,hospital_details,8,0)</f>
        <v>R1011</v>
      </c>
    </row>
    <row r="1562" spans="1:18" ht="14.4" customHeight="1" x14ac:dyDescent="0.3">
      <c r="A1562" s="5" t="s">
        <v>1582</v>
      </c>
      <c r="B1562" s="5" t="str">
        <f>VLOOKUP($A1562,[1]!Customer_Names[#Data],3,0)</f>
        <v xml:space="preserve">  Zachary R</v>
      </c>
      <c r="C1562" s="5">
        <v>25.27</v>
      </c>
      <c r="D1562" s="5" t="str" cm="1">
        <f t="array" ref="D1562">_xlfn.IFS(Healthcare!$C1562&lt;18.5,"under weight",Healthcare!$C1562&lt;=24.9,"Normal Weight",Healthcare!$C1562&gt;=25,"overweight",Healthcare!$C1562&gt;=30,"obese")</f>
        <v>overweight</v>
      </c>
      <c r="E1562" s="5">
        <v>6.98</v>
      </c>
      <c r="F1562" s="5" t="str" cm="1">
        <f t="array" ref="F1562">_xlfn.IFS(Healthcare!$E1562&lt;5.7,"normal",Healthcare!$E1562&lt;=6.4,"prediabetes",Healthcare!$E1562&gt;=6.5,"diabetes")</f>
        <v>diabetes</v>
      </c>
      <c r="G1562" s="5" t="s">
        <v>20</v>
      </c>
      <c r="H1562" s="5" t="s">
        <v>19</v>
      </c>
      <c r="I1562" s="5" t="s">
        <v>19</v>
      </c>
      <c r="J1562" s="5">
        <v>0</v>
      </c>
      <c r="K1562" s="5" t="s">
        <v>19</v>
      </c>
      <c r="L1562" s="5" t="str">
        <f>VLOOKUP(Healthcare!$A1562,hospital_details,2,0)</f>
        <v>27-Jul-1981</v>
      </c>
      <c r="M1562" s="5">
        <f t="shared" ref="M1562:M1625" ca="1" si="9357">VLOOKUP(A1562,hospital_details,3,0)</f>
        <v>45</v>
      </c>
      <c r="N1562" s="5">
        <f t="shared" ref="N1562:N1625" si="9358">VLOOKUP($A1562,hospital_details,4,0)</f>
        <v>1</v>
      </c>
      <c r="O1562" s="6">
        <f t="shared" ref="O1562:O1625" si="9359">VLOOKUP($A1562,hospital_details,5,0)</f>
        <v>6473.15</v>
      </c>
      <c r="P1562" s="5" t="str">
        <f t="shared" ref="P1562:P1625" si="9360">VLOOKUP($A1562,hospital_details,6,0)</f>
        <v>tier - 2</v>
      </c>
      <c r="Q1562" s="5" t="str">
        <f t="shared" ref="Q1562:Q1625" si="9361">VLOOKUP($A1562,hospital_details,7,0)</f>
        <v>tier - 2</v>
      </c>
      <c r="R1562" s="5" t="str">
        <f t="shared" ref="R1562:R1625" si="9362">VLOOKUP($A1562,hospital_details,8,0)</f>
        <v>R1013</v>
      </c>
    </row>
    <row r="1563" spans="1:18" ht="14.4" customHeight="1" x14ac:dyDescent="0.3">
      <c r="A1563" s="7" t="s">
        <v>1583</v>
      </c>
      <c r="B1563" s="7" t="str">
        <f>VLOOKUP($A1563,[1]!Customer_Names[#Data],3,0)</f>
        <v xml:space="preserve">  Alejandro Sr</v>
      </c>
      <c r="C1563" s="7">
        <v>29.26</v>
      </c>
      <c r="D1563" s="7" t="str" cm="1">
        <f t="array" ref="D1563">_xlfn.IFS(Healthcare!$C1563&lt;18.5,"under weight",Healthcare!$C1563&lt;=24.9,"Normal Weight",Healthcare!$C1563&gt;=25,"overweight",Healthcare!$C1563&gt;=30,"obese")</f>
        <v>overweight</v>
      </c>
      <c r="E1563" s="7">
        <v>4.03</v>
      </c>
      <c r="F1563" s="7" t="str" cm="1">
        <f t="array" ref="F1563">_xlfn.IFS(Healthcare!$E1563&lt;5.7,"normal",Healthcare!$E1563&lt;=6.4,"prediabetes",Healthcare!$E1563&gt;=6.5,"diabetes")</f>
        <v>normal</v>
      </c>
      <c r="G1563" s="7" t="s">
        <v>19</v>
      </c>
      <c r="H1563" s="7" t="s">
        <v>19</v>
      </c>
      <c r="I1563" s="7" t="s">
        <v>19</v>
      </c>
      <c r="J1563" s="7">
        <v>1</v>
      </c>
      <c r="K1563" s="7" t="s">
        <v>19</v>
      </c>
      <c r="L1563" s="7" t="str">
        <f>VLOOKUP(Healthcare!$A1563,hospital_details,2,0)</f>
        <v>1-Nov-1984</v>
      </c>
      <c r="M1563" s="7">
        <f t="shared" ref="M1563:M1626" ca="1" si="9363">VLOOKUP(A1563,hospital_details,3,0)</f>
        <v>41</v>
      </c>
      <c r="N1563" s="7">
        <f t="shared" ref="N1563:N1626" si="9364">VLOOKUP($A1563,hospital_details,4,0)</f>
        <v>2</v>
      </c>
      <c r="O1563" s="8">
        <f t="shared" ref="O1563:O1626" si="9365">VLOOKUP($A1563,hospital_details,5,0)</f>
        <v>6457.84</v>
      </c>
      <c r="P1563" s="7" t="str">
        <f t="shared" ref="P1563:P1626" si="9366">VLOOKUP($A1563,hospital_details,6,0)</f>
        <v>tier - 2</v>
      </c>
      <c r="Q1563" s="7" t="str">
        <f t="shared" ref="Q1563:Q1626" si="9367">VLOOKUP($A1563,hospital_details,7,0)</f>
        <v>tier - 3</v>
      </c>
      <c r="R1563" s="7" t="str">
        <f t="shared" ref="R1563:R1626" si="9368">VLOOKUP($A1563,hospital_details,8,0)</f>
        <v>R1012</v>
      </c>
    </row>
    <row r="1564" spans="1:18" ht="14.4" customHeight="1" x14ac:dyDescent="0.3">
      <c r="A1564" s="5" t="s">
        <v>1584</v>
      </c>
      <c r="B1564" s="5" t="str">
        <f>VLOOKUP($A1564,[1]!Customer_Names[#Data],3,0)</f>
        <v xml:space="preserve">  Nicholas R</v>
      </c>
      <c r="C1564" s="5">
        <v>27.835000000000001</v>
      </c>
      <c r="D1564" s="5" t="str" cm="1">
        <f t="array" ref="D1564">_xlfn.IFS(Healthcare!$C1564&lt;18.5,"under weight",Healthcare!$C1564&lt;=24.9,"Normal Weight",Healthcare!$C1564&gt;=25,"overweight",Healthcare!$C1564&gt;=30,"obese")</f>
        <v>overweight</v>
      </c>
      <c r="E1564" s="5">
        <v>4.5599999999999996</v>
      </c>
      <c r="F1564" s="5" t="str" cm="1">
        <f t="array" ref="F1564">_xlfn.IFS(Healthcare!$E1564&lt;5.7,"normal",Healthcare!$E1564&lt;=6.4,"prediabetes",Healthcare!$E1564&gt;=6.5,"diabetes")</f>
        <v>normal</v>
      </c>
      <c r="G1564" s="5" t="s">
        <v>19</v>
      </c>
      <c r="H1564" s="5" t="s">
        <v>19</v>
      </c>
      <c r="I1564" s="5" t="s">
        <v>19</v>
      </c>
      <c r="J1564" s="5">
        <v>1</v>
      </c>
      <c r="K1564" s="5" t="s">
        <v>19</v>
      </c>
      <c r="L1564" s="5" t="str">
        <f>VLOOKUP(Healthcare!$A1564,hospital_details,2,0)</f>
        <v>26-Aug-1984</v>
      </c>
      <c r="M1564" s="5">
        <f t="shared" ref="M1564:M1627" ca="1" si="9369">VLOOKUP(A1564,hospital_details,3,0)</f>
        <v>42</v>
      </c>
      <c r="N1564" s="5">
        <f t="shared" ref="N1564:N1627" si="9370">VLOOKUP($A1564,hospital_details,4,0)</f>
        <v>2</v>
      </c>
      <c r="O1564" s="6">
        <f t="shared" ref="O1564:O1627" si="9371">VLOOKUP($A1564,hospital_details,5,0)</f>
        <v>6455.86</v>
      </c>
      <c r="P1564" s="5" t="str">
        <f t="shared" ref="P1564:P1627" si="9372">VLOOKUP($A1564,hospital_details,6,0)</f>
        <v>tier - 3</v>
      </c>
      <c r="Q1564" s="5" t="str">
        <f t="shared" ref="Q1564:Q1627" si="9373">VLOOKUP($A1564,hospital_details,7,0)</f>
        <v>tier - 3</v>
      </c>
      <c r="R1564" s="5" t="str">
        <f t="shared" ref="R1564:R1627" si="9374">VLOOKUP($A1564,hospital_details,8,0)</f>
        <v>R1012</v>
      </c>
    </row>
    <row r="1565" spans="1:18" ht="14.4" customHeight="1" x14ac:dyDescent="0.3">
      <c r="A1565" s="7" t="s">
        <v>1585</v>
      </c>
      <c r="B1565" s="7" t="str">
        <f>VLOOKUP($A1565,[1]!Customer_Names[#Data],3,0)</f>
        <v xml:space="preserve">  Paul</v>
      </c>
      <c r="C1565" s="7">
        <v>46.53</v>
      </c>
      <c r="D1565" s="7" t="str" cm="1">
        <f t="array" ref="D1565">_xlfn.IFS(Healthcare!$C1565&lt;18.5,"under weight",Healthcare!$C1565&lt;=24.9,"Normal Weight",Healthcare!$C1565&gt;=25,"overweight",Healthcare!$C1565&gt;=30,"obese")</f>
        <v>overweight</v>
      </c>
      <c r="E1565" s="7">
        <v>5.38</v>
      </c>
      <c r="F1565" s="7" t="str" cm="1">
        <f t="array" ref="F1565">_xlfn.IFS(Healthcare!$E1565&lt;5.7,"normal",Healthcare!$E1565&lt;=6.4,"prediabetes",Healthcare!$E1565&gt;=6.5,"diabetes")</f>
        <v>normal</v>
      </c>
      <c r="G1565" s="7" t="s">
        <v>20</v>
      </c>
      <c r="H1565" s="7" t="s">
        <v>19</v>
      </c>
      <c r="I1565" s="7" t="s">
        <v>19</v>
      </c>
      <c r="J1565" s="7">
        <v>0</v>
      </c>
      <c r="K1565" s="7" t="s">
        <v>19</v>
      </c>
      <c r="L1565" s="7" t="str">
        <f>VLOOKUP(Healthcare!$A1565,hospital_details,2,0)</f>
        <v>22-Jul-1985</v>
      </c>
      <c r="M1565" s="7">
        <f t="shared" ref="M1565:M1628" ca="1" si="9375">VLOOKUP(A1565,hospital_details,3,0)</f>
        <v>41</v>
      </c>
      <c r="N1565" s="7">
        <f t="shared" ref="N1565:N1628" si="9376">VLOOKUP($A1565,hospital_details,4,0)</f>
        <v>3</v>
      </c>
      <c r="O1565" s="8">
        <f t="shared" ref="O1565:O1628" si="9377">VLOOKUP($A1565,hospital_details,5,0)</f>
        <v>6435.62</v>
      </c>
      <c r="P1565" s="7" t="str">
        <f t="shared" ref="P1565:P1628" si="9378">VLOOKUP($A1565,hospital_details,6,0)</f>
        <v>tier - 3</v>
      </c>
      <c r="Q1565" s="7" t="str">
        <f t="shared" ref="Q1565:Q1628" si="9379">VLOOKUP($A1565,hospital_details,7,0)</f>
        <v>tier - 2</v>
      </c>
      <c r="R1565" s="7" t="str">
        <f t="shared" ref="R1565:R1628" si="9380">VLOOKUP($A1565,hospital_details,8,0)</f>
        <v>R1013</v>
      </c>
    </row>
    <row r="1566" spans="1:18" ht="14.4" customHeight="1" x14ac:dyDescent="0.3">
      <c r="A1566" s="5" t="s">
        <v>1586</v>
      </c>
      <c r="B1566" s="5" t="str">
        <f>VLOOKUP($A1566,[1]!Customer_Names[#Data],3,0)</f>
        <v xml:space="preserve">  Michael D</v>
      </c>
      <c r="C1566" s="5">
        <v>20.58</v>
      </c>
      <c r="D1566" s="5" t="str" cm="1">
        <f t="array" ref="D1566">_xlfn.IFS(Healthcare!$C1566&lt;18.5,"under weight",Healthcare!$C1566&lt;=24.9,"Normal Weight",Healthcare!$C1566&gt;=25,"overweight",Healthcare!$C1566&gt;=30,"obese")</f>
        <v>Normal Weight</v>
      </c>
      <c r="E1566" s="5">
        <v>11.04</v>
      </c>
      <c r="F1566" s="5" t="str" cm="1">
        <f t="array" ref="F1566">_xlfn.IFS(Healthcare!$E1566&lt;5.7,"normal",Healthcare!$E1566&lt;=6.4,"prediabetes",Healthcare!$E1566&gt;=6.5,"diabetes")</f>
        <v>diabetes</v>
      </c>
      <c r="G1566" s="5" t="s">
        <v>20</v>
      </c>
      <c r="H1566" s="5" t="s">
        <v>19</v>
      </c>
      <c r="I1566" s="5" t="s">
        <v>19</v>
      </c>
      <c r="J1566" s="5">
        <v>1</v>
      </c>
      <c r="K1566" s="5" t="s">
        <v>19</v>
      </c>
      <c r="L1566" s="5" t="str">
        <f>VLOOKUP(Healthcare!$A1566,hospital_details,2,0)</f>
        <v>5-Aug-1975</v>
      </c>
      <c r="M1566" s="5">
        <f t="shared" ref="M1566:M1629" ca="1" si="9381">VLOOKUP(A1566,hospital_details,3,0)</f>
        <v>51</v>
      </c>
      <c r="N1566" s="5">
        <f t="shared" ref="N1566:N1629" si="9382">VLOOKUP($A1566,hospital_details,4,0)</f>
        <v>1</v>
      </c>
      <c r="O1566" s="6">
        <f t="shared" ref="O1566:O1629" si="9383">VLOOKUP($A1566,hospital_details,5,0)</f>
        <v>6423.48</v>
      </c>
      <c r="P1566" s="5" t="str">
        <f t="shared" ref="P1566:P1629" si="9384">VLOOKUP($A1566,hospital_details,6,0)</f>
        <v>tier - 2</v>
      </c>
      <c r="Q1566" s="5" t="str">
        <f t="shared" ref="Q1566:Q1629" si="9385">VLOOKUP($A1566,hospital_details,7,0)</f>
        <v>tier - 3</v>
      </c>
      <c r="R1566" s="5" t="str">
        <f t="shared" ref="R1566:R1629" si="9386">VLOOKUP($A1566,hospital_details,8,0)</f>
        <v>R1013</v>
      </c>
    </row>
    <row r="1567" spans="1:18" ht="14.4" customHeight="1" x14ac:dyDescent="0.3">
      <c r="A1567" s="7" t="s">
        <v>1587</v>
      </c>
      <c r="B1567" s="7" t="str">
        <f>VLOOKUP($A1567,[1]!Customer_Names[#Data],3,0)</f>
        <v xml:space="preserve">  Marina</v>
      </c>
      <c r="C1567" s="7">
        <v>19.53</v>
      </c>
      <c r="D1567" s="7" t="str" cm="1">
        <f t="array" ref="D1567">_xlfn.IFS(Healthcare!$C1567&lt;18.5,"under weight",Healthcare!$C1567&lt;=24.9,"Normal Weight",Healthcare!$C1567&gt;=25,"overweight",Healthcare!$C1567&gt;=30,"obese")</f>
        <v>Normal Weight</v>
      </c>
      <c r="E1567" s="7">
        <v>6.09</v>
      </c>
      <c r="F1567" s="7" t="str" cm="1">
        <f t="array" ref="F1567">_xlfn.IFS(Healthcare!$E1567&lt;5.7,"normal",Healthcare!$E1567&lt;=6.4,"prediabetes",Healthcare!$E1567&gt;=6.5,"diabetes")</f>
        <v>prediabetes</v>
      </c>
      <c r="G1567" s="7" t="s">
        <v>20</v>
      </c>
      <c r="H1567" s="7" t="s">
        <v>19</v>
      </c>
      <c r="I1567" s="7" t="s">
        <v>19</v>
      </c>
      <c r="J1567" s="7">
        <v>0</v>
      </c>
      <c r="K1567" s="7" t="s">
        <v>19</v>
      </c>
      <c r="L1567" s="7" t="str">
        <f>VLOOKUP(Healthcare!$A1567,hospital_details,2,0)</f>
        <v>30-Dec-1976</v>
      </c>
      <c r="M1567" s="7">
        <f t="shared" ref="M1567:M1630" ca="1" si="9387">VLOOKUP(A1567,hospital_details,3,0)</f>
        <v>49</v>
      </c>
      <c r="N1567" s="7">
        <f t="shared" ref="N1567:N1630" si="9388">VLOOKUP($A1567,hospital_details,4,0)</f>
        <v>2</v>
      </c>
      <c r="O1567" s="8">
        <f t="shared" ref="O1567:O1630" si="9389">VLOOKUP($A1567,hospital_details,5,0)</f>
        <v>6417.28</v>
      </c>
      <c r="P1567" s="7" t="str">
        <f t="shared" ref="P1567:P1630" si="9390">VLOOKUP($A1567,hospital_details,6,0)</f>
        <v>tier - 2</v>
      </c>
      <c r="Q1567" s="7" t="str">
        <f t="shared" ref="Q1567:Q1630" si="9391">VLOOKUP($A1567,hospital_details,7,0)</f>
        <v>tier - 3</v>
      </c>
      <c r="R1567" s="7" t="str">
        <f t="shared" ref="R1567:R1630" si="9392">VLOOKUP($A1567,hospital_details,8,0)</f>
        <v>R1013</v>
      </c>
    </row>
    <row r="1568" spans="1:18" ht="14.4" customHeight="1" x14ac:dyDescent="0.3">
      <c r="A1568" s="5" t="s">
        <v>1588</v>
      </c>
      <c r="B1568" s="5" t="str">
        <f>VLOOKUP($A1568,[1]!Customer_Names[#Data],3,0)</f>
        <v xml:space="preserve">  Caroline</v>
      </c>
      <c r="C1568" s="5">
        <v>27.7</v>
      </c>
      <c r="D1568" s="5" t="str" cm="1">
        <f t="array" ref="D1568">_xlfn.IFS(Healthcare!$C1568&lt;18.5,"under weight",Healthcare!$C1568&lt;=24.9,"Normal Weight",Healthcare!$C1568&gt;=25,"overweight",Healthcare!$C1568&gt;=30,"obese")</f>
        <v>overweight</v>
      </c>
      <c r="E1568" s="5">
        <v>4.71</v>
      </c>
      <c r="F1568" s="5" t="str" cm="1">
        <f t="array" ref="F1568">_xlfn.IFS(Healthcare!$E1568&lt;5.7,"normal",Healthcare!$E1568&lt;=6.4,"prediabetes",Healthcare!$E1568&gt;=6.5,"diabetes")</f>
        <v>normal</v>
      </c>
      <c r="G1568" s="5" t="s">
        <v>19</v>
      </c>
      <c r="H1568" s="5" t="s">
        <v>19</v>
      </c>
      <c r="I1568" s="5" t="s">
        <v>19</v>
      </c>
      <c r="J1568" s="5">
        <v>1</v>
      </c>
      <c r="K1568" s="5" t="s">
        <v>19</v>
      </c>
      <c r="L1568" s="5" t="str">
        <f>VLOOKUP(Healthcare!$A1568,hospital_details,2,0)</f>
        <v>4-Sep-1987</v>
      </c>
      <c r="M1568" s="5">
        <f t="shared" ref="M1568:M1631" ca="1" si="9393">VLOOKUP(A1568,hospital_details,3,0)</f>
        <v>39</v>
      </c>
      <c r="N1568" s="5">
        <f t="shared" ref="N1568:N1631" si="9394">VLOOKUP($A1568,hospital_details,4,0)</f>
        <v>3</v>
      </c>
      <c r="O1568" s="6">
        <f t="shared" ref="O1568:O1631" si="9395">VLOOKUP($A1568,hospital_details,5,0)</f>
        <v>6414.18</v>
      </c>
      <c r="P1568" s="5" t="str">
        <f t="shared" ref="P1568:P1631" si="9396">VLOOKUP($A1568,hospital_details,6,0)</f>
        <v>tier - 2</v>
      </c>
      <c r="Q1568" s="5" t="str">
        <f t="shared" ref="Q1568:Q1631" si="9397">VLOOKUP($A1568,hospital_details,7,0)</f>
        <v>tier - 2</v>
      </c>
      <c r="R1568" s="5" t="str">
        <f t="shared" ref="R1568:R1631" si="9398">VLOOKUP($A1568,hospital_details,8,0)</f>
        <v>R1011</v>
      </c>
    </row>
    <row r="1569" spans="1:18" ht="14.4" customHeight="1" x14ac:dyDescent="0.3">
      <c r="A1569" s="7" t="s">
        <v>1589</v>
      </c>
      <c r="B1569" s="7" t="str">
        <f>VLOOKUP($A1569,[1]!Customer_Names[#Data],3,0)</f>
        <v xml:space="preserve">  Ross P</v>
      </c>
      <c r="C1569" s="7">
        <v>18.920000000000002</v>
      </c>
      <c r="D1569" s="7" t="str" cm="1">
        <f t="array" ref="D1569">_xlfn.IFS(Healthcare!$C1569&lt;18.5,"under weight",Healthcare!$C1569&lt;=24.9,"Normal Weight",Healthcare!$C1569&gt;=25,"overweight",Healthcare!$C1569&gt;=30,"obese")</f>
        <v>Normal Weight</v>
      </c>
      <c r="E1569" s="7">
        <v>8.18</v>
      </c>
      <c r="F1569" s="7" t="str" cm="1">
        <f t="array" ref="F1569">_xlfn.IFS(Healthcare!$E1569&lt;5.7,"normal",Healthcare!$E1569&lt;=6.4,"prediabetes",Healthcare!$E1569&gt;=6.5,"diabetes")</f>
        <v>diabetes</v>
      </c>
      <c r="G1569" s="7" t="s">
        <v>19</v>
      </c>
      <c r="H1569" s="7" t="s">
        <v>19</v>
      </c>
      <c r="I1569" s="7" t="s">
        <v>19</v>
      </c>
      <c r="J1569" s="7">
        <v>0</v>
      </c>
      <c r="K1569" s="7" t="s">
        <v>19</v>
      </c>
      <c r="L1569" s="7" t="str">
        <f>VLOOKUP(Healthcare!$A1569,hospital_details,2,0)</f>
        <v>22-Aug-1971</v>
      </c>
      <c r="M1569" s="7">
        <f t="shared" ref="M1569:M1632" ca="1" si="9399">VLOOKUP(A1569,hospital_details,3,0)</f>
        <v>55</v>
      </c>
      <c r="N1569" s="7">
        <f t="shared" ref="N1569:N1632" si="9400">VLOOKUP($A1569,hospital_details,4,0)</f>
        <v>0</v>
      </c>
      <c r="O1569" s="8">
        <f t="shared" ref="O1569:O1632" si="9401">VLOOKUP($A1569,hospital_details,5,0)</f>
        <v>6412.34</v>
      </c>
      <c r="P1569" s="7" t="str">
        <f t="shared" ref="P1569:P1632" si="9402">VLOOKUP($A1569,hospital_details,6,0)</f>
        <v>tier - 2</v>
      </c>
      <c r="Q1569" s="7" t="str">
        <f t="shared" ref="Q1569:Q1632" si="9403">VLOOKUP($A1569,hospital_details,7,0)</f>
        <v>tier - 3</v>
      </c>
      <c r="R1569" s="7" t="str">
        <f t="shared" ref="R1569:R1632" si="9404">VLOOKUP($A1569,hospital_details,8,0)</f>
        <v>R1013</v>
      </c>
    </row>
    <row r="1570" spans="1:18" ht="14.4" customHeight="1" x14ac:dyDescent="0.3">
      <c r="A1570" s="5" t="s">
        <v>1590</v>
      </c>
      <c r="B1570" s="5" t="str">
        <f>VLOOKUP($A1570,[1]!Customer_Names[#Data],3,0)</f>
        <v xml:space="preserve">  Aoife</v>
      </c>
      <c r="C1570" s="5">
        <v>17.760000000000002</v>
      </c>
      <c r="D1570" s="5" t="str" cm="1">
        <f t="array" ref="D1570">_xlfn.IFS(Healthcare!$C1570&lt;18.5,"under weight",Healthcare!$C1570&lt;=24.9,"Normal Weight",Healthcare!$C1570&gt;=25,"overweight",Healthcare!$C1570&gt;=30,"obese")</f>
        <v>under weight</v>
      </c>
      <c r="E1570" s="5">
        <v>11.18</v>
      </c>
      <c r="F1570" s="5" t="str" cm="1">
        <f t="array" ref="F1570">_xlfn.IFS(Healthcare!$E1570&lt;5.7,"normal",Healthcare!$E1570&lt;=6.4,"prediabetes",Healthcare!$E1570&gt;=6.5,"diabetes")</f>
        <v>diabetes</v>
      </c>
      <c r="G1570" s="5" t="s">
        <v>20</v>
      </c>
      <c r="H1570" s="5" t="s">
        <v>19</v>
      </c>
      <c r="I1570" s="5" t="s">
        <v>19</v>
      </c>
      <c r="J1570" s="5">
        <v>2</v>
      </c>
      <c r="K1570" s="5" t="s">
        <v>19</v>
      </c>
      <c r="L1570" s="5" t="str">
        <f>VLOOKUP(Healthcare!$A1570,hospital_details,2,0)</f>
        <v>20-Aug-1970</v>
      </c>
      <c r="M1570" s="5">
        <f t="shared" ref="M1570:M1633" ca="1" si="9405">VLOOKUP(A1570,hospital_details,3,0)</f>
        <v>56</v>
      </c>
      <c r="N1570" s="5">
        <f t="shared" ref="N1570:N1633" si="9406">VLOOKUP($A1570,hospital_details,4,0)</f>
        <v>0</v>
      </c>
      <c r="O1570" s="6">
        <f t="shared" ref="O1570:O1633" si="9407">VLOOKUP($A1570,hospital_details,5,0)</f>
        <v>6407.05</v>
      </c>
      <c r="P1570" s="5" t="str">
        <f t="shared" ref="P1570:P1633" si="9408">VLOOKUP($A1570,hospital_details,6,0)</f>
        <v>tier - 2</v>
      </c>
      <c r="Q1570" s="5" t="str">
        <f t="shared" ref="Q1570:Q1633" si="9409">VLOOKUP($A1570,hospital_details,7,0)</f>
        <v>tier - 1</v>
      </c>
      <c r="R1570" s="5" t="str">
        <f t="shared" ref="R1570:R1633" si="9410">VLOOKUP($A1570,hospital_details,8,0)</f>
        <v>R1013</v>
      </c>
    </row>
    <row r="1571" spans="1:18" ht="14.4" customHeight="1" x14ac:dyDescent="0.3">
      <c r="A1571" s="7" t="s">
        <v>1591</v>
      </c>
      <c r="B1571" s="7" t="str">
        <f>VLOOKUP($A1571,[1]!Customer_Names[#Data],3,0)</f>
        <v xml:space="preserve">  Wesley</v>
      </c>
      <c r="C1571" s="7">
        <v>29.83</v>
      </c>
      <c r="D1571" s="7" t="str" cm="1">
        <f t="array" ref="D1571">_xlfn.IFS(Healthcare!$C1571&lt;18.5,"under weight",Healthcare!$C1571&lt;=24.9,"Normal Weight",Healthcare!$C1571&gt;=25,"overweight",Healthcare!$C1571&gt;=30,"obese")</f>
        <v>overweight</v>
      </c>
      <c r="E1571" s="7">
        <v>5.03</v>
      </c>
      <c r="F1571" s="7" t="str" cm="1">
        <f t="array" ref="F1571">_xlfn.IFS(Healthcare!$E1571&lt;5.7,"normal",Healthcare!$E1571&lt;=6.4,"prediabetes",Healthcare!$E1571&gt;=6.5,"diabetes")</f>
        <v>normal</v>
      </c>
      <c r="G1571" s="7" t="s">
        <v>20</v>
      </c>
      <c r="H1571" s="7" t="s">
        <v>19</v>
      </c>
      <c r="I1571" s="7" t="s">
        <v>19</v>
      </c>
      <c r="J1571" s="7">
        <v>0</v>
      </c>
      <c r="K1571" s="7" t="s">
        <v>19</v>
      </c>
      <c r="L1571" s="7" t="str">
        <f>VLOOKUP(Healthcare!$A1571,hospital_details,2,0)</f>
        <v>10-Dec-1985</v>
      </c>
      <c r="M1571" s="7">
        <f t="shared" ref="M1571:M1634" ca="1" si="9411">VLOOKUP(A1571,hospital_details,3,0)</f>
        <v>40</v>
      </c>
      <c r="N1571" s="7">
        <f t="shared" ref="N1571:N1634" si="9412">VLOOKUP($A1571,hospital_details,4,0)</f>
        <v>2</v>
      </c>
      <c r="O1571" s="8">
        <f t="shared" ref="O1571:O1634" si="9413">VLOOKUP($A1571,hospital_details,5,0)</f>
        <v>6406.41</v>
      </c>
      <c r="P1571" s="7" t="str">
        <f t="shared" ref="P1571:P1634" si="9414">VLOOKUP($A1571,hospital_details,6,0)</f>
        <v>tier - 1</v>
      </c>
      <c r="Q1571" s="7" t="str">
        <f t="shared" ref="Q1571:Q1634" si="9415">VLOOKUP($A1571,hospital_details,7,0)</f>
        <v>tier - 3</v>
      </c>
      <c r="R1571" s="7" t="str">
        <f t="shared" ref="R1571:R1634" si="9416">VLOOKUP($A1571,hospital_details,8,0)</f>
        <v>R1014</v>
      </c>
    </row>
    <row r="1572" spans="1:18" ht="14.4" customHeight="1" x14ac:dyDescent="0.3">
      <c r="A1572" s="5" t="s">
        <v>1592</v>
      </c>
      <c r="B1572" s="5" t="str">
        <f>VLOOKUP($A1572,[1]!Customer_Names[#Data],3,0)</f>
        <v xml:space="preserve">  Rebecca J</v>
      </c>
      <c r="C1572" s="5">
        <v>23.465</v>
      </c>
      <c r="D1572" s="5" t="str" cm="1">
        <f t="array" ref="D1572">_xlfn.IFS(Healthcare!$C1572&lt;18.5,"under weight",Healthcare!$C1572&lt;=24.9,"Normal Weight",Healthcare!$C1572&gt;=25,"overweight",Healthcare!$C1572&gt;=30,"obese")</f>
        <v>Normal Weight</v>
      </c>
      <c r="E1572" s="5">
        <v>5.56</v>
      </c>
      <c r="F1572" s="5" t="str" cm="1">
        <f t="array" ref="F1572">_xlfn.IFS(Healthcare!$E1572&lt;5.7,"normal",Healthcare!$E1572&lt;=6.4,"prediabetes",Healthcare!$E1572&gt;=6.5,"diabetes")</f>
        <v>normal</v>
      </c>
      <c r="G1572" s="5" t="s">
        <v>19</v>
      </c>
      <c r="H1572" s="5" t="s">
        <v>19</v>
      </c>
      <c r="I1572" s="5" t="s">
        <v>19</v>
      </c>
      <c r="J1572" s="5">
        <v>1</v>
      </c>
      <c r="K1572" s="5" t="s">
        <v>19</v>
      </c>
      <c r="L1572" s="5" t="str">
        <f>VLOOKUP(Healthcare!$A1572,hospital_details,2,0)</f>
        <v>9-Sep-1987</v>
      </c>
      <c r="M1572" s="5">
        <f t="shared" ref="M1572:M1635" ca="1" si="9417">VLOOKUP(A1572,hospital_details,3,0)</f>
        <v>39</v>
      </c>
      <c r="N1572" s="5">
        <f t="shared" ref="N1572:N1635" si="9418">VLOOKUP($A1572,hospital_details,4,0)</f>
        <v>2</v>
      </c>
      <c r="O1572" s="6">
        <f t="shared" ref="O1572:O1635" si="9419">VLOOKUP($A1572,hospital_details,5,0)</f>
        <v>6402.29</v>
      </c>
      <c r="P1572" s="5" t="str">
        <f t="shared" ref="P1572:P1635" si="9420">VLOOKUP($A1572,hospital_details,6,0)</f>
        <v>tier - 2</v>
      </c>
      <c r="Q1572" s="5" t="str">
        <f t="shared" ref="Q1572:Q1635" si="9421">VLOOKUP($A1572,hospital_details,7,0)</f>
        <v>tier - 3</v>
      </c>
      <c r="R1572" s="5" t="str">
        <f t="shared" ref="R1572:R1635" si="9422">VLOOKUP($A1572,hospital_details,8,0)</f>
        <v>R1024</v>
      </c>
    </row>
    <row r="1573" spans="1:18" ht="14.4" customHeight="1" x14ac:dyDescent="0.3">
      <c r="A1573" s="7" t="s">
        <v>1593</v>
      </c>
      <c r="B1573" s="7" t="str">
        <f>VLOOKUP($A1573,[1]!Customer_Names[#Data],3,0)</f>
        <v xml:space="preserve">  Barry P</v>
      </c>
      <c r="C1573" s="7">
        <v>29.355</v>
      </c>
      <c r="D1573" s="7" t="str" cm="1">
        <f t="array" ref="D1573">_xlfn.IFS(Healthcare!$C1573&lt;18.5,"under weight",Healthcare!$C1573&lt;=24.9,"Normal Weight",Healthcare!$C1573&gt;=25,"overweight",Healthcare!$C1573&gt;=30,"obese")</f>
        <v>overweight</v>
      </c>
      <c r="E1573" s="7">
        <v>4.33</v>
      </c>
      <c r="F1573" s="7" t="str" cm="1">
        <f t="array" ref="F1573">_xlfn.IFS(Healthcare!$E1573&lt;5.7,"normal",Healthcare!$E1573&lt;=6.4,"prediabetes",Healthcare!$E1573&gt;=6.5,"diabetes")</f>
        <v>normal</v>
      </c>
      <c r="G1573" s="7" t="s">
        <v>19</v>
      </c>
      <c r="H1573" s="7" t="s">
        <v>19</v>
      </c>
      <c r="I1573" s="7" t="s">
        <v>19</v>
      </c>
      <c r="J1573" s="7">
        <v>0</v>
      </c>
      <c r="K1573" s="7" t="s">
        <v>19</v>
      </c>
      <c r="L1573" s="7" t="str">
        <f>VLOOKUP(Healthcare!$A1573,hospital_details,2,0)</f>
        <v>28-Oct-1982</v>
      </c>
      <c r="M1573" s="7">
        <f t="shared" ref="M1573:M1636" ca="1" si="9423">VLOOKUP(A1573,hospital_details,3,0)</f>
        <v>43</v>
      </c>
      <c r="N1573" s="7">
        <f t="shared" ref="N1573:N1636" si="9424">VLOOKUP($A1573,hospital_details,4,0)</f>
        <v>1</v>
      </c>
      <c r="O1573" s="8">
        <f t="shared" ref="O1573:O1636" si="9425">VLOOKUP($A1573,hospital_details,5,0)</f>
        <v>6393.6</v>
      </c>
      <c r="P1573" s="7" t="str">
        <f t="shared" ref="P1573:P1636" si="9426">VLOOKUP($A1573,hospital_details,6,0)</f>
        <v>tier - 2</v>
      </c>
      <c r="Q1573" s="7" t="str">
        <f t="shared" ref="Q1573:Q1636" si="9427">VLOOKUP($A1573,hospital_details,7,0)</f>
        <v>tier - 1</v>
      </c>
      <c r="R1573" s="7" t="str">
        <f t="shared" ref="R1573:R1636" si="9428">VLOOKUP($A1573,hospital_details,8,0)</f>
        <v>R1012</v>
      </c>
    </row>
    <row r="1574" spans="1:18" ht="14.4" customHeight="1" x14ac:dyDescent="0.3">
      <c r="A1574" s="5" t="s">
        <v>1594</v>
      </c>
      <c r="B1574" s="5" t="str">
        <f>VLOOKUP($A1574,[1]!Customer_Names[#Data],3,0)</f>
        <v xml:space="preserve">  Maciej</v>
      </c>
      <c r="C1574" s="5">
        <v>35.49</v>
      </c>
      <c r="D1574" s="5" t="str" cm="1">
        <f t="array" ref="D1574">_xlfn.IFS(Healthcare!$C1574&lt;18.5,"under weight",Healthcare!$C1574&lt;=24.9,"Normal Weight",Healthcare!$C1574&gt;=25,"overweight",Healthcare!$C1574&gt;=30,"obese")</f>
        <v>overweight</v>
      </c>
      <c r="E1574" s="5">
        <v>5.21</v>
      </c>
      <c r="F1574" s="5" t="str" cm="1">
        <f t="array" ref="F1574">_xlfn.IFS(Healthcare!$E1574&lt;5.7,"normal",Healthcare!$E1574&lt;=6.4,"prediabetes",Healthcare!$E1574&gt;=6.5,"diabetes")</f>
        <v>normal</v>
      </c>
      <c r="G1574" s="5" t="s">
        <v>20</v>
      </c>
      <c r="H1574" s="5" t="s">
        <v>19</v>
      </c>
      <c r="I1574" s="5" t="s">
        <v>29</v>
      </c>
      <c r="J1574" s="5">
        <v>1</v>
      </c>
      <c r="K1574" s="5" t="s">
        <v>19</v>
      </c>
      <c r="L1574" s="5" t="str">
        <f>VLOOKUP(Healthcare!$A1574,hospital_details,2,0)</f>
        <v>16-Aug-1997</v>
      </c>
      <c r="M1574" s="5">
        <f t="shared" ref="M1574:M1637" ca="1" si="9429">VLOOKUP(A1574,hospital_details,3,0)</f>
        <v>29</v>
      </c>
      <c r="N1574" s="5">
        <f t="shared" ref="N1574:N1637" si="9430">VLOOKUP($A1574,hospital_details,4,0)</f>
        <v>0</v>
      </c>
      <c r="O1574" s="6">
        <f t="shared" ref="O1574:O1637" si="9431">VLOOKUP($A1574,hospital_details,5,0)</f>
        <v>6389.53</v>
      </c>
      <c r="P1574" s="5" t="str">
        <f t="shared" ref="P1574:P1637" si="9432">VLOOKUP($A1574,hospital_details,6,0)</f>
        <v>tier - 2</v>
      </c>
      <c r="Q1574" s="5" t="str">
        <f t="shared" ref="Q1574:Q1637" si="9433">VLOOKUP($A1574,hospital_details,7,0)</f>
        <v>tier - 2</v>
      </c>
      <c r="R1574" s="5" t="str">
        <f t="shared" ref="R1574:R1637" si="9434">VLOOKUP($A1574,hospital_details,8,0)</f>
        <v>R1021</v>
      </c>
    </row>
    <row r="1575" spans="1:18" ht="14.4" customHeight="1" x14ac:dyDescent="0.3">
      <c r="A1575" s="7" t="s">
        <v>1595</v>
      </c>
      <c r="B1575" s="7" t="str">
        <f>VLOOKUP($A1575,[1]!Customer_Names[#Data],3,0)</f>
        <v xml:space="preserve">  Jerry D</v>
      </c>
      <c r="C1575" s="7">
        <v>26.315000000000001</v>
      </c>
      <c r="D1575" s="7" t="str" cm="1">
        <f t="array" ref="D1575">_xlfn.IFS(Healthcare!$C1575&lt;18.5,"under weight",Healthcare!$C1575&lt;=24.9,"Normal Weight",Healthcare!$C1575&gt;=25,"overweight",Healthcare!$C1575&gt;=30,"obese")</f>
        <v>overweight</v>
      </c>
      <c r="E1575" s="7">
        <v>5.89</v>
      </c>
      <c r="F1575" s="7" t="str" cm="1">
        <f t="array" ref="F1575">_xlfn.IFS(Healthcare!$E1575&lt;5.7,"normal",Healthcare!$E1575&lt;=6.4,"prediabetes",Healthcare!$E1575&gt;=6.5,"diabetes")</f>
        <v>prediabetes</v>
      </c>
      <c r="G1575" s="7" t="s">
        <v>19</v>
      </c>
      <c r="H1575" s="7" t="s">
        <v>19</v>
      </c>
      <c r="I1575" s="7" t="s">
        <v>19</v>
      </c>
      <c r="J1575" s="7">
        <v>0</v>
      </c>
      <c r="K1575" s="7" t="s">
        <v>19</v>
      </c>
      <c r="L1575" s="7" t="str">
        <f>VLOOKUP(Healthcare!$A1575,hospital_details,2,0)</f>
        <v>6-Aug-1982</v>
      </c>
      <c r="M1575" s="7">
        <f t="shared" ref="M1575:M1638" ca="1" si="9435">VLOOKUP(A1575,hospital_details,3,0)</f>
        <v>44</v>
      </c>
      <c r="N1575" s="7">
        <f t="shared" ref="N1575:N1638" si="9436">VLOOKUP($A1575,hospital_details,4,0)</f>
        <v>1</v>
      </c>
      <c r="O1575" s="8">
        <f t="shared" ref="O1575:O1638" si="9437">VLOOKUP($A1575,hospital_details,5,0)</f>
        <v>6389.38</v>
      </c>
      <c r="P1575" s="7" t="str">
        <f t="shared" ref="P1575:P1638" si="9438">VLOOKUP($A1575,hospital_details,6,0)</f>
        <v>tier - 1</v>
      </c>
      <c r="Q1575" s="7" t="str">
        <f t="shared" ref="Q1575:Q1638" si="9439">VLOOKUP($A1575,hospital_details,7,0)</f>
        <v>tier - 2</v>
      </c>
      <c r="R1575" s="7" t="str">
        <f t="shared" ref="R1575:R1638" si="9440">VLOOKUP($A1575,hospital_details,8,0)</f>
        <v>R1012</v>
      </c>
    </row>
    <row r="1576" spans="1:18" ht="14.4" customHeight="1" x14ac:dyDescent="0.3">
      <c r="A1576" s="5" t="s">
        <v>1596</v>
      </c>
      <c r="B1576" s="5" t="str">
        <f>VLOOKUP($A1576,[1]!Customer_Names[#Data],3,0)</f>
        <v xml:space="preserve">  Eric A</v>
      </c>
      <c r="C1576" s="5">
        <v>19.79</v>
      </c>
      <c r="D1576" s="5" t="str" cm="1">
        <f t="array" ref="D1576">_xlfn.IFS(Healthcare!$C1576&lt;18.5,"under weight",Healthcare!$C1576&lt;=24.9,"Normal Weight",Healthcare!$C1576&gt;=25,"overweight",Healthcare!$C1576&gt;=30,"obese")</f>
        <v>Normal Weight</v>
      </c>
      <c r="E1576" s="5">
        <v>4.8099999999999996</v>
      </c>
      <c r="F1576" s="5" t="str" cm="1">
        <f t="array" ref="F1576">_xlfn.IFS(Healthcare!$E1576&lt;5.7,"normal",Healthcare!$E1576&lt;=6.4,"prediabetes",Healthcare!$E1576&gt;=6.5,"diabetes")</f>
        <v>normal</v>
      </c>
      <c r="G1576" s="5" t="s">
        <v>20</v>
      </c>
      <c r="H1576" s="5" t="s">
        <v>19</v>
      </c>
      <c r="I1576" s="5" t="s">
        <v>19</v>
      </c>
      <c r="J1576" s="5">
        <v>0</v>
      </c>
      <c r="K1576" s="5" t="s">
        <v>19</v>
      </c>
      <c r="L1576" s="5" t="str">
        <f>VLOOKUP(Healthcare!$A1576,hospital_details,2,0)</f>
        <v>18-Nov-1976</v>
      </c>
      <c r="M1576" s="5">
        <f t="shared" ref="M1576:M1639" ca="1" si="9441">VLOOKUP(A1576,hospital_details,3,0)</f>
        <v>49</v>
      </c>
      <c r="N1576" s="5">
        <f t="shared" ref="N1576:N1639" si="9442">VLOOKUP($A1576,hospital_details,4,0)</f>
        <v>2</v>
      </c>
      <c r="O1576" s="6">
        <f t="shared" ref="O1576:O1639" si="9443">VLOOKUP($A1576,hospital_details,5,0)</f>
        <v>6374.16</v>
      </c>
      <c r="P1576" s="5" t="str">
        <f t="shared" ref="P1576:P1639" si="9444">VLOOKUP($A1576,hospital_details,6,0)</f>
        <v>tier - 2</v>
      </c>
      <c r="Q1576" s="5" t="str">
        <f t="shared" ref="Q1576:Q1639" si="9445">VLOOKUP($A1576,hospital_details,7,0)</f>
        <v>tier - 2</v>
      </c>
      <c r="R1576" s="5" t="str">
        <f t="shared" ref="R1576:R1639" si="9446">VLOOKUP($A1576,hospital_details,8,0)</f>
        <v>R1013</v>
      </c>
    </row>
    <row r="1577" spans="1:18" ht="14.4" customHeight="1" x14ac:dyDescent="0.3">
      <c r="A1577" s="7" t="s">
        <v>1597</v>
      </c>
      <c r="B1577" s="7" t="str">
        <f>VLOOKUP($A1577,[1]!Customer_Names[#Data],3,0)</f>
        <v xml:space="preserve">  Cathi</v>
      </c>
      <c r="C1577" s="7">
        <v>40.564999999999998</v>
      </c>
      <c r="D1577" s="7" t="str" cm="1">
        <f t="array" ref="D1577">_xlfn.IFS(Healthcare!$C1577&lt;18.5,"under weight",Healthcare!$C1577&lt;=24.9,"Normal Weight",Healthcare!$C1577&gt;=25,"overweight",Healthcare!$C1577&gt;=30,"obese")</f>
        <v>overweight</v>
      </c>
      <c r="E1577" s="7">
        <v>5.66</v>
      </c>
      <c r="F1577" s="7" t="str" cm="1">
        <f t="array" ref="F1577">_xlfn.IFS(Healthcare!$E1577&lt;5.7,"normal",Healthcare!$E1577&lt;=6.4,"prediabetes",Healthcare!$E1577&gt;=6.5,"diabetes")</f>
        <v>normal</v>
      </c>
      <c r="G1577" s="7" t="s">
        <v>19</v>
      </c>
      <c r="H1577" s="7" t="s">
        <v>19</v>
      </c>
      <c r="I1577" s="7" t="s">
        <v>19</v>
      </c>
      <c r="J1577" s="7">
        <v>1</v>
      </c>
      <c r="K1577" s="7" t="s">
        <v>19</v>
      </c>
      <c r="L1577" s="7" t="str">
        <f>VLOOKUP(Healthcare!$A1577,hospital_details,2,0)</f>
        <v>13-Aug-1984</v>
      </c>
      <c r="M1577" s="7">
        <f t="shared" ref="M1577:M1640" ca="1" si="9447">VLOOKUP(A1577,hospital_details,3,0)</f>
        <v>42</v>
      </c>
      <c r="N1577" s="7">
        <f t="shared" ref="N1577:N1640" si="9448">VLOOKUP($A1577,hospital_details,4,0)</f>
        <v>1</v>
      </c>
      <c r="O1577" s="8">
        <f t="shared" ref="O1577:O1640" si="9449">VLOOKUP($A1577,hospital_details,5,0)</f>
        <v>6373.56</v>
      </c>
      <c r="P1577" s="7" t="str">
        <f t="shared" ref="P1577:P1640" si="9450">VLOOKUP($A1577,hospital_details,6,0)</f>
        <v>tier - 2</v>
      </c>
      <c r="Q1577" s="7" t="str">
        <f t="shared" ref="Q1577:Q1640" si="9451">VLOOKUP($A1577,hospital_details,7,0)</f>
        <v>tier - 1</v>
      </c>
      <c r="R1577" s="7" t="str">
        <f t="shared" ref="R1577:R1640" si="9452">VLOOKUP($A1577,hospital_details,8,0)</f>
        <v>R1012</v>
      </c>
    </row>
    <row r="1578" spans="1:18" ht="14.4" customHeight="1" x14ac:dyDescent="0.3">
      <c r="A1578" s="5" t="s">
        <v>1598</v>
      </c>
      <c r="B1578" s="5" t="str">
        <f>VLOOKUP($A1578,[1]!Customer_Names[#Data],3,0)</f>
        <v xml:space="preserve">  Alex M</v>
      </c>
      <c r="C1578" s="5">
        <v>18.03</v>
      </c>
      <c r="D1578" s="5" t="str" cm="1">
        <f t="array" ref="D1578">_xlfn.IFS(Healthcare!$C1578&lt;18.5,"under weight",Healthcare!$C1578&lt;=24.9,"Normal Weight",Healthcare!$C1578&gt;=25,"overweight",Healthcare!$C1578&gt;=30,"obese")</f>
        <v>under weight</v>
      </c>
      <c r="E1578" s="5">
        <v>10.66</v>
      </c>
      <c r="F1578" s="5" t="str" cm="1">
        <f t="array" ref="F1578">_xlfn.IFS(Healthcare!$E1578&lt;5.7,"normal",Healthcare!$E1578&lt;=6.4,"prediabetes",Healthcare!$E1578&gt;=6.5,"diabetes")</f>
        <v>diabetes</v>
      </c>
      <c r="G1578" s="5" t="s">
        <v>20</v>
      </c>
      <c r="H1578" s="5" t="s">
        <v>19</v>
      </c>
      <c r="I1578" s="5" t="s">
        <v>19</v>
      </c>
      <c r="J1578" s="5">
        <v>2</v>
      </c>
      <c r="K1578" s="5" t="s">
        <v>19</v>
      </c>
      <c r="L1578" s="5" t="str">
        <f>VLOOKUP(Healthcare!$A1578,hospital_details,2,0)</f>
        <v>9-Nov-1970</v>
      </c>
      <c r="M1578" s="5">
        <f t="shared" ref="M1578:M1641" ca="1" si="9453">VLOOKUP(A1578,hospital_details,3,0)</f>
        <v>55</v>
      </c>
      <c r="N1578" s="5">
        <f t="shared" ref="N1578:N1641" si="9454">VLOOKUP($A1578,hospital_details,4,0)</f>
        <v>0</v>
      </c>
      <c r="O1578" s="6">
        <f t="shared" ref="O1578:O1641" si="9455">VLOOKUP($A1578,hospital_details,5,0)</f>
        <v>6367.31</v>
      </c>
      <c r="P1578" s="5" t="str">
        <f t="shared" ref="P1578:P1641" si="9456">VLOOKUP($A1578,hospital_details,6,0)</f>
        <v>tier - 2</v>
      </c>
      <c r="Q1578" s="5" t="str">
        <f t="shared" ref="Q1578:Q1641" si="9457">VLOOKUP($A1578,hospital_details,7,0)</f>
        <v>tier - 1</v>
      </c>
      <c r="R1578" s="5" t="str">
        <f t="shared" ref="R1578:R1641" si="9458">VLOOKUP($A1578,hospital_details,8,0)</f>
        <v>R1013</v>
      </c>
    </row>
    <row r="1579" spans="1:18" ht="14.4" customHeight="1" x14ac:dyDescent="0.3">
      <c r="A1579" s="7" t="s">
        <v>1599</v>
      </c>
      <c r="B1579" s="7" t="str">
        <f>VLOOKUP($A1579,[1]!Customer_Names[#Data],3,0)</f>
        <v xml:space="preserve">  Liang</v>
      </c>
      <c r="C1579" s="7">
        <v>34.65</v>
      </c>
      <c r="D1579" s="7" t="str" cm="1">
        <f t="array" ref="D1579">_xlfn.IFS(Healthcare!$C1579&lt;18.5,"under weight",Healthcare!$C1579&lt;=24.9,"Normal Weight",Healthcare!$C1579&gt;=25,"overweight",Healthcare!$C1579&gt;=30,"obese")</f>
        <v>overweight</v>
      </c>
      <c r="E1579" s="7">
        <v>5.98</v>
      </c>
      <c r="F1579" s="7" t="str" cm="1">
        <f t="array" ref="F1579">_xlfn.IFS(Healthcare!$E1579&lt;5.7,"normal",Healthcare!$E1579&lt;=6.4,"prediabetes",Healthcare!$E1579&gt;=6.5,"diabetes")</f>
        <v>prediabetes</v>
      </c>
      <c r="G1579" s="7" t="s">
        <v>20</v>
      </c>
      <c r="H1579" s="7" t="s">
        <v>19</v>
      </c>
      <c r="I1579" s="7" t="s">
        <v>19</v>
      </c>
      <c r="J1579" s="7">
        <v>0</v>
      </c>
      <c r="K1579" s="7" t="s">
        <v>19</v>
      </c>
      <c r="L1579" s="7" t="str">
        <f>VLOOKUP(Healthcare!$A1579,hospital_details,2,0)</f>
        <v>7-Jul-1996</v>
      </c>
      <c r="M1579" s="7">
        <f t="shared" ref="M1579:M1642" ca="1" si="9459">VLOOKUP(A1579,hospital_details,3,0)</f>
        <v>30</v>
      </c>
      <c r="N1579" s="7">
        <f t="shared" ref="N1579:N1642" si="9460">VLOOKUP($A1579,hospital_details,4,0)</f>
        <v>0</v>
      </c>
      <c r="O1579" s="8">
        <f t="shared" ref="O1579:O1642" si="9461">VLOOKUP($A1579,hospital_details,5,0)</f>
        <v>6361.47</v>
      </c>
      <c r="P1579" s="7" t="str">
        <f t="shared" ref="P1579:P1642" si="9462">VLOOKUP($A1579,hospital_details,6,0)</f>
        <v>tier - 2</v>
      </c>
      <c r="Q1579" s="7" t="str">
        <f t="shared" ref="Q1579:Q1642" si="9463">VLOOKUP($A1579,hospital_details,7,0)</f>
        <v>tier - 3</v>
      </c>
      <c r="R1579" s="7" t="str">
        <f t="shared" ref="R1579:R1642" si="9464">VLOOKUP($A1579,hospital_details,8,0)</f>
        <v>R1021</v>
      </c>
    </row>
    <row r="1580" spans="1:18" ht="14.4" customHeight="1" x14ac:dyDescent="0.3">
      <c r="A1580" s="5" t="s">
        <v>1600</v>
      </c>
      <c r="B1580" s="5" t="str">
        <f>VLOOKUP($A1580,[1]!Customer_Names[#Data],3,0)</f>
        <v xml:space="preserve">  Lexy</v>
      </c>
      <c r="C1580" s="5">
        <v>42.94</v>
      </c>
      <c r="D1580" s="5" t="str" cm="1">
        <f t="array" ref="D1580">_xlfn.IFS(Healthcare!$C1580&lt;18.5,"under weight",Healthcare!$C1580&lt;=24.9,"Normal Weight",Healthcare!$C1580&gt;=25,"overweight",Healthcare!$C1580&gt;=30,"obese")</f>
        <v>overweight</v>
      </c>
      <c r="E1580" s="5">
        <v>4.34</v>
      </c>
      <c r="F1580" s="5" t="str" cm="1">
        <f t="array" ref="F1580">_xlfn.IFS(Healthcare!$E1580&lt;5.7,"normal",Healthcare!$E1580&lt;=6.4,"prediabetes",Healthcare!$E1580&gt;=6.5,"diabetes")</f>
        <v>normal</v>
      </c>
      <c r="G1580" s="5" t="s">
        <v>19</v>
      </c>
      <c r="H1580" s="5" t="s">
        <v>19</v>
      </c>
      <c r="I1580" s="5" t="s">
        <v>19</v>
      </c>
      <c r="J1580" s="5">
        <v>0</v>
      </c>
      <c r="K1580" s="5" t="s">
        <v>19</v>
      </c>
      <c r="L1580" s="5" t="str">
        <f>VLOOKUP(Healthcare!$A1580,hospital_details,2,0)</f>
        <v>24-Jun-1989</v>
      </c>
      <c r="M1580" s="5">
        <f t="shared" ref="M1580:M1643" ca="1" si="9465">VLOOKUP(A1580,hospital_details,3,0)</f>
        <v>37</v>
      </c>
      <c r="N1580" s="5">
        <f t="shared" ref="N1580:N1643" si="9466">VLOOKUP($A1580,hospital_details,4,0)</f>
        <v>3</v>
      </c>
      <c r="O1580" s="6">
        <f t="shared" ref="O1580:O1643" si="9467">VLOOKUP($A1580,hospital_details,5,0)</f>
        <v>6360.99</v>
      </c>
      <c r="P1580" s="5" t="str">
        <f t="shared" ref="P1580:P1643" si="9468">VLOOKUP($A1580,hospital_details,6,0)</f>
        <v>tier - 2</v>
      </c>
      <c r="Q1580" s="5" t="str">
        <f t="shared" ref="Q1580:Q1643" si="9469">VLOOKUP($A1580,hospital_details,7,0)</f>
        <v>tier - 2</v>
      </c>
      <c r="R1580" s="5" t="str">
        <f t="shared" ref="R1580:R1643" si="9470">VLOOKUP($A1580,hospital_details,8,0)</f>
        <v>R1012</v>
      </c>
    </row>
    <row r="1581" spans="1:18" ht="14.4" customHeight="1" x14ac:dyDescent="0.3">
      <c r="A1581" s="7" t="s">
        <v>1601</v>
      </c>
      <c r="B1581" s="7" t="str">
        <f>VLOOKUP($A1581,[1]!Customer_Names[#Data],3,0)</f>
        <v xml:space="preserve">  Michael</v>
      </c>
      <c r="C1581" s="7">
        <v>31.254999999999999</v>
      </c>
      <c r="D1581" s="7" t="str" cm="1">
        <f t="array" ref="D1581">_xlfn.IFS(Healthcare!$C1581&lt;18.5,"under weight",Healthcare!$C1581&lt;=24.9,"Normal Weight",Healthcare!$C1581&gt;=25,"overweight",Healthcare!$C1581&gt;=30,"obese")</f>
        <v>overweight</v>
      </c>
      <c r="E1581" s="7">
        <v>5.17</v>
      </c>
      <c r="F1581" s="7" t="str" cm="1">
        <f t="array" ref="F1581">_xlfn.IFS(Healthcare!$E1581&lt;5.7,"normal",Healthcare!$E1581&lt;=6.4,"prediabetes",Healthcare!$E1581&gt;=6.5,"diabetes")</f>
        <v>normal</v>
      </c>
      <c r="G1581" s="7" t="s">
        <v>19</v>
      </c>
      <c r="H1581" s="7" t="s">
        <v>19</v>
      </c>
      <c r="I1581" s="7" t="s">
        <v>19</v>
      </c>
      <c r="J1581" s="7">
        <v>0</v>
      </c>
      <c r="K1581" s="7" t="s">
        <v>19</v>
      </c>
      <c r="L1581" s="7" t="str">
        <f>VLOOKUP(Healthcare!$A1581,hospital_details,2,0)</f>
        <v>30-Oct-1980</v>
      </c>
      <c r="M1581" s="7">
        <f t="shared" ref="M1581:M1644" ca="1" si="9471">VLOOKUP(A1581,hospital_details,3,0)</f>
        <v>45</v>
      </c>
      <c r="N1581" s="7">
        <f t="shared" ref="N1581:N1644" si="9472">VLOOKUP($A1581,hospital_details,4,0)</f>
        <v>0</v>
      </c>
      <c r="O1581" s="8">
        <f t="shared" ref="O1581:O1644" si="9473">VLOOKUP($A1581,hospital_details,5,0)</f>
        <v>6358.78</v>
      </c>
      <c r="P1581" s="7" t="str">
        <f t="shared" ref="P1581:P1644" si="9474">VLOOKUP($A1581,hospital_details,6,0)</f>
        <v>tier - 2</v>
      </c>
      <c r="Q1581" s="7" t="str">
        <f t="shared" ref="Q1581:Q1644" si="9475">VLOOKUP($A1581,hospital_details,7,0)</f>
        <v>tier - 1</v>
      </c>
      <c r="R1581" s="7" t="str">
        <f t="shared" ref="R1581:R1644" si="9476">VLOOKUP($A1581,hospital_details,8,0)</f>
        <v>R1012</v>
      </c>
    </row>
    <row r="1582" spans="1:18" ht="14.4" customHeight="1" x14ac:dyDescent="0.3">
      <c r="A1582" s="5" t="s">
        <v>1602</v>
      </c>
      <c r="B1582" s="5" t="str">
        <f>VLOOKUP($A1582,[1]!Customer_Names[#Data],3,0)</f>
        <v xml:space="preserve">  Samuel L</v>
      </c>
      <c r="C1582" s="5">
        <v>45.43</v>
      </c>
      <c r="D1582" s="5" t="str" cm="1">
        <f t="array" ref="D1582">_xlfn.IFS(Healthcare!$C1582&lt;18.5,"under weight",Healthcare!$C1582&lt;=24.9,"Normal Weight",Healthcare!$C1582&gt;=25,"overweight",Healthcare!$C1582&gt;=30,"obese")</f>
        <v>overweight</v>
      </c>
      <c r="E1582" s="5">
        <v>4.2300000000000004</v>
      </c>
      <c r="F1582" s="5" t="str" cm="1">
        <f t="array" ref="F1582">_xlfn.IFS(Healthcare!$E1582&lt;5.7,"normal",Healthcare!$E1582&lt;=6.4,"prediabetes",Healthcare!$E1582&gt;=6.5,"diabetes")</f>
        <v>normal</v>
      </c>
      <c r="G1582" s="5" t="s">
        <v>20</v>
      </c>
      <c r="H1582" s="5" t="s">
        <v>19</v>
      </c>
      <c r="I1582" s="5" t="s">
        <v>29</v>
      </c>
      <c r="J1582" s="5">
        <v>1</v>
      </c>
      <c r="K1582" s="5" t="s">
        <v>19</v>
      </c>
      <c r="L1582" s="5" t="str">
        <f>VLOOKUP(Healthcare!$A1582,hospital_details,2,0)</f>
        <v>19-Aug-1983</v>
      </c>
      <c r="M1582" s="5">
        <f t="shared" ref="M1582:M1645" ca="1" si="9477">VLOOKUP(A1582,hospital_details,3,0)</f>
        <v>43</v>
      </c>
      <c r="N1582" s="5">
        <f t="shared" ref="N1582:N1645" si="9478">VLOOKUP($A1582,hospital_details,4,0)</f>
        <v>2</v>
      </c>
      <c r="O1582" s="6">
        <f t="shared" ref="O1582:O1645" si="9479">VLOOKUP($A1582,hospital_details,5,0)</f>
        <v>6356.27</v>
      </c>
      <c r="P1582" s="5" t="str">
        <f t="shared" ref="P1582:P1645" si="9480">VLOOKUP($A1582,hospital_details,6,0)</f>
        <v>tier - 3</v>
      </c>
      <c r="Q1582" s="5" t="str">
        <f t="shared" ref="Q1582:Q1645" si="9481">VLOOKUP($A1582,hospital_details,7,0)</f>
        <v>tier - 2</v>
      </c>
      <c r="R1582" s="5" t="str">
        <f t="shared" ref="R1582:R1645" si="9482">VLOOKUP($A1582,hospital_details,8,0)</f>
        <v>R1013</v>
      </c>
    </row>
    <row r="1583" spans="1:18" ht="14.4" customHeight="1" x14ac:dyDescent="0.3">
      <c r="A1583" s="7" t="s">
        <v>1603</v>
      </c>
      <c r="B1583" s="7" t="str">
        <f>VLOOKUP($A1583,[1]!Customer_Names[#Data],3,0)</f>
        <v xml:space="preserve">  Spencer A</v>
      </c>
      <c r="C1583" s="7">
        <v>32.340000000000003</v>
      </c>
      <c r="D1583" s="7" t="str" cm="1">
        <f t="array" ref="D1583">_xlfn.IFS(Healthcare!$C1583&lt;18.5,"under weight",Healthcare!$C1583&lt;=24.9,"Normal Weight",Healthcare!$C1583&gt;=25,"overweight",Healthcare!$C1583&gt;=30,"obese")</f>
        <v>overweight</v>
      </c>
      <c r="E1583" s="7">
        <v>4.88</v>
      </c>
      <c r="F1583" s="7" t="str" cm="1">
        <f t="array" ref="F1583">_xlfn.IFS(Healthcare!$E1583&lt;5.7,"normal",Healthcare!$E1583&lt;=6.4,"prediabetes",Healthcare!$E1583&gt;=6.5,"diabetes")</f>
        <v>normal</v>
      </c>
      <c r="G1583" s="7" t="s">
        <v>20</v>
      </c>
      <c r="H1583" s="7" t="s">
        <v>19</v>
      </c>
      <c r="I1583" s="7" t="s">
        <v>29</v>
      </c>
      <c r="J1583" s="7">
        <v>1</v>
      </c>
      <c r="K1583" s="7" t="s">
        <v>19</v>
      </c>
      <c r="L1583" s="7" t="str">
        <f>VLOOKUP(Healthcare!$A1583,hospital_details,2,0)</f>
        <v>21-Oct-1983</v>
      </c>
      <c r="M1583" s="7">
        <f t="shared" ref="M1583:M1646" ca="1" si="9483">VLOOKUP(A1583,hospital_details,3,0)</f>
        <v>42</v>
      </c>
      <c r="N1583" s="7">
        <f t="shared" ref="N1583:N1646" si="9484">VLOOKUP($A1583,hospital_details,4,0)</f>
        <v>2</v>
      </c>
      <c r="O1583" s="8">
        <f t="shared" ref="O1583:O1646" si="9485">VLOOKUP($A1583,hospital_details,5,0)</f>
        <v>6338.08</v>
      </c>
      <c r="P1583" s="7" t="str">
        <f t="shared" ref="P1583:P1646" si="9486">VLOOKUP($A1583,hospital_details,6,0)</f>
        <v>tier - 2</v>
      </c>
      <c r="Q1583" s="7" t="str">
        <f t="shared" ref="Q1583:Q1646" si="9487">VLOOKUP($A1583,hospital_details,7,0)</f>
        <v>tier - 1</v>
      </c>
      <c r="R1583" s="7" t="str">
        <f t="shared" ref="R1583:R1646" si="9488">VLOOKUP($A1583,hospital_details,8,0)</f>
        <v>R1013</v>
      </c>
    </row>
    <row r="1584" spans="1:18" ht="14.4" customHeight="1" x14ac:dyDescent="0.3">
      <c r="A1584" s="5" t="s">
        <v>1604</v>
      </c>
      <c r="B1584" s="5" t="str">
        <f>VLOOKUP($A1584,[1]!Customer_Names[#Data],3,0)</f>
        <v xml:space="preserve">  Rochelle</v>
      </c>
      <c r="C1584" s="5">
        <v>25.46</v>
      </c>
      <c r="D1584" s="5" t="str" cm="1">
        <f t="array" ref="D1584">_xlfn.IFS(Healthcare!$C1584&lt;18.5,"under weight",Healthcare!$C1584&lt;=24.9,"Normal Weight",Healthcare!$C1584&gt;=25,"overweight",Healthcare!$C1584&gt;=30,"obese")</f>
        <v>overweight</v>
      </c>
      <c r="E1584" s="5">
        <v>9.7100000000000009</v>
      </c>
      <c r="F1584" s="5" t="str" cm="1">
        <f t="array" ref="F1584">_xlfn.IFS(Healthcare!$E1584&lt;5.7,"normal",Healthcare!$E1584&lt;=6.4,"prediabetes",Healthcare!$E1584&gt;=6.5,"diabetes")</f>
        <v>diabetes</v>
      </c>
      <c r="G1584" s="5" t="s">
        <v>20</v>
      </c>
      <c r="H1584" s="5" t="s">
        <v>19</v>
      </c>
      <c r="I1584" s="5" t="s">
        <v>19</v>
      </c>
      <c r="J1584" s="5">
        <v>1</v>
      </c>
      <c r="K1584" s="5" t="s">
        <v>19</v>
      </c>
      <c r="L1584" s="5" t="str">
        <f>VLOOKUP(Healthcare!$A1584,hospital_details,2,0)</f>
        <v>25-Sep-1986</v>
      </c>
      <c r="M1584" s="5">
        <f t="shared" ref="M1584:M1647" ca="1" si="9489">VLOOKUP(A1584,hospital_details,3,0)</f>
        <v>40</v>
      </c>
      <c r="N1584" s="5">
        <f t="shared" ref="N1584:N1647" si="9490">VLOOKUP($A1584,hospital_details,4,0)</f>
        <v>3</v>
      </c>
      <c r="O1584" s="6">
        <f t="shared" ref="O1584:O1647" si="9491">VLOOKUP($A1584,hospital_details,5,0)</f>
        <v>6335.64</v>
      </c>
      <c r="P1584" s="5" t="str">
        <f t="shared" ref="P1584:P1647" si="9492">VLOOKUP($A1584,hospital_details,6,0)</f>
        <v>tier - 2</v>
      </c>
      <c r="Q1584" s="5" t="str">
        <f t="shared" ref="Q1584:Q1647" si="9493">VLOOKUP($A1584,hospital_details,7,0)</f>
        <v>tier - 2</v>
      </c>
      <c r="R1584" s="5" t="str">
        <f t="shared" ref="R1584:R1647" si="9494">VLOOKUP($A1584,hospital_details,8,0)</f>
        <v>R1013</v>
      </c>
    </row>
    <row r="1585" spans="1:18" ht="14.4" customHeight="1" x14ac:dyDescent="0.3">
      <c r="A1585" s="7" t="s">
        <v>1605</v>
      </c>
      <c r="B1585" s="7" t="str">
        <f>VLOOKUP($A1585,[1]!Customer_Names[#Data],3,0)</f>
        <v xml:space="preserve">  Paula</v>
      </c>
      <c r="C1585" s="7">
        <v>37.145000000000003</v>
      </c>
      <c r="D1585" s="7" t="str" cm="1">
        <f t="array" ref="D1585">_xlfn.IFS(Healthcare!$C1585&lt;18.5,"under weight",Healthcare!$C1585&lt;=24.9,"Normal Weight",Healthcare!$C1585&gt;=25,"overweight",Healthcare!$C1585&gt;=30,"obese")</f>
        <v>overweight</v>
      </c>
      <c r="E1585" s="7">
        <v>5.32</v>
      </c>
      <c r="F1585" s="7" t="str" cm="1">
        <f t="array" ref="F1585">_xlfn.IFS(Healthcare!$E1585&lt;5.7,"normal",Healthcare!$E1585&lt;=6.4,"prediabetes",Healthcare!$E1585&gt;=6.5,"diabetes")</f>
        <v>normal</v>
      </c>
      <c r="G1585" s="7" t="s">
        <v>19</v>
      </c>
      <c r="H1585" s="7" t="s">
        <v>19</v>
      </c>
      <c r="I1585" s="7" t="s">
        <v>19</v>
      </c>
      <c r="J1585" s="7">
        <v>0</v>
      </c>
      <c r="K1585" s="7" t="s">
        <v>19</v>
      </c>
      <c r="L1585" s="7" t="str">
        <f>VLOOKUP(Healthcare!$A1585,hospital_details,2,0)</f>
        <v>13-Aug-1990</v>
      </c>
      <c r="M1585" s="7">
        <f t="shared" ref="M1585:M1648" ca="1" si="9495">VLOOKUP(A1585,hospital_details,3,0)</f>
        <v>36</v>
      </c>
      <c r="N1585" s="7">
        <f t="shared" ref="N1585:N1648" si="9496">VLOOKUP($A1585,hospital_details,4,0)</f>
        <v>3</v>
      </c>
      <c r="O1585" s="8">
        <f t="shared" ref="O1585:O1648" si="9497">VLOOKUP($A1585,hospital_details,5,0)</f>
        <v>6334.34</v>
      </c>
      <c r="P1585" s="7" t="str">
        <f t="shared" ref="P1585:P1648" si="9498">VLOOKUP($A1585,hospital_details,6,0)</f>
        <v>tier - 2</v>
      </c>
      <c r="Q1585" s="7" t="str">
        <f t="shared" ref="Q1585:Q1648" si="9499">VLOOKUP($A1585,hospital_details,7,0)</f>
        <v>tier - 2</v>
      </c>
      <c r="R1585" s="7" t="str">
        <f t="shared" ref="R1585:R1648" si="9500">VLOOKUP($A1585,hospital_details,8,0)</f>
        <v>R1024</v>
      </c>
    </row>
    <row r="1586" spans="1:18" ht="14.4" customHeight="1" x14ac:dyDescent="0.3">
      <c r="A1586" s="5" t="s">
        <v>1606</v>
      </c>
      <c r="B1586" s="5" t="str">
        <f>VLOOKUP($A1586,[1]!Customer_Names[#Data],3,0)</f>
        <v xml:space="preserve">  Madeline E</v>
      </c>
      <c r="C1586" s="5">
        <v>30.8</v>
      </c>
      <c r="D1586" s="5" t="str" cm="1">
        <f t="array" ref="D1586">_xlfn.IFS(Healthcare!$C1586&lt;18.5,"under weight",Healthcare!$C1586&lt;=24.9,"Normal Weight",Healthcare!$C1586&gt;=25,"overweight",Healthcare!$C1586&gt;=30,"obese")</f>
        <v>overweight</v>
      </c>
      <c r="E1586" s="5">
        <v>5.83</v>
      </c>
      <c r="F1586" s="5" t="str" cm="1">
        <f t="array" ref="F1586">_xlfn.IFS(Healthcare!$E1586&lt;5.7,"normal",Healthcare!$E1586&lt;=6.4,"prediabetes",Healthcare!$E1586&gt;=6.5,"diabetes")</f>
        <v>prediabetes</v>
      </c>
      <c r="G1586" s="5" t="s">
        <v>20</v>
      </c>
      <c r="H1586" s="5" t="s">
        <v>19</v>
      </c>
      <c r="I1586" s="5" t="s">
        <v>19</v>
      </c>
      <c r="J1586" s="5">
        <v>0</v>
      </c>
      <c r="K1586" s="5" t="s">
        <v>19</v>
      </c>
      <c r="L1586" s="5" t="str">
        <f>VLOOKUP(Healthcare!$A1586,hospital_details,2,0)</f>
        <v>15-Dec-1985</v>
      </c>
      <c r="M1586" s="5">
        <f t="shared" ref="M1586:M1649" ca="1" si="9501">VLOOKUP(A1586,hospital_details,3,0)</f>
        <v>40</v>
      </c>
      <c r="N1586" s="5">
        <f t="shared" ref="N1586:N1649" si="9502">VLOOKUP($A1586,hospital_details,4,0)</f>
        <v>2</v>
      </c>
      <c r="O1586" s="6">
        <f t="shared" ref="O1586:O1649" si="9503">VLOOKUP($A1586,hospital_details,5,0)</f>
        <v>6313.76</v>
      </c>
      <c r="P1586" s="5" t="str">
        <f t="shared" ref="P1586:P1649" si="9504">VLOOKUP($A1586,hospital_details,6,0)</f>
        <v>tier - 2</v>
      </c>
      <c r="Q1586" s="5" t="str">
        <f t="shared" ref="Q1586:Q1649" si="9505">VLOOKUP($A1586,hospital_details,7,0)</f>
        <v>tier - 1</v>
      </c>
      <c r="R1586" s="5" t="str">
        <f t="shared" ref="R1586:R1649" si="9506">VLOOKUP($A1586,hospital_details,8,0)</f>
        <v>R1013</v>
      </c>
    </row>
    <row r="1587" spans="1:18" ht="14.4" customHeight="1" x14ac:dyDescent="0.3">
      <c r="A1587" s="7" t="s">
        <v>1607</v>
      </c>
      <c r="B1587" s="7" t="str">
        <f>VLOOKUP($A1587,[1]!Customer_Names[#Data],3,0)</f>
        <v xml:space="preserve">  Maria Isabel</v>
      </c>
      <c r="C1587" s="7">
        <v>29.5</v>
      </c>
      <c r="D1587" s="7" t="str" cm="1">
        <f t="array" ref="D1587">_xlfn.IFS(Healthcare!$C1587&lt;18.5,"under weight",Healthcare!$C1587&lt;=24.9,"Normal Weight",Healthcare!$C1587&gt;=25,"overweight",Healthcare!$C1587&gt;=30,"obese")</f>
        <v>overweight</v>
      </c>
      <c r="E1587" s="7">
        <v>5.54</v>
      </c>
      <c r="F1587" s="7" t="str" cm="1">
        <f t="array" ref="F1587">_xlfn.IFS(Healthcare!$E1587&lt;5.7,"normal",Healthcare!$E1587&lt;=6.4,"prediabetes",Healthcare!$E1587&gt;=6.5,"diabetes")</f>
        <v>normal</v>
      </c>
      <c r="G1587" s="7" t="s">
        <v>20</v>
      </c>
      <c r="H1587" s="7" t="s">
        <v>19</v>
      </c>
      <c r="I1587" s="7" t="s">
        <v>19</v>
      </c>
      <c r="J1587" s="7">
        <v>0</v>
      </c>
      <c r="K1587" s="7" t="s">
        <v>19</v>
      </c>
      <c r="L1587" s="7" t="str">
        <f>VLOOKUP(Healthcare!$A1587,hospital_details,2,0)</f>
        <v>19-Nov-1985</v>
      </c>
      <c r="M1587" s="7">
        <f t="shared" ref="M1587:M1650" ca="1" si="9507">VLOOKUP(A1587,hospital_details,3,0)</f>
        <v>40</v>
      </c>
      <c r="N1587" s="7">
        <f t="shared" ref="N1587:N1650" si="9508">VLOOKUP($A1587,hospital_details,4,0)</f>
        <v>2</v>
      </c>
      <c r="O1587" s="8">
        <f t="shared" ref="O1587:O1650" si="9509">VLOOKUP($A1587,hospital_details,5,0)</f>
        <v>6311.95</v>
      </c>
      <c r="P1587" s="7" t="str">
        <f t="shared" ref="P1587:P1650" si="9510">VLOOKUP($A1587,hospital_details,6,0)</f>
        <v>tier - 2</v>
      </c>
      <c r="Q1587" s="7" t="str">
        <f t="shared" ref="Q1587:Q1650" si="9511">VLOOKUP($A1587,hospital_details,7,0)</f>
        <v>tier - 1</v>
      </c>
      <c r="R1587" s="7" t="str">
        <f t="shared" ref="R1587:R1650" si="9512">VLOOKUP($A1587,hospital_details,8,0)</f>
        <v>R1011</v>
      </c>
    </row>
    <row r="1588" spans="1:18" ht="14.4" customHeight="1" x14ac:dyDescent="0.3">
      <c r="A1588" s="5" t="s">
        <v>1608</v>
      </c>
      <c r="B1588" s="5" t="str">
        <f>VLOOKUP($A1588,[1]!Customer_Names[#Data],3,0)</f>
        <v xml:space="preserve">  Arthur M</v>
      </c>
      <c r="C1588" s="5">
        <v>43.39</v>
      </c>
      <c r="D1588" s="5" t="str" cm="1">
        <f t="array" ref="D1588">_xlfn.IFS(Healthcare!$C1588&lt;18.5,"under weight",Healthcare!$C1588&lt;=24.9,"Normal Weight",Healthcare!$C1588&gt;=25,"overweight",Healthcare!$C1588&gt;=30,"obese")</f>
        <v>overweight</v>
      </c>
      <c r="E1588" s="5">
        <v>5.85</v>
      </c>
      <c r="F1588" s="5" t="str" cm="1">
        <f t="array" ref="F1588">_xlfn.IFS(Healthcare!$E1588&lt;5.7,"normal",Healthcare!$E1588&lt;=6.4,"prediabetes",Healthcare!$E1588&gt;=6.5,"diabetes")</f>
        <v>prediabetes</v>
      </c>
      <c r="G1588" s="5" t="s">
        <v>19</v>
      </c>
      <c r="H1588" s="5" t="s">
        <v>20</v>
      </c>
      <c r="I1588" s="5" t="s">
        <v>19</v>
      </c>
      <c r="J1588" s="5">
        <v>1</v>
      </c>
      <c r="K1588" s="5" t="s">
        <v>19</v>
      </c>
      <c r="L1588" s="5" t="str">
        <f>VLOOKUP(Healthcare!$A1588,hospital_details,2,0)</f>
        <v>27-Jul-2004</v>
      </c>
      <c r="M1588" s="5">
        <f t="shared" ref="M1588:M1651" ca="1" si="9513">VLOOKUP(A1588,hospital_details,3,0)</f>
        <v>22</v>
      </c>
      <c r="N1588" s="5">
        <f t="shared" ref="N1588:N1651" si="9514">VLOOKUP($A1588,hospital_details,4,0)</f>
        <v>0</v>
      </c>
      <c r="O1588" s="6">
        <f t="shared" ref="O1588:O1651" si="9515">VLOOKUP($A1588,hospital_details,5,0)</f>
        <v>6311.11</v>
      </c>
      <c r="P1588" s="5" t="str">
        <f t="shared" ref="P1588:P1651" si="9516">VLOOKUP($A1588,hospital_details,6,0)</f>
        <v>tier - 2</v>
      </c>
      <c r="Q1588" s="5" t="str">
        <f t="shared" ref="Q1588:Q1651" si="9517">VLOOKUP($A1588,hospital_details,7,0)</f>
        <v>tier - 2</v>
      </c>
      <c r="R1588" s="5" t="str">
        <f t="shared" ref="R1588:R1651" si="9518">VLOOKUP($A1588,hospital_details,8,0)</f>
        <v>R1011</v>
      </c>
    </row>
    <row r="1589" spans="1:18" ht="14.4" customHeight="1" x14ac:dyDescent="0.3">
      <c r="A1589" s="7" t="s">
        <v>1609</v>
      </c>
      <c r="B1589" s="7" t="str">
        <f>VLOOKUP($A1589,[1]!Customer_Names[#Data],3,0)</f>
        <v xml:space="preserve">  Joseph R</v>
      </c>
      <c r="C1589" s="7">
        <v>15.08</v>
      </c>
      <c r="D1589" s="7" t="str" cm="1">
        <f t="array" ref="D1589">_xlfn.IFS(Healthcare!$C1589&lt;18.5,"under weight",Healthcare!$C1589&lt;=24.9,"Normal Weight",Healthcare!$C1589&gt;=25,"overweight",Healthcare!$C1589&gt;=30,"obese")</f>
        <v>under weight</v>
      </c>
      <c r="E1589" s="7">
        <v>4.8499999999999996</v>
      </c>
      <c r="F1589" s="7" t="str" cm="1">
        <f t="array" ref="F1589">_xlfn.IFS(Healthcare!$E1589&lt;5.7,"normal",Healthcare!$E1589&lt;=6.4,"prediabetes",Healthcare!$E1589&gt;=6.5,"diabetes")</f>
        <v>normal</v>
      </c>
      <c r="G1589" s="7" t="s">
        <v>20</v>
      </c>
      <c r="H1589" s="7" t="s">
        <v>19</v>
      </c>
      <c r="I1589" s="7" t="s">
        <v>29</v>
      </c>
      <c r="J1589" s="7">
        <v>1</v>
      </c>
      <c r="K1589" s="7" t="s">
        <v>19</v>
      </c>
      <c r="L1589" s="7" t="str">
        <f>VLOOKUP(Healthcare!$A1589,hospital_details,2,0)</f>
        <v>4-Sep-1969</v>
      </c>
      <c r="M1589" s="7">
        <f t="shared" ref="M1589:M1652" ca="1" si="9519">VLOOKUP(A1589,hospital_details,3,0)</f>
        <v>57</v>
      </c>
      <c r="N1589" s="7">
        <f t="shared" ref="N1589:N1652" si="9520">VLOOKUP($A1589,hospital_details,4,0)</f>
        <v>0</v>
      </c>
      <c r="O1589" s="8">
        <f t="shared" ref="O1589:O1652" si="9521">VLOOKUP($A1589,hospital_details,5,0)</f>
        <v>6305.61</v>
      </c>
      <c r="P1589" s="7" t="str">
        <f t="shared" ref="P1589:P1652" si="9522">VLOOKUP($A1589,hospital_details,6,0)</f>
        <v>tier - 2</v>
      </c>
      <c r="Q1589" s="7" t="str">
        <f t="shared" ref="Q1589:Q1652" si="9523">VLOOKUP($A1589,hospital_details,7,0)</f>
        <v>tier - 2</v>
      </c>
      <c r="R1589" s="7" t="str">
        <f t="shared" ref="R1589:R1652" si="9524">VLOOKUP($A1589,hospital_details,8,0)</f>
        <v>R1012</v>
      </c>
    </row>
    <row r="1590" spans="1:18" ht="14.4" customHeight="1" x14ac:dyDescent="0.3">
      <c r="A1590" s="5" t="s">
        <v>1610</v>
      </c>
      <c r="B1590" s="5" t="str">
        <f>VLOOKUP($A1590,[1]!Customer_Names[#Data],3,0)</f>
        <v xml:space="preserve">  Sachiko</v>
      </c>
      <c r="C1590" s="5">
        <v>20.48</v>
      </c>
      <c r="D1590" s="5" t="str" cm="1">
        <f t="array" ref="D1590">_xlfn.IFS(Healthcare!$C1590&lt;18.5,"under weight",Healthcare!$C1590&lt;=24.9,"Normal Weight",Healthcare!$C1590&gt;=25,"overweight",Healthcare!$C1590&gt;=30,"obese")</f>
        <v>Normal Weight</v>
      </c>
      <c r="E1590" s="5">
        <v>11.09</v>
      </c>
      <c r="F1590" s="5" t="str" cm="1">
        <f t="array" ref="F1590">_xlfn.IFS(Healthcare!$E1590&lt;5.7,"normal",Healthcare!$E1590&lt;=6.4,"prediabetes",Healthcare!$E1590&gt;=6.5,"diabetes")</f>
        <v>diabetes</v>
      </c>
      <c r="G1590" s="5" t="s">
        <v>19</v>
      </c>
      <c r="H1590" s="5" t="s">
        <v>19</v>
      </c>
      <c r="I1590" s="5" t="s">
        <v>19</v>
      </c>
      <c r="J1590" s="5">
        <v>0</v>
      </c>
      <c r="K1590" s="5" t="s">
        <v>19</v>
      </c>
      <c r="L1590" s="5" t="str">
        <f>VLOOKUP(Healthcare!$A1590,hospital_details,2,0)</f>
        <v>17-Sep-1974</v>
      </c>
      <c r="M1590" s="5">
        <f t="shared" ref="M1590:M1653" ca="1" si="9525">VLOOKUP(A1590,hospital_details,3,0)</f>
        <v>52</v>
      </c>
      <c r="N1590" s="5">
        <f t="shared" ref="N1590:N1653" si="9526">VLOOKUP($A1590,hospital_details,4,0)</f>
        <v>0</v>
      </c>
      <c r="O1590" s="6">
        <f t="shared" ref="O1590:O1653" si="9527">VLOOKUP($A1590,hospital_details,5,0)</f>
        <v>6302.23</v>
      </c>
      <c r="P1590" s="5" t="str">
        <f t="shared" ref="P1590:P1653" si="9528">VLOOKUP($A1590,hospital_details,6,0)</f>
        <v>tier - 2</v>
      </c>
      <c r="Q1590" s="5" t="str">
        <f t="shared" ref="Q1590:Q1653" si="9529">VLOOKUP($A1590,hospital_details,7,0)</f>
        <v>tier - 1</v>
      </c>
      <c r="R1590" s="5" t="str">
        <f t="shared" ref="R1590:R1653" si="9530">VLOOKUP($A1590,hospital_details,8,0)</f>
        <v>R1013</v>
      </c>
    </row>
    <row r="1591" spans="1:18" ht="14.4" customHeight="1" x14ac:dyDescent="0.3">
      <c r="A1591" s="7" t="s">
        <v>1611</v>
      </c>
      <c r="B1591" s="7" t="str">
        <f>VLOOKUP($A1591,[1]!Customer_Names[#Data],3,0)</f>
        <v xml:space="preserve">  Christopher</v>
      </c>
      <c r="C1591" s="7">
        <v>34.450000000000003</v>
      </c>
      <c r="D1591" s="7" t="str" cm="1">
        <f t="array" ref="D1591">_xlfn.IFS(Healthcare!$C1591&lt;18.5,"under weight",Healthcare!$C1591&lt;=24.9,"Normal Weight",Healthcare!$C1591&gt;=25,"overweight",Healthcare!$C1591&gt;=30,"obese")</f>
        <v>overweight</v>
      </c>
      <c r="E1591" s="7">
        <v>5.58</v>
      </c>
      <c r="F1591" s="7" t="str" cm="1">
        <f t="array" ref="F1591">_xlfn.IFS(Healthcare!$E1591&lt;5.7,"normal",Healthcare!$E1591&lt;=6.4,"prediabetes",Healthcare!$E1591&gt;=6.5,"diabetes")</f>
        <v>normal</v>
      </c>
      <c r="G1591" s="7" t="s">
        <v>20</v>
      </c>
      <c r="H1591" s="7" t="s">
        <v>19</v>
      </c>
      <c r="I1591" s="7" t="s">
        <v>19</v>
      </c>
      <c r="J1591" s="7">
        <v>0</v>
      </c>
      <c r="K1591" s="7" t="s">
        <v>19</v>
      </c>
      <c r="L1591" s="7" t="str">
        <f>VLOOKUP(Healthcare!$A1591,hospital_details,2,0)</f>
        <v>4-Jul-1996</v>
      </c>
      <c r="M1591" s="7">
        <f t="shared" ref="M1591:M1654" ca="1" si="9531">VLOOKUP(A1591,hospital_details,3,0)</f>
        <v>30</v>
      </c>
      <c r="N1591" s="7">
        <f t="shared" ref="N1591:N1654" si="9532">VLOOKUP($A1591,hospital_details,4,0)</f>
        <v>0</v>
      </c>
      <c r="O1591" s="8">
        <f t="shared" ref="O1591:O1654" si="9533">VLOOKUP($A1591,hospital_details,5,0)</f>
        <v>6293.63</v>
      </c>
      <c r="P1591" s="7" t="str">
        <f t="shared" ref="P1591:P1654" si="9534">VLOOKUP($A1591,hospital_details,6,0)</f>
        <v>tier - 2</v>
      </c>
      <c r="Q1591" s="7" t="str">
        <f t="shared" ref="Q1591:Q1654" si="9535">VLOOKUP($A1591,hospital_details,7,0)</f>
        <v>tier - 3</v>
      </c>
      <c r="R1591" s="7" t="str">
        <f t="shared" ref="R1591:R1654" si="9536">VLOOKUP($A1591,hospital_details,8,0)</f>
        <v>R1021</v>
      </c>
    </row>
    <row r="1592" spans="1:18" ht="14.4" customHeight="1" x14ac:dyDescent="0.3">
      <c r="A1592" s="5" t="s">
        <v>1612</v>
      </c>
      <c r="B1592" s="5" t="str">
        <f>VLOOKUP($A1592,[1]!Customer_Names[#Data],3,0)</f>
        <v xml:space="preserve">  Joseph</v>
      </c>
      <c r="C1592" s="5">
        <v>34.21</v>
      </c>
      <c r="D1592" s="5" t="str" cm="1">
        <f t="array" ref="D1592">_xlfn.IFS(Healthcare!$C1592&lt;18.5,"under weight",Healthcare!$C1592&lt;=24.9,"Normal Weight",Healthcare!$C1592&gt;=25,"overweight",Healthcare!$C1592&gt;=30,"obese")</f>
        <v>overweight</v>
      </c>
      <c r="E1592" s="5">
        <v>9.7200000000000006</v>
      </c>
      <c r="F1592" s="5" t="str" cm="1">
        <f t="array" ref="F1592">_xlfn.IFS(Healthcare!$E1592&lt;5.7,"normal",Healthcare!$E1592&lt;=6.4,"prediabetes",Healthcare!$E1592&gt;=6.5,"diabetes")</f>
        <v>diabetes</v>
      </c>
      <c r="G1592" s="5" t="s">
        <v>20</v>
      </c>
      <c r="H1592" s="5" t="s">
        <v>19</v>
      </c>
      <c r="I1592" s="5" t="s">
        <v>19</v>
      </c>
      <c r="J1592" s="5">
        <v>0</v>
      </c>
      <c r="K1592" s="5" t="s">
        <v>19</v>
      </c>
      <c r="L1592" s="5" t="str">
        <f>VLOOKUP(Healthcare!$A1592,hospital_details,2,0)</f>
        <v>26-Aug-1981</v>
      </c>
      <c r="M1592" s="5">
        <f t="shared" ref="M1592:M1655" ca="1" si="9537">VLOOKUP(A1592,hospital_details,3,0)</f>
        <v>45</v>
      </c>
      <c r="N1592" s="5">
        <f t="shared" ref="N1592:N1655" si="9538">VLOOKUP($A1592,hospital_details,4,0)</f>
        <v>1</v>
      </c>
      <c r="O1592" s="6">
        <f t="shared" ref="O1592:O1655" si="9539">VLOOKUP($A1592,hospital_details,5,0)</f>
        <v>6289.75</v>
      </c>
      <c r="P1592" s="5" t="str">
        <f t="shared" ref="P1592:P1655" si="9540">VLOOKUP($A1592,hospital_details,6,0)</f>
        <v>tier - 2</v>
      </c>
      <c r="Q1592" s="5" t="str">
        <f t="shared" ref="Q1592:Q1655" si="9541">VLOOKUP($A1592,hospital_details,7,0)</f>
        <v>tier - 3</v>
      </c>
      <c r="R1592" s="5" t="str">
        <f t="shared" ref="R1592:R1655" si="9542">VLOOKUP($A1592,hospital_details,8,0)</f>
        <v>R1013</v>
      </c>
    </row>
    <row r="1593" spans="1:18" ht="14.4" customHeight="1" x14ac:dyDescent="0.3">
      <c r="A1593" s="7" t="s">
        <v>1613</v>
      </c>
      <c r="B1593" s="7" t="str">
        <f>VLOOKUP($A1593,[1]!Customer_Names[#Data],3,0)</f>
        <v xml:space="preserve">  Lawrence</v>
      </c>
      <c r="C1593" s="7">
        <v>28.8</v>
      </c>
      <c r="D1593" s="7" t="str" cm="1">
        <f t="array" ref="D1593">_xlfn.IFS(Healthcare!$C1593&lt;18.5,"under weight",Healthcare!$C1593&lt;=24.9,"Normal Weight",Healthcare!$C1593&gt;=25,"overweight",Healthcare!$C1593&gt;=30,"obese")</f>
        <v>overweight</v>
      </c>
      <c r="E1593" s="7">
        <v>11.41</v>
      </c>
      <c r="F1593" s="7" t="str" cm="1">
        <f t="array" ref="F1593">_xlfn.IFS(Healthcare!$E1593&lt;5.7,"normal",Healthcare!$E1593&lt;=6.4,"prediabetes",Healthcare!$E1593&gt;=6.5,"diabetes")</f>
        <v>diabetes</v>
      </c>
      <c r="G1593" s="7" t="s">
        <v>20</v>
      </c>
      <c r="H1593" s="7" t="s">
        <v>19</v>
      </c>
      <c r="I1593" s="7" t="s">
        <v>19</v>
      </c>
      <c r="J1593" s="7">
        <v>0</v>
      </c>
      <c r="K1593" s="7" t="s">
        <v>19</v>
      </c>
      <c r="L1593" s="7" t="str">
        <f>VLOOKUP(Healthcare!$A1593,hospital_details,2,0)</f>
        <v>24-Nov-1981</v>
      </c>
      <c r="M1593" s="7">
        <f t="shared" ref="M1593:M1656" ca="1" si="9543">VLOOKUP(A1593,hospital_details,3,0)</f>
        <v>44</v>
      </c>
      <c r="N1593" s="7">
        <f t="shared" ref="N1593:N1656" si="9544">VLOOKUP($A1593,hospital_details,4,0)</f>
        <v>1</v>
      </c>
      <c r="O1593" s="8">
        <f t="shared" ref="O1593:O1656" si="9545">VLOOKUP($A1593,hospital_details,5,0)</f>
        <v>6282.24</v>
      </c>
      <c r="P1593" s="7" t="str">
        <f t="shared" ref="P1593:P1656" si="9546">VLOOKUP($A1593,hospital_details,6,0)</f>
        <v>tier - 2</v>
      </c>
      <c r="Q1593" s="7" t="str">
        <f t="shared" ref="Q1593:Q1656" si="9547">VLOOKUP($A1593,hospital_details,7,0)</f>
        <v>tier - 1</v>
      </c>
      <c r="R1593" s="7" t="str">
        <f t="shared" ref="R1593:R1656" si="9548">VLOOKUP($A1593,hospital_details,8,0)</f>
        <v>R1011</v>
      </c>
    </row>
    <row r="1594" spans="1:18" ht="14.4" customHeight="1" x14ac:dyDescent="0.3">
      <c r="A1594" s="5" t="s">
        <v>1614</v>
      </c>
      <c r="B1594" s="5" t="str">
        <f>VLOOKUP($A1594,[1]!Customer_Names[#Data],3,0)</f>
        <v xml:space="preserve">  Katie</v>
      </c>
      <c r="C1594" s="5">
        <v>31.74</v>
      </c>
      <c r="D1594" s="5" t="str" cm="1">
        <f t="array" ref="D1594">_xlfn.IFS(Healthcare!$C1594&lt;18.5,"under weight",Healthcare!$C1594&lt;=24.9,"Normal Weight",Healthcare!$C1594&gt;=25,"overweight",Healthcare!$C1594&gt;=30,"obese")</f>
        <v>overweight</v>
      </c>
      <c r="E1594" s="5">
        <v>4.46</v>
      </c>
      <c r="F1594" s="5" t="str" cm="1">
        <f t="array" ref="F1594">_xlfn.IFS(Healthcare!$E1594&lt;5.7,"normal",Healthcare!$E1594&lt;=6.4,"prediabetes",Healthcare!$E1594&gt;=6.5,"diabetes")</f>
        <v>normal</v>
      </c>
      <c r="G1594" s="5" t="s">
        <v>19</v>
      </c>
      <c r="H1594" s="5" t="s">
        <v>19</v>
      </c>
      <c r="I1594" s="5" t="s">
        <v>29</v>
      </c>
      <c r="J1594" s="5">
        <v>1</v>
      </c>
      <c r="K1594" s="5" t="s">
        <v>19</v>
      </c>
      <c r="L1594" s="5" t="str">
        <f>VLOOKUP(Healthcare!$A1594,hospital_details,2,0)</f>
        <v>16-Oct-1993</v>
      </c>
      <c r="M1594" s="5">
        <f t="shared" ref="M1594:M1657" ca="1" si="9549">VLOOKUP(A1594,hospital_details,3,0)</f>
        <v>33</v>
      </c>
      <c r="N1594" s="5">
        <f t="shared" ref="N1594:N1657" si="9550">VLOOKUP($A1594,hospital_details,4,0)</f>
        <v>0</v>
      </c>
      <c r="O1594" s="6">
        <f t="shared" ref="O1594:O1657" si="9551">VLOOKUP($A1594,hospital_details,5,0)</f>
        <v>6276.3</v>
      </c>
      <c r="P1594" s="5" t="str">
        <f t="shared" ref="P1594:P1657" si="9552">VLOOKUP($A1594,hospital_details,6,0)</f>
        <v>tier - 2</v>
      </c>
      <c r="Q1594" s="5" t="str">
        <f t="shared" ref="Q1594:Q1657" si="9553">VLOOKUP($A1594,hospital_details,7,0)</f>
        <v>tier - 1</v>
      </c>
      <c r="R1594" s="5" t="str">
        <f t="shared" ref="R1594:R1657" si="9554">VLOOKUP($A1594,hospital_details,8,0)</f>
        <v>R1025</v>
      </c>
    </row>
    <row r="1595" spans="1:18" ht="14.4" customHeight="1" x14ac:dyDescent="0.3">
      <c r="A1595" s="7" t="s">
        <v>1615</v>
      </c>
      <c r="B1595" s="7" t="str">
        <f>VLOOKUP($A1595,[1]!Customer_Names[#Data],3,0)</f>
        <v xml:space="preserve">  Ruben</v>
      </c>
      <c r="C1595" s="7">
        <v>21.78</v>
      </c>
      <c r="D1595" s="7" t="str" cm="1">
        <f t="array" ref="D1595">_xlfn.IFS(Healthcare!$C1595&lt;18.5,"under weight",Healthcare!$C1595&lt;=24.9,"Normal Weight",Healthcare!$C1595&gt;=25,"overweight",Healthcare!$C1595&gt;=30,"obese")</f>
        <v>Normal Weight</v>
      </c>
      <c r="E1595" s="7">
        <v>9.31</v>
      </c>
      <c r="F1595" s="7" t="str" cm="1">
        <f t="array" ref="F1595">_xlfn.IFS(Healthcare!$E1595&lt;5.7,"normal",Healthcare!$E1595&lt;=6.4,"prediabetes",Healthcare!$E1595&gt;=6.5,"diabetes")</f>
        <v>diabetes</v>
      </c>
      <c r="G1595" s="7" t="s">
        <v>20</v>
      </c>
      <c r="H1595" s="7" t="s">
        <v>19</v>
      </c>
      <c r="I1595" s="7" t="s">
        <v>19</v>
      </c>
      <c r="J1595" s="7">
        <v>0</v>
      </c>
      <c r="K1595" s="7" t="s">
        <v>19</v>
      </c>
      <c r="L1595" s="7" t="str">
        <f>VLOOKUP(Healthcare!$A1595,hospital_details,2,0)</f>
        <v>30-Jun-1981</v>
      </c>
      <c r="M1595" s="7">
        <f t="shared" ref="M1595:M1658" ca="1" si="9555">VLOOKUP(A1595,hospital_details,3,0)</f>
        <v>45</v>
      </c>
      <c r="N1595" s="7">
        <f t="shared" ref="N1595:N1658" si="9556">VLOOKUP($A1595,hospital_details,4,0)</f>
        <v>1</v>
      </c>
      <c r="O1595" s="8">
        <f t="shared" ref="O1595:O1658" si="9557">VLOOKUP($A1595,hospital_details,5,0)</f>
        <v>6272.48</v>
      </c>
      <c r="P1595" s="7" t="str">
        <f t="shared" ref="P1595:P1658" si="9558">VLOOKUP($A1595,hospital_details,6,0)</f>
        <v>tier - 1</v>
      </c>
      <c r="Q1595" s="7" t="str">
        <f t="shared" ref="Q1595:Q1658" si="9559">VLOOKUP($A1595,hospital_details,7,0)</f>
        <v>tier - 3</v>
      </c>
      <c r="R1595" s="7" t="str">
        <f t="shared" ref="R1595:R1658" si="9560">VLOOKUP($A1595,hospital_details,8,0)</f>
        <v>R1013</v>
      </c>
    </row>
    <row r="1596" spans="1:18" ht="14.4" customHeight="1" x14ac:dyDescent="0.3">
      <c r="A1596" s="5" t="s">
        <v>1616</v>
      </c>
      <c r="B1596" s="5" t="str">
        <f>VLOOKUP($A1596,[1]!Customer_Names[#Data],3,0)</f>
        <v xml:space="preserve">  Sarah</v>
      </c>
      <c r="C1596" s="5">
        <v>23.75</v>
      </c>
      <c r="D1596" s="5" t="str" cm="1">
        <f t="array" ref="D1596">_xlfn.IFS(Healthcare!$C1596&lt;18.5,"under weight",Healthcare!$C1596&lt;=24.9,"Normal Weight",Healthcare!$C1596&gt;=25,"overweight",Healthcare!$C1596&gt;=30,"obese")</f>
        <v>Normal Weight</v>
      </c>
      <c r="E1596" s="5">
        <v>5.03</v>
      </c>
      <c r="F1596" s="5" t="str" cm="1">
        <f t="array" ref="F1596">_xlfn.IFS(Healthcare!$E1596&lt;5.7,"normal",Healthcare!$E1596&lt;=6.4,"prediabetes",Healthcare!$E1596&gt;=6.5,"diabetes")</f>
        <v>normal</v>
      </c>
      <c r="G1596" s="5" t="s">
        <v>19</v>
      </c>
      <c r="H1596" s="5" t="s">
        <v>19</v>
      </c>
      <c r="I1596" s="5" t="s">
        <v>19</v>
      </c>
      <c r="J1596" s="5">
        <v>1</v>
      </c>
      <c r="K1596" s="5" t="s">
        <v>19</v>
      </c>
      <c r="L1596" s="5" t="str">
        <f>VLOOKUP(Healthcare!$A1596,hospital_details,2,0)</f>
        <v>25-Sep-1984</v>
      </c>
      <c r="M1596" s="5">
        <f t="shared" ref="M1596:M1659" ca="1" si="9561">VLOOKUP(A1596,hospital_details,3,0)</f>
        <v>42</v>
      </c>
      <c r="N1596" s="5">
        <f t="shared" ref="N1596:N1659" si="9562">VLOOKUP($A1596,hospital_details,4,0)</f>
        <v>3</v>
      </c>
      <c r="O1596" s="6">
        <f t="shared" ref="O1596:O1659" si="9563">VLOOKUP($A1596,hospital_details,5,0)</f>
        <v>6269.33</v>
      </c>
      <c r="P1596" s="5" t="str">
        <f t="shared" ref="P1596:P1659" si="9564">VLOOKUP($A1596,hospital_details,6,0)</f>
        <v>tier - 2</v>
      </c>
      <c r="Q1596" s="5" t="str">
        <f t="shared" ref="Q1596:Q1659" si="9565">VLOOKUP($A1596,hospital_details,7,0)</f>
        <v>tier - 1</v>
      </c>
      <c r="R1596" s="5" t="str">
        <f t="shared" ref="R1596:R1659" si="9566">VLOOKUP($A1596,hospital_details,8,0)</f>
        <v>R1013</v>
      </c>
    </row>
    <row r="1597" spans="1:18" ht="14.4" customHeight="1" x14ac:dyDescent="0.3">
      <c r="A1597" s="7" t="s">
        <v>1617</v>
      </c>
      <c r="B1597" s="7" t="str">
        <f>VLOOKUP($A1597,[1]!Customer_Names[#Data],3,0)</f>
        <v xml:space="preserve">  Angela R</v>
      </c>
      <c r="C1597" s="7">
        <v>33.21</v>
      </c>
      <c r="D1597" s="7" t="str" cm="1">
        <f t="array" ref="D1597">_xlfn.IFS(Healthcare!$C1597&lt;18.5,"under weight",Healthcare!$C1597&lt;=24.9,"Normal Weight",Healthcare!$C1597&gt;=25,"overweight",Healthcare!$C1597&gt;=30,"obese")</f>
        <v>overweight</v>
      </c>
      <c r="E1597" s="7">
        <v>5.07</v>
      </c>
      <c r="F1597" s="7" t="str" cm="1">
        <f t="array" ref="F1597">_xlfn.IFS(Healthcare!$E1597&lt;5.7,"normal",Healthcare!$E1597&lt;=6.4,"prediabetes",Healthcare!$E1597&gt;=6.5,"diabetes")</f>
        <v>normal</v>
      </c>
      <c r="G1597" s="7" t="s">
        <v>20</v>
      </c>
      <c r="H1597" s="7" t="s">
        <v>19</v>
      </c>
      <c r="I1597" s="7" t="s">
        <v>19</v>
      </c>
      <c r="J1597" s="7">
        <v>1</v>
      </c>
      <c r="K1597" s="7" t="s">
        <v>19</v>
      </c>
      <c r="L1597" s="7" t="str">
        <f>VLOOKUP(Healthcare!$A1597,hospital_details,2,0)</f>
        <v>17-Oct-1995</v>
      </c>
      <c r="M1597" s="7">
        <f t="shared" ref="M1597:M1660" ca="1" si="9567">VLOOKUP(A1597,hospital_details,3,0)</f>
        <v>31</v>
      </c>
      <c r="N1597" s="7">
        <f t="shared" ref="N1597:N1660" si="9568">VLOOKUP($A1597,hospital_details,4,0)</f>
        <v>0</v>
      </c>
      <c r="O1597" s="8">
        <f t="shared" ref="O1597:O1660" si="9569">VLOOKUP($A1597,hospital_details,5,0)</f>
        <v>6261.2</v>
      </c>
      <c r="P1597" s="7" t="str">
        <f t="shared" ref="P1597:P1660" si="9570">VLOOKUP($A1597,hospital_details,6,0)</f>
        <v>tier - 2</v>
      </c>
      <c r="Q1597" s="7" t="str">
        <f t="shared" ref="Q1597:Q1660" si="9571">VLOOKUP($A1597,hospital_details,7,0)</f>
        <v>tier - 1</v>
      </c>
      <c r="R1597" s="7" t="str">
        <f t="shared" ref="R1597:R1660" si="9572">VLOOKUP($A1597,hospital_details,8,0)</f>
        <v>R1026</v>
      </c>
    </row>
    <row r="1598" spans="1:18" ht="14.4" customHeight="1" x14ac:dyDescent="0.3">
      <c r="A1598" s="5" t="s">
        <v>1618</v>
      </c>
      <c r="B1598" s="5" t="str">
        <f>VLOOKUP($A1598,[1]!Customer_Names[#Data],3,0)</f>
        <v xml:space="preserve">  Chatham</v>
      </c>
      <c r="C1598" s="5">
        <v>17.7</v>
      </c>
      <c r="D1598" s="5" t="str" cm="1">
        <f t="array" ref="D1598">_xlfn.IFS(Healthcare!$C1598&lt;18.5,"under weight",Healthcare!$C1598&lt;=24.9,"Normal Weight",Healthcare!$C1598&gt;=25,"overweight",Healthcare!$C1598&gt;=30,"obese")</f>
        <v>under weight</v>
      </c>
      <c r="E1598" s="5">
        <v>10.42</v>
      </c>
      <c r="F1598" s="5" t="str" cm="1">
        <f t="array" ref="F1598">_xlfn.IFS(Healthcare!$E1598&lt;5.7,"normal",Healthcare!$E1598&lt;=6.4,"prediabetes",Healthcare!$E1598&gt;=6.5,"diabetes")</f>
        <v>diabetes</v>
      </c>
      <c r="G1598" s="5" t="s">
        <v>20</v>
      </c>
      <c r="H1598" s="5" t="s">
        <v>19</v>
      </c>
      <c r="I1598" s="5" t="s">
        <v>19</v>
      </c>
      <c r="J1598" s="5">
        <v>2</v>
      </c>
      <c r="K1598" s="5" t="s">
        <v>19</v>
      </c>
      <c r="L1598" s="5" t="str">
        <f>VLOOKUP(Healthcare!$A1598,hospital_details,2,0)</f>
        <v>11-Oct-1970</v>
      </c>
      <c r="M1598" s="5">
        <f t="shared" ref="M1598:M1661" ca="1" si="9573">VLOOKUP(A1598,hospital_details,3,0)</f>
        <v>56</v>
      </c>
      <c r="N1598" s="5">
        <f t="shared" ref="N1598:N1661" si="9574">VLOOKUP($A1598,hospital_details,4,0)</f>
        <v>0</v>
      </c>
      <c r="O1598" s="6">
        <f t="shared" ref="O1598:O1661" si="9575">VLOOKUP($A1598,hospital_details,5,0)</f>
        <v>6255.38</v>
      </c>
      <c r="P1598" s="5" t="str">
        <f t="shared" ref="P1598:P1661" si="9576">VLOOKUP($A1598,hospital_details,6,0)</f>
        <v>tier - 2</v>
      </c>
      <c r="Q1598" s="5" t="str">
        <f t="shared" ref="Q1598:Q1661" si="9577">VLOOKUP($A1598,hospital_details,7,0)</f>
        <v>tier - 2</v>
      </c>
      <c r="R1598" s="5" t="str">
        <f t="shared" ref="R1598:R1661" si="9578">VLOOKUP($A1598,hospital_details,8,0)</f>
        <v>R1013</v>
      </c>
    </row>
    <row r="1599" spans="1:18" ht="14.4" customHeight="1" x14ac:dyDescent="0.3">
      <c r="A1599" s="7" t="s">
        <v>1619</v>
      </c>
      <c r="B1599" s="7" t="str">
        <f>VLOOKUP($A1599,[1]!Customer_Names[#Data],3,0)</f>
        <v xml:space="preserve">  Derek</v>
      </c>
      <c r="C1599" s="7">
        <v>17.2</v>
      </c>
      <c r="D1599" s="7" t="str" cm="1">
        <f t="array" ref="D1599">_xlfn.IFS(Healthcare!$C1599&lt;18.5,"under weight",Healthcare!$C1599&lt;=24.9,"Normal Weight",Healthcare!$C1599&gt;=25,"overweight",Healthcare!$C1599&gt;=30,"obese")</f>
        <v>under weight</v>
      </c>
      <c r="E1599" s="7">
        <v>6.45</v>
      </c>
      <c r="F1599" s="5" t="str" cm="1">
        <f t="array" ref="F1599">_xlfn.IFS(Healthcare!$E1068&lt;5.7,"normal",Healthcare!$E1068&lt;=6.4,"prediabetes",Healthcare!$E1068&gt;=6.5,"diabetes")</f>
        <v>normal</v>
      </c>
      <c r="G1599" s="7" t="s">
        <v>19</v>
      </c>
      <c r="H1599" s="7" t="s">
        <v>19</v>
      </c>
      <c r="I1599" s="7" t="s">
        <v>19</v>
      </c>
      <c r="J1599" s="7">
        <v>2</v>
      </c>
      <c r="K1599" s="7" t="s">
        <v>19</v>
      </c>
      <c r="L1599" s="7" t="str">
        <f>VLOOKUP(Healthcare!$A1599,hospital_details,2,0)</f>
        <v>8-Sep-1972</v>
      </c>
      <c r="M1599" s="7">
        <f t="shared" ref="M1599:M1662" ca="1" si="9579">VLOOKUP(A1599,hospital_details,3,0)</f>
        <v>54</v>
      </c>
      <c r="N1599" s="7">
        <f t="shared" ref="N1599:N1662" si="9580">VLOOKUP($A1599,hospital_details,4,0)</f>
        <v>0</v>
      </c>
      <c r="O1599" s="8">
        <f t="shared" ref="O1599:O1662" si="9581">VLOOKUP($A1599,hospital_details,5,0)</f>
        <v>6254.13</v>
      </c>
      <c r="P1599" s="7" t="str">
        <f t="shared" ref="P1599:P1662" si="9582">VLOOKUP($A1599,hospital_details,6,0)</f>
        <v>tier - 2</v>
      </c>
      <c r="Q1599" s="7" t="str">
        <f t="shared" ref="Q1599:Q1662" si="9583">VLOOKUP($A1599,hospital_details,7,0)</f>
        <v>tier - 2</v>
      </c>
      <c r="R1599" s="7" t="str">
        <f t="shared" ref="R1599:R1662" si="9584">VLOOKUP($A1599,hospital_details,8,0)</f>
        <v>R1012</v>
      </c>
    </row>
    <row r="1600" spans="1:18" ht="14.4" customHeight="1" x14ac:dyDescent="0.3">
      <c r="A1600" s="5" t="s">
        <v>1620</v>
      </c>
      <c r="B1600" s="5" t="str">
        <f>VLOOKUP($A1600,[1]!Customer_Names[#Data],3,0)</f>
        <v xml:space="preserve">  Kalvin J</v>
      </c>
      <c r="C1600" s="5">
        <v>19.21</v>
      </c>
      <c r="D1600" s="5" t="str" cm="1">
        <f t="array" ref="D1600">_xlfn.IFS(Healthcare!$C1600&lt;18.5,"under weight",Healthcare!$C1600&lt;=24.9,"Normal Weight",Healthcare!$C1600&gt;=25,"overweight",Healthcare!$C1600&gt;=30,"obese")</f>
        <v>Normal Weight</v>
      </c>
      <c r="E1600" s="5">
        <v>5.52</v>
      </c>
      <c r="F1600" s="5" t="str" cm="1">
        <f t="array" ref="F1600">_xlfn.IFS(Healthcare!$E1600&lt;5.7,"normal",Healthcare!$E1600&lt;=6.4,"prediabetes",Healthcare!$E1600&gt;=6.5,"diabetes")</f>
        <v>normal</v>
      </c>
      <c r="G1600" s="5" t="s">
        <v>19</v>
      </c>
      <c r="H1600" s="5" t="s">
        <v>19</v>
      </c>
      <c r="I1600" s="5" t="s">
        <v>19</v>
      </c>
      <c r="J1600" s="5">
        <v>2</v>
      </c>
      <c r="K1600" s="5" t="s">
        <v>19</v>
      </c>
      <c r="L1600" s="5" t="str">
        <f>VLOOKUP(Healthcare!$A1600,hospital_details,2,0)</f>
        <v>11-Nov-1972</v>
      </c>
      <c r="M1600" s="5">
        <f t="shared" ref="M1600:M1663" ca="1" si="9585">VLOOKUP(A1600,hospital_details,3,0)</f>
        <v>53</v>
      </c>
      <c r="N1600" s="5">
        <f t="shared" ref="N1600:N1663" si="9586">VLOOKUP($A1600,hospital_details,4,0)</f>
        <v>0</v>
      </c>
      <c r="O1600" s="6">
        <f t="shared" ref="O1600:O1663" si="9587">VLOOKUP($A1600,hospital_details,5,0)</f>
        <v>6253.85</v>
      </c>
      <c r="P1600" s="5" t="str">
        <f t="shared" ref="P1600:P1663" si="9588">VLOOKUP($A1600,hospital_details,6,0)</f>
        <v>tier - 2</v>
      </c>
      <c r="Q1600" s="5" t="str">
        <f t="shared" ref="Q1600:Q1663" si="9589">VLOOKUP($A1600,hospital_details,7,0)</f>
        <v>tier - 2</v>
      </c>
      <c r="R1600" s="5" t="str">
        <f t="shared" ref="R1600:R1663" si="9590">VLOOKUP($A1600,hospital_details,8,0)</f>
        <v>R1013</v>
      </c>
    </row>
    <row r="1601" spans="1:18" ht="14.4" customHeight="1" x14ac:dyDescent="0.3">
      <c r="A1601" s="7" t="s">
        <v>1621</v>
      </c>
      <c r="B1601" s="7" t="str">
        <f>VLOOKUP($A1601,[1]!Customer_Names[#Data],3,0)</f>
        <v xml:space="preserve">  Dave</v>
      </c>
      <c r="C1601" s="7">
        <v>23.2</v>
      </c>
      <c r="D1601" s="7" t="str" cm="1">
        <f t="array" ref="D1601">_xlfn.IFS(Healthcare!$C1601&lt;18.5,"under weight",Healthcare!$C1601&lt;=24.9,"Normal Weight",Healthcare!$C1601&gt;=25,"overweight",Healthcare!$C1601&gt;=30,"obese")</f>
        <v>Normal Weight</v>
      </c>
      <c r="E1601" s="7">
        <v>4.41</v>
      </c>
      <c r="F1601" s="7" t="str" cm="1">
        <f t="array" ref="F1601">_xlfn.IFS(Healthcare!$E1601&lt;5.7,"normal",Healthcare!$E1601&lt;=6.4,"prediabetes",Healthcare!$E1601&gt;=6.5,"diabetes")</f>
        <v>normal</v>
      </c>
      <c r="G1601" s="7" t="s">
        <v>19</v>
      </c>
      <c r="H1601" s="7" t="s">
        <v>19</v>
      </c>
      <c r="I1601" s="7" t="s">
        <v>29</v>
      </c>
      <c r="J1601" s="7">
        <v>1</v>
      </c>
      <c r="K1601" s="7" t="s">
        <v>19</v>
      </c>
      <c r="L1601" s="7" t="str">
        <f>VLOOKUP(Healthcare!$A1601,hospital_details,2,0)</f>
        <v>10-Oct-1979</v>
      </c>
      <c r="M1601" s="7">
        <f t="shared" ref="M1601:M1664" ca="1" si="9591">VLOOKUP(A1601,hospital_details,3,0)</f>
        <v>47</v>
      </c>
      <c r="N1601" s="7">
        <f t="shared" ref="N1601:N1664" si="9592">VLOOKUP($A1601,hospital_details,4,0)</f>
        <v>0</v>
      </c>
      <c r="O1601" s="8">
        <f t="shared" ref="O1601:O1664" si="9593">VLOOKUP($A1601,hospital_details,5,0)</f>
        <v>6250.44</v>
      </c>
      <c r="P1601" s="7" t="str">
        <f t="shared" ref="P1601:P1664" si="9594">VLOOKUP($A1601,hospital_details,6,0)</f>
        <v>tier - 2</v>
      </c>
      <c r="Q1601" s="7" t="str">
        <f t="shared" ref="Q1601:Q1664" si="9595">VLOOKUP($A1601,hospital_details,7,0)</f>
        <v>tier - 1</v>
      </c>
      <c r="R1601" s="7" t="str">
        <f t="shared" ref="R1601:R1664" si="9596">VLOOKUP($A1601,hospital_details,8,0)</f>
        <v>R1011</v>
      </c>
    </row>
    <row r="1602" spans="1:18" ht="14.4" customHeight="1" x14ac:dyDescent="0.3">
      <c r="A1602" s="5" t="s">
        <v>1622</v>
      </c>
      <c r="B1602" s="5" t="str">
        <f>VLOOKUP($A1602,[1]!Customer_Names[#Data],3,0)</f>
        <v xml:space="preserve">  Barbara G</v>
      </c>
      <c r="C1602" s="5">
        <v>32.5</v>
      </c>
      <c r="D1602" s="5" t="str" cm="1">
        <f t="array" ref="D1602">_xlfn.IFS(Healthcare!$C1602&lt;18.5,"under weight",Healthcare!$C1602&lt;=24.9,"Normal Weight",Healthcare!$C1602&gt;=25,"overweight",Healthcare!$C1602&gt;=30,"obese")</f>
        <v>overweight</v>
      </c>
      <c r="E1602" s="5">
        <v>4.6900000000000004</v>
      </c>
      <c r="F1602" s="5" t="str" cm="1">
        <f t="array" ref="F1602">_xlfn.IFS(Healthcare!$E1602&lt;5.7,"normal",Healthcare!$E1602&lt;=6.4,"prediabetes",Healthcare!$E1602&gt;=6.5,"diabetes")</f>
        <v>normal</v>
      </c>
      <c r="G1602" s="5" t="s">
        <v>20</v>
      </c>
      <c r="H1602" s="5" t="s">
        <v>19</v>
      </c>
      <c r="I1602" s="5" t="s">
        <v>29</v>
      </c>
      <c r="J1602" s="5">
        <v>1</v>
      </c>
      <c r="K1602" s="5" t="s">
        <v>19</v>
      </c>
      <c r="L1602" s="5" t="str">
        <f>VLOOKUP(Healthcare!$A1602,hospital_details,2,0)</f>
        <v>11-Aug-1983</v>
      </c>
      <c r="M1602" s="5">
        <f t="shared" ref="M1602:M1665" ca="1" si="9597">VLOOKUP(A1602,hospital_details,3,0)</f>
        <v>43</v>
      </c>
      <c r="N1602" s="5">
        <f t="shared" ref="N1602:N1665" si="9598">VLOOKUP($A1602,hospital_details,4,0)</f>
        <v>1</v>
      </c>
      <c r="O1602" s="6">
        <f t="shared" ref="O1602:O1665" si="9599">VLOOKUP($A1602,hospital_details,5,0)</f>
        <v>6238.3</v>
      </c>
      <c r="P1602" s="5" t="str">
        <f t="shared" ref="P1602:P1665" si="9600">VLOOKUP($A1602,hospital_details,6,0)</f>
        <v>tier - 2</v>
      </c>
      <c r="Q1602" s="5" t="str">
        <f t="shared" ref="Q1602:Q1665" si="9601">VLOOKUP($A1602,hospital_details,7,0)</f>
        <v>tier - 1</v>
      </c>
      <c r="R1602" s="5" t="str">
        <f t="shared" ref="R1602:R1665" si="9602">VLOOKUP($A1602,hospital_details,8,0)</f>
        <v>R1011</v>
      </c>
    </row>
    <row r="1603" spans="1:18" ht="14.4" customHeight="1" x14ac:dyDescent="0.3">
      <c r="A1603" s="7" t="s">
        <v>1623</v>
      </c>
      <c r="B1603" s="7" t="str">
        <f>VLOOKUP($A1603,[1]!Customer_Names[#Data],3,0)</f>
        <v xml:space="preserve">  Skylar</v>
      </c>
      <c r="C1603" s="7">
        <v>20.9</v>
      </c>
      <c r="D1603" s="7" t="str" cm="1">
        <f t="array" ref="D1603">_xlfn.IFS(Healthcare!$C1603&lt;18.5,"under weight",Healthcare!$C1603&lt;=24.9,"Normal Weight",Healthcare!$C1603&gt;=25,"overweight",Healthcare!$C1603&gt;=30,"obese")</f>
        <v>Normal Weight</v>
      </c>
      <c r="E1603" s="7">
        <v>6.94</v>
      </c>
      <c r="F1603" s="7" t="str" cm="1">
        <f t="array" ref="F1603">_xlfn.IFS(Healthcare!$E1603&lt;5.7,"normal",Healthcare!$E1603&lt;=6.4,"prediabetes",Healthcare!$E1603&gt;=6.5,"diabetes")</f>
        <v>diabetes</v>
      </c>
      <c r="G1603" s="7" t="s">
        <v>19</v>
      </c>
      <c r="H1603" s="7" t="s">
        <v>19</v>
      </c>
      <c r="I1603" s="7" t="s">
        <v>19</v>
      </c>
      <c r="J1603" s="7">
        <v>0</v>
      </c>
      <c r="K1603" s="7" t="s">
        <v>19</v>
      </c>
      <c r="L1603" s="7" t="str">
        <f>VLOOKUP(Healthcare!$A1603,hospital_details,2,0)</f>
        <v>19-Sep-1978</v>
      </c>
      <c r="M1603" s="7">
        <f t="shared" ref="M1603:M1666" ca="1" si="9603">VLOOKUP(A1603,hospital_details,3,0)</f>
        <v>48</v>
      </c>
      <c r="N1603" s="7">
        <f t="shared" ref="N1603:N1666" si="9604">VLOOKUP($A1603,hospital_details,4,0)</f>
        <v>2</v>
      </c>
      <c r="O1603" s="8">
        <f t="shared" ref="O1603:O1666" si="9605">VLOOKUP($A1603,hospital_details,5,0)</f>
        <v>6236.95</v>
      </c>
      <c r="P1603" s="7" t="str">
        <f t="shared" ref="P1603:P1666" si="9606">VLOOKUP($A1603,hospital_details,6,0)</f>
        <v>tier - 2</v>
      </c>
      <c r="Q1603" s="7" t="str">
        <f t="shared" ref="Q1603:Q1666" si="9607">VLOOKUP($A1603,hospital_details,7,0)</f>
        <v>tier - 2</v>
      </c>
      <c r="R1603" s="7" t="str">
        <f t="shared" ref="R1603:R1666" si="9608">VLOOKUP($A1603,hospital_details,8,0)</f>
        <v>R1013</v>
      </c>
    </row>
    <row r="1604" spans="1:18" ht="14.4" customHeight="1" x14ac:dyDescent="0.3">
      <c r="A1604" s="5" t="s">
        <v>1624</v>
      </c>
      <c r="B1604" s="5" t="str">
        <f>VLOOKUP($A1604,[1]!Customer_Names[#Data],3,0)</f>
        <v xml:space="preserve">  Nick</v>
      </c>
      <c r="C1604" s="5">
        <v>19.11</v>
      </c>
      <c r="D1604" s="5" t="str" cm="1">
        <f t="array" ref="D1604">_xlfn.IFS(Healthcare!$C1604&lt;18.5,"under weight",Healthcare!$C1604&lt;=24.9,"Normal Weight",Healthcare!$C1604&gt;=25,"overweight",Healthcare!$C1604&gt;=30,"obese")</f>
        <v>Normal Weight</v>
      </c>
      <c r="E1604" s="5">
        <v>4.3499999999999996</v>
      </c>
      <c r="F1604" s="5" t="str" cm="1">
        <f t="array" ref="F1604">_xlfn.IFS(Healthcare!$E1604&lt;5.7,"normal",Healthcare!$E1604&lt;=6.4,"prediabetes",Healthcare!$E1604&gt;=6.5,"diabetes")</f>
        <v>normal</v>
      </c>
      <c r="G1604" s="5" t="s">
        <v>19</v>
      </c>
      <c r="H1604" s="5" t="s">
        <v>19</v>
      </c>
      <c r="I1604" s="5" t="s">
        <v>19</v>
      </c>
      <c r="J1604" s="5">
        <v>2</v>
      </c>
      <c r="K1604" s="5" t="s">
        <v>19</v>
      </c>
      <c r="L1604" s="5" t="str">
        <f>VLOOKUP(Healthcare!$A1604,hospital_details,2,0)</f>
        <v>29-Jun-1972</v>
      </c>
      <c r="M1604" s="5">
        <f t="shared" ref="M1604:M1667" ca="1" si="9609">VLOOKUP(A1604,hospital_details,3,0)</f>
        <v>54</v>
      </c>
      <c r="N1604" s="5">
        <f t="shared" ref="N1604:N1667" si="9610">VLOOKUP($A1604,hospital_details,4,0)</f>
        <v>0</v>
      </c>
      <c r="O1604" s="6">
        <f t="shared" ref="O1604:O1667" si="9611">VLOOKUP($A1604,hospital_details,5,0)</f>
        <v>6219.93</v>
      </c>
      <c r="P1604" s="5" t="str">
        <f t="shared" ref="P1604:P1667" si="9612">VLOOKUP($A1604,hospital_details,6,0)</f>
        <v>tier - 2</v>
      </c>
      <c r="Q1604" s="5" t="str">
        <f t="shared" ref="Q1604:Q1667" si="9613">VLOOKUP($A1604,hospital_details,7,0)</f>
        <v>tier - 2</v>
      </c>
      <c r="R1604" s="5" t="str">
        <f t="shared" ref="R1604:R1667" si="9614">VLOOKUP($A1604,hospital_details,8,0)</f>
        <v>R1013</v>
      </c>
    </row>
    <row r="1605" spans="1:18" ht="14.4" customHeight="1" x14ac:dyDescent="0.3">
      <c r="A1605" s="7" t="s">
        <v>1625</v>
      </c>
      <c r="B1605" s="7" t="str">
        <f>VLOOKUP($A1605,[1]!Customer_Names[#Data],3,0)</f>
        <v xml:space="preserve">  Sunny S</v>
      </c>
      <c r="C1605" s="7">
        <v>31.17</v>
      </c>
      <c r="D1605" s="7" t="str" cm="1">
        <f t="array" ref="D1605">_xlfn.IFS(Healthcare!$C1605&lt;18.5,"under weight",Healthcare!$C1605&lt;=24.9,"Normal Weight",Healthcare!$C1605&gt;=25,"overweight",Healthcare!$C1605&gt;=30,"obese")</f>
        <v>overweight</v>
      </c>
      <c r="E1605" s="7">
        <v>5.28</v>
      </c>
      <c r="F1605" s="7" t="str" cm="1">
        <f t="array" ref="F1605">_xlfn.IFS(Healthcare!$E1605&lt;5.7,"normal",Healthcare!$E1605&lt;=6.4,"prediabetes",Healthcare!$E1605&gt;=6.5,"diabetes")</f>
        <v>normal</v>
      </c>
      <c r="G1605" s="7" t="s">
        <v>19</v>
      </c>
      <c r="H1605" s="7" t="s">
        <v>19</v>
      </c>
      <c r="I1605" s="7" t="s">
        <v>19</v>
      </c>
      <c r="J1605" s="7">
        <v>1</v>
      </c>
      <c r="K1605" s="7" t="s">
        <v>19</v>
      </c>
      <c r="L1605" s="7" t="str">
        <f>VLOOKUP(Healthcare!$A1605,hospital_details,2,0)</f>
        <v>12-Aug-1992</v>
      </c>
      <c r="M1605" s="7">
        <f t="shared" ref="M1605:M1668" ca="1" si="9615">VLOOKUP(A1605,hospital_details,3,0)</f>
        <v>34</v>
      </c>
      <c r="N1605" s="7">
        <f t="shared" ref="N1605:N1668" si="9616">VLOOKUP($A1605,hospital_details,4,0)</f>
        <v>0</v>
      </c>
      <c r="O1605" s="8">
        <f t="shared" ref="O1605:O1668" si="9617">VLOOKUP($A1605,hospital_details,5,0)</f>
        <v>6208.5</v>
      </c>
      <c r="P1605" s="7" t="str">
        <f t="shared" ref="P1605:P1668" si="9618">VLOOKUP($A1605,hospital_details,6,0)</f>
        <v>tier - 2</v>
      </c>
      <c r="Q1605" s="7" t="str">
        <f t="shared" ref="Q1605:Q1668" si="9619">VLOOKUP($A1605,hospital_details,7,0)</f>
        <v>tier - 1</v>
      </c>
      <c r="R1605" s="7" t="str">
        <f t="shared" ref="R1605:R1668" si="9620">VLOOKUP($A1605,hospital_details,8,0)</f>
        <v>R1021</v>
      </c>
    </row>
    <row r="1606" spans="1:18" ht="14.4" customHeight="1" x14ac:dyDescent="0.3">
      <c r="A1606" s="5" t="s">
        <v>1626</v>
      </c>
      <c r="B1606" s="5" t="str">
        <f>VLOOKUP($A1606,[1]!Customer_Names[#Data],3,0)</f>
        <v xml:space="preserve">  Anne-Marie</v>
      </c>
      <c r="C1606" s="5">
        <v>36.08</v>
      </c>
      <c r="D1606" s="5" t="str" cm="1">
        <f t="array" ref="D1606">_xlfn.IFS(Healthcare!$C1606&lt;18.5,"under weight",Healthcare!$C1606&lt;=24.9,"Normal Weight",Healthcare!$C1606&gt;=25,"overweight",Healthcare!$C1606&gt;=30,"obese")</f>
        <v>overweight</v>
      </c>
      <c r="E1606" s="5">
        <v>4.29</v>
      </c>
      <c r="F1606" s="5" t="str" cm="1">
        <f t="array" ref="F1606">_xlfn.IFS(Healthcare!$E1606&lt;5.7,"normal",Healthcare!$E1606&lt;=6.4,"prediabetes",Healthcare!$E1606&gt;=6.5,"diabetes")</f>
        <v>normal</v>
      </c>
      <c r="G1606" s="5" t="s">
        <v>19</v>
      </c>
      <c r="H1606" s="5" t="s">
        <v>19</v>
      </c>
      <c r="I1606" s="5" t="s">
        <v>19</v>
      </c>
      <c r="J1606" s="5">
        <v>0</v>
      </c>
      <c r="K1606" s="5" t="s">
        <v>19</v>
      </c>
      <c r="L1606" s="5" t="str">
        <f>VLOOKUP(Healthcare!$A1606,hospital_details,2,0)</f>
        <v>10-Sep-1999</v>
      </c>
      <c r="M1606" s="5">
        <f t="shared" ref="M1606:M1669" ca="1" si="9621">VLOOKUP(A1606,hospital_details,3,0)</f>
        <v>27</v>
      </c>
      <c r="N1606" s="5">
        <f t="shared" ref="N1606:N1669" si="9622">VLOOKUP($A1606,hospital_details,4,0)</f>
        <v>0</v>
      </c>
      <c r="O1606" s="6">
        <f t="shared" ref="O1606:O1669" si="9623">VLOOKUP($A1606,hospital_details,5,0)</f>
        <v>6207.26</v>
      </c>
      <c r="P1606" s="5" t="str">
        <f t="shared" ref="P1606:P1669" si="9624">VLOOKUP($A1606,hospital_details,6,0)</f>
        <v>tier - 2</v>
      </c>
      <c r="Q1606" s="5" t="str">
        <f t="shared" ref="Q1606:Q1669" si="9625">VLOOKUP($A1606,hospital_details,7,0)</f>
        <v>tier - 2</v>
      </c>
      <c r="R1606" s="5" t="str">
        <f t="shared" ref="R1606:R1669" si="9626">VLOOKUP($A1606,hospital_details,8,0)</f>
        <v>R1026</v>
      </c>
    </row>
    <row r="1607" spans="1:18" ht="14.4" customHeight="1" x14ac:dyDescent="0.3">
      <c r="A1607" s="7" t="s">
        <v>1627</v>
      </c>
      <c r="B1607" s="7" t="str">
        <f>VLOOKUP($A1607,[1]!Customer_Names[#Data],3,0)</f>
        <v xml:space="preserve">  Nicholas</v>
      </c>
      <c r="C1607" s="7">
        <v>28.024999999999999</v>
      </c>
      <c r="D1607" s="7" t="str" cm="1">
        <f t="array" ref="D1607">_xlfn.IFS(Healthcare!$C1607&lt;18.5,"under weight",Healthcare!$C1607&lt;=24.9,"Normal Weight",Healthcare!$C1607&gt;=25,"overweight",Healthcare!$C1607&gt;=30,"obese")</f>
        <v>overweight</v>
      </c>
      <c r="E1607" s="7">
        <v>5.69</v>
      </c>
      <c r="F1607" s="7" t="str" cm="1">
        <f t="array" ref="F1607">_xlfn.IFS(Healthcare!$E1607&lt;5.7,"normal",Healthcare!$E1607&lt;=6.4,"prediabetes",Healthcare!$E1607&gt;=6.5,"diabetes")</f>
        <v>normal</v>
      </c>
      <c r="G1607" s="7" t="s">
        <v>20</v>
      </c>
      <c r="H1607" s="7" t="s">
        <v>19</v>
      </c>
      <c r="I1607" s="7" t="s">
        <v>19</v>
      </c>
      <c r="J1607" s="7">
        <v>0</v>
      </c>
      <c r="K1607" s="7" t="s">
        <v>19</v>
      </c>
      <c r="L1607" s="7" t="str">
        <f>VLOOKUP(Healthcare!$A1607,hospital_details,2,0)</f>
        <v>22-Sep-1985</v>
      </c>
      <c r="M1607" s="7">
        <f t="shared" ref="M1607:M1670" ca="1" si="9627">VLOOKUP(A1607,hospital_details,3,0)</f>
        <v>41</v>
      </c>
      <c r="N1607" s="7">
        <f t="shared" ref="N1607:N1670" si="9628">VLOOKUP($A1607,hospital_details,4,0)</f>
        <v>2</v>
      </c>
      <c r="O1607" s="8">
        <f t="shared" ref="O1607:O1670" si="9629">VLOOKUP($A1607,hospital_details,5,0)</f>
        <v>6203.9</v>
      </c>
      <c r="P1607" s="7" t="str">
        <f t="shared" ref="P1607:P1670" si="9630">VLOOKUP($A1607,hospital_details,6,0)</f>
        <v>tier - 2</v>
      </c>
      <c r="Q1607" s="7" t="str">
        <f t="shared" ref="Q1607:Q1670" si="9631">VLOOKUP($A1607,hospital_details,7,0)</f>
        <v>tier - 2</v>
      </c>
      <c r="R1607" s="7" t="str">
        <f t="shared" ref="R1607:R1670" si="9632">VLOOKUP($A1607,hospital_details,8,0)</f>
        <v>R1012</v>
      </c>
    </row>
    <row r="1608" spans="1:18" ht="14.4" customHeight="1" x14ac:dyDescent="0.3">
      <c r="A1608" s="5" t="s">
        <v>1628</v>
      </c>
      <c r="B1608" s="5" t="str">
        <f>VLOOKUP($A1608,[1]!Customer_Names[#Data],3,0)</f>
        <v xml:space="preserve">  Scott M</v>
      </c>
      <c r="C1608" s="5">
        <v>24.32</v>
      </c>
      <c r="D1608" s="5" t="str" cm="1">
        <f t="array" ref="D1608">_xlfn.IFS(Healthcare!$C1608&lt;18.5,"under weight",Healthcare!$C1608&lt;=24.9,"Normal Weight",Healthcare!$C1608&gt;=25,"overweight",Healthcare!$C1608&gt;=30,"obese")</f>
        <v>Normal Weight</v>
      </c>
      <c r="E1608" s="5">
        <v>5.56</v>
      </c>
      <c r="F1608" s="5" t="str" cm="1">
        <f t="array" ref="F1608">_xlfn.IFS(Healthcare!$E1608&lt;5.7,"normal",Healthcare!$E1608&lt;=6.4,"prediabetes",Healthcare!$E1608&gt;=6.5,"diabetes")</f>
        <v>normal</v>
      </c>
      <c r="G1608" s="5" t="s">
        <v>20</v>
      </c>
      <c r="H1608" s="5" t="s">
        <v>19</v>
      </c>
      <c r="I1608" s="5" t="s">
        <v>19</v>
      </c>
      <c r="J1608" s="5">
        <v>0</v>
      </c>
      <c r="K1608" s="5" t="s">
        <v>19</v>
      </c>
      <c r="L1608" s="5" t="str">
        <f>VLOOKUP(Healthcare!$A1608,hospital_details,2,0)</f>
        <v>22-Jul-1985</v>
      </c>
      <c r="M1608" s="5">
        <f t="shared" ref="M1608:M1671" ca="1" si="9633">VLOOKUP(A1608,hospital_details,3,0)</f>
        <v>41</v>
      </c>
      <c r="N1608" s="5">
        <f t="shared" ref="N1608:N1671" si="9634">VLOOKUP($A1608,hospital_details,4,0)</f>
        <v>2</v>
      </c>
      <c r="O1608" s="6">
        <f t="shared" ref="O1608:O1671" si="9635">VLOOKUP($A1608,hospital_details,5,0)</f>
        <v>6198.75</v>
      </c>
      <c r="P1608" s="5" t="str">
        <f t="shared" ref="P1608:P1671" si="9636">VLOOKUP($A1608,hospital_details,6,0)</f>
        <v>tier - 2</v>
      </c>
      <c r="Q1608" s="5" t="str">
        <f t="shared" ref="Q1608:Q1671" si="9637">VLOOKUP($A1608,hospital_details,7,0)</f>
        <v>tier - 1</v>
      </c>
      <c r="R1608" s="5" t="str">
        <f t="shared" ref="R1608:R1671" si="9638">VLOOKUP($A1608,hospital_details,8,0)</f>
        <v>R1012</v>
      </c>
    </row>
    <row r="1609" spans="1:18" ht="14.4" customHeight="1" x14ac:dyDescent="0.3">
      <c r="A1609" s="7" t="s">
        <v>1629</v>
      </c>
      <c r="B1609" s="7" t="str">
        <f>VLOOKUP($A1609,[1]!Customer_Names[#Data],3,0)</f>
        <v xml:space="preserve">  Marisa A</v>
      </c>
      <c r="C1609" s="7">
        <v>38</v>
      </c>
      <c r="D1609" s="7" t="str" cm="1">
        <f t="array" ref="D1609">_xlfn.IFS(Healthcare!$C1609&lt;18.5,"under weight",Healthcare!$C1609&lt;=24.9,"Normal Weight",Healthcare!$C1609&gt;=25,"overweight",Healthcare!$C1609&gt;=30,"obese")</f>
        <v>overweight</v>
      </c>
      <c r="E1609" s="7">
        <v>5.41</v>
      </c>
      <c r="F1609" s="7" t="str" cm="1">
        <f t="array" ref="F1609">_xlfn.IFS(Healthcare!$E1609&lt;5.7,"normal",Healthcare!$E1609&lt;=6.4,"prediabetes",Healthcare!$E1609&gt;=6.5,"diabetes")</f>
        <v>normal</v>
      </c>
      <c r="G1609" s="7" t="s">
        <v>20</v>
      </c>
      <c r="H1609" s="7" t="s">
        <v>19</v>
      </c>
      <c r="I1609" s="7" t="s">
        <v>19</v>
      </c>
      <c r="J1609" s="7">
        <v>1</v>
      </c>
      <c r="K1609" s="7" t="s">
        <v>19</v>
      </c>
      <c r="L1609" s="7" t="str">
        <f>VLOOKUP(Healthcare!$A1609,hospital_details,2,0)</f>
        <v>23-Oct-1988</v>
      </c>
      <c r="M1609" s="7">
        <f t="shared" ref="M1609:M1672" ca="1" si="9639">VLOOKUP(A1609,hospital_details,3,0)</f>
        <v>37</v>
      </c>
      <c r="N1609" s="7">
        <f t="shared" ref="N1609:N1672" si="9640">VLOOKUP($A1609,hospital_details,4,0)</f>
        <v>3</v>
      </c>
      <c r="O1609" s="8">
        <f t="shared" ref="O1609:O1672" si="9641">VLOOKUP($A1609,hospital_details,5,0)</f>
        <v>6196.45</v>
      </c>
      <c r="P1609" s="7" t="str">
        <f t="shared" ref="P1609:P1672" si="9642">VLOOKUP($A1609,hospital_details,6,0)</f>
        <v>tier - 2</v>
      </c>
      <c r="Q1609" s="7" t="str">
        <f t="shared" ref="Q1609:Q1672" si="9643">VLOOKUP($A1609,hospital_details,7,0)</f>
        <v>tier - 1</v>
      </c>
      <c r="R1609" s="7" t="str">
        <f t="shared" ref="R1609:R1672" si="9644">VLOOKUP($A1609,hospital_details,8,0)</f>
        <v>R1011</v>
      </c>
    </row>
    <row r="1610" spans="1:18" ht="14.4" customHeight="1" x14ac:dyDescent="0.3">
      <c r="A1610" s="5" t="s">
        <v>1630</v>
      </c>
      <c r="B1610" s="5" t="str">
        <f>VLOOKUP($A1610,[1]!Customer_Names[#Data],3,0)</f>
        <v xml:space="preserve">  Katie</v>
      </c>
      <c r="C1610" s="5">
        <v>31.6</v>
      </c>
      <c r="D1610" s="5" t="str" cm="1">
        <f t="array" ref="D1610">_xlfn.IFS(Healthcare!$C1610&lt;18.5,"under weight",Healthcare!$C1610&lt;=24.9,"Normal Weight",Healthcare!$C1610&gt;=25,"overweight",Healthcare!$C1610&gt;=30,"obese")</f>
        <v>overweight</v>
      </c>
      <c r="E1610" s="5">
        <v>10.85</v>
      </c>
      <c r="F1610" s="5" t="str" cm="1">
        <f t="array" ref="F1610">_xlfn.IFS(Healthcare!$E1610&lt;5.7,"normal",Healthcare!$E1610&lt;=6.4,"prediabetes",Healthcare!$E1610&gt;=6.5,"diabetes")</f>
        <v>diabetes</v>
      </c>
      <c r="G1610" s="5" t="s">
        <v>20</v>
      </c>
      <c r="H1610" s="5" t="s">
        <v>19</v>
      </c>
      <c r="I1610" s="5" t="s">
        <v>19</v>
      </c>
      <c r="J1610" s="5">
        <v>0</v>
      </c>
      <c r="K1610" s="5" t="s">
        <v>19</v>
      </c>
      <c r="L1610" s="5" t="str">
        <f>VLOOKUP(Healthcare!$A1610,hospital_details,2,0)</f>
        <v>1-Oct-1981</v>
      </c>
      <c r="M1610" s="5">
        <f t="shared" ref="M1610:M1673" ca="1" si="9645">VLOOKUP(A1610,hospital_details,3,0)</f>
        <v>45</v>
      </c>
      <c r="N1610" s="5">
        <f t="shared" ref="N1610:N1673" si="9646">VLOOKUP($A1610,hospital_details,4,0)</f>
        <v>0</v>
      </c>
      <c r="O1610" s="6">
        <f t="shared" ref="O1610:O1673" si="9647">VLOOKUP($A1610,hospital_details,5,0)</f>
        <v>6186.13</v>
      </c>
      <c r="P1610" s="5" t="str">
        <f t="shared" ref="P1610:P1673" si="9648">VLOOKUP($A1610,hospital_details,6,0)</f>
        <v>tier - 2</v>
      </c>
      <c r="Q1610" s="5" t="str">
        <f t="shared" ref="Q1610:Q1673" si="9649">VLOOKUP($A1610,hospital_details,7,0)</f>
        <v>tier - 3</v>
      </c>
      <c r="R1610" s="5" t="str">
        <f t="shared" ref="R1610:R1673" si="9650">VLOOKUP($A1610,hospital_details,8,0)</f>
        <v>R1011</v>
      </c>
    </row>
    <row r="1611" spans="1:18" ht="14.4" customHeight="1" x14ac:dyDescent="0.3">
      <c r="A1611" s="7" t="s">
        <v>1631</v>
      </c>
      <c r="B1611" s="7" t="str">
        <f>VLOOKUP($A1611,[1]!Customer_Names[#Data],3,0)</f>
        <v xml:space="preserve">  Amy L</v>
      </c>
      <c r="C1611" s="7">
        <v>31.02</v>
      </c>
      <c r="D1611" s="7" t="str" cm="1">
        <f t="array" ref="D1611">_xlfn.IFS(Healthcare!$C1611&lt;18.5,"under weight",Healthcare!$C1611&lt;=24.9,"Normal Weight",Healthcare!$C1611&gt;=25,"overweight",Healthcare!$C1611&gt;=30,"obese")</f>
        <v>overweight</v>
      </c>
      <c r="E1611" s="7">
        <v>11.63</v>
      </c>
      <c r="F1611" s="7" t="str" cm="1">
        <f t="array" ref="F1611">_xlfn.IFS(Healthcare!$E1611&lt;5.7,"normal",Healthcare!$E1611&lt;=6.4,"prediabetes",Healthcare!$E1611&gt;=6.5,"diabetes")</f>
        <v>diabetes</v>
      </c>
      <c r="G1611" s="7" t="s">
        <v>20</v>
      </c>
      <c r="H1611" s="7" t="s">
        <v>19</v>
      </c>
      <c r="I1611" s="7" t="s">
        <v>19</v>
      </c>
      <c r="J1611" s="7">
        <v>0</v>
      </c>
      <c r="K1611" s="7" t="s">
        <v>19</v>
      </c>
      <c r="L1611" s="7" t="str">
        <f>VLOOKUP(Healthcare!$A1611,hospital_details,2,0)</f>
        <v>22-Nov-1981</v>
      </c>
      <c r="M1611" s="7">
        <f t="shared" ref="M1611:M1674" ca="1" si="9651">VLOOKUP(A1611,hospital_details,3,0)</f>
        <v>44</v>
      </c>
      <c r="N1611" s="7">
        <f t="shared" ref="N1611:N1674" si="9652">VLOOKUP($A1611,hospital_details,4,0)</f>
        <v>0</v>
      </c>
      <c r="O1611" s="8">
        <f t="shared" ref="O1611:O1674" si="9653">VLOOKUP($A1611,hospital_details,5,0)</f>
        <v>6185.32</v>
      </c>
      <c r="P1611" s="7" t="str">
        <f t="shared" ref="P1611:P1674" si="9654">VLOOKUP($A1611,hospital_details,6,0)</f>
        <v>tier - 2</v>
      </c>
      <c r="Q1611" s="7" t="str">
        <f t="shared" ref="Q1611:Q1674" si="9655">VLOOKUP($A1611,hospital_details,7,0)</f>
        <v>tier - 1</v>
      </c>
      <c r="R1611" s="7" t="str">
        <f t="shared" ref="R1611:R1674" si="9656">VLOOKUP($A1611,hospital_details,8,0)</f>
        <v>R1013</v>
      </c>
    </row>
    <row r="1612" spans="1:18" ht="14.4" customHeight="1" x14ac:dyDescent="0.3">
      <c r="A1612" s="5" t="s">
        <v>1632</v>
      </c>
      <c r="B1612" s="5" t="str">
        <f>VLOOKUP($A1612,[1]!Customer_Names[#Data],3,0)</f>
        <v xml:space="preserve">  Jenna M</v>
      </c>
      <c r="C1612" s="5">
        <v>29.26</v>
      </c>
      <c r="D1612" s="5" t="str" cm="1">
        <f t="array" ref="D1612">_xlfn.IFS(Healthcare!$C1612&lt;18.5,"under weight",Healthcare!$C1612&lt;=24.9,"Normal Weight",Healthcare!$C1612&gt;=25,"overweight",Healthcare!$C1612&gt;=30,"obese")</f>
        <v>overweight</v>
      </c>
      <c r="E1612" s="5">
        <v>5.68</v>
      </c>
      <c r="F1612" s="5" t="str" cm="1">
        <f t="array" ref="F1612">_xlfn.IFS(Healthcare!$E1612&lt;5.7,"normal",Healthcare!$E1612&lt;=6.4,"prediabetes",Healthcare!$E1612&gt;=6.5,"diabetes")</f>
        <v>normal</v>
      </c>
      <c r="G1612" s="5" t="s">
        <v>20</v>
      </c>
      <c r="H1612" s="5" t="s">
        <v>19</v>
      </c>
      <c r="I1612" s="5" t="s">
        <v>19</v>
      </c>
      <c r="J1612" s="5">
        <v>1</v>
      </c>
      <c r="K1612" s="5" t="s">
        <v>19</v>
      </c>
      <c r="L1612" s="5" t="str">
        <f>VLOOKUP(Healthcare!$A1612,hospital_details,2,0)</f>
        <v>1-Nov-1988</v>
      </c>
      <c r="M1612" s="5">
        <f t="shared" ref="M1612:M1675" ca="1" si="9657">VLOOKUP(A1612,hospital_details,3,0)</f>
        <v>37</v>
      </c>
      <c r="N1612" s="5">
        <f t="shared" ref="N1612:N1675" si="9658">VLOOKUP($A1612,hospital_details,4,0)</f>
        <v>3</v>
      </c>
      <c r="O1612" s="6">
        <f t="shared" ref="O1612:O1675" si="9659">VLOOKUP($A1612,hospital_details,5,0)</f>
        <v>6184.3</v>
      </c>
      <c r="P1612" s="5" t="str">
        <f t="shared" ref="P1612:P1675" si="9660">VLOOKUP($A1612,hospital_details,6,0)</f>
        <v>tier - 2</v>
      </c>
      <c r="Q1612" s="5" t="str">
        <f t="shared" ref="Q1612:Q1675" si="9661">VLOOKUP($A1612,hospital_details,7,0)</f>
        <v>tier - 3</v>
      </c>
      <c r="R1612" s="5" t="str">
        <f t="shared" ref="R1612:R1675" si="9662">VLOOKUP($A1612,hospital_details,8,0)</f>
        <v>R1013</v>
      </c>
    </row>
    <row r="1613" spans="1:18" ht="14.4" customHeight="1" x14ac:dyDescent="0.3">
      <c r="A1613" s="7" t="s">
        <v>1633</v>
      </c>
      <c r="B1613" s="7" t="str">
        <f>VLOOKUP($A1613,[1]!Customer_Names[#Data],3,0)</f>
        <v xml:space="preserve">  Elizabeth M</v>
      </c>
      <c r="C1613" s="7">
        <v>15.09</v>
      </c>
      <c r="D1613" s="7" t="str" cm="1">
        <f t="array" ref="D1613">_xlfn.IFS(Healthcare!$C1613&lt;18.5,"under weight",Healthcare!$C1613&lt;=24.9,"Normal Weight",Healthcare!$C1613&gt;=25,"overweight",Healthcare!$C1613&gt;=30,"obese")</f>
        <v>under weight</v>
      </c>
      <c r="E1613" s="7">
        <v>7.59</v>
      </c>
      <c r="F1613" s="7" t="str" cm="1">
        <f t="array" ref="F1613">_xlfn.IFS(Healthcare!$E1613&lt;5.7,"normal",Healthcare!$E1613&lt;=6.4,"prediabetes",Healthcare!$E1613&gt;=6.5,"diabetes")</f>
        <v>diabetes</v>
      </c>
      <c r="G1613" s="7" t="s">
        <v>20</v>
      </c>
      <c r="H1613" s="7" t="s">
        <v>19</v>
      </c>
      <c r="I1613" s="7" t="s">
        <v>19</v>
      </c>
      <c r="J1613" s="7">
        <v>2</v>
      </c>
      <c r="K1613" s="7" t="s">
        <v>19</v>
      </c>
      <c r="L1613" s="7" t="str">
        <f>VLOOKUP(Healthcare!$A1613,hospital_details,2,0)</f>
        <v>5-Oct-1970</v>
      </c>
      <c r="M1613" s="7">
        <f t="shared" ref="M1613:M1676" ca="1" si="9663">VLOOKUP(A1613,hospital_details,3,0)</f>
        <v>56</v>
      </c>
      <c r="N1613" s="7">
        <f t="shared" ref="N1613:N1676" si="9664">VLOOKUP($A1613,hospital_details,4,0)</f>
        <v>0</v>
      </c>
      <c r="O1613" s="8">
        <f t="shared" ref="O1613:O1676" si="9665">VLOOKUP($A1613,hospital_details,5,0)</f>
        <v>6183.46</v>
      </c>
      <c r="P1613" s="7" t="str">
        <f t="shared" ref="P1613:P1676" si="9666">VLOOKUP($A1613,hospital_details,6,0)</f>
        <v>tier - 2</v>
      </c>
      <c r="Q1613" s="7" t="str">
        <f t="shared" ref="Q1613:Q1676" si="9667">VLOOKUP($A1613,hospital_details,7,0)</f>
        <v>tier - 2</v>
      </c>
      <c r="R1613" s="7" t="str">
        <f t="shared" ref="R1613:R1676" si="9668">VLOOKUP($A1613,hospital_details,8,0)</f>
        <v>R1012</v>
      </c>
    </row>
    <row r="1614" spans="1:18" ht="14.4" customHeight="1" x14ac:dyDescent="0.3">
      <c r="A1614" s="5" t="s">
        <v>1634</v>
      </c>
      <c r="B1614" s="5" t="str">
        <f>VLOOKUP($A1614,[1]!Customer_Names[#Data],3,0)</f>
        <v xml:space="preserve">  Lyazid</v>
      </c>
      <c r="C1614" s="5">
        <v>22.63</v>
      </c>
      <c r="D1614" s="5" t="str" cm="1">
        <f t="array" ref="D1614">_xlfn.IFS(Healthcare!$C1614&lt;18.5,"under weight",Healthcare!$C1614&lt;=24.9,"Normal Weight",Healthcare!$C1614&gt;=25,"overweight",Healthcare!$C1614&gt;=30,"obese")</f>
        <v>Normal Weight</v>
      </c>
      <c r="E1614" s="5">
        <v>5.09</v>
      </c>
      <c r="F1614" s="5" t="str" cm="1">
        <f t="array" ref="F1614">_xlfn.IFS(Healthcare!$E1614&lt;5.7,"normal",Healthcare!$E1614&lt;=6.4,"prediabetes",Healthcare!$E1614&gt;=6.5,"diabetes")</f>
        <v>normal</v>
      </c>
      <c r="G1614" s="5" t="s">
        <v>20</v>
      </c>
      <c r="H1614" s="5" t="s">
        <v>19</v>
      </c>
      <c r="I1614" s="5" t="s">
        <v>19</v>
      </c>
      <c r="J1614" s="5">
        <v>0</v>
      </c>
      <c r="K1614" s="5" t="s">
        <v>19</v>
      </c>
      <c r="L1614" s="5" t="str">
        <f>VLOOKUP(Healthcare!$A1614,hospital_details,2,0)</f>
        <v>9-Aug-1985</v>
      </c>
      <c r="M1614" s="5">
        <f t="shared" ref="M1614:M1677" ca="1" si="9669">VLOOKUP(A1614,hospital_details,3,0)</f>
        <v>41</v>
      </c>
      <c r="N1614" s="5">
        <f t="shared" ref="N1614:N1677" si="9670">VLOOKUP($A1614,hospital_details,4,0)</f>
        <v>3</v>
      </c>
      <c r="O1614" s="6">
        <f t="shared" ref="O1614:O1677" si="9671">VLOOKUP($A1614,hospital_details,5,0)</f>
        <v>6183.32</v>
      </c>
      <c r="P1614" s="5" t="str">
        <f t="shared" ref="P1614:P1677" si="9672">VLOOKUP($A1614,hospital_details,6,0)</f>
        <v>tier - 2</v>
      </c>
      <c r="Q1614" s="5" t="str">
        <f t="shared" ref="Q1614:Q1677" si="9673">VLOOKUP($A1614,hospital_details,7,0)</f>
        <v>tier - 2</v>
      </c>
      <c r="R1614" s="5" t="str">
        <f t="shared" ref="R1614:R1677" si="9674">VLOOKUP($A1614,hospital_details,8,0)</f>
        <v>R1012</v>
      </c>
    </row>
    <row r="1615" spans="1:18" ht="14.4" customHeight="1" x14ac:dyDescent="0.3">
      <c r="A1615" s="7" t="s">
        <v>1635</v>
      </c>
      <c r="B1615" s="7" t="str">
        <f>VLOOKUP($A1615,[1]!Customer_Names[#Data],3,0)</f>
        <v xml:space="preserve">  Lindsey A</v>
      </c>
      <c r="C1615" s="7">
        <v>23.46</v>
      </c>
      <c r="D1615" s="7" t="str" cm="1">
        <f t="array" ref="D1615">_xlfn.IFS(Healthcare!$C1615&lt;18.5,"under weight",Healthcare!$C1615&lt;=24.9,"Normal Weight",Healthcare!$C1615&gt;=25,"overweight",Healthcare!$C1615&gt;=30,"obese")</f>
        <v>Normal Weight</v>
      </c>
      <c r="E1615" s="7">
        <v>4.21</v>
      </c>
      <c r="F1615" s="7" t="str" cm="1">
        <f t="array" ref="F1615">_xlfn.IFS(Healthcare!$E1615&lt;5.7,"normal",Healthcare!$E1615&lt;=6.4,"prediabetes",Healthcare!$E1615&gt;=6.5,"diabetes")</f>
        <v>normal</v>
      </c>
      <c r="G1615" s="7" t="s">
        <v>19</v>
      </c>
      <c r="H1615" s="7" t="s">
        <v>19</v>
      </c>
      <c r="I1615" s="7" t="s">
        <v>19</v>
      </c>
      <c r="J1615" s="7">
        <v>1</v>
      </c>
      <c r="K1615" s="7" t="s">
        <v>19</v>
      </c>
      <c r="L1615" s="7" t="str">
        <f>VLOOKUP(Healthcare!$A1615,hospital_details,2,0)</f>
        <v>6-Oct-1984</v>
      </c>
      <c r="M1615" s="7">
        <f t="shared" ref="M1615:M1678" ca="1" si="9675">VLOOKUP(A1615,hospital_details,3,0)</f>
        <v>42</v>
      </c>
      <c r="N1615" s="7">
        <f t="shared" ref="N1615:N1678" si="9676">VLOOKUP($A1615,hospital_details,4,0)</f>
        <v>3</v>
      </c>
      <c r="O1615" s="8">
        <f t="shared" ref="O1615:O1678" si="9677">VLOOKUP($A1615,hospital_details,5,0)</f>
        <v>6170.96</v>
      </c>
      <c r="P1615" s="7" t="str">
        <f t="shared" ref="P1615:P1678" si="9678">VLOOKUP($A1615,hospital_details,6,0)</f>
        <v>tier - 2</v>
      </c>
      <c r="Q1615" s="7" t="str">
        <f t="shared" ref="Q1615:Q1678" si="9679">VLOOKUP($A1615,hospital_details,7,0)</f>
        <v>tier - 1</v>
      </c>
      <c r="R1615" s="7" t="str">
        <f t="shared" ref="R1615:R1678" si="9680">VLOOKUP($A1615,hospital_details,8,0)</f>
        <v>R1013</v>
      </c>
    </row>
    <row r="1616" spans="1:18" ht="14.4" customHeight="1" x14ac:dyDescent="0.3">
      <c r="A1616" s="5" t="s">
        <v>1636</v>
      </c>
      <c r="B1616" s="5" t="str">
        <f>VLOOKUP($A1616,[1]!Customer_Names[#Data],3,0)</f>
        <v xml:space="preserve">  Chris</v>
      </c>
      <c r="C1616" s="5">
        <v>22.56</v>
      </c>
      <c r="D1616" s="5" t="str" cm="1">
        <f t="array" ref="D1616">_xlfn.IFS(Healthcare!$C1616&lt;18.5,"under weight",Healthcare!$C1616&lt;=24.9,"Normal Weight",Healthcare!$C1616&gt;=25,"overweight",Healthcare!$C1616&gt;=30,"obese")</f>
        <v>Normal Weight</v>
      </c>
      <c r="E1616" s="5">
        <v>4.34</v>
      </c>
      <c r="F1616" s="5" t="str" cm="1">
        <f t="array" ref="F1616">_xlfn.IFS(Healthcare!$E1616&lt;5.7,"normal",Healthcare!$E1616&lt;=6.4,"prediabetes",Healthcare!$E1616&gt;=6.5,"diabetes")</f>
        <v>normal</v>
      </c>
      <c r="G1616" s="5" t="s">
        <v>20</v>
      </c>
      <c r="H1616" s="5" t="s">
        <v>19</v>
      </c>
      <c r="I1616" s="5" t="s">
        <v>19</v>
      </c>
      <c r="J1616" s="5">
        <v>0</v>
      </c>
      <c r="K1616" s="5" t="s">
        <v>19</v>
      </c>
      <c r="L1616" s="5" t="str">
        <f>VLOOKUP(Healthcare!$A1616,hospital_details,2,0)</f>
        <v>15-Oct-1985</v>
      </c>
      <c r="M1616" s="5">
        <f t="shared" ref="M1616:M1679" ca="1" si="9681">VLOOKUP(A1616,hospital_details,3,0)</f>
        <v>41</v>
      </c>
      <c r="N1616" s="5">
        <f t="shared" ref="N1616:N1679" si="9682">VLOOKUP($A1616,hospital_details,4,0)</f>
        <v>3</v>
      </c>
      <c r="O1616" s="6">
        <f t="shared" ref="O1616:O1679" si="9683">VLOOKUP($A1616,hospital_details,5,0)</f>
        <v>6159.57</v>
      </c>
      <c r="P1616" s="5" t="str">
        <f t="shared" ref="P1616:P1679" si="9684">VLOOKUP($A1616,hospital_details,6,0)</f>
        <v>tier - 2</v>
      </c>
      <c r="Q1616" s="5" t="str">
        <f t="shared" ref="Q1616:Q1679" si="9685">VLOOKUP($A1616,hospital_details,7,0)</f>
        <v>tier - 1</v>
      </c>
      <c r="R1616" s="5" t="str">
        <f t="shared" ref="R1616:R1679" si="9686">VLOOKUP($A1616,hospital_details,8,0)</f>
        <v>R1012</v>
      </c>
    </row>
    <row r="1617" spans="1:18" ht="14.4" customHeight="1" x14ac:dyDescent="0.3">
      <c r="A1617" s="7" t="s">
        <v>1637</v>
      </c>
      <c r="B1617" s="7" t="str">
        <f>VLOOKUP($A1617,[1]!Customer_Names[#Data],3,0)</f>
        <v xml:space="preserve">  Jennifer A</v>
      </c>
      <c r="C1617" s="7">
        <v>19.28</v>
      </c>
      <c r="D1617" s="7" t="str" cm="1">
        <f t="array" ref="D1617">_xlfn.IFS(Healthcare!$C1617&lt;18.5,"under weight",Healthcare!$C1617&lt;=24.9,"Normal Weight",Healthcare!$C1617&gt;=25,"overweight",Healthcare!$C1617&gt;=30,"obese")</f>
        <v>Normal Weight</v>
      </c>
      <c r="E1617" s="7">
        <v>11.85</v>
      </c>
      <c r="F1617" s="7" t="str" cm="1">
        <f t="array" ref="F1617">_xlfn.IFS(Healthcare!$E1617&lt;5.7,"normal",Healthcare!$E1617&lt;=6.4,"prediabetes",Healthcare!$E1617&gt;=6.5,"diabetes")</f>
        <v>diabetes</v>
      </c>
      <c r="G1617" s="7" t="s">
        <v>19</v>
      </c>
      <c r="H1617" s="7" t="s">
        <v>19</v>
      </c>
      <c r="I1617" s="7" t="s">
        <v>19</v>
      </c>
      <c r="J1617" s="7">
        <v>2</v>
      </c>
      <c r="K1617" s="7" t="s">
        <v>19</v>
      </c>
      <c r="L1617" s="7" t="str">
        <f>VLOOKUP(Healthcare!$A1617,hospital_details,2,0)</f>
        <v>6-Nov-1973</v>
      </c>
      <c r="M1617" s="7">
        <f t="shared" ref="M1617:M1680" ca="1" si="9687">VLOOKUP(A1617,hospital_details,3,0)</f>
        <v>52</v>
      </c>
      <c r="N1617" s="7">
        <f t="shared" ref="N1617:N1680" si="9688">VLOOKUP($A1617,hospital_details,4,0)</f>
        <v>0</v>
      </c>
      <c r="O1617" s="8">
        <f t="shared" ref="O1617:O1680" si="9689">VLOOKUP($A1617,hospital_details,5,0)</f>
        <v>6152.05</v>
      </c>
      <c r="P1617" s="7" t="str">
        <f t="shared" ref="P1617:P1680" si="9690">VLOOKUP($A1617,hospital_details,6,0)</f>
        <v>tier - 2</v>
      </c>
      <c r="Q1617" s="7" t="str">
        <f t="shared" ref="Q1617:Q1680" si="9691">VLOOKUP($A1617,hospital_details,7,0)</f>
        <v>tier - 3</v>
      </c>
      <c r="R1617" s="7" t="str">
        <f t="shared" ref="R1617:R1680" si="9692">VLOOKUP($A1617,hospital_details,8,0)</f>
        <v>R1013</v>
      </c>
    </row>
    <row r="1618" spans="1:18" ht="14.4" customHeight="1" x14ac:dyDescent="0.3">
      <c r="A1618" s="5" t="s">
        <v>1638</v>
      </c>
      <c r="B1618" s="5" t="str">
        <f>VLOOKUP($A1618,[1]!Customer_Names[#Data],3,0)</f>
        <v xml:space="preserve">  Leif S</v>
      </c>
      <c r="C1618" s="5">
        <v>15.37</v>
      </c>
      <c r="D1618" s="5" t="str" cm="1">
        <f t="array" ref="D1618">_xlfn.IFS(Healthcare!$C1618&lt;18.5,"under weight",Healthcare!$C1618&lt;=24.9,"Normal Weight",Healthcare!$C1618&gt;=25,"overweight",Healthcare!$C1618&gt;=30,"obese")</f>
        <v>under weight</v>
      </c>
      <c r="E1618" s="5">
        <v>9.61</v>
      </c>
      <c r="F1618" s="5" t="str" cm="1">
        <f t="array" ref="F1618">_xlfn.IFS(Healthcare!$E1618&lt;5.7,"normal",Healthcare!$E1618&lt;=6.4,"prediabetes",Healthcare!$E1618&gt;=6.5,"diabetes")</f>
        <v>diabetes</v>
      </c>
      <c r="G1618" s="5" t="s">
        <v>20</v>
      </c>
      <c r="H1618" s="5" t="s">
        <v>19</v>
      </c>
      <c r="I1618" s="5" t="s">
        <v>19</v>
      </c>
      <c r="J1618" s="5">
        <v>2</v>
      </c>
      <c r="K1618" s="5" t="s">
        <v>19</v>
      </c>
      <c r="L1618" s="5" t="str">
        <f>VLOOKUP(Healthcare!$A1618,hospital_details,2,0)</f>
        <v>14-Oct-1970</v>
      </c>
      <c r="M1618" s="5">
        <f t="shared" ref="M1618:M1681" ca="1" si="9693">VLOOKUP(A1618,hospital_details,3,0)</f>
        <v>56</v>
      </c>
      <c r="N1618" s="5">
        <f t="shared" ref="N1618:N1681" si="9694">VLOOKUP($A1618,hospital_details,4,0)</f>
        <v>0</v>
      </c>
      <c r="O1618" s="6">
        <f t="shared" ref="O1618:O1681" si="9695">VLOOKUP($A1618,hospital_details,5,0)</f>
        <v>6147.12</v>
      </c>
      <c r="P1618" s="5" t="str">
        <f t="shared" ref="P1618:P1681" si="9696">VLOOKUP($A1618,hospital_details,6,0)</f>
        <v>tier - 2</v>
      </c>
      <c r="Q1618" s="5" t="str">
        <f t="shared" ref="Q1618:Q1681" si="9697">VLOOKUP($A1618,hospital_details,7,0)</f>
        <v>tier - 3</v>
      </c>
      <c r="R1618" s="5" t="str">
        <f t="shared" ref="R1618:R1681" si="9698">VLOOKUP($A1618,hospital_details,8,0)</f>
        <v>R1012</v>
      </c>
    </row>
    <row r="1619" spans="1:18" ht="14.4" customHeight="1" x14ac:dyDescent="0.3">
      <c r="A1619" s="7" t="s">
        <v>1639</v>
      </c>
      <c r="B1619" s="7" t="str">
        <f>VLOOKUP($A1619,[1]!Customer_Names[#Data],3,0)</f>
        <v xml:space="preserve">  Stephanie A</v>
      </c>
      <c r="C1619" s="7">
        <v>18.71</v>
      </c>
      <c r="D1619" s="7" t="str" cm="1">
        <f t="array" ref="D1619">_xlfn.IFS(Healthcare!$C1619&lt;18.5,"under weight",Healthcare!$C1619&lt;=24.9,"Normal Weight",Healthcare!$C1619&gt;=25,"overweight",Healthcare!$C1619&gt;=30,"obese")</f>
        <v>Normal Weight</v>
      </c>
      <c r="E1619" s="7">
        <v>5.29</v>
      </c>
      <c r="F1619" s="7" t="str" cm="1">
        <f t="array" ref="F1619">_xlfn.IFS(Healthcare!$E1619&lt;5.7,"normal",Healthcare!$E1619&lt;=6.4,"prediabetes",Healthcare!$E1619&gt;=6.5,"diabetes")</f>
        <v>normal</v>
      </c>
      <c r="G1619" s="7" t="s">
        <v>20</v>
      </c>
      <c r="H1619" s="7" t="s">
        <v>19</v>
      </c>
      <c r="I1619" s="7" t="s">
        <v>19</v>
      </c>
      <c r="J1619" s="7">
        <v>0</v>
      </c>
      <c r="K1619" s="7" t="s">
        <v>19</v>
      </c>
      <c r="L1619" s="7" t="str">
        <f>VLOOKUP(Healthcare!$A1619,hospital_details,2,0)</f>
        <v>12-Dec-1976</v>
      </c>
      <c r="M1619" s="7">
        <f t="shared" ref="M1619:M1682" ca="1" si="9699">VLOOKUP(A1619,hospital_details,3,0)</f>
        <v>49</v>
      </c>
      <c r="N1619" s="7">
        <f t="shared" ref="N1619:N1682" si="9700">VLOOKUP($A1619,hospital_details,4,0)</f>
        <v>2</v>
      </c>
      <c r="O1619" s="8">
        <f t="shared" ref="O1619:O1682" si="9701">VLOOKUP($A1619,hospital_details,5,0)</f>
        <v>6139.14</v>
      </c>
      <c r="P1619" s="7" t="str">
        <f t="shared" ref="P1619:P1682" si="9702">VLOOKUP($A1619,hospital_details,6,0)</f>
        <v>tier - 2</v>
      </c>
      <c r="Q1619" s="7" t="str">
        <f t="shared" ref="Q1619:Q1682" si="9703">VLOOKUP($A1619,hospital_details,7,0)</f>
        <v>tier - 3</v>
      </c>
      <c r="R1619" s="7" t="str">
        <f t="shared" ref="R1619:R1682" si="9704">VLOOKUP($A1619,hospital_details,8,0)</f>
        <v>R1013</v>
      </c>
    </row>
    <row r="1620" spans="1:18" ht="14.4" customHeight="1" x14ac:dyDescent="0.3">
      <c r="A1620" s="5" t="s">
        <v>1640</v>
      </c>
      <c r="B1620" s="5" t="str">
        <f>VLOOKUP($A1620,[1]!Customer_Names[#Data],3,0)</f>
        <v xml:space="preserve">  Bo</v>
      </c>
      <c r="C1620" s="5">
        <v>20.61</v>
      </c>
      <c r="D1620" s="5" t="str" cm="1">
        <f t="array" ref="D1620">_xlfn.IFS(Healthcare!$C1620&lt;18.5,"under weight",Healthcare!$C1620&lt;=24.9,"Normal Weight",Healthcare!$C1620&gt;=25,"overweight",Healthcare!$C1620&gt;=30,"obese")</f>
        <v>Normal Weight</v>
      </c>
      <c r="E1620" s="5">
        <v>6.89</v>
      </c>
      <c r="F1620" s="5" t="str" cm="1">
        <f t="array" ref="F1620">_xlfn.IFS(Healthcare!$E1620&lt;5.7,"normal",Healthcare!$E1620&lt;=6.4,"prediabetes",Healthcare!$E1620&gt;=6.5,"diabetes")</f>
        <v>diabetes</v>
      </c>
      <c r="G1620" s="5" t="s">
        <v>19</v>
      </c>
      <c r="H1620" s="5" t="s">
        <v>19</v>
      </c>
      <c r="I1620" s="5" t="s">
        <v>19</v>
      </c>
      <c r="J1620" s="5">
        <v>0</v>
      </c>
      <c r="K1620" s="5" t="s">
        <v>19</v>
      </c>
      <c r="L1620" s="5" t="str">
        <f>VLOOKUP(Healthcare!$A1620,hospital_details,2,0)</f>
        <v>5-Sep-1978</v>
      </c>
      <c r="M1620" s="5">
        <f t="shared" ref="M1620:M1683" ca="1" si="9705">VLOOKUP(A1620,hospital_details,3,0)</f>
        <v>48</v>
      </c>
      <c r="N1620" s="5">
        <f t="shared" ref="N1620:N1683" si="9706">VLOOKUP($A1620,hospital_details,4,0)</f>
        <v>2</v>
      </c>
      <c r="O1620" s="6">
        <f t="shared" ref="O1620:O1683" si="9707">VLOOKUP($A1620,hospital_details,5,0)</f>
        <v>6138.58</v>
      </c>
      <c r="P1620" s="5" t="str">
        <f t="shared" ref="P1620:P1683" si="9708">VLOOKUP($A1620,hospital_details,6,0)</f>
        <v>tier - 2</v>
      </c>
      <c r="Q1620" s="5" t="str">
        <f t="shared" ref="Q1620:Q1683" si="9709">VLOOKUP($A1620,hospital_details,7,0)</f>
        <v>tier - 1</v>
      </c>
      <c r="R1620" s="5" t="str">
        <f t="shared" ref="R1620:R1683" si="9710">VLOOKUP($A1620,hospital_details,8,0)</f>
        <v>R1013</v>
      </c>
    </row>
    <row r="1621" spans="1:18" ht="14.4" customHeight="1" x14ac:dyDescent="0.3">
      <c r="A1621" s="7" t="s">
        <v>1641</v>
      </c>
      <c r="B1621" s="7" t="str">
        <f>VLOOKUP($A1621,[1]!Customer_Names[#Data],3,0)</f>
        <v xml:space="preserve">  Leah</v>
      </c>
      <c r="C1621" s="7">
        <v>15.99</v>
      </c>
      <c r="D1621" s="7" t="str" cm="1">
        <f t="array" ref="D1621">_xlfn.IFS(Healthcare!$C1621&lt;18.5,"under weight",Healthcare!$C1621&lt;=24.9,"Normal Weight",Healthcare!$C1621&gt;=25,"overweight",Healthcare!$C1621&gt;=30,"obese")</f>
        <v>under weight</v>
      </c>
      <c r="E1621" s="7">
        <v>4.57</v>
      </c>
      <c r="F1621" s="7" t="str" cm="1">
        <f t="array" ref="F1621">_xlfn.IFS(Healthcare!$E1621&lt;5.7,"normal",Healthcare!$E1621&lt;=6.4,"prediabetes",Healthcare!$E1621&gt;=6.5,"diabetes")</f>
        <v>normal</v>
      </c>
      <c r="G1621" s="7" t="s">
        <v>20</v>
      </c>
      <c r="H1621" s="7" t="s">
        <v>19</v>
      </c>
      <c r="I1621" s="7" t="s">
        <v>29</v>
      </c>
      <c r="J1621" s="7">
        <v>1</v>
      </c>
      <c r="K1621" s="7" t="s">
        <v>19</v>
      </c>
      <c r="L1621" s="7" t="str">
        <f>VLOOKUP(Healthcare!$A1621,hospital_details,2,0)</f>
        <v>9-Nov-1969</v>
      </c>
      <c r="M1621" s="7">
        <f t="shared" ref="M1621:M1684" ca="1" si="9711">VLOOKUP(A1621,hospital_details,3,0)</f>
        <v>56</v>
      </c>
      <c r="N1621" s="7">
        <f t="shared" ref="N1621:N1684" si="9712">VLOOKUP($A1621,hospital_details,4,0)</f>
        <v>0</v>
      </c>
      <c r="O1621" s="8">
        <f t="shared" ref="O1621:O1684" si="9713">VLOOKUP($A1621,hospital_details,5,0)</f>
        <v>6138.5</v>
      </c>
      <c r="P1621" s="7" t="str">
        <f t="shared" ref="P1621:P1684" si="9714">VLOOKUP($A1621,hospital_details,6,0)</f>
        <v>tier - 2</v>
      </c>
      <c r="Q1621" s="7" t="str">
        <f t="shared" ref="Q1621:Q1684" si="9715">VLOOKUP($A1621,hospital_details,7,0)</f>
        <v>tier - 2</v>
      </c>
      <c r="R1621" s="7" t="str">
        <f t="shared" ref="R1621:R1684" si="9716">VLOOKUP($A1621,hospital_details,8,0)</f>
        <v>R1011</v>
      </c>
    </row>
    <row r="1622" spans="1:18" ht="14.4" customHeight="1" x14ac:dyDescent="0.3">
      <c r="A1622" s="5" t="s">
        <v>1642</v>
      </c>
      <c r="B1622" s="5" t="str">
        <f>VLOOKUP($A1622,[1]!Customer_Names[#Data],3,0)</f>
        <v xml:space="preserve">  Kara Lynne</v>
      </c>
      <c r="C1622" s="5">
        <v>33.155000000000001</v>
      </c>
      <c r="D1622" s="5" t="str" cm="1">
        <f t="array" ref="D1622">_xlfn.IFS(Healthcare!$C1622&lt;18.5,"under weight",Healthcare!$C1622&lt;=24.9,"Normal Weight",Healthcare!$C1622&gt;=25,"overweight",Healthcare!$C1622&gt;=30,"obese")</f>
        <v>overweight</v>
      </c>
      <c r="E1622" s="5">
        <v>4.32</v>
      </c>
      <c r="F1622" s="5" t="str" cm="1">
        <f t="array" ref="F1622">_xlfn.IFS(Healthcare!$E1622&lt;5.7,"normal",Healthcare!$E1622&lt;=6.4,"prediabetes",Healthcare!$E1622&gt;=6.5,"diabetes")</f>
        <v>normal</v>
      </c>
      <c r="G1622" s="5" t="s">
        <v>19</v>
      </c>
      <c r="H1622" s="5" t="s">
        <v>19</v>
      </c>
      <c r="I1622" s="5" t="s">
        <v>19</v>
      </c>
      <c r="J1622" s="5">
        <v>0</v>
      </c>
      <c r="K1622" s="5" t="s">
        <v>19</v>
      </c>
      <c r="L1622" s="5" t="str">
        <f>VLOOKUP(Healthcare!$A1622,hospital_details,2,0)</f>
        <v>18-Aug-1990</v>
      </c>
      <c r="M1622" s="5">
        <f t="shared" ref="M1622:M1685" ca="1" si="9717">VLOOKUP(A1622,hospital_details,3,0)</f>
        <v>36</v>
      </c>
      <c r="N1622" s="5">
        <f t="shared" ref="N1622:N1685" si="9718">VLOOKUP($A1622,hospital_details,4,0)</f>
        <v>3</v>
      </c>
      <c r="O1622" s="6">
        <f t="shared" ref="O1622:O1685" si="9719">VLOOKUP($A1622,hospital_details,5,0)</f>
        <v>6128.8</v>
      </c>
      <c r="P1622" s="5" t="str">
        <f t="shared" ref="P1622:P1685" si="9720">VLOOKUP($A1622,hospital_details,6,0)</f>
        <v>tier - 2</v>
      </c>
      <c r="Q1622" s="5" t="str">
        <f t="shared" ref="Q1622:Q1685" si="9721">VLOOKUP($A1622,hospital_details,7,0)</f>
        <v>tier - 3</v>
      </c>
      <c r="R1622" s="5" t="str">
        <f t="shared" ref="R1622:R1685" si="9722">VLOOKUP($A1622,hospital_details,8,0)</f>
        <v>R1012</v>
      </c>
    </row>
    <row r="1623" spans="1:18" ht="14.4" customHeight="1" x14ac:dyDescent="0.3">
      <c r="A1623" s="7" t="s">
        <v>1643</v>
      </c>
      <c r="B1623" s="7" t="str">
        <f>VLOOKUP($A1623,[1]!Customer_Names[#Data],3,0)</f>
        <v xml:space="preserve">  Jeffrey</v>
      </c>
      <c r="C1623" s="7">
        <v>26.22</v>
      </c>
      <c r="D1623" s="7" t="str" cm="1">
        <f t="array" ref="D1623">_xlfn.IFS(Healthcare!$C1623&lt;18.5,"under weight",Healthcare!$C1623&lt;=24.9,"Normal Weight",Healthcare!$C1623&gt;=25,"overweight",Healthcare!$C1623&gt;=30,"obese")</f>
        <v>overweight</v>
      </c>
      <c r="E1623" s="7">
        <v>5.57</v>
      </c>
      <c r="F1623" s="7" t="str" cm="1">
        <f t="array" ref="F1623">_xlfn.IFS(Healthcare!$E1623&lt;5.7,"normal",Healthcare!$E1623&lt;=6.4,"prediabetes",Healthcare!$E1623&gt;=6.5,"diabetes")</f>
        <v>normal</v>
      </c>
      <c r="G1623" s="7" t="s">
        <v>20</v>
      </c>
      <c r="H1623" s="7" t="s">
        <v>19</v>
      </c>
      <c r="I1623" s="7" t="s">
        <v>29</v>
      </c>
      <c r="J1623" s="7">
        <v>1</v>
      </c>
      <c r="K1623" s="7" t="s">
        <v>19</v>
      </c>
      <c r="L1623" s="7" t="str">
        <f>VLOOKUP(Healthcare!$A1623,hospital_details,2,0)</f>
        <v>16-Nov-1983</v>
      </c>
      <c r="M1623" s="7">
        <f t="shared" ref="M1623:M1686" ca="1" si="9723">VLOOKUP(A1623,hospital_details,3,0)</f>
        <v>42</v>
      </c>
      <c r="N1623" s="7">
        <f t="shared" ref="N1623:N1686" si="9724">VLOOKUP($A1623,hospital_details,4,0)</f>
        <v>1</v>
      </c>
      <c r="O1623" s="8">
        <f t="shared" ref="O1623:O1686" si="9725">VLOOKUP($A1623,hospital_details,5,0)</f>
        <v>6123.57</v>
      </c>
      <c r="P1623" s="7" t="str">
        <f t="shared" ref="P1623:P1686" si="9726">VLOOKUP($A1623,hospital_details,6,0)</f>
        <v>tier - 3</v>
      </c>
      <c r="Q1623" s="7" t="str">
        <f t="shared" ref="Q1623:Q1686" si="9727">VLOOKUP($A1623,hospital_details,7,0)</f>
        <v>tier - 2</v>
      </c>
      <c r="R1623" s="7" t="str">
        <f t="shared" ref="R1623:R1686" si="9728">VLOOKUP($A1623,hospital_details,8,0)</f>
        <v>R1012</v>
      </c>
    </row>
    <row r="1624" spans="1:18" ht="14.4" customHeight="1" x14ac:dyDescent="0.3">
      <c r="A1624" s="5" t="s">
        <v>1644</v>
      </c>
      <c r="B1624" s="5" t="str">
        <f>VLOOKUP($A1624,[1]!Customer_Names[#Data],3,0)</f>
        <v xml:space="preserve">  Justin</v>
      </c>
      <c r="C1624" s="5">
        <v>21.85</v>
      </c>
      <c r="D1624" s="5" t="str" cm="1">
        <f t="array" ref="D1624">_xlfn.IFS(Healthcare!$C1624&lt;18.5,"under weight",Healthcare!$C1624&lt;=24.9,"Normal Weight",Healthcare!$C1624&gt;=25,"overweight",Healthcare!$C1624&gt;=30,"obese")</f>
        <v>Normal Weight</v>
      </c>
      <c r="E1624" s="5">
        <v>5.26</v>
      </c>
      <c r="F1624" s="5" t="str" cm="1">
        <f t="array" ref="F1624">_xlfn.IFS(Healthcare!$E1624&lt;5.7,"normal",Healthcare!$E1624&lt;=6.4,"prediabetes",Healthcare!$E1624&gt;=6.5,"diabetes")</f>
        <v>normal</v>
      </c>
      <c r="G1624" s="5" t="s">
        <v>20</v>
      </c>
      <c r="H1624" s="5" t="s">
        <v>19</v>
      </c>
      <c r="I1624" s="5" t="s">
        <v>29</v>
      </c>
      <c r="J1624" s="5">
        <v>1</v>
      </c>
      <c r="K1624" s="5" t="s">
        <v>19</v>
      </c>
      <c r="L1624" s="5" t="str">
        <f>VLOOKUP(Healthcare!$A1624,hospital_details,2,0)</f>
        <v>11-Aug-1983</v>
      </c>
      <c r="M1624" s="5">
        <f t="shared" ref="M1624:M1687" ca="1" si="9729">VLOOKUP(A1624,hospital_details,3,0)</f>
        <v>43</v>
      </c>
      <c r="N1624" s="5">
        <f t="shared" ref="N1624:N1687" si="9730">VLOOKUP($A1624,hospital_details,4,0)</f>
        <v>1</v>
      </c>
      <c r="O1624" s="6">
        <f t="shared" ref="O1624:O1687" si="9731">VLOOKUP($A1624,hospital_details,5,0)</f>
        <v>6117.49</v>
      </c>
      <c r="P1624" s="5" t="str">
        <f t="shared" ref="P1624:P1687" si="9732">VLOOKUP($A1624,hospital_details,6,0)</f>
        <v>tier - 2</v>
      </c>
      <c r="Q1624" s="5" t="str">
        <f t="shared" ref="Q1624:Q1687" si="9733">VLOOKUP($A1624,hospital_details,7,0)</f>
        <v>tier - 3</v>
      </c>
      <c r="R1624" s="5" t="str">
        <f t="shared" ref="R1624:R1687" si="9734">VLOOKUP($A1624,hospital_details,8,0)</f>
        <v>R1012</v>
      </c>
    </row>
    <row r="1625" spans="1:18" ht="14.4" customHeight="1" x14ac:dyDescent="0.3">
      <c r="A1625" s="7" t="s">
        <v>1645</v>
      </c>
      <c r="B1625" s="7" t="str">
        <f>VLOOKUP($A1625,[1]!Customer_Names[#Data],3,0)</f>
        <v xml:space="preserve">  Emily</v>
      </c>
      <c r="C1625" s="7">
        <v>30.495000000000001</v>
      </c>
      <c r="D1625" s="7" t="str" cm="1">
        <f t="array" ref="D1625">_xlfn.IFS(Healthcare!$C1625&lt;18.5,"under weight",Healthcare!$C1625&lt;=24.9,"Normal Weight",Healthcare!$C1625&gt;=25,"overweight",Healthcare!$C1625&gt;=30,"obese")</f>
        <v>overweight</v>
      </c>
      <c r="E1625" s="7">
        <v>6.25</v>
      </c>
      <c r="F1625" s="7" t="str" cm="1">
        <f t="array" ref="F1625">_xlfn.IFS(Healthcare!$E1625&lt;5.7,"normal",Healthcare!$E1625&lt;=6.4,"prediabetes",Healthcare!$E1625&gt;=6.5,"diabetes")</f>
        <v>prediabetes</v>
      </c>
      <c r="G1625" s="7" t="s">
        <v>19</v>
      </c>
      <c r="H1625" s="7" t="s">
        <v>19</v>
      </c>
      <c r="I1625" s="7" t="s">
        <v>19</v>
      </c>
      <c r="J1625" s="7">
        <v>0</v>
      </c>
      <c r="K1625" s="7" t="s">
        <v>19</v>
      </c>
      <c r="L1625" s="7" t="str">
        <f>VLOOKUP(Healthcare!$A1625,hospital_details,2,0)</f>
        <v>25-Jul-1991</v>
      </c>
      <c r="M1625" s="7">
        <f t="shared" ref="M1625:M1688" ca="1" si="9735">VLOOKUP(A1625,hospital_details,3,0)</f>
        <v>35</v>
      </c>
      <c r="N1625" s="7">
        <f t="shared" ref="N1625:N1688" si="9736">VLOOKUP($A1625,hospital_details,4,0)</f>
        <v>3</v>
      </c>
      <c r="O1625" s="8">
        <f t="shared" ref="O1625:O1688" si="9737">VLOOKUP($A1625,hospital_details,5,0)</f>
        <v>6113.23</v>
      </c>
      <c r="P1625" s="7" t="str">
        <f t="shared" ref="P1625:P1688" si="9738">VLOOKUP($A1625,hospital_details,6,0)</f>
        <v>tier - 2</v>
      </c>
      <c r="Q1625" s="7" t="str">
        <f t="shared" ref="Q1625:Q1688" si="9739">VLOOKUP($A1625,hospital_details,7,0)</f>
        <v>tier - 2</v>
      </c>
      <c r="R1625" s="7" t="str">
        <f t="shared" ref="R1625:R1688" si="9740">VLOOKUP($A1625,hospital_details,8,0)</f>
        <v>R1024</v>
      </c>
    </row>
    <row r="1626" spans="1:18" ht="14.4" customHeight="1" x14ac:dyDescent="0.3">
      <c r="A1626" s="5" t="s">
        <v>1646</v>
      </c>
      <c r="B1626" s="5" t="str">
        <f>VLOOKUP($A1626,[1]!Customer_Names[#Data],3,0)</f>
        <v xml:space="preserve">  Rebecca</v>
      </c>
      <c r="C1626" s="5">
        <v>34.104999999999997</v>
      </c>
      <c r="D1626" s="5" t="str" cm="1">
        <f t="array" ref="D1626">_xlfn.IFS(Healthcare!$C1626&lt;18.5,"under weight",Healthcare!$C1626&lt;=24.9,"Normal Weight",Healthcare!$C1626&gt;=25,"overweight",Healthcare!$C1626&gt;=30,"obese")</f>
        <v>overweight</v>
      </c>
      <c r="E1626" s="5">
        <v>5.67</v>
      </c>
      <c r="F1626" s="5" t="str" cm="1">
        <f t="array" ref="F1626">_xlfn.IFS(Healthcare!$E1626&lt;5.7,"normal",Healthcare!$E1626&lt;=6.4,"prediabetes",Healthcare!$E1626&gt;=6.5,"diabetes")</f>
        <v>normal</v>
      </c>
      <c r="G1626" s="5" t="s">
        <v>20</v>
      </c>
      <c r="H1626" s="5" t="s">
        <v>19</v>
      </c>
      <c r="I1626" s="5" t="s">
        <v>19</v>
      </c>
      <c r="J1626" s="5">
        <v>0</v>
      </c>
      <c r="K1626" s="5" t="s">
        <v>19</v>
      </c>
      <c r="L1626" s="5" t="str">
        <f>VLOOKUP(Healthcare!$A1626,hospital_details,2,0)</f>
        <v>21-Jul-1985</v>
      </c>
      <c r="M1626" s="5">
        <f t="shared" ref="M1626:M1689" ca="1" si="9741">VLOOKUP(A1626,hospital_details,3,0)</f>
        <v>41</v>
      </c>
      <c r="N1626" s="5">
        <f t="shared" ref="N1626:N1689" si="9742">VLOOKUP($A1626,hospital_details,4,0)</f>
        <v>1</v>
      </c>
      <c r="O1626" s="6">
        <f t="shared" ref="O1626:O1689" si="9743">VLOOKUP($A1626,hospital_details,5,0)</f>
        <v>6112.35</v>
      </c>
      <c r="P1626" s="5" t="str">
        <f t="shared" ref="P1626:P1689" si="9744">VLOOKUP($A1626,hospital_details,6,0)</f>
        <v>tier - 2</v>
      </c>
      <c r="Q1626" s="5" t="str">
        <f t="shared" ref="Q1626:Q1689" si="9745">VLOOKUP($A1626,hospital_details,7,0)</f>
        <v>tier - 1</v>
      </c>
      <c r="R1626" s="5" t="str">
        <f t="shared" ref="R1626:R1689" si="9746">VLOOKUP($A1626,hospital_details,8,0)</f>
        <v>R1012</v>
      </c>
    </row>
    <row r="1627" spans="1:18" ht="14.4" customHeight="1" x14ac:dyDescent="0.3">
      <c r="A1627" s="7" t="s">
        <v>1647</v>
      </c>
      <c r="B1627" s="7" t="str">
        <f>VLOOKUP($A1627,[1]!Customer_Names[#Data],3,0)</f>
        <v xml:space="preserve">  Allie</v>
      </c>
      <c r="C1627" s="7">
        <v>32.770000000000003</v>
      </c>
      <c r="D1627" s="7" t="str" cm="1">
        <f t="array" ref="D1627">_xlfn.IFS(Healthcare!$C1627&lt;18.5,"under weight",Healthcare!$C1627&lt;=24.9,"Normal Weight",Healthcare!$C1627&gt;=25,"overweight",Healthcare!$C1627&gt;=30,"obese")</f>
        <v>overweight</v>
      </c>
      <c r="E1627" s="7">
        <v>4.42</v>
      </c>
      <c r="F1627" s="7" t="str" cm="1">
        <f t="array" ref="F1627">_xlfn.IFS(Healthcare!$E1627&lt;5.7,"normal",Healthcare!$E1627&lt;=6.4,"prediabetes",Healthcare!$E1627&gt;=6.5,"diabetes")</f>
        <v>normal</v>
      </c>
      <c r="G1627" s="7" t="s">
        <v>20</v>
      </c>
      <c r="H1627" s="7" t="s">
        <v>19</v>
      </c>
      <c r="I1627" s="7" t="s">
        <v>19</v>
      </c>
      <c r="J1627" s="7">
        <v>1</v>
      </c>
      <c r="K1627" s="7" t="s">
        <v>19</v>
      </c>
      <c r="L1627" s="7" t="str">
        <f>VLOOKUP(Healthcare!$A1627,hospital_details,2,0)</f>
        <v>9-Sep-1995</v>
      </c>
      <c r="M1627" s="7">
        <f t="shared" ref="M1627:M1690" ca="1" si="9747">VLOOKUP(A1627,hospital_details,3,0)</f>
        <v>31</v>
      </c>
      <c r="N1627" s="7">
        <f t="shared" ref="N1627:N1690" si="9748">VLOOKUP($A1627,hospital_details,4,0)</f>
        <v>0</v>
      </c>
      <c r="O1627" s="8">
        <f t="shared" ref="O1627:O1690" si="9749">VLOOKUP($A1627,hospital_details,5,0)</f>
        <v>6111.95</v>
      </c>
      <c r="P1627" s="7" t="str">
        <f t="shared" ref="P1627:P1690" si="9750">VLOOKUP($A1627,hospital_details,6,0)</f>
        <v>tier - 2</v>
      </c>
      <c r="Q1627" s="7" t="str">
        <f t="shared" ref="Q1627:Q1690" si="9751">VLOOKUP($A1627,hospital_details,7,0)</f>
        <v>tier - 3</v>
      </c>
      <c r="R1627" s="7" t="str">
        <f t="shared" ref="R1627:R1690" si="9752">VLOOKUP($A1627,hospital_details,8,0)</f>
        <v>R1026</v>
      </c>
    </row>
    <row r="1628" spans="1:18" ht="14.4" customHeight="1" x14ac:dyDescent="0.3">
      <c r="A1628" s="5" t="s">
        <v>1648</v>
      </c>
      <c r="B1628" s="5" t="str">
        <f>VLOOKUP($A1628,[1]!Customer_Names[#Data],3,0)</f>
        <v xml:space="preserve">  Trasi</v>
      </c>
      <c r="C1628" s="5">
        <v>16.850000000000001</v>
      </c>
      <c r="D1628" s="5" t="str" cm="1">
        <f t="array" ref="D1628">_xlfn.IFS(Healthcare!$C1628&lt;18.5,"under weight",Healthcare!$C1628&lt;=24.9,"Normal Weight",Healthcare!$C1628&gt;=25,"overweight",Healthcare!$C1628&gt;=30,"obese")</f>
        <v>under weight</v>
      </c>
      <c r="E1628" s="5">
        <v>11.75</v>
      </c>
      <c r="F1628" s="5" t="str" cm="1">
        <f t="array" ref="F1628">_xlfn.IFS(Healthcare!$E1628&lt;5.7,"normal",Healthcare!$E1628&lt;=6.4,"prediabetes",Healthcare!$E1628&gt;=6.5,"diabetes")</f>
        <v>diabetes</v>
      </c>
      <c r="G1628" s="5" t="s">
        <v>20</v>
      </c>
      <c r="H1628" s="5" t="s">
        <v>19</v>
      </c>
      <c r="I1628" s="5" t="s">
        <v>19</v>
      </c>
      <c r="J1628" s="5">
        <v>2</v>
      </c>
      <c r="K1628" s="5" t="s">
        <v>19</v>
      </c>
      <c r="L1628" s="5" t="str">
        <f>VLOOKUP(Healthcare!$A1628,hospital_details,2,0)</f>
        <v>9-Jun-1970</v>
      </c>
      <c r="M1628" s="5">
        <f t="shared" ref="M1628:M1691" ca="1" si="9753">VLOOKUP(A1628,hospital_details,3,0)</f>
        <v>56</v>
      </c>
      <c r="N1628" s="5">
        <f t="shared" ref="N1628:N1691" si="9754">VLOOKUP($A1628,hospital_details,4,0)</f>
        <v>0</v>
      </c>
      <c r="O1628" s="6">
        <f t="shared" ref="O1628:O1691" si="9755">VLOOKUP($A1628,hospital_details,5,0)</f>
        <v>6098.38</v>
      </c>
      <c r="P1628" s="5" t="str">
        <f t="shared" ref="P1628:P1691" si="9756">VLOOKUP($A1628,hospital_details,6,0)</f>
        <v>tier - 2</v>
      </c>
      <c r="Q1628" s="5" t="str">
        <f t="shared" ref="Q1628:Q1691" si="9757">VLOOKUP($A1628,hospital_details,7,0)</f>
        <v>tier - 2</v>
      </c>
      <c r="R1628" s="5" t="str">
        <f t="shared" ref="R1628:R1691" si="9758">VLOOKUP($A1628,hospital_details,8,0)</f>
        <v>R1013</v>
      </c>
    </row>
    <row r="1629" spans="1:18" ht="14.4" customHeight="1" x14ac:dyDescent="0.3">
      <c r="A1629" s="7" t="s">
        <v>1649</v>
      </c>
      <c r="B1629" s="7" t="str">
        <f>VLOOKUP($A1629,[1]!Customer_Names[#Data],3,0)</f>
        <v xml:space="preserve">  Kevin</v>
      </c>
      <c r="C1629" s="7">
        <v>34.700000000000003</v>
      </c>
      <c r="D1629" s="7" t="str" cm="1">
        <f t="array" ref="D1629">_xlfn.IFS(Healthcare!$C1629&lt;18.5,"under weight",Healthcare!$C1629&lt;=24.9,"Normal Weight",Healthcare!$C1629&gt;=25,"overweight",Healthcare!$C1629&gt;=30,"obese")</f>
        <v>overweight</v>
      </c>
      <c r="E1629" s="7">
        <v>6.06</v>
      </c>
      <c r="F1629" s="7" t="str" cm="1">
        <f t="array" ref="F1629">_xlfn.IFS(Healthcare!$E1629&lt;5.7,"normal",Healthcare!$E1629&lt;=6.4,"prediabetes",Healthcare!$E1629&gt;=6.5,"diabetes")</f>
        <v>prediabetes</v>
      </c>
      <c r="G1629" s="7" t="s">
        <v>19</v>
      </c>
      <c r="H1629" s="7" t="s">
        <v>19</v>
      </c>
      <c r="I1629" s="7" t="s">
        <v>19</v>
      </c>
      <c r="J1629" s="7">
        <v>1</v>
      </c>
      <c r="K1629" s="7" t="s">
        <v>19</v>
      </c>
      <c r="L1629" s="7" t="str">
        <f>VLOOKUP(Healthcare!$A1629,hospital_details,2,0)</f>
        <v>25-Jul-1984</v>
      </c>
      <c r="M1629" s="7">
        <f t="shared" ref="M1629:M1692" ca="1" si="9759">VLOOKUP(A1629,hospital_details,3,0)</f>
        <v>42</v>
      </c>
      <c r="N1629" s="7">
        <f t="shared" ref="N1629:N1692" si="9760">VLOOKUP($A1629,hospital_details,4,0)</f>
        <v>2</v>
      </c>
      <c r="O1629" s="8">
        <f t="shared" ref="O1629:O1692" si="9761">VLOOKUP($A1629,hospital_details,5,0)</f>
        <v>6082.41</v>
      </c>
      <c r="P1629" s="7" t="str">
        <f t="shared" ref="P1629:P1692" si="9762">VLOOKUP($A1629,hospital_details,6,0)</f>
        <v>tier - 1</v>
      </c>
      <c r="Q1629" s="7" t="str">
        <f t="shared" ref="Q1629:Q1692" si="9763">VLOOKUP($A1629,hospital_details,7,0)</f>
        <v>tier - 2</v>
      </c>
      <c r="R1629" s="7" t="str">
        <f t="shared" ref="R1629:R1692" si="9764">VLOOKUP($A1629,hospital_details,8,0)</f>
        <v>R1011</v>
      </c>
    </row>
    <row r="1630" spans="1:18" ht="14.4" customHeight="1" x14ac:dyDescent="0.3">
      <c r="A1630" s="5" t="s">
        <v>1650</v>
      </c>
      <c r="B1630" s="5" t="str">
        <f>VLOOKUP($A1630,[1]!Customer_Names[#Data],3,0)</f>
        <v xml:space="preserve">  Fernando</v>
      </c>
      <c r="C1630" s="5">
        <v>37.049999999999997</v>
      </c>
      <c r="D1630" s="5" t="str" cm="1">
        <f t="array" ref="D1630">_xlfn.IFS(Healthcare!$C1630&lt;18.5,"under weight",Healthcare!$C1630&lt;=24.9,"Normal Weight",Healthcare!$C1630&gt;=25,"overweight",Healthcare!$C1630&gt;=30,"obese")</f>
        <v>overweight</v>
      </c>
      <c r="E1630" s="5">
        <v>5.48</v>
      </c>
      <c r="F1630" s="5" t="str" cm="1">
        <f t="array" ref="F1630">_xlfn.IFS(Healthcare!$E1630&lt;5.7,"normal",Healthcare!$E1630&lt;=6.4,"prediabetes",Healthcare!$E1630&gt;=6.5,"diabetes")</f>
        <v>normal</v>
      </c>
      <c r="G1630" s="5" t="s">
        <v>19</v>
      </c>
      <c r="H1630" s="5" t="s">
        <v>19</v>
      </c>
      <c r="I1630" s="5" t="s">
        <v>19</v>
      </c>
      <c r="J1630" s="5">
        <v>1</v>
      </c>
      <c r="K1630" s="5" t="s">
        <v>19</v>
      </c>
      <c r="L1630" s="5" t="str">
        <f>VLOOKUP(Healthcare!$A1630,hospital_details,2,0)</f>
        <v>14-Oct-1984</v>
      </c>
      <c r="M1630" s="5">
        <f t="shared" ref="M1630:M1693" ca="1" si="9765">VLOOKUP(A1630,hospital_details,3,0)</f>
        <v>42</v>
      </c>
      <c r="N1630" s="5">
        <f t="shared" ref="N1630:N1693" si="9766">VLOOKUP($A1630,hospital_details,4,0)</f>
        <v>1</v>
      </c>
      <c r="O1630" s="6">
        <f t="shared" ref="O1630:O1693" si="9767">VLOOKUP($A1630,hospital_details,5,0)</f>
        <v>6079.67</v>
      </c>
      <c r="P1630" s="5" t="str">
        <f t="shared" ref="P1630:P1693" si="9768">VLOOKUP($A1630,hospital_details,6,0)</f>
        <v>tier - 1</v>
      </c>
      <c r="Q1630" s="5" t="str">
        <f t="shared" ref="Q1630:Q1693" si="9769">VLOOKUP($A1630,hospital_details,7,0)</f>
        <v>tier - 1</v>
      </c>
      <c r="R1630" s="5" t="str">
        <f t="shared" ref="R1630:R1693" si="9770">VLOOKUP($A1630,hospital_details,8,0)</f>
        <v>R1014</v>
      </c>
    </row>
    <row r="1631" spans="1:18" ht="14.4" customHeight="1" x14ac:dyDescent="0.3">
      <c r="A1631" s="7" t="s">
        <v>1651</v>
      </c>
      <c r="B1631" s="7" t="str">
        <f>VLOOKUP($A1631,[1]!Customer_Names[#Data],3,0)</f>
        <v xml:space="preserve">  Ieva</v>
      </c>
      <c r="C1631" s="7">
        <v>18.78</v>
      </c>
      <c r="D1631" s="7" t="str" cm="1">
        <f t="array" ref="D1631">_xlfn.IFS(Healthcare!$C1631&lt;18.5,"under weight",Healthcare!$C1631&lt;=24.9,"Normal Weight",Healthcare!$C1631&gt;=25,"overweight",Healthcare!$C1631&gt;=30,"obese")</f>
        <v>Normal Weight</v>
      </c>
      <c r="E1631" s="7">
        <v>4.45</v>
      </c>
      <c r="F1631" s="7" t="str" cm="1">
        <f t="array" ref="F1631">_xlfn.IFS(Healthcare!$E1631&lt;5.7,"normal",Healthcare!$E1631&lt;=6.4,"prediabetes",Healthcare!$E1631&gt;=6.5,"diabetes")</f>
        <v>normal</v>
      </c>
      <c r="G1631" s="7" t="s">
        <v>19</v>
      </c>
      <c r="H1631" s="7" t="s">
        <v>19</v>
      </c>
      <c r="I1631" s="7" t="s">
        <v>29</v>
      </c>
      <c r="J1631" s="7">
        <v>1</v>
      </c>
      <c r="K1631" s="7" t="s">
        <v>19</v>
      </c>
      <c r="L1631" s="7" t="str">
        <f>VLOOKUP(Healthcare!$A1631,hospital_details,2,0)</f>
        <v>8-Aug-1979</v>
      </c>
      <c r="M1631" s="7">
        <f t="shared" ref="M1631:M1694" ca="1" si="9771">VLOOKUP(A1631,hospital_details,3,0)</f>
        <v>47</v>
      </c>
      <c r="N1631" s="7">
        <f t="shared" ref="N1631:N1694" si="9772">VLOOKUP($A1631,hospital_details,4,0)</f>
        <v>2</v>
      </c>
      <c r="O1631" s="8">
        <f t="shared" ref="O1631:O1694" si="9773">VLOOKUP($A1631,hospital_details,5,0)</f>
        <v>6074.37</v>
      </c>
      <c r="P1631" s="7" t="str">
        <f t="shared" ref="P1631:P1694" si="9774">VLOOKUP($A1631,hospital_details,6,0)</f>
        <v>tier - 2</v>
      </c>
      <c r="Q1631" s="7" t="str">
        <f t="shared" ref="Q1631:Q1694" si="9775">VLOOKUP($A1631,hospital_details,7,0)</f>
        <v>tier - 2</v>
      </c>
      <c r="R1631" s="7" t="str">
        <f t="shared" ref="R1631:R1694" si="9776">VLOOKUP($A1631,hospital_details,8,0)</f>
        <v>R1012</v>
      </c>
    </row>
    <row r="1632" spans="1:18" ht="14.4" customHeight="1" x14ac:dyDescent="0.3">
      <c r="A1632" s="5" t="s">
        <v>1652</v>
      </c>
      <c r="B1632" s="5" t="str">
        <f>VLOOKUP($A1632,[1]!Customer_Names[#Data],3,0)</f>
        <v xml:space="preserve">  Chris</v>
      </c>
      <c r="C1632" s="5">
        <v>28.024999999999999</v>
      </c>
      <c r="D1632" s="5" t="str" cm="1">
        <f t="array" ref="D1632">_xlfn.IFS(Healthcare!$C1632&lt;18.5,"under weight",Healthcare!$C1632&lt;=24.9,"Normal Weight",Healthcare!$C1632&gt;=25,"overweight",Healthcare!$C1632&gt;=30,"obese")</f>
        <v>overweight</v>
      </c>
      <c r="E1632" s="5">
        <v>5</v>
      </c>
      <c r="F1632" s="5" t="str" cm="1">
        <f t="array" ref="F1632">_xlfn.IFS(Healthcare!$E1632&lt;5.7,"normal",Healthcare!$E1632&lt;=6.4,"prediabetes",Healthcare!$E1632&gt;=6.5,"diabetes")</f>
        <v>normal</v>
      </c>
      <c r="G1632" s="5" t="s">
        <v>19</v>
      </c>
      <c r="H1632" s="5" t="s">
        <v>19</v>
      </c>
      <c r="I1632" s="5" t="s">
        <v>19</v>
      </c>
      <c r="J1632" s="5">
        <v>1</v>
      </c>
      <c r="K1632" s="5" t="s">
        <v>19</v>
      </c>
      <c r="L1632" s="5" t="str">
        <f>VLOOKUP(Healthcare!$A1632,hospital_details,2,0)</f>
        <v>21-Sep-1984</v>
      </c>
      <c r="M1632" s="5">
        <f t="shared" ref="M1632:M1695" ca="1" si="9777">VLOOKUP(A1632,hospital_details,3,0)</f>
        <v>42</v>
      </c>
      <c r="N1632" s="5">
        <f t="shared" ref="N1632:N1695" si="9778">VLOOKUP($A1632,hospital_details,4,0)</f>
        <v>1</v>
      </c>
      <c r="O1632" s="6">
        <f t="shared" ref="O1632:O1695" si="9779">VLOOKUP($A1632,hospital_details,5,0)</f>
        <v>6067.13</v>
      </c>
      <c r="P1632" s="5" t="str">
        <f t="shared" ref="P1632:P1695" si="9780">VLOOKUP($A1632,hospital_details,6,0)</f>
        <v>tier - 3</v>
      </c>
      <c r="Q1632" s="5" t="str">
        <f t="shared" ref="Q1632:Q1695" si="9781">VLOOKUP($A1632,hospital_details,7,0)</f>
        <v>tier - 1</v>
      </c>
      <c r="R1632" s="5" t="str">
        <f t="shared" ref="R1632:R1695" si="9782">VLOOKUP($A1632,hospital_details,8,0)</f>
        <v>R1016</v>
      </c>
    </row>
    <row r="1633" spans="1:18" ht="14.4" customHeight="1" x14ac:dyDescent="0.3">
      <c r="A1633" s="7" t="s">
        <v>1653</v>
      </c>
      <c r="B1633" s="7" t="str">
        <f>VLOOKUP($A1633,[1]!Customer_Names[#Data],3,0)</f>
        <v xml:space="preserve">  Drew L</v>
      </c>
      <c r="C1633" s="7">
        <v>35.090000000000003</v>
      </c>
      <c r="D1633" s="7" t="str" cm="1">
        <f t="array" ref="D1633">_xlfn.IFS(Healthcare!$C1633&lt;18.5,"under weight",Healthcare!$C1633&lt;=24.9,"Normal Weight",Healthcare!$C1633&gt;=25,"overweight",Healthcare!$C1633&gt;=30,"obese")</f>
        <v>overweight</v>
      </c>
      <c r="E1633" s="7">
        <v>5.84</v>
      </c>
      <c r="F1633" s="7" t="str" cm="1">
        <f t="array" ref="F1633">_xlfn.IFS(Healthcare!$E1633&lt;5.7,"normal",Healthcare!$E1633&lt;=6.4,"prediabetes",Healthcare!$E1633&gt;=6.5,"diabetes")</f>
        <v>prediabetes</v>
      </c>
      <c r="G1633" s="7" t="s">
        <v>19</v>
      </c>
      <c r="H1633" s="7" t="s">
        <v>19</v>
      </c>
      <c r="I1633" s="7" t="s">
        <v>19</v>
      </c>
      <c r="J1633" s="7">
        <v>0</v>
      </c>
      <c r="K1633" s="7" t="s">
        <v>19</v>
      </c>
      <c r="L1633" s="7" t="str">
        <f>VLOOKUP(Healthcare!$A1633,hospital_details,2,0)</f>
        <v>8-Nov-1994</v>
      </c>
      <c r="M1633" s="7">
        <f t="shared" ref="M1633:M1696" ca="1" si="9783">VLOOKUP(A1633,hospital_details,3,0)</f>
        <v>31</v>
      </c>
      <c r="N1633" s="7">
        <f t="shared" ref="N1633:N1696" si="9784">VLOOKUP($A1633,hospital_details,4,0)</f>
        <v>0</v>
      </c>
      <c r="O1633" s="8">
        <f t="shared" ref="O1633:O1696" si="9785">VLOOKUP($A1633,hospital_details,5,0)</f>
        <v>6064.37</v>
      </c>
      <c r="P1633" s="7" t="str">
        <f t="shared" ref="P1633:P1696" si="9786">VLOOKUP($A1633,hospital_details,6,0)</f>
        <v>tier - 2</v>
      </c>
      <c r="Q1633" s="7" t="str">
        <f t="shared" ref="Q1633:Q1696" si="9787">VLOOKUP($A1633,hospital_details,7,0)</f>
        <v>tier - 2</v>
      </c>
      <c r="R1633" s="7" t="str">
        <f t="shared" ref="R1633:R1696" si="9788">VLOOKUP($A1633,hospital_details,8,0)</f>
        <v>R1011</v>
      </c>
    </row>
    <row r="1634" spans="1:18" ht="14.4" customHeight="1" x14ac:dyDescent="0.3">
      <c r="A1634" s="5" t="s">
        <v>1654</v>
      </c>
      <c r="B1634" s="5" t="str">
        <f>VLOOKUP($A1634,[1]!Customer_Names[#Data],3,0)</f>
        <v xml:space="preserve">  Christina</v>
      </c>
      <c r="C1634" s="5">
        <v>34.42</v>
      </c>
      <c r="D1634" s="5" t="str" cm="1">
        <f t="array" ref="D1634">_xlfn.IFS(Healthcare!$C1634&lt;18.5,"under weight",Healthcare!$C1634&lt;=24.9,"Normal Weight",Healthcare!$C1634&gt;=25,"overweight",Healthcare!$C1634&gt;=30,"obese")</f>
        <v>overweight</v>
      </c>
      <c r="E1634" s="5">
        <v>5.21</v>
      </c>
      <c r="F1634" s="5" t="str" cm="1">
        <f t="array" ref="F1634">_xlfn.IFS(Healthcare!$E1634&lt;5.7,"normal",Healthcare!$E1634&lt;=6.4,"prediabetes",Healthcare!$E1634&gt;=6.5,"diabetes")</f>
        <v>normal</v>
      </c>
      <c r="G1634" s="5" t="s">
        <v>20</v>
      </c>
      <c r="H1634" s="5" t="s">
        <v>19</v>
      </c>
      <c r="I1634" s="5" t="s">
        <v>19</v>
      </c>
      <c r="J1634" s="5">
        <v>0</v>
      </c>
      <c r="K1634" s="5" t="s">
        <v>19</v>
      </c>
      <c r="L1634" s="5" t="str">
        <f>VLOOKUP(Healthcare!$A1634,hospital_details,2,0)</f>
        <v>28-Jul-1996</v>
      </c>
      <c r="M1634" s="5">
        <f t="shared" ref="M1634:M1697" ca="1" si="9789">VLOOKUP(A1634,hospital_details,3,0)</f>
        <v>30</v>
      </c>
      <c r="N1634" s="5">
        <f t="shared" ref="N1634:N1697" si="9790">VLOOKUP($A1634,hospital_details,4,0)</f>
        <v>0</v>
      </c>
      <c r="O1634" s="6">
        <f t="shared" ref="O1634:O1697" si="9791">VLOOKUP($A1634,hospital_details,5,0)</f>
        <v>6061.8</v>
      </c>
      <c r="P1634" s="5" t="str">
        <f t="shared" ref="P1634:P1697" si="9792">VLOOKUP($A1634,hospital_details,6,0)</f>
        <v>tier - 2</v>
      </c>
      <c r="Q1634" s="5" t="str">
        <f t="shared" ref="Q1634:Q1697" si="9793">VLOOKUP($A1634,hospital_details,7,0)</f>
        <v>tier - 3</v>
      </c>
      <c r="R1634" s="5" t="str">
        <f t="shared" ref="R1634:R1697" si="9794">VLOOKUP($A1634,hospital_details,8,0)</f>
        <v>R1012</v>
      </c>
    </row>
    <row r="1635" spans="1:18" ht="14.4" customHeight="1" x14ac:dyDescent="0.3">
      <c r="A1635" s="7" t="s">
        <v>1655</v>
      </c>
      <c r="B1635" s="7" t="str">
        <f>VLOOKUP($A1635,[1]!Customer_Names[#Data],3,0)</f>
        <v xml:space="preserve">  Alexander G</v>
      </c>
      <c r="C1635" s="7">
        <v>29.4</v>
      </c>
      <c r="D1635" s="7" t="str" cm="1">
        <f t="array" ref="D1635">_xlfn.IFS(Healthcare!$C1635&lt;18.5,"under weight",Healthcare!$C1635&lt;=24.9,"Normal Weight",Healthcare!$C1635&gt;=25,"overweight",Healthcare!$C1635&gt;=30,"obese")</f>
        <v>overweight</v>
      </c>
      <c r="E1635" s="7">
        <v>4.26</v>
      </c>
      <c r="F1635" s="7" t="str" cm="1">
        <f t="array" ref="F1635">_xlfn.IFS(Healthcare!$E1635&lt;5.7,"normal",Healthcare!$E1635&lt;=6.4,"prediabetes",Healthcare!$E1635&gt;=6.5,"diabetes")</f>
        <v>normal</v>
      </c>
      <c r="G1635" s="7" t="s">
        <v>19</v>
      </c>
      <c r="H1635" s="7" t="s">
        <v>19</v>
      </c>
      <c r="I1635" s="7" t="s">
        <v>19</v>
      </c>
      <c r="J1635" s="7">
        <v>0</v>
      </c>
      <c r="K1635" s="7" t="s">
        <v>19</v>
      </c>
      <c r="L1635" s="7" t="str">
        <f>VLOOKUP(Healthcare!$A1635,hospital_details,2,0)</f>
        <v>16-Aug-1989</v>
      </c>
      <c r="M1635" s="7">
        <f t="shared" ref="M1635:M1698" ca="1" si="9795">VLOOKUP(A1635,hospital_details,3,0)</f>
        <v>37</v>
      </c>
      <c r="N1635" s="7">
        <f t="shared" ref="N1635:N1698" si="9796">VLOOKUP($A1635,hospital_details,4,0)</f>
        <v>4</v>
      </c>
      <c r="O1635" s="8">
        <f t="shared" ref="O1635:O1698" si="9797">VLOOKUP($A1635,hospital_details,5,0)</f>
        <v>6059.17</v>
      </c>
      <c r="P1635" s="7" t="str">
        <f t="shared" ref="P1635:P1698" si="9798">VLOOKUP($A1635,hospital_details,6,0)</f>
        <v>tier - 2</v>
      </c>
      <c r="Q1635" s="7" t="str">
        <f t="shared" ref="Q1635:Q1698" si="9799">VLOOKUP($A1635,hospital_details,7,0)</f>
        <v>tier - 1</v>
      </c>
      <c r="R1635" s="7" t="str">
        <f t="shared" ref="R1635:R1698" si="9800">VLOOKUP($A1635,hospital_details,8,0)</f>
        <v>R1011</v>
      </c>
    </row>
    <row r="1636" spans="1:18" ht="14.4" customHeight="1" x14ac:dyDescent="0.3">
      <c r="A1636" s="5" t="s">
        <v>1656</v>
      </c>
      <c r="B1636" s="5" t="str">
        <f>VLOOKUP($A1636,[1]!Customer_Names[#Data],3,0)</f>
        <v xml:space="preserve">  Meaghan</v>
      </c>
      <c r="C1636" s="5">
        <v>21.31</v>
      </c>
      <c r="D1636" s="5" t="str" cm="1">
        <f t="array" ref="D1636">_xlfn.IFS(Healthcare!$C1636&lt;18.5,"under weight",Healthcare!$C1636&lt;=24.9,"Normal Weight",Healthcare!$C1636&gt;=25,"overweight",Healthcare!$C1636&gt;=30,"obese")</f>
        <v>Normal Weight</v>
      </c>
      <c r="E1636" s="5">
        <v>4.17</v>
      </c>
      <c r="F1636" s="5" t="str" cm="1">
        <f t="array" ref="F1636">_xlfn.IFS(Healthcare!$E1636&lt;5.7,"normal",Healthcare!$E1636&lt;=6.4,"prediabetes",Healthcare!$E1636&gt;=6.5,"diabetes")</f>
        <v>normal</v>
      </c>
      <c r="G1636" s="5" t="s">
        <v>19</v>
      </c>
      <c r="H1636" s="5" t="s">
        <v>19</v>
      </c>
      <c r="I1636" s="5" t="s">
        <v>19</v>
      </c>
      <c r="J1636" s="5">
        <v>0</v>
      </c>
      <c r="K1636" s="5" t="s">
        <v>19</v>
      </c>
      <c r="L1636" s="5" t="str">
        <f>VLOOKUP(Healthcare!$A1636,hospital_details,2,0)</f>
        <v>8-Aug-1980</v>
      </c>
      <c r="M1636" s="5">
        <f t="shared" ref="M1636:M1699" ca="1" si="9801">VLOOKUP(A1636,hospital_details,3,0)</f>
        <v>46</v>
      </c>
      <c r="N1636" s="5">
        <f t="shared" ref="N1636:N1699" si="9802">VLOOKUP($A1636,hospital_details,4,0)</f>
        <v>2</v>
      </c>
      <c r="O1636" s="6">
        <f t="shared" ref="O1636:O1699" si="9803">VLOOKUP($A1636,hospital_details,5,0)</f>
        <v>5993.62</v>
      </c>
      <c r="P1636" s="5" t="str">
        <f t="shared" ref="P1636:P1699" si="9804">VLOOKUP($A1636,hospital_details,6,0)</f>
        <v>tier - 2</v>
      </c>
      <c r="Q1636" s="5" t="str">
        <f t="shared" ref="Q1636:Q1699" si="9805">VLOOKUP($A1636,hospital_details,7,0)</f>
        <v>tier - 3</v>
      </c>
      <c r="R1636" s="5" t="str">
        <f t="shared" ref="R1636:R1699" si="9806">VLOOKUP($A1636,hospital_details,8,0)</f>
        <v>R1013</v>
      </c>
    </row>
    <row r="1637" spans="1:18" ht="14.4" customHeight="1" x14ac:dyDescent="0.3">
      <c r="A1637" s="7" t="s">
        <v>1657</v>
      </c>
      <c r="B1637" s="7" t="str">
        <f>VLOOKUP($A1637,[1]!Customer_Names[#Data],3,0)</f>
        <v xml:space="preserve">  Kristin</v>
      </c>
      <c r="C1637" s="7">
        <v>19.559999999999999</v>
      </c>
      <c r="D1637" s="7" t="str" cm="1">
        <f t="array" ref="D1637">_xlfn.IFS(Healthcare!$C1637&lt;18.5,"under weight",Healthcare!$C1637&lt;=24.9,"Normal Weight",Healthcare!$C1637&gt;=25,"overweight",Healthcare!$C1637&gt;=30,"obese")</f>
        <v>Normal Weight</v>
      </c>
      <c r="E1637" s="7">
        <v>11.96</v>
      </c>
      <c r="F1637" s="7" t="str" cm="1">
        <f t="array" ref="F1637">_xlfn.IFS(Healthcare!$E1637&lt;5.7,"normal",Healthcare!$E1637&lt;=6.4,"prediabetes",Healthcare!$E1637&gt;=6.5,"diabetes")</f>
        <v>diabetes</v>
      </c>
      <c r="G1637" s="7" t="s">
        <v>19</v>
      </c>
      <c r="H1637" s="7" t="s">
        <v>19</v>
      </c>
      <c r="I1637" s="7" t="s">
        <v>19</v>
      </c>
      <c r="J1637" s="7">
        <v>0</v>
      </c>
      <c r="K1637" s="7" t="s">
        <v>19</v>
      </c>
      <c r="L1637" s="7" t="str">
        <f>VLOOKUP(Healthcare!$A1637,hospital_details,2,0)</f>
        <v>17-Aug-1974</v>
      </c>
      <c r="M1637" s="7">
        <f t="shared" ref="M1637:M1700" ca="1" si="9807">VLOOKUP(A1637,hospital_details,3,0)</f>
        <v>52</v>
      </c>
      <c r="N1637" s="7">
        <f t="shared" ref="N1637:N1700" si="9808">VLOOKUP($A1637,hospital_details,4,0)</f>
        <v>0</v>
      </c>
      <c r="O1637" s="8">
        <f t="shared" ref="O1637:O1700" si="9809">VLOOKUP($A1637,hospital_details,5,0)</f>
        <v>5990.17</v>
      </c>
      <c r="P1637" s="7" t="str">
        <f t="shared" ref="P1637:P1700" si="9810">VLOOKUP($A1637,hospital_details,6,0)</f>
        <v>tier - 2</v>
      </c>
      <c r="Q1637" s="7" t="str">
        <f t="shared" ref="Q1637:Q1700" si="9811">VLOOKUP($A1637,hospital_details,7,0)</f>
        <v>tier - 2</v>
      </c>
      <c r="R1637" s="7" t="str">
        <f t="shared" ref="R1637:R1700" si="9812">VLOOKUP($A1637,hospital_details,8,0)</f>
        <v>R1013</v>
      </c>
    </row>
    <row r="1638" spans="1:18" ht="14.4" customHeight="1" x14ac:dyDescent="0.3">
      <c r="A1638" s="5" t="s">
        <v>1658</v>
      </c>
      <c r="B1638" s="5" t="str">
        <f>VLOOKUP($A1638,[1]!Customer_Names[#Data],3,0)</f>
        <v xml:space="preserve">  Andrea K</v>
      </c>
      <c r="C1638" s="5">
        <v>37.335000000000001</v>
      </c>
      <c r="D1638" s="5" t="str" cm="1">
        <f t="array" ref="D1638">_xlfn.IFS(Healthcare!$C1638&lt;18.5,"under weight",Healthcare!$C1638&lt;=24.9,"Normal Weight",Healthcare!$C1638&gt;=25,"overweight",Healthcare!$C1638&gt;=30,"obese")</f>
        <v>overweight</v>
      </c>
      <c r="E1638" s="5">
        <v>6.26</v>
      </c>
      <c r="F1638" s="5" t="str" cm="1">
        <f t="array" ref="F1638">_xlfn.IFS(Healthcare!$E1638&lt;5.7,"normal",Healthcare!$E1638&lt;=6.4,"prediabetes",Healthcare!$E1638&gt;=6.5,"diabetes")</f>
        <v>prediabetes</v>
      </c>
      <c r="G1638" s="5" t="s">
        <v>20</v>
      </c>
      <c r="H1638" s="5" t="s">
        <v>19</v>
      </c>
      <c r="I1638" s="5" t="s">
        <v>19</v>
      </c>
      <c r="J1638" s="5">
        <v>1</v>
      </c>
      <c r="K1638" s="5" t="s">
        <v>19</v>
      </c>
      <c r="L1638" s="5" t="str">
        <f>VLOOKUP(Healthcare!$A1638,hospital_details,2,0)</f>
        <v>10-Jun-1988</v>
      </c>
      <c r="M1638" s="5">
        <f t="shared" ref="M1638:M1701" ca="1" si="9813">VLOOKUP(A1638,hospital_details,3,0)</f>
        <v>38</v>
      </c>
      <c r="N1638" s="5">
        <f t="shared" ref="N1638:N1701" si="9814">VLOOKUP($A1638,hospital_details,4,0)</f>
        <v>2</v>
      </c>
      <c r="O1638" s="6">
        <f t="shared" ref="O1638:O1701" si="9815">VLOOKUP($A1638,hospital_details,5,0)</f>
        <v>5989.52</v>
      </c>
      <c r="P1638" s="5" t="str">
        <f t="shared" ref="P1638:P1701" si="9816">VLOOKUP($A1638,hospital_details,6,0)</f>
        <v>tier - 2</v>
      </c>
      <c r="Q1638" s="5" t="str">
        <f t="shared" ref="Q1638:Q1701" si="9817">VLOOKUP($A1638,hospital_details,7,0)</f>
        <v>tier - 1</v>
      </c>
      <c r="R1638" s="5" t="str">
        <f t="shared" ref="R1638:R1701" si="9818">VLOOKUP($A1638,hospital_details,8,0)</f>
        <v>R1012</v>
      </c>
    </row>
    <row r="1639" spans="1:18" ht="14.4" customHeight="1" x14ac:dyDescent="0.3">
      <c r="A1639" s="7" t="s">
        <v>1659</v>
      </c>
      <c r="B1639" s="7" t="str">
        <f>VLOOKUP($A1639,[1]!Customer_Names[#Data],3,0)</f>
        <v xml:space="preserve">  Kris</v>
      </c>
      <c r="C1639" s="7">
        <v>19.53</v>
      </c>
      <c r="D1639" s="7" t="str" cm="1">
        <f t="array" ref="D1639">_xlfn.IFS(Healthcare!$C1639&lt;18.5,"under weight",Healthcare!$C1639&lt;=24.9,"Normal Weight",Healthcare!$C1639&gt;=25,"overweight",Healthcare!$C1639&gt;=30,"obese")</f>
        <v>Normal Weight</v>
      </c>
      <c r="E1639" s="7">
        <v>11.68</v>
      </c>
      <c r="F1639" s="7" t="str" cm="1">
        <f t="array" ref="F1639">_xlfn.IFS(Healthcare!$E1639&lt;5.7,"normal",Healthcare!$E1639&lt;=6.4,"prediabetes",Healthcare!$E1639&gt;=6.5,"diabetes")</f>
        <v>diabetes</v>
      </c>
      <c r="G1639" s="7" t="s">
        <v>19</v>
      </c>
      <c r="H1639" s="7" t="s">
        <v>19</v>
      </c>
      <c r="I1639" s="7" t="s">
        <v>19</v>
      </c>
      <c r="J1639" s="7">
        <v>0</v>
      </c>
      <c r="K1639" s="7" t="s">
        <v>19</v>
      </c>
      <c r="L1639" s="7" t="str">
        <f>VLOOKUP(Healthcare!$A1639,hospital_details,2,0)</f>
        <v>11-Oct-1974</v>
      </c>
      <c r="M1639" s="7">
        <f t="shared" ref="M1639:M1702" ca="1" si="9819">VLOOKUP(A1639,hospital_details,3,0)</f>
        <v>52</v>
      </c>
      <c r="N1639" s="7">
        <f t="shared" ref="N1639:N1702" si="9820">VLOOKUP($A1639,hospital_details,4,0)</f>
        <v>0</v>
      </c>
      <c r="O1639" s="8">
        <f t="shared" ref="O1639:O1702" si="9821">VLOOKUP($A1639,hospital_details,5,0)</f>
        <v>5979.99</v>
      </c>
      <c r="P1639" s="7" t="str">
        <f t="shared" ref="P1639:P1702" si="9822">VLOOKUP($A1639,hospital_details,6,0)</f>
        <v>tier - 2</v>
      </c>
      <c r="Q1639" s="7" t="str">
        <f t="shared" ref="Q1639:Q1702" si="9823">VLOOKUP($A1639,hospital_details,7,0)</f>
        <v>tier - 3</v>
      </c>
      <c r="R1639" s="7" t="str">
        <f t="shared" ref="R1639:R1702" si="9824">VLOOKUP($A1639,hospital_details,8,0)</f>
        <v>R1013</v>
      </c>
    </row>
    <row r="1640" spans="1:18" ht="14.4" customHeight="1" x14ac:dyDescent="0.3">
      <c r="A1640" s="5" t="s">
        <v>1660</v>
      </c>
      <c r="B1640" s="5" t="str">
        <f>VLOOKUP($A1640,[1]!Customer_Names[#Data],3,0)</f>
        <v xml:space="preserve">  Alden W</v>
      </c>
      <c r="C1640" s="5">
        <v>34.1</v>
      </c>
      <c r="D1640" s="5" t="str" cm="1">
        <f t="array" ref="D1640">_xlfn.IFS(Healthcare!$C1640&lt;18.5,"under weight",Healthcare!$C1640&lt;=24.9,"Normal Weight",Healthcare!$C1640&gt;=25,"overweight",Healthcare!$C1640&gt;=30,"obese")</f>
        <v>overweight</v>
      </c>
      <c r="E1640" s="5">
        <v>5.16</v>
      </c>
      <c r="F1640" s="5" t="str" cm="1">
        <f t="array" ref="F1640">_xlfn.IFS(Healthcare!$E1640&lt;5.7,"normal",Healthcare!$E1640&lt;=6.4,"prediabetes",Healthcare!$E1640&gt;=6.5,"diabetes")</f>
        <v>normal</v>
      </c>
      <c r="G1640" s="5" t="s">
        <v>19</v>
      </c>
      <c r="H1640" s="5" t="s">
        <v>19</v>
      </c>
      <c r="I1640" s="5" t="s">
        <v>19</v>
      </c>
      <c r="J1640" s="5">
        <v>0</v>
      </c>
      <c r="K1640" s="5" t="s">
        <v>19</v>
      </c>
      <c r="L1640" s="5" t="str">
        <f>VLOOKUP(Healthcare!$A1640,hospital_details,2,0)</f>
        <v>10-Oct-1980</v>
      </c>
      <c r="M1640" s="5">
        <f t="shared" ref="M1640:M1703" ca="1" si="9825">VLOOKUP(A1640,hospital_details,3,0)</f>
        <v>46</v>
      </c>
      <c r="N1640" s="5">
        <f t="shared" ref="N1640:N1703" si="9826">VLOOKUP($A1640,hospital_details,4,0)</f>
        <v>0</v>
      </c>
      <c r="O1640" s="6">
        <f t="shared" ref="O1640:O1703" si="9827">VLOOKUP($A1640,hospital_details,5,0)</f>
        <v>5979.73</v>
      </c>
      <c r="P1640" s="5" t="str">
        <f t="shared" ref="P1640:P1703" si="9828">VLOOKUP($A1640,hospital_details,6,0)</f>
        <v>tier - 2</v>
      </c>
      <c r="Q1640" s="5" t="str">
        <f t="shared" ref="Q1640:Q1703" si="9829">VLOOKUP($A1640,hospital_details,7,0)</f>
        <v>tier - 2</v>
      </c>
      <c r="R1640" s="5" t="str">
        <f t="shared" ref="R1640:R1703" si="9830">VLOOKUP($A1640,hospital_details,8,0)</f>
        <v>R1011</v>
      </c>
    </row>
    <row r="1641" spans="1:18" ht="14.4" customHeight="1" x14ac:dyDescent="0.3">
      <c r="A1641" s="7" t="s">
        <v>1661</v>
      </c>
      <c r="B1641" s="7" t="str">
        <f>VLOOKUP($A1641,[1]!Customer_Names[#Data],3,0)</f>
        <v xml:space="preserve">  Suzanne M</v>
      </c>
      <c r="C1641" s="7">
        <v>16.5</v>
      </c>
      <c r="D1641" s="7" t="str" cm="1">
        <f t="array" ref="D1641">_xlfn.IFS(Healthcare!$C1641&lt;18.5,"under weight",Healthcare!$C1641&lt;=24.9,"Normal Weight",Healthcare!$C1641&gt;=25,"overweight",Healthcare!$C1641&gt;=30,"obese")</f>
        <v>under weight</v>
      </c>
      <c r="E1641" s="7">
        <v>6.9</v>
      </c>
      <c r="F1641" s="7" t="str" cm="1">
        <f t="array" ref="F1641">_xlfn.IFS(Healthcare!$E1641&lt;5.7,"normal",Healthcare!$E1641&lt;=6.4,"prediabetes",Healthcare!$E1641&gt;=6.5,"diabetes")</f>
        <v>diabetes</v>
      </c>
      <c r="G1641" s="7" t="s">
        <v>20</v>
      </c>
      <c r="H1641" s="7" t="s">
        <v>19</v>
      </c>
      <c r="I1641" s="7" t="s">
        <v>19</v>
      </c>
      <c r="J1641" s="7">
        <v>2</v>
      </c>
      <c r="K1641" s="7" t="s">
        <v>19</v>
      </c>
      <c r="L1641" s="7" t="str">
        <f>VLOOKUP(Healthcare!$A1641,hospital_details,2,0)</f>
        <v>25-Jun-1970</v>
      </c>
      <c r="M1641" s="7">
        <f t="shared" ref="M1641:M1704" ca="1" si="9831">VLOOKUP(A1641,hospital_details,3,0)</f>
        <v>56</v>
      </c>
      <c r="N1641" s="7">
        <f t="shared" ref="N1641:N1704" si="9832">VLOOKUP($A1641,hospital_details,4,0)</f>
        <v>0</v>
      </c>
      <c r="O1641" s="8">
        <f t="shared" ref="O1641:O1704" si="9833">VLOOKUP($A1641,hospital_details,5,0)</f>
        <v>5979.66</v>
      </c>
      <c r="P1641" s="7" t="str">
        <f t="shared" ref="P1641:P1704" si="9834">VLOOKUP($A1641,hospital_details,6,0)</f>
        <v>tier - 2</v>
      </c>
      <c r="Q1641" s="7" t="str">
        <f t="shared" ref="Q1641:Q1704" si="9835">VLOOKUP($A1641,hospital_details,7,0)</f>
        <v>tier - 3</v>
      </c>
      <c r="R1641" s="7" t="str">
        <f t="shared" ref="R1641:R1704" si="9836">VLOOKUP($A1641,hospital_details,8,0)</f>
        <v>R1013</v>
      </c>
    </row>
    <row r="1642" spans="1:18" ht="14.4" customHeight="1" x14ac:dyDescent="0.3">
      <c r="A1642" s="5" t="s">
        <v>1662</v>
      </c>
      <c r="B1642" s="5" t="str">
        <f>VLOOKUP($A1642,[1]!Customer_Names[#Data],3,0)</f>
        <v xml:space="preserve">  Heidi Z</v>
      </c>
      <c r="C1642" s="5">
        <v>30.69</v>
      </c>
      <c r="D1642" s="5" t="str" cm="1">
        <f t="array" ref="D1642">_xlfn.IFS(Healthcare!$C1642&lt;18.5,"under weight",Healthcare!$C1642&lt;=24.9,"Normal Weight",Healthcare!$C1642&gt;=25,"overweight",Healthcare!$C1642&gt;=30,"obese")</f>
        <v>overweight</v>
      </c>
      <c r="E1642" s="5">
        <v>4.83</v>
      </c>
      <c r="F1642" s="5" t="str" cm="1">
        <f t="array" ref="F1642">_xlfn.IFS(Healthcare!$E1642&lt;5.7,"normal",Healthcare!$E1642&lt;=6.4,"prediabetes",Healthcare!$E1642&gt;=6.5,"diabetes")</f>
        <v>normal</v>
      </c>
      <c r="G1642" s="5" t="s">
        <v>19</v>
      </c>
      <c r="H1642" s="5" t="s">
        <v>19</v>
      </c>
      <c r="I1642" s="5" t="s">
        <v>19</v>
      </c>
      <c r="J1642" s="5">
        <v>1</v>
      </c>
      <c r="K1642" s="5" t="s">
        <v>19</v>
      </c>
      <c r="L1642" s="5" t="str">
        <f>VLOOKUP(Healthcare!$A1642,hospital_details,2,0)</f>
        <v>11-Nov-1984</v>
      </c>
      <c r="M1642" s="5">
        <f t="shared" ref="M1642:M1705" ca="1" si="9837">VLOOKUP(A1642,hospital_details,3,0)</f>
        <v>41</v>
      </c>
      <c r="N1642" s="5">
        <f t="shared" ref="N1642:N1705" si="9838">VLOOKUP($A1642,hospital_details,4,0)</f>
        <v>1</v>
      </c>
      <c r="O1642" s="6">
        <f t="shared" ref="O1642:O1705" si="9839">VLOOKUP($A1642,hospital_details,5,0)</f>
        <v>5976.83</v>
      </c>
      <c r="P1642" s="5" t="str">
        <f t="shared" ref="P1642:P1705" si="9840">VLOOKUP($A1642,hospital_details,6,0)</f>
        <v>tier - 2</v>
      </c>
      <c r="Q1642" s="5" t="str">
        <f t="shared" ref="Q1642:Q1705" si="9841">VLOOKUP($A1642,hospital_details,7,0)</f>
        <v>tier - 2</v>
      </c>
      <c r="R1642" s="5" t="str">
        <f t="shared" ref="R1642:R1705" si="9842">VLOOKUP($A1642,hospital_details,8,0)</f>
        <v>R1013</v>
      </c>
    </row>
    <row r="1643" spans="1:18" ht="14.4" customHeight="1" x14ac:dyDescent="0.3">
      <c r="A1643" s="7" t="s">
        <v>1663</v>
      </c>
      <c r="B1643" s="7" t="str">
        <f>VLOOKUP($A1643,[1]!Customer_Names[#Data],3,0)</f>
        <v xml:space="preserve">  Carolyn</v>
      </c>
      <c r="C1643" s="7">
        <v>28.93</v>
      </c>
      <c r="D1643" s="7" t="str" cm="1">
        <f t="array" ref="D1643">_xlfn.IFS(Healthcare!$C1643&lt;18.5,"under weight",Healthcare!$C1643&lt;=24.9,"Normal Weight",Healthcare!$C1643&gt;=25,"overweight",Healthcare!$C1643&gt;=30,"obese")</f>
        <v>overweight</v>
      </c>
      <c r="E1643" s="7">
        <v>4.87</v>
      </c>
      <c r="F1643" s="7" t="str" cm="1">
        <f t="array" ref="F1643">_xlfn.IFS(Healthcare!$E1643&lt;5.7,"normal",Healthcare!$E1643&lt;=6.4,"prediabetes",Healthcare!$E1643&gt;=6.5,"diabetes")</f>
        <v>normal</v>
      </c>
      <c r="G1643" s="7" t="s">
        <v>19</v>
      </c>
      <c r="H1643" s="7" t="s">
        <v>19</v>
      </c>
      <c r="I1643" s="7" t="s">
        <v>19</v>
      </c>
      <c r="J1643" s="7">
        <v>1</v>
      </c>
      <c r="K1643" s="7" t="s">
        <v>19</v>
      </c>
      <c r="L1643" s="7" t="str">
        <f>VLOOKUP(Healthcare!$A1643,hospital_details,2,0)</f>
        <v>19-Sep-1984</v>
      </c>
      <c r="M1643" s="7">
        <f t="shared" ref="M1643:M1706" ca="1" si="9843">VLOOKUP(A1643,hospital_details,3,0)</f>
        <v>42</v>
      </c>
      <c r="N1643" s="7">
        <f t="shared" ref="N1643:N1706" si="9844">VLOOKUP($A1643,hospital_details,4,0)</f>
        <v>1</v>
      </c>
      <c r="O1643" s="8">
        <f t="shared" ref="O1643:O1706" si="9845">VLOOKUP($A1643,hospital_details,5,0)</f>
        <v>5974.38</v>
      </c>
      <c r="P1643" s="7" t="str">
        <f t="shared" ref="P1643:P1706" si="9846">VLOOKUP($A1643,hospital_details,6,0)</f>
        <v>tier - 2</v>
      </c>
      <c r="Q1643" s="7" t="str">
        <f t="shared" ref="Q1643:Q1706" si="9847">VLOOKUP($A1643,hospital_details,7,0)</f>
        <v>tier - 3</v>
      </c>
      <c r="R1643" s="7" t="str">
        <f t="shared" ref="R1643:R1706" si="9848">VLOOKUP($A1643,hospital_details,8,0)</f>
        <v>R1013</v>
      </c>
    </row>
    <row r="1644" spans="1:18" ht="14.4" customHeight="1" x14ac:dyDescent="0.3">
      <c r="A1644" s="5" t="s">
        <v>1664</v>
      </c>
      <c r="B1644" s="5" t="str">
        <f>VLOOKUP($A1644,[1]!Customer_Names[#Data],3,0)</f>
        <v xml:space="preserve">  Sabine</v>
      </c>
      <c r="C1644" s="5">
        <v>38.9</v>
      </c>
      <c r="D1644" s="5" t="str" cm="1">
        <f t="array" ref="D1644">_xlfn.IFS(Healthcare!$C1644&lt;18.5,"under weight",Healthcare!$C1644&lt;=24.9,"Normal Weight",Healthcare!$C1644&gt;=25,"overweight",Healthcare!$C1644&gt;=30,"obese")</f>
        <v>overweight</v>
      </c>
      <c r="E1644" s="5">
        <v>4.28</v>
      </c>
      <c r="F1644" s="5" t="str" cm="1">
        <f t="array" ref="F1644">_xlfn.IFS(Healthcare!$E1644&lt;5.7,"normal",Healthcare!$E1644&lt;=6.4,"prediabetes",Healthcare!$E1644&gt;=6.5,"diabetes")</f>
        <v>normal</v>
      </c>
      <c r="G1644" s="5" t="s">
        <v>19</v>
      </c>
      <c r="H1644" s="5" t="s">
        <v>19</v>
      </c>
      <c r="I1644" s="5" t="s">
        <v>19</v>
      </c>
      <c r="J1644" s="5">
        <v>0</v>
      </c>
      <c r="K1644" s="5" t="s">
        <v>19</v>
      </c>
      <c r="L1644" s="5" t="str">
        <f>VLOOKUP(Healthcare!$A1644,hospital_details,2,0)</f>
        <v>22-Jul-1989</v>
      </c>
      <c r="M1644" s="5">
        <f t="shared" ref="M1644:M1707" ca="1" si="9849">VLOOKUP(A1644,hospital_details,3,0)</f>
        <v>37</v>
      </c>
      <c r="N1644" s="5">
        <f t="shared" ref="N1644:N1707" si="9850">VLOOKUP($A1644,hospital_details,4,0)</f>
        <v>3</v>
      </c>
      <c r="O1644" s="6">
        <f t="shared" ref="O1644:O1707" si="9851">VLOOKUP($A1644,hospital_details,5,0)</f>
        <v>5972.38</v>
      </c>
      <c r="P1644" s="5" t="str">
        <f t="shared" ref="P1644:P1707" si="9852">VLOOKUP($A1644,hospital_details,6,0)</f>
        <v>tier - 2</v>
      </c>
      <c r="Q1644" s="5" t="str">
        <f t="shared" ref="Q1644:Q1707" si="9853">VLOOKUP($A1644,hospital_details,7,0)</f>
        <v>tier - 2</v>
      </c>
      <c r="R1644" s="5" t="str">
        <f t="shared" ref="R1644:R1707" si="9854">VLOOKUP($A1644,hospital_details,8,0)</f>
        <v>R1011</v>
      </c>
    </row>
    <row r="1645" spans="1:18" ht="14.4" customHeight="1" x14ac:dyDescent="0.3">
      <c r="A1645" s="7" t="s">
        <v>1665</v>
      </c>
      <c r="B1645" s="7" t="str">
        <f>VLOOKUP($A1645,[1]!Customer_Names[#Data],3,0)</f>
        <v xml:space="preserve">  Bobby</v>
      </c>
      <c r="C1645" s="7">
        <v>26.9</v>
      </c>
      <c r="D1645" s="7" t="str" cm="1">
        <f t="array" ref="D1645">_xlfn.IFS(Healthcare!$C1645&lt;18.5,"under weight",Healthcare!$C1645&lt;=24.9,"Normal Weight",Healthcare!$C1645&gt;=25,"overweight",Healthcare!$C1645&gt;=30,"obese")</f>
        <v>overweight</v>
      </c>
      <c r="E1645" s="7">
        <v>4.07</v>
      </c>
      <c r="F1645" s="7" t="str" cm="1">
        <f t="array" ref="F1645">_xlfn.IFS(Healthcare!$E1645&lt;5.7,"normal",Healthcare!$E1645&lt;=6.4,"prediabetes",Healthcare!$E1645&gt;=6.5,"diabetes")</f>
        <v>normal</v>
      </c>
      <c r="G1645" s="7" t="s">
        <v>19</v>
      </c>
      <c r="H1645" s="7" t="s">
        <v>19</v>
      </c>
      <c r="I1645" s="7" t="s">
        <v>19</v>
      </c>
      <c r="J1645" s="7">
        <v>0</v>
      </c>
      <c r="K1645" s="7" t="s">
        <v>19</v>
      </c>
      <c r="L1645" s="7" t="str">
        <f>VLOOKUP(Healthcare!$A1645,hospital_details,2,0)</f>
        <v>21-Jul-1980</v>
      </c>
      <c r="M1645" s="7">
        <f t="shared" ref="M1645:M1708" ca="1" si="9855">VLOOKUP(A1645,hospital_details,3,0)</f>
        <v>46</v>
      </c>
      <c r="N1645" s="7">
        <f t="shared" ref="N1645:N1708" si="9856">VLOOKUP($A1645,hospital_details,4,0)</f>
        <v>0</v>
      </c>
      <c r="O1645" s="8">
        <f t="shared" ref="O1645:O1708" si="9857">VLOOKUP($A1645,hospital_details,5,0)</f>
        <v>5969.72</v>
      </c>
      <c r="P1645" s="7" t="str">
        <f t="shared" ref="P1645:P1708" si="9858">VLOOKUP($A1645,hospital_details,6,0)</f>
        <v>tier - 3</v>
      </c>
      <c r="Q1645" s="7" t="str">
        <f t="shared" ref="Q1645:Q1708" si="9859">VLOOKUP($A1645,hospital_details,7,0)</f>
        <v>tier - 3</v>
      </c>
      <c r="R1645" s="7" t="str">
        <f t="shared" ref="R1645:R1708" si="9860">VLOOKUP($A1645,hospital_details,8,0)</f>
        <v>R1011</v>
      </c>
    </row>
    <row r="1646" spans="1:18" ht="14.4" customHeight="1" x14ac:dyDescent="0.3">
      <c r="A1646" s="5" t="s">
        <v>1666</v>
      </c>
      <c r="B1646" s="5" t="str">
        <f>VLOOKUP($A1646,[1]!Customer_Names[#Data],3,0)</f>
        <v xml:space="preserve">  Fan</v>
      </c>
      <c r="C1646" s="5">
        <v>24.86</v>
      </c>
      <c r="D1646" s="5" t="str" cm="1">
        <f t="array" ref="D1646">_xlfn.IFS(Healthcare!$C1646&lt;18.5,"under weight",Healthcare!$C1646&lt;=24.9,"Normal Weight",Healthcare!$C1646&gt;=25,"overweight",Healthcare!$C1646&gt;=30,"obese")</f>
        <v>Normal Weight</v>
      </c>
      <c r="E1646" s="5">
        <v>6.23</v>
      </c>
      <c r="F1646" s="5" t="str" cm="1">
        <f t="array" ref="F1646">_xlfn.IFS(Healthcare!$E1646&lt;5.7,"normal",Healthcare!$E1646&lt;=6.4,"prediabetes",Healthcare!$E1646&gt;=6.5,"diabetes")</f>
        <v>prediabetes</v>
      </c>
      <c r="G1646" s="5" t="s">
        <v>19</v>
      </c>
      <c r="H1646" s="5" t="s">
        <v>19</v>
      </c>
      <c r="I1646" s="5" t="s">
        <v>19</v>
      </c>
      <c r="J1646" s="5">
        <v>0</v>
      </c>
      <c r="K1646" s="5" t="s">
        <v>19</v>
      </c>
      <c r="L1646" s="5" t="str">
        <f>VLOOKUP(Healthcare!$A1646,hospital_details,2,0)</f>
        <v>5-Aug-1980</v>
      </c>
      <c r="M1646" s="5">
        <f t="shared" ref="M1646:M1709" ca="1" si="9861">VLOOKUP(A1646,hospital_details,3,0)</f>
        <v>46</v>
      </c>
      <c r="N1646" s="5">
        <f t="shared" ref="N1646:N1709" si="9862">VLOOKUP($A1646,hospital_details,4,0)</f>
        <v>0</v>
      </c>
      <c r="O1646" s="6">
        <f t="shared" ref="O1646:O1709" si="9863">VLOOKUP($A1646,hospital_details,5,0)</f>
        <v>5966.89</v>
      </c>
      <c r="P1646" s="5" t="str">
        <f t="shared" ref="P1646:P1709" si="9864">VLOOKUP($A1646,hospital_details,6,0)</f>
        <v>tier - 2</v>
      </c>
      <c r="Q1646" s="5" t="str">
        <f t="shared" ref="Q1646:Q1709" si="9865">VLOOKUP($A1646,hospital_details,7,0)</f>
        <v>tier - 3</v>
      </c>
      <c r="R1646" s="5" t="str">
        <f t="shared" ref="R1646:R1709" si="9866">VLOOKUP($A1646,hospital_details,8,0)</f>
        <v>R1013</v>
      </c>
    </row>
    <row r="1647" spans="1:18" ht="14.4" customHeight="1" x14ac:dyDescent="0.3">
      <c r="A1647" s="7" t="s">
        <v>1667</v>
      </c>
      <c r="B1647" s="7" t="str">
        <f>VLOOKUP($A1647,[1]!Customer_Names[#Data],3,0)</f>
        <v xml:space="preserve">  Rachel M</v>
      </c>
      <c r="C1647" s="7">
        <v>39.14</v>
      </c>
      <c r="D1647" s="7" t="str" cm="1">
        <f t="array" ref="D1647">_xlfn.IFS(Healthcare!$C1647&lt;18.5,"under weight",Healthcare!$C1647&lt;=24.9,"Normal Weight",Healthcare!$C1647&gt;=25,"overweight",Healthcare!$C1647&gt;=30,"obese")</f>
        <v>overweight</v>
      </c>
      <c r="E1647" s="7">
        <v>6.24</v>
      </c>
      <c r="F1647" s="7" t="str" cm="1">
        <f t="array" ref="F1647">_xlfn.IFS(Healthcare!$E1647&lt;5.7,"normal",Healthcare!$E1647&lt;=6.4,"prediabetes",Healthcare!$E1647&gt;=6.5,"diabetes")</f>
        <v>prediabetes</v>
      </c>
      <c r="G1647" s="7" t="s">
        <v>19</v>
      </c>
      <c r="H1647" s="7" t="s">
        <v>20</v>
      </c>
      <c r="I1647" s="7" t="s">
        <v>19</v>
      </c>
      <c r="J1647" s="7">
        <v>1</v>
      </c>
      <c r="K1647" s="7" t="s">
        <v>19</v>
      </c>
      <c r="L1647" s="7" t="str">
        <f>VLOOKUP(Healthcare!$A1647,hospital_details,2,0)</f>
        <v>15-Jul-2004</v>
      </c>
      <c r="M1647" s="7">
        <f t="shared" ref="M1647:M1710" ca="1" si="9867">VLOOKUP(A1647,hospital_details,3,0)</f>
        <v>22</v>
      </c>
      <c r="N1647" s="7">
        <f t="shared" ref="N1647:N1710" si="9868">VLOOKUP($A1647,hospital_details,4,0)</f>
        <v>0</v>
      </c>
      <c r="O1647" s="8">
        <f t="shared" ref="O1647:O1710" si="9869">VLOOKUP($A1647,hospital_details,5,0)</f>
        <v>5960.91</v>
      </c>
      <c r="P1647" s="7" t="str">
        <f t="shared" ref="P1647:P1710" si="9870">VLOOKUP($A1647,hospital_details,6,0)</f>
        <v>tier - 2</v>
      </c>
      <c r="Q1647" s="7" t="str">
        <f t="shared" ref="Q1647:Q1710" si="9871">VLOOKUP($A1647,hospital_details,7,0)</f>
        <v>tier - 1</v>
      </c>
      <c r="R1647" s="7" t="str">
        <f t="shared" ref="R1647:R1710" si="9872">VLOOKUP($A1647,hospital_details,8,0)</f>
        <v>R1026</v>
      </c>
    </row>
    <row r="1648" spans="1:18" ht="14.4" customHeight="1" x14ac:dyDescent="0.3">
      <c r="A1648" s="5" t="s">
        <v>1668</v>
      </c>
      <c r="B1648" s="5" t="str">
        <f>VLOOKUP($A1648,[1]!Customer_Names[#Data],3,0)</f>
        <v xml:space="preserve">  Greg</v>
      </c>
      <c r="C1648" s="5">
        <v>39.799999999999997</v>
      </c>
      <c r="D1648" s="5" t="str" cm="1">
        <f t="array" ref="D1648">_xlfn.IFS(Healthcare!$C1648&lt;18.5,"under weight",Healthcare!$C1648&lt;=24.9,"Normal Weight",Healthcare!$C1648&gt;=25,"overweight",Healthcare!$C1648&gt;=30,"obese")</f>
        <v>overweight</v>
      </c>
      <c r="E1648" s="5">
        <v>6.17</v>
      </c>
      <c r="F1648" s="5" t="str" cm="1">
        <f t="array" ref="F1648">_xlfn.IFS(Healthcare!$E1648&lt;5.7,"normal",Healthcare!$E1648&lt;=6.4,"prediabetes",Healthcare!$E1648&gt;=6.5,"diabetes")</f>
        <v>prediabetes</v>
      </c>
      <c r="G1648" s="5" t="s">
        <v>19</v>
      </c>
      <c r="H1648" s="5" t="s">
        <v>19</v>
      </c>
      <c r="I1648" s="5" t="s">
        <v>29</v>
      </c>
      <c r="J1648" s="5">
        <v>1</v>
      </c>
      <c r="K1648" s="5" t="s">
        <v>19</v>
      </c>
      <c r="L1648" s="5" t="str">
        <f>VLOOKUP(Healthcare!$A1648,hospital_details,2,0)</f>
        <v>13-Aug-2003</v>
      </c>
      <c r="M1648" s="5">
        <f t="shared" ref="M1648:M1711" ca="1" si="9873">VLOOKUP(A1648,hospital_details,3,0)</f>
        <v>23</v>
      </c>
      <c r="N1648" s="5">
        <f t="shared" ref="N1648:N1711" si="9874">VLOOKUP($A1648,hospital_details,4,0)</f>
        <v>0</v>
      </c>
      <c r="O1648" s="6">
        <f t="shared" ref="O1648:O1711" si="9875">VLOOKUP($A1648,hospital_details,5,0)</f>
        <v>5957.35</v>
      </c>
      <c r="P1648" s="5" t="str">
        <f t="shared" ref="P1648:P1711" si="9876">VLOOKUP($A1648,hospital_details,6,0)</f>
        <v>tier - 2</v>
      </c>
      <c r="Q1648" s="5" t="str">
        <f t="shared" ref="Q1648:Q1711" si="9877">VLOOKUP($A1648,hospital_details,7,0)</f>
        <v>tier - 2</v>
      </c>
      <c r="R1648" s="5" t="str">
        <f t="shared" ref="R1648:R1711" si="9878">VLOOKUP($A1648,hospital_details,8,0)</f>
        <v>R1012</v>
      </c>
    </row>
    <row r="1649" spans="1:18" ht="14.4" customHeight="1" x14ac:dyDescent="0.3">
      <c r="A1649" s="7" t="s">
        <v>1669</v>
      </c>
      <c r="B1649" s="7" t="str">
        <f>VLOOKUP($A1649,[1]!Customer_Names[#Data],3,0)</f>
        <v xml:space="preserve">  Dan</v>
      </c>
      <c r="C1649" s="7">
        <v>34.32</v>
      </c>
      <c r="D1649" s="7" t="str" cm="1">
        <f t="array" ref="D1649">_xlfn.IFS(Healthcare!$C1649&lt;18.5,"under weight",Healthcare!$C1649&lt;=24.9,"Normal Weight",Healthcare!$C1649&gt;=25,"overweight",Healthcare!$C1649&gt;=30,"obese")</f>
        <v>overweight</v>
      </c>
      <c r="E1649" s="7">
        <v>5.16</v>
      </c>
      <c r="F1649" s="7" t="str" cm="1">
        <f t="array" ref="F1649">_xlfn.IFS(Healthcare!$E1649&lt;5.7,"normal",Healthcare!$E1649&lt;=6.4,"prediabetes",Healthcare!$E1649&gt;=6.5,"diabetes")</f>
        <v>normal</v>
      </c>
      <c r="G1649" s="7" t="s">
        <v>19</v>
      </c>
      <c r="H1649" s="7" t="s">
        <v>19</v>
      </c>
      <c r="I1649" s="7" t="s">
        <v>19</v>
      </c>
      <c r="J1649" s="7">
        <v>1</v>
      </c>
      <c r="K1649" s="7" t="s">
        <v>19</v>
      </c>
      <c r="L1649" s="7" t="str">
        <f>VLOOKUP(Healthcare!$A1649,hospital_details,2,0)</f>
        <v>14-Jul-1987</v>
      </c>
      <c r="M1649" s="7">
        <f t="shared" ref="M1649:M1712" ca="1" si="9879">VLOOKUP(A1649,hospital_details,3,0)</f>
        <v>39</v>
      </c>
      <c r="N1649" s="7">
        <f t="shared" ref="N1649:N1712" si="9880">VLOOKUP($A1649,hospital_details,4,0)</f>
        <v>3</v>
      </c>
      <c r="O1649" s="8">
        <f t="shared" ref="O1649:O1712" si="9881">VLOOKUP($A1649,hospital_details,5,0)</f>
        <v>5934.38</v>
      </c>
      <c r="P1649" s="7" t="str">
        <f t="shared" ref="P1649:P1712" si="9882">VLOOKUP($A1649,hospital_details,6,0)</f>
        <v>tier - 3</v>
      </c>
      <c r="Q1649" s="7" t="str">
        <f t="shared" ref="Q1649:Q1712" si="9883">VLOOKUP($A1649,hospital_details,7,0)</f>
        <v>tier - 2</v>
      </c>
      <c r="R1649" s="7" t="str">
        <f t="shared" ref="R1649:R1712" si="9884">VLOOKUP($A1649,hospital_details,8,0)</f>
        <v>R1013</v>
      </c>
    </row>
    <row r="1650" spans="1:18" ht="14.4" customHeight="1" x14ac:dyDescent="0.3">
      <c r="A1650" s="5" t="s">
        <v>1670</v>
      </c>
      <c r="B1650" s="5" t="str">
        <f>VLOOKUP($A1650,[1]!Customer_Names[#Data],3,0)</f>
        <v xml:space="preserve">  Jennifer A</v>
      </c>
      <c r="C1650" s="5">
        <v>32.51</v>
      </c>
      <c r="D1650" s="5" t="str" cm="1">
        <f t="array" ref="D1650">_xlfn.IFS(Healthcare!$C1650&lt;18.5,"under weight",Healthcare!$C1650&lt;=24.9,"Normal Weight",Healthcare!$C1650&gt;=25,"overweight",Healthcare!$C1650&gt;=30,"obese")</f>
        <v>overweight</v>
      </c>
      <c r="E1650" s="5">
        <v>4.3</v>
      </c>
      <c r="F1650" s="5" t="str" cm="1">
        <f t="array" ref="F1650">_xlfn.IFS(Healthcare!$E1650&lt;5.7,"normal",Healthcare!$E1650&lt;=6.4,"prediabetes",Healthcare!$E1650&gt;=6.5,"diabetes")</f>
        <v>normal</v>
      </c>
      <c r="G1650" s="5" t="s">
        <v>19</v>
      </c>
      <c r="H1650" s="5" t="s">
        <v>19</v>
      </c>
      <c r="I1650" s="5" t="s">
        <v>19</v>
      </c>
      <c r="J1650" s="5">
        <v>0</v>
      </c>
      <c r="K1650" s="5" t="s">
        <v>19</v>
      </c>
      <c r="L1650" s="5" t="str">
        <f>VLOOKUP(Healthcare!$A1650,hospital_details,2,0)</f>
        <v>30-Jul-1994</v>
      </c>
      <c r="M1650" s="5">
        <f t="shared" ref="M1650:M1713" ca="1" si="9885">VLOOKUP(A1650,hospital_details,3,0)</f>
        <v>32</v>
      </c>
      <c r="N1650" s="5">
        <f t="shared" ref="N1650:N1713" si="9886">VLOOKUP($A1650,hospital_details,4,0)</f>
        <v>0</v>
      </c>
      <c r="O1650" s="6">
        <f t="shared" ref="O1650:O1713" si="9887">VLOOKUP($A1650,hospital_details,5,0)</f>
        <v>5927.65</v>
      </c>
      <c r="P1650" s="5" t="str">
        <f t="shared" ref="P1650:P1713" si="9888">VLOOKUP($A1650,hospital_details,6,0)</f>
        <v>tier - 2</v>
      </c>
      <c r="Q1650" s="5" t="str">
        <f t="shared" ref="Q1650:Q1713" si="9889">VLOOKUP($A1650,hospital_details,7,0)</f>
        <v>tier - 1</v>
      </c>
      <c r="R1650" s="5" t="str">
        <f t="shared" ref="R1650:R1713" si="9890">VLOOKUP($A1650,hospital_details,8,0)</f>
        <v>R1012</v>
      </c>
    </row>
    <row r="1651" spans="1:18" ht="14.4" customHeight="1" x14ac:dyDescent="0.3">
      <c r="A1651" s="7" t="s">
        <v>1671</v>
      </c>
      <c r="B1651" s="7" t="str">
        <f>VLOOKUP($A1651,[1]!Customer_Names[#Data],3,0)</f>
        <v xml:space="preserve">  Jessica</v>
      </c>
      <c r="C1651" s="7">
        <v>30.71</v>
      </c>
      <c r="D1651" s="7" t="str" cm="1">
        <f t="array" ref="D1651">_xlfn.IFS(Healthcare!$C1651&lt;18.5,"under weight",Healthcare!$C1651&lt;=24.9,"Normal Weight",Healthcare!$C1651&gt;=25,"overweight",Healthcare!$C1651&gt;=30,"obese")</f>
        <v>overweight</v>
      </c>
      <c r="E1651" s="7">
        <v>6.14</v>
      </c>
      <c r="F1651" s="7" t="str" cm="1">
        <f t="array" ref="F1651">_xlfn.IFS(Healthcare!$E1651&lt;5.7,"normal",Healthcare!$E1651&lt;=6.4,"prediabetes",Healthcare!$E1651&gt;=6.5,"diabetes")</f>
        <v>prediabetes</v>
      </c>
      <c r="G1651" s="7" t="s">
        <v>19</v>
      </c>
      <c r="H1651" s="7" t="s">
        <v>19</v>
      </c>
      <c r="I1651" s="7" t="s">
        <v>29</v>
      </c>
      <c r="J1651" s="7">
        <v>1</v>
      </c>
      <c r="K1651" s="7" t="s">
        <v>19</v>
      </c>
      <c r="L1651" s="7" t="str">
        <f>VLOOKUP(Healthcare!$A1651,hospital_details,2,0)</f>
        <v>13-Aug-1993</v>
      </c>
      <c r="M1651" s="7">
        <f t="shared" ref="M1651:M1714" ca="1" si="9891">VLOOKUP(A1651,hospital_details,3,0)</f>
        <v>33</v>
      </c>
      <c r="N1651" s="7">
        <f t="shared" ref="N1651:N1714" si="9892">VLOOKUP($A1651,hospital_details,4,0)</f>
        <v>0</v>
      </c>
      <c r="O1651" s="8">
        <f t="shared" ref="O1651:O1714" si="9893">VLOOKUP($A1651,hospital_details,5,0)</f>
        <v>5926.93</v>
      </c>
      <c r="P1651" s="7" t="str">
        <f t="shared" ref="P1651:P1714" si="9894">VLOOKUP($A1651,hospital_details,6,0)</f>
        <v>tier - 2</v>
      </c>
      <c r="Q1651" s="7" t="str">
        <f t="shared" ref="Q1651:Q1714" si="9895">VLOOKUP($A1651,hospital_details,7,0)</f>
        <v>tier - 2</v>
      </c>
      <c r="R1651" s="7" t="str">
        <f t="shared" ref="R1651:R1714" si="9896">VLOOKUP($A1651,hospital_details,8,0)</f>
        <v>R1025</v>
      </c>
    </row>
    <row r="1652" spans="1:18" ht="14.4" customHeight="1" x14ac:dyDescent="0.3">
      <c r="A1652" s="5" t="s">
        <v>1672</v>
      </c>
      <c r="B1652" s="5" t="str">
        <f>VLOOKUP($A1652,[1]!Customer_Names[#Data],3,0)</f>
        <v xml:space="preserve">  Chaiwat</v>
      </c>
      <c r="C1652" s="5">
        <v>28.9</v>
      </c>
      <c r="D1652" s="5" t="str" cm="1">
        <f t="array" ref="D1652">_xlfn.IFS(Healthcare!$C1652&lt;18.5,"under weight",Healthcare!$C1652&lt;=24.9,"Normal Weight",Healthcare!$C1652&gt;=25,"overweight",Healthcare!$C1652&gt;=30,"obese")</f>
        <v>overweight</v>
      </c>
      <c r="E1652" s="5">
        <v>5.36</v>
      </c>
      <c r="F1652" s="5" t="str" cm="1">
        <f t="array" ref="F1652">_xlfn.IFS(Healthcare!$E1652&lt;5.7,"normal",Healthcare!$E1652&lt;=6.4,"prediabetes",Healthcare!$E1652&gt;=6.5,"diabetes")</f>
        <v>normal</v>
      </c>
      <c r="G1652" s="5" t="s">
        <v>19</v>
      </c>
      <c r="H1652" s="5" t="s">
        <v>19</v>
      </c>
      <c r="I1652" s="5" t="s">
        <v>19</v>
      </c>
      <c r="J1652" s="5">
        <v>1</v>
      </c>
      <c r="K1652" s="5" t="s">
        <v>19</v>
      </c>
      <c r="L1652" s="5" t="str">
        <f>VLOOKUP(Healthcare!$A1652,hospital_details,2,0)</f>
        <v>29-Jul-1987</v>
      </c>
      <c r="M1652" s="5">
        <f t="shared" ref="M1652:M1715" ca="1" si="9897">VLOOKUP(A1652,hospital_details,3,0)</f>
        <v>39</v>
      </c>
      <c r="N1652" s="5">
        <f t="shared" ref="N1652:N1715" si="9898">VLOOKUP($A1652,hospital_details,4,0)</f>
        <v>3</v>
      </c>
      <c r="O1652" s="6">
        <f t="shared" ref="O1652:O1715" si="9899">VLOOKUP($A1652,hospital_details,5,0)</f>
        <v>5926.85</v>
      </c>
      <c r="P1652" s="5" t="str">
        <f t="shared" ref="P1652:P1715" si="9900">VLOOKUP($A1652,hospital_details,6,0)</f>
        <v>tier - 3</v>
      </c>
      <c r="Q1652" s="5" t="str">
        <f t="shared" ref="Q1652:Q1715" si="9901">VLOOKUP($A1652,hospital_details,7,0)</f>
        <v>tier - 3</v>
      </c>
      <c r="R1652" s="5" t="str">
        <f t="shared" ref="R1652:R1715" si="9902">VLOOKUP($A1652,hospital_details,8,0)</f>
        <v>R1011</v>
      </c>
    </row>
    <row r="1653" spans="1:18" ht="14.4" customHeight="1" x14ac:dyDescent="0.3">
      <c r="A1653" s="7" t="s">
        <v>1673</v>
      </c>
      <c r="B1653" s="7" t="str">
        <f>VLOOKUP($A1653,[1]!Customer_Names[#Data],3,0)</f>
        <v xml:space="preserve">  Kerri</v>
      </c>
      <c r="C1653" s="7">
        <v>36.19</v>
      </c>
      <c r="D1653" s="7" t="str" cm="1">
        <f t="array" ref="D1653">_xlfn.IFS(Healthcare!$C1653&lt;18.5,"under weight",Healthcare!$C1653&lt;=24.9,"Normal Weight",Healthcare!$C1653&gt;=25,"overweight",Healthcare!$C1653&gt;=30,"obese")</f>
        <v>overweight</v>
      </c>
      <c r="E1653" s="7">
        <v>4.3</v>
      </c>
      <c r="F1653" s="7" t="str" cm="1">
        <f t="array" ref="F1653">_xlfn.IFS(Healthcare!$E1653&lt;5.7,"normal",Healthcare!$E1653&lt;=6.4,"prediabetes",Healthcare!$E1653&gt;=6.5,"diabetes")</f>
        <v>normal</v>
      </c>
      <c r="G1653" s="7" t="s">
        <v>19</v>
      </c>
      <c r="H1653" s="7" t="s">
        <v>19</v>
      </c>
      <c r="I1653" s="7" t="s">
        <v>19</v>
      </c>
      <c r="J1653" s="7">
        <v>0</v>
      </c>
      <c r="K1653" s="7" t="s">
        <v>19</v>
      </c>
      <c r="L1653" s="7" t="str">
        <f>VLOOKUP(Healthcare!$A1653,hospital_details,2,0)</f>
        <v>21-Dec-1982</v>
      </c>
      <c r="M1653" s="7">
        <f t="shared" ref="M1653:M1716" ca="1" si="9903">VLOOKUP(A1653,hospital_details,3,0)</f>
        <v>43</v>
      </c>
      <c r="N1653" s="7">
        <f t="shared" ref="N1653:N1716" si="9904">VLOOKUP($A1653,hospital_details,4,0)</f>
        <v>0</v>
      </c>
      <c r="O1653" s="8">
        <f t="shared" ref="O1653:O1716" si="9905">VLOOKUP($A1653,hospital_details,5,0)</f>
        <v>5920.1</v>
      </c>
      <c r="P1653" s="7" t="str">
        <f t="shared" ref="P1653:P1716" si="9906">VLOOKUP($A1653,hospital_details,6,0)</f>
        <v>tier - 2</v>
      </c>
      <c r="Q1653" s="7" t="str">
        <f t="shared" ref="Q1653:Q1716" si="9907">VLOOKUP($A1653,hospital_details,7,0)</f>
        <v>tier - 1</v>
      </c>
      <c r="R1653" s="7" t="str">
        <f t="shared" ref="R1653:R1716" si="9908">VLOOKUP($A1653,hospital_details,8,0)</f>
        <v>R1013</v>
      </c>
    </row>
    <row r="1654" spans="1:18" ht="14.4" customHeight="1" x14ac:dyDescent="0.3">
      <c r="A1654" s="5" t="s">
        <v>1674</v>
      </c>
      <c r="B1654" s="5" t="str">
        <f>VLOOKUP($A1654,[1]!Customer_Names[#Data],3,0)</f>
        <v xml:space="preserve">  Lisa</v>
      </c>
      <c r="C1654" s="5">
        <v>29.6</v>
      </c>
      <c r="D1654" s="5" t="str" cm="1">
        <f t="array" ref="D1654">_xlfn.IFS(Healthcare!$C1654&lt;18.5,"under weight",Healthcare!$C1654&lt;=24.9,"Normal Weight",Healthcare!$C1654&gt;=25,"overweight",Healthcare!$C1654&gt;=30,"obese")</f>
        <v>overweight</v>
      </c>
      <c r="E1654" s="5">
        <v>4.09</v>
      </c>
      <c r="F1654" s="5" t="str" cm="1">
        <f t="array" ref="F1654">_xlfn.IFS(Healthcare!$E1654&lt;5.7,"normal",Healthcare!$E1654&lt;=6.4,"prediabetes",Healthcare!$E1654&gt;=6.5,"diabetes")</f>
        <v>normal</v>
      </c>
      <c r="G1654" s="5" t="s">
        <v>19</v>
      </c>
      <c r="H1654" s="5" t="s">
        <v>19</v>
      </c>
      <c r="I1654" s="5" t="s">
        <v>19</v>
      </c>
      <c r="J1654" s="5">
        <v>0</v>
      </c>
      <c r="K1654" s="5" t="s">
        <v>19</v>
      </c>
      <c r="L1654" s="5" t="str">
        <f>VLOOKUP(Healthcare!$A1654,hospital_details,2,0)</f>
        <v>8-Jul-1982</v>
      </c>
      <c r="M1654" s="5">
        <f t="shared" ref="M1654:M1717" ca="1" si="9909">VLOOKUP(A1654,hospital_details,3,0)</f>
        <v>44</v>
      </c>
      <c r="N1654" s="5">
        <f t="shared" ref="N1654:N1717" si="9910">VLOOKUP($A1654,hospital_details,4,0)</f>
        <v>0</v>
      </c>
      <c r="O1654" s="6">
        <f t="shared" ref="O1654:O1717" si="9911">VLOOKUP($A1654,hospital_details,5,0)</f>
        <v>5910.94</v>
      </c>
      <c r="P1654" s="5" t="str">
        <f t="shared" ref="P1654:P1717" si="9912">VLOOKUP($A1654,hospital_details,6,0)</f>
        <v>tier - 2</v>
      </c>
      <c r="Q1654" s="5" t="str">
        <f t="shared" ref="Q1654:Q1717" si="9913">VLOOKUP($A1654,hospital_details,7,0)</f>
        <v>tier - 1</v>
      </c>
      <c r="R1654" s="5" t="str">
        <f t="shared" ref="R1654:R1717" si="9914">VLOOKUP($A1654,hospital_details,8,0)</f>
        <v>R1011</v>
      </c>
    </row>
    <row r="1655" spans="1:18" ht="14.4" customHeight="1" x14ac:dyDescent="0.3">
      <c r="A1655" s="7" t="s">
        <v>1675</v>
      </c>
      <c r="B1655" s="7" t="str">
        <f>VLOOKUP($A1655,[1]!Customer_Names[#Data],3,0)</f>
        <v xml:space="preserve">  Nicholas G</v>
      </c>
      <c r="C1655" s="7">
        <v>30.95</v>
      </c>
      <c r="D1655" s="7" t="str" cm="1">
        <f t="array" ref="D1655">_xlfn.IFS(Healthcare!$C1655&lt;18.5,"under weight",Healthcare!$C1655&lt;=24.9,"Normal Weight",Healthcare!$C1655&gt;=25,"overweight",Healthcare!$C1655&gt;=30,"obese")</f>
        <v>overweight</v>
      </c>
      <c r="E1655" s="7">
        <v>6.27</v>
      </c>
      <c r="F1655" s="7" t="str" cm="1">
        <f t="array" ref="F1655">_xlfn.IFS(Healthcare!$E1655&lt;5.7,"normal",Healthcare!$E1655&lt;=6.4,"prediabetes",Healthcare!$E1655&gt;=6.5,"diabetes")</f>
        <v>prediabetes</v>
      </c>
      <c r="G1655" s="7" t="s">
        <v>19</v>
      </c>
      <c r="H1655" s="7" t="s">
        <v>19</v>
      </c>
      <c r="I1655" s="7" t="s">
        <v>29</v>
      </c>
      <c r="J1655" s="7">
        <v>1</v>
      </c>
      <c r="K1655" s="7" t="s">
        <v>19</v>
      </c>
      <c r="L1655" s="7" t="str">
        <f>VLOOKUP(Healthcare!$A1655,hospital_details,2,0)</f>
        <v>19-Oct-1993</v>
      </c>
      <c r="M1655" s="7">
        <f t="shared" ref="M1655:M1718" ca="1" si="9915">VLOOKUP(A1655,hospital_details,3,0)</f>
        <v>32</v>
      </c>
      <c r="N1655" s="7">
        <f t="shared" ref="N1655:N1718" si="9916">VLOOKUP($A1655,hospital_details,4,0)</f>
        <v>0</v>
      </c>
      <c r="O1655" s="8">
        <f t="shared" ref="O1655:O1718" si="9917">VLOOKUP($A1655,hospital_details,5,0)</f>
        <v>5877.02</v>
      </c>
      <c r="P1655" s="7" t="str">
        <f t="shared" ref="P1655:P1718" si="9918">VLOOKUP($A1655,hospital_details,6,0)</f>
        <v>tier - 2</v>
      </c>
      <c r="Q1655" s="7" t="str">
        <f t="shared" ref="Q1655:Q1718" si="9919">VLOOKUP($A1655,hospital_details,7,0)</f>
        <v>tier - 2</v>
      </c>
      <c r="R1655" s="7" t="str">
        <f t="shared" ref="R1655:R1718" si="9920">VLOOKUP($A1655,hospital_details,8,0)</f>
        <v>R1021</v>
      </c>
    </row>
    <row r="1656" spans="1:18" ht="14.4" customHeight="1" x14ac:dyDescent="0.3">
      <c r="A1656" s="5" t="s">
        <v>1676</v>
      </c>
      <c r="B1656" s="5" t="str">
        <f>VLOOKUP($A1656,[1]!Customer_Names[#Data],3,0)</f>
        <v xml:space="preserve">  Vasilis S</v>
      </c>
      <c r="C1656" s="5">
        <v>19.95</v>
      </c>
      <c r="D1656" s="5" t="str" cm="1">
        <f t="array" ref="D1656">_xlfn.IFS(Healthcare!$C1656&lt;18.5,"under weight",Healthcare!$C1656&lt;=24.9,"Normal Weight",Healthcare!$C1656&gt;=25,"overweight",Healthcare!$C1656&gt;=30,"obese")</f>
        <v>Normal Weight</v>
      </c>
      <c r="E1656" s="5">
        <v>5.39</v>
      </c>
      <c r="F1656" s="5" t="str" cm="1">
        <f t="array" ref="F1656">_xlfn.IFS(Healthcare!$E1656&lt;5.7,"normal",Healthcare!$E1656&lt;=6.4,"prediabetes",Healthcare!$E1656&gt;=6.5,"diabetes")</f>
        <v>normal</v>
      </c>
      <c r="G1656" s="5" t="s">
        <v>19</v>
      </c>
      <c r="H1656" s="5" t="s">
        <v>19</v>
      </c>
      <c r="I1656" s="5" t="s">
        <v>19</v>
      </c>
      <c r="J1656" s="5">
        <v>1</v>
      </c>
      <c r="K1656" s="5" t="s">
        <v>19</v>
      </c>
      <c r="L1656" s="5" t="str">
        <f>VLOOKUP(Healthcare!$A1656,hospital_details,2,0)</f>
        <v>22-Nov-1984</v>
      </c>
      <c r="M1656" s="5">
        <f t="shared" ref="M1656:M1719" ca="1" si="9921">VLOOKUP(A1656,hospital_details,3,0)</f>
        <v>41</v>
      </c>
      <c r="N1656" s="5">
        <f t="shared" ref="N1656:N1719" si="9922">VLOOKUP($A1656,hospital_details,4,0)</f>
        <v>1</v>
      </c>
      <c r="O1656" s="6">
        <f t="shared" ref="O1656:O1719" si="9923">VLOOKUP($A1656,hospital_details,5,0)</f>
        <v>5855.9</v>
      </c>
      <c r="P1656" s="5" t="str">
        <f t="shared" ref="P1656:P1719" si="9924">VLOOKUP($A1656,hospital_details,6,0)</f>
        <v>tier - 2</v>
      </c>
      <c r="Q1656" s="5" t="str">
        <f t="shared" ref="Q1656:Q1719" si="9925">VLOOKUP($A1656,hospital_details,7,0)</f>
        <v>tier - 3</v>
      </c>
      <c r="R1656" s="5" t="str">
        <f t="shared" ref="R1656:R1719" si="9926">VLOOKUP($A1656,hospital_details,8,0)</f>
        <v>R1012</v>
      </c>
    </row>
    <row r="1657" spans="1:18" ht="14.4" customHeight="1" x14ac:dyDescent="0.3">
      <c r="A1657" s="7" t="s">
        <v>1677</v>
      </c>
      <c r="B1657" s="7" t="str">
        <f>VLOOKUP($A1657,[1]!Customer_Names[#Data],3,0)</f>
        <v xml:space="preserve">  Michael P</v>
      </c>
      <c r="C1657" s="7">
        <v>23.65</v>
      </c>
      <c r="D1657" s="7" t="str" cm="1">
        <f t="array" ref="D1657">_xlfn.IFS(Healthcare!$C1657&lt;18.5,"under weight",Healthcare!$C1657&lt;=24.9,"Normal Weight",Healthcare!$C1657&gt;=25,"overweight",Healthcare!$C1657&gt;=30,"obese")</f>
        <v>Normal Weight</v>
      </c>
      <c r="E1657" s="7">
        <v>5.75</v>
      </c>
      <c r="F1657" s="7" t="str" cm="1">
        <f t="array" ref="F1657">_xlfn.IFS(Healthcare!$E1657&lt;5.7,"normal",Healthcare!$E1657&lt;=6.4,"prediabetes",Healthcare!$E1657&gt;=6.5,"diabetes")</f>
        <v>prediabetes</v>
      </c>
      <c r="G1657" s="7" t="s">
        <v>20</v>
      </c>
      <c r="H1657" s="7" t="s">
        <v>19</v>
      </c>
      <c r="I1657" s="7" t="s">
        <v>19</v>
      </c>
      <c r="J1657" s="7">
        <v>0</v>
      </c>
      <c r="K1657" s="7" t="s">
        <v>19</v>
      </c>
      <c r="L1657" s="7" t="str">
        <f>VLOOKUP(Healthcare!$A1657,hospital_details,2,0)</f>
        <v>18-Jun-1985</v>
      </c>
      <c r="M1657" s="7">
        <f t="shared" ref="M1657:M1720" ca="1" si="9927">VLOOKUP(A1657,hospital_details,3,0)</f>
        <v>41</v>
      </c>
      <c r="N1657" s="7">
        <f t="shared" ref="N1657:N1720" si="9928">VLOOKUP($A1657,hospital_details,4,0)</f>
        <v>3</v>
      </c>
      <c r="O1657" s="8">
        <f t="shared" ref="O1657:O1720" si="9929">VLOOKUP($A1657,hospital_details,5,0)</f>
        <v>5847.24</v>
      </c>
      <c r="P1657" s="7" t="str">
        <f t="shared" ref="P1657:P1720" si="9930">VLOOKUP($A1657,hospital_details,6,0)</f>
        <v>tier - 2</v>
      </c>
      <c r="Q1657" s="7" t="str">
        <f t="shared" ref="Q1657:Q1720" si="9931">VLOOKUP($A1657,hospital_details,7,0)</f>
        <v>tier - 1</v>
      </c>
      <c r="R1657" s="7" t="str">
        <f t="shared" ref="R1657:R1720" si="9932">VLOOKUP($A1657,hospital_details,8,0)</f>
        <v>R1013</v>
      </c>
    </row>
    <row r="1658" spans="1:18" ht="14.4" customHeight="1" x14ac:dyDescent="0.3">
      <c r="A1658" s="5" t="s">
        <v>1678</v>
      </c>
      <c r="B1658" s="5" t="str">
        <f>VLOOKUP($A1658,[1]!Customer_Names[#Data],3,0)</f>
        <v xml:space="preserve">  Colleen C</v>
      </c>
      <c r="C1658" s="5">
        <v>43.34</v>
      </c>
      <c r="D1658" s="5" t="str" cm="1">
        <f t="array" ref="D1658">_xlfn.IFS(Healthcare!$C1658&lt;18.5,"under weight",Healthcare!$C1658&lt;=24.9,"Normal Weight",Healthcare!$C1658&gt;=25,"overweight",Healthcare!$C1658&gt;=30,"obese")</f>
        <v>overweight</v>
      </c>
      <c r="E1658" s="5">
        <v>4.91</v>
      </c>
      <c r="F1658" s="5" t="str" cm="1">
        <f t="array" ref="F1658">_xlfn.IFS(Healthcare!$E1658&lt;5.7,"normal",Healthcare!$E1658&lt;=6.4,"prediabetes",Healthcare!$E1658&gt;=6.5,"diabetes")</f>
        <v>normal</v>
      </c>
      <c r="G1658" s="5" t="s">
        <v>19</v>
      </c>
      <c r="H1658" s="5" t="s">
        <v>19</v>
      </c>
      <c r="I1658" s="5" t="s">
        <v>19</v>
      </c>
      <c r="J1658" s="5">
        <v>1</v>
      </c>
      <c r="K1658" s="5" t="s">
        <v>19</v>
      </c>
      <c r="L1658" s="5" t="str">
        <f>VLOOKUP(Healthcare!$A1658,hospital_details,2,0)</f>
        <v>30-Sep-1987</v>
      </c>
      <c r="M1658" s="5">
        <f t="shared" ref="M1658:M1721" ca="1" si="9933">VLOOKUP(A1658,hospital_details,3,0)</f>
        <v>39</v>
      </c>
      <c r="N1658" s="5">
        <f t="shared" ref="N1658:N1721" si="9934">VLOOKUP($A1658,hospital_details,4,0)</f>
        <v>2</v>
      </c>
      <c r="O1658" s="6">
        <f t="shared" ref="O1658:O1721" si="9935">VLOOKUP($A1658,hospital_details,5,0)</f>
        <v>5846.92</v>
      </c>
      <c r="P1658" s="5" t="str">
        <f t="shared" ref="P1658:P1721" si="9936">VLOOKUP($A1658,hospital_details,6,0)</f>
        <v>tier - 2</v>
      </c>
      <c r="Q1658" s="5" t="str">
        <f t="shared" ref="Q1658:Q1721" si="9937">VLOOKUP($A1658,hospital_details,7,0)</f>
        <v>tier - 2</v>
      </c>
      <c r="R1658" s="5" t="str">
        <f t="shared" ref="R1658:R1721" si="9938">VLOOKUP($A1658,hospital_details,8,0)</f>
        <v>R1013</v>
      </c>
    </row>
    <row r="1659" spans="1:18" ht="14.4" customHeight="1" x14ac:dyDescent="0.3">
      <c r="A1659" s="7" t="s">
        <v>1679</v>
      </c>
      <c r="B1659" s="7" t="str">
        <f>VLOOKUP($A1659,[1]!Customer_Names[#Data],3,0)</f>
        <v xml:space="preserve">  Annika</v>
      </c>
      <c r="C1659" s="7">
        <v>31.98</v>
      </c>
      <c r="D1659" s="7" t="str" cm="1">
        <f t="array" ref="D1659">_xlfn.IFS(Healthcare!$C1659&lt;18.5,"under weight",Healthcare!$C1659&lt;=24.9,"Normal Weight",Healthcare!$C1659&gt;=25,"overweight",Healthcare!$C1659&gt;=30,"obese")</f>
        <v>overweight</v>
      </c>
      <c r="E1659" s="7">
        <v>4.46</v>
      </c>
      <c r="F1659" s="7" t="str" cm="1">
        <f t="array" ref="F1659">_xlfn.IFS(Healthcare!$E1659&lt;5.7,"normal",Healthcare!$E1659&lt;=6.4,"prediabetes",Healthcare!$E1659&gt;=6.5,"diabetes")</f>
        <v>normal</v>
      </c>
      <c r="G1659" s="7" t="s">
        <v>20</v>
      </c>
      <c r="H1659" s="7" t="s">
        <v>19</v>
      </c>
      <c r="I1659" s="7" t="s">
        <v>19</v>
      </c>
      <c r="J1659" s="7">
        <v>1</v>
      </c>
      <c r="K1659" s="7" t="s">
        <v>19</v>
      </c>
      <c r="L1659" s="7" t="str">
        <f>VLOOKUP(Healthcare!$A1659,hospital_details,2,0)</f>
        <v>20-Aug-1995</v>
      </c>
      <c r="M1659" s="7">
        <f t="shared" ref="M1659:M1722" ca="1" si="9939">VLOOKUP(A1659,hospital_details,3,0)</f>
        <v>31</v>
      </c>
      <c r="N1659" s="7">
        <f t="shared" ref="N1659:N1722" si="9940">VLOOKUP($A1659,hospital_details,4,0)</f>
        <v>0</v>
      </c>
      <c r="O1659" s="8">
        <f t="shared" ref="O1659:O1722" si="9941">VLOOKUP($A1659,hospital_details,5,0)</f>
        <v>5843.99</v>
      </c>
      <c r="P1659" s="7" t="str">
        <f t="shared" ref="P1659:P1722" si="9942">VLOOKUP($A1659,hospital_details,6,0)</f>
        <v>tier - 2</v>
      </c>
      <c r="Q1659" s="7" t="str">
        <f t="shared" ref="Q1659:Q1722" si="9943">VLOOKUP($A1659,hospital_details,7,0)</f>
        <v>tier - 2</v>
      </c>
      <c r="R1659" s="7" t="str">
        <f t="shared" ref="R1659:R1722" si="9944">VLOOKUP($A1659,hospital_details,8,0)</f>
        <v>R1025</v>
      </c>
    </row>
    <row r="1660" spans="1:18" ht="14.4" customHeight="1" x14ac:dyDescent="0.3">
      <c r="A1660" s="5" t="s">
        <v>1680</v>
      </c>
      <c r="B1660" s="5" t="str">
        <f>VLOOKUP($A1660,[1]!Customer_Names[#Data],3,0)</f>
        <v xml:space="preserve">  Kelly</v>
      </c>
      <c r="C1660" s="5">
        <v>35.86</v>
      </c>
      <c r="D1660" s="5" t="str" cm="1">
        <f t="array" ref="D1660">_xlfn.IFS(Healthcare!$C1660&lt;18.5,"under weight",Healthcare!$C1660&lt;=24.9,"Normal Weight",Healthcare!$C1660&gt;=25,"overweight",Healthcare!$C1660&gt;=30,"obese")</f>
        <v>overweight</v>
      </c>
      <c r="E1660" s="5">
        <v>6.22</v>
      </c>
      <c r="F1660" s="5" t="str" cm="1">
        <f t="array" ref="F1660">_xlfn.IFS(Healthcare!$E1660&lt;5.7,"normal",Healthcare!$E1660&lt;=6.4,"prediabetes",Healthcare!$E1660&gt;=6.5,"diabetes")</f>
        <v>prediabetes</v>
      </c>
      <c r="G1660" s="5" t="s">
        <v>19</v>
      </c>
      <c r="H1660" s="5" t="s">
        <v>19</v>
      </c>
      <c r="I1660" s="5" t="s">
        <v>19</v>
      </c>
      <c r="J1660" s="5">
        <v>1</v>
      </c>
      <c r="K1660" s="5" t="s">
        <v>19</v>
      </c>
      <c r="L1660" s="5" t="str">
        <f>VLOOKUP(Healthcare!$A1660,hospital_details,2,0)</f>
        <v>27-Jul-1987</v>
      </c>
      <c r="M1660" s="5">
        <f t="shared" ref="M1660:M1723" ca="1" si="9945">VLOOKUP(A1660,hospital_details,3,0)</f>
        <v>39</v>
      </c>
      <c r="N1660" s="5">
        <f t="shared" ref="N1660:N1723" si="9946">VLOOKUP($A1660,hospital_details,4,0)</f>
        <v>2</v>
      </c>
      <c r="O1660" s="6">
        <f t="shared" ref="O1660:O1723" si="9947">VLOOKUP($A1660,hospital_details,5,0)</f>
        <v>5836.52</v>
      </c>
      <c r="P1660" s="5" t="str">
        <f t="shared" ref="P1660:P1723" si="9948">VLOOKUP($A1660,hospital_details,6,0)</f>
        <v>tier - 2</v>
      </c>
      <c r="Q1660" s="5" t="str">
        <f t="shared" ref="Q1660:Q1723" si="9949">VLOOKUP($A1660,hospital_details,7,0)</f>
        <v>tier - 3</v>
      </c>
      <c r="R1660" s="5" t="str">
        <f t="shared" ref="R1660:R1723" si="9950">VLOOKUP($A1660,hospital_details,8,0)</f>
        <v>R1013</v>
      </c>
    </row>
    <row r="1661" spans="1:18" ht="14.4" customHeight="1" x14ac:dyDescent="0.3">
      <c r="A1661" s="7" t="s">
        <v>1681</v>
      </c>
      <c r="B1661" s="7" t="str">
        <f>VLOOKUP($A1661,[1]!Customer_Names[#Data],3,0)</f>
        <v xml:space="preserve">  Nicholas C</v>
      </c>
      <c r="C1661" s="7">
        <v>15.2</v>
      </c>
      <c r="D1661" s="7" t="str" cm="1">
        <f t="array" ref="D1661">_xlfn.IFS(Healthcare!$C1661&lt;18.5,"under weight",Healthcare!$C1661&lt;=24.9,"Normal Weight",Healthcare!$C1661&gt;=25,"overweight",Healthcare!$C1661&gt;=30,"obese")</f>
        <v>under weight</v>
      </c>
      <c r="E1661" s="7">
        <v>8.82</v>
      </c>
      <c r="F1661" s="7" t="str" cm="1">
        <f t="array" ref="F1661">_xlfn.IFS(Healthcare!$E1661&lt;5.7,"normal",Healthcare!$E1661&lt;=6.4,"prediabetes",Healthcare!$E1661&gt;=6.5,"diabetes")</f>
        <v>diabetes</v>
      </c>
      <c r="G1661" s="7" t="s">
        <v>19</v>
      </c>
      <c r="H1661" s="7" t="s">
        <v>19</v>
      </c>
      <c r="I1661" s="7" t="s">
        <v>19</v>
      </c>
      <c r="J1661" s="7">
        <v>0</v>
      </c>
      <c r="K1661" s="7" t="s">
        <v>19</v>
      </c>
      <c r="L1661" s="7" t="str">
        <f>VLOOKUP(Healthcare!$A1661,hospital_details,2,0)</f>
        <v>27-Sep-1971</v>
      </c>
      <c r="M1661" s="7">
        <f t="shared" ref="M1661:M1724" ca="1" si="9951">VLOOKUP(A1661,hospital_details,3,0)</f>
        <v>55</v>
      </c>
      <c r="N1661" s="7">
        <f t="shared" ref="N1661:N1724" si="9952">VLOOKUP($A1661,hospital_details,4,0)</f>
        <v>0</v>
      </c>
      <c r="O1661" s="8">
        <f t="shared" ref="O1661:O1724" si="9953">VLOOKUP($A1661,hospital_details,5,0)</f>
        <v>5832.6</v>
      </c>
      <c r="P1661" s="7" t="str">
        <f t="shared" ref="P1661:P1724" si="9954">VLOOKUP($A1661,hospital_details,6,0)</f>
        <v>tier - 2</v>
      </c>
      <c r="Q1661" s="7" t="str">
        <f t="shared" ref="Q1661:Q1724" si="9955">VLOOKUP($A1661,hospital_details,7,0)</f>
        <v>tier - 3</v>
      </c>
      <c r="R1661" s="7" t="str">
        <f t="shared" ref="R1661:R1724" si="9956">VLOOKUP($A1661,hospital_details,8,0)</f>
        <v>R1012</v>
      </c>
    </row>
    <row r="1662" spans="1:18" ht="14.4" customHeight="1" x14ac:dyDescent="0.3">
      <c r="A1662" s="5" t="s">
        <v>1682</v>
      </c>
      <c r="B1662" s="5" t="str">
        <f>VLOOKUP($A1662,[1]!Customer_Names[#Data],3,0)</f>
        <v xml:space="preserve">  Kelly K</v>
      </c>
      <c r="C1662" s="5">
        <v>37.200000000000003</v>
      </c>
      <c r="D1662" s="5" t="str" cm="1">
        <f t="array" ref="D1662">_xlfn.IFS(Healthcare!$C1662&lt;18.5,"under weight",Healthcare!$C1662&lt;=24.9,"Normal Weight",Healthcare!$C1662&gt;=25,"overweight",Healthcare!$C1662&gt;=30,"obese")</f>
        <v>overweight</v>
      </c>
      <c r="E1662" s="5">
        <v>10.14</v>
      </c>
      <c r="F1662" s="5" t="str" cm="1">
        <f t="array" ref="F1662">_xlfn.IFS(Healthcare!$E1662&lt;5.7,"normal",Healthcare!$E1662&lt;=6.4,"prediabetes",Healthcare!$E1662&gt;=6.5,"diabetes")</f>
        <v>diabetes</v>
      </c>
      <c r="G1662" s="5" t="s">
        <v>19</v>
      </c>
      <c r="H1662" s="5" t="s">
        <v>19</v>
      </c>
      <c r="I1662" s="5" t="s">
        <v>19</v>
      </c>
      <c r="J1662" s="5">
        <v>0</v>
      </c>
      <c r="K1662" s="5" t="s">
        <v>19</v>
      </c>
      <c r="L1662" s="5" t="str">
        <f>VLOOKUP(Healthcare!$A1662,hospital_details,2,0)</f>
        <v>22-Jul-2002</v>
      </c>
      <c r="M1662" s="5">
        <f t="shared" ref="M1662:M1725" ca="1" si="9957">VLOOKUP(A1662,hospital_details,3,0)</f>
        <v>24</v>
      </c>
      <c r="N1662" s="5">
        <f t="shared" ref="N1662:N1725" si="9958">VLOOKUP($A1662,hospital_details,4,0)</f>
        <v>0</v>
      </c>
      <c r="O1662" s="6">
        <f t="shared" ref="O1662:O1725" si="9959">VLOOKUP($A1662,hospital_details,5,0)</f>
        <v>5816.58</v>
      </c>
      <c r="P1662" s="5" t="str">
        <f t="shared" ref="P1662:P1725" si="9960">VLOOKUP($A1662,hospital_details,6,0)</f>
        <v>tier - 2</v>
      </c>
      <c r="Q1662" s="5" t="str">
        <f t="shared" ref="Q1662:Q1725" si="9961">VLOOKUP($A1662,hospital_details,7,0)</f>
        <v>tier - 2</v>
      </c>
      <c r="R1662" s="5" t="str">
        <f t="shared" ref="R1662:R1725" si="9962">VLOOKUP($A1662,hospital_details,8,0)</f>
        <v>R1026</v>
      </c>
    </row>
    <row r="1663" spans="1:18" ht="14.4" customHeight="1" x14ac:dyDescent="0.3">
      <c r="A1663" s="7" t="s">
        <v>1683</v>
      </c>
      <c r="B1663" s="7" t="str">
        <f>VLOOKUP($A1663,[1]!Customer_Names[#Data],3,0)</f>
        <v xml:space="preserve">  Andrew</v>
      </c>
      <c r="C1663" s="7">
        <v>17.91</v>
      </c>
      <c r="D1663" s="7" t="str" cm="1">
        <f t="array" ref="D1663">_xlfn.IFS(Healthcare!$C1663&lt;18.5,"under weight",Healthcare!$C1663&lt;=24.9,"Normal Weight",Healthcare!$C1663&gt;=25,"overweight",Healthcare!$C1663&gt;=30,"obese")</f>
        <v>under weight</v>
      </c>
      <c r="E1663" s="7">
        <v>4.66</v>
      </c>
      <c r="F1663" s="7" t="str" cm="1">
        <f t="array" ref="F1663">_xlfn.IFS(Healthcare!$E1663&lt;5.7,"normal",Healthcare!$E1663&lt;=6.4,"prediabetes",Healthcare!$E1663&gt;=6.5,"diabetes")</f>
        <v>normal</v>
      </c>
      <c r="G1663" s="7" t="s">
        <v>19</v>
      </c>
      <c r="H1663" s="7" t="s">
        <v>19</v>
      </c>
      <c r="I1663" s="7" t="s">
        <v>19</v>
      </c>
      <c r="J1663" s="7">
        <v>2</v>
      </c>
      <c r="K1663" s="7" t="s">
        <v>19</v>
      </c>
      <c r="L1663" s="7" t="str">
        <f>VLOOKUP(Healthcare!$A1663,hospital_details,2,0)</f>
        <v>2-Nov-1972</v>
      </c>
      <c r="M1663" s="7">
        <f t="shared" ref="M1663:M1726" ca="1" si="9963">VLOOKUP(A1663,hospital_details,3,0)</f>
        <v>53</v>
      </c>
      <c r="N1663" s="7">
        <f t="shared" ref="N1663:N1726" si="9964">VLOOKUP($A1663,hospital_details,4,0)</f>
        <v>0</v>
      </c>
      <c r="O1663" s="8">
        <f t="shared" ref="O1663:O1726" si="9965">VLOOKUP($A1663,hospital_details,5,0)</f>
        <v>5812.9</v>
      </c>
      <c r="P1663" s="7" t="str">
        <f t="shared" ref="P1663:P1726" si="9966">VLOOKUP($A1663,hospital_details,6,0)</f>
        <v>tier - 2</v>
      </c>
      <c r="Q1663" s="7" t="str">
        <f t="shared" ref="Q1663:Q1726" si="9967">VLOOKUP($A1663,hospital_details,7,0)</f>
        <v>tier - 2</v>
      </c>
      <c r="R1663" s="7" t="str">
        <f t="shared" ref="R1663:R1726" si="9968">VLOOKUP($A1663,hospital_details,8,0)</f>
        <v>R1013</v>
      </c>
    </row>
    <row r="1664" spans="1:18" ht="14.4" customHeight="1" x14ac:dyDescent="0.3">
      <c r="A1664" s="5" t="s">
        <v>1684</v>
      </c>
      <c r="B1664" s="5" t="str">
        <f>VLOOKUP($A1664,[1]!Customer_Names[#Data],3,0)</f>
        <v xml:space="preserve">  Hannah</v>
      </c>
      <c r="C1664" s="5">
        <v>20.76</v>
      </c>
      <c r="D1664" s="5" t="str" cm="1">
        <f t="array" ref="D1664">_xlfn.IFS(Healthcare!$C1664&lt;18.5,"under weight",Healthcare!$C1664&lt;=24.9,"Normal Weight",Healthcare!$C1664&gt;=25,"overweight",Healthcare!$C1664&gt;=30,"obese")</f>
        <v>Normal Weight</v>
      </c>
      <c r="E1664" s="5">
        <v>6.26</v>
      </c>
      <c r="F1664" s="5" t="str" cm="1">
        <f t="array" ref="F1664">_xlfn.IFS(Healthcare!$E1664&lt;5.7,"normal",Healthcare!$E1664&lt;=6.4,"prediabetes",Healthcare!$E1664&gt;=6.5,"diabetes")</f>
        <v>prediabetes</v>
      </c>
      <c r="G1664" s="5" t="s">
        <v>19</v>
      </c>
      <c r="H1664" s="5" t="s">
        <v>19</v>
      </c>
      <c r="I1664" s="5" t="s">
        <v>19</v>
      </c>
      <c r="J1664" s="5">
        <v>0</v>
      </c>
      <c r="K1664" s="5" t="s">
        <v>19</v>
      </c>
      <c r="L1664" s="5" t="str">
        <f>VLOOKUP(Healthcare!$A1664,hospital_details,2,0)</f>
        <v>18-Sep-1980</v>
      </c>
      <c r="M1664" s="5">
        <f t="shared" ref="M1664:M1727" ca="1" si="9969">VLOOKUP(A1664,hospital_details,3,0)</f>
        <v>46</v>
      </c>
      <c r="N1664" s="5">
        <f t="shared" ref="N1664:N1727" si="9970">VLOOKUP($A1664,hospital_details,4,0)</f>
        <v>2</v>
      </c>
      <c r="O1664" s="6">
        <f t="shared" ref="O1664:O1727" si="9971">VLOOKUP($A1664,hospital_details,5,0)</f>
        <v>5807.06</v>
      </c>
      <c r="P1664" s="5" t="str">
        <f t="shared" ref="P1664:P1727" si="9972">VLOOKUP($A1664,hospital_details,6,0)</f>
        <v>tier - 2</v>
      </c>
      <c r="Q1664" s="5" t="str">
        <f t="shared" ref="Q1664:Q1727" si="9973">VLOOKUP($A1664,hospital_details,7,0)</f>
        <v>tier - 3</v>
      </c>
      <c r="R1664" s="5" t="str">
        <f t="shared" ref="R1664:R1727" si="9974">VLOOKUP($A1664,hospital_details,8,0)</f>
        <v>R1013</v>
      </c>
    </row>
    <row r="1665" spans="1:18" ht="14.4" customHeight="1" x14ac:dyDescent="0.3">
      <c r="A1665" s="7" t="s">
        <v>1685</v>
      </c>
      <c r="B1665" s="7" t="str">
        <f>VLOOKUP($A1665,[1]!Customer_Names[#Data],3,0)</f>
        <v xml:space="preserve">  Patricio Sr</v>
      </c>
      <c r="C1665" s="7">
        <v>38.99</v>
      </c>
      <c r="D1665" s="7" t="str" cm="1">
        <f t="array" ref="D1665">_xlfn.IFS(Healthcare!$C1665&lt;18.5,"under weight",Healthcare!$C1665&lt;=24.9,"Normal Weight",Healthcare!$C1665&gt;=25,"overweight",Healthcare!$C1665&gt;=30,"obese")</f>
        <v>overweight</v>
      </c>
      <c r="E1665" s="7">
        <v>5.21</v>
      </c>
      <c r="F1665" s="7" t="str" cm="1">
        <f t="array" ref="F1665">_xlfn.IFS(Healthcare!$E1665&lt;5.7,"normal",Healthcare!$E1665&lt;=6.4,"prediabetes",Healthcare!$E1665&gt;=6.5,"diabetes")</f>
        <v>normal</v>
      </c>
      <c r="G1665" s="7" t="s">
        <v>19</v>
      </c>
      <c r="H1665" s="7" t="s">
        <v>20</v>
      </c>
      <c r="I1665" s="7" t="s">
        <v>19</v>
      </c>
      <c r="J1665" s="7">
        <v>1</v>
      </c>
      <c r="K1665" s="7" t="s">
        <v>19</v>
      </c>
      <c r="L1665" s="7" t="str">
        <f>VLOOKUP(Healthcare!$A1665,hospital_details,2,0)</f>
        <v>1-Nov-2004</v>
      </c>
      <c r="M1665" s="7">
        <f t="shared" ref="M1665:M1728" ca="1" si="9975">VLOOKUP(A1665,hospital_details,3,0)</f>
        <v>21</v>
      </c>
      <c r="N1665" s="7">
        <f t="shared" ref="N1665:N1728" si="9976">VLOOKUP($A1665,hospital_details,4,0)</f>
        <v>0</v>
      </c>
      <c r="O1665" s="8">
        <f t="shared" ref="O1665:O1728" si="9977">VLOOKUP($A1665,hospital_details,5,0)</f>
        <v>5778.71</v>
      </c>
      <c r="P1665" s="7" t="str">
        <f t="shared" ref="P1665:P1728" si="9978">VLOOKUP($A1665,hospital_details,6,0)</f>
        <v>tier - 2</v>
      </c>
      <c r="Q1665" s="7" t="str">
        <f t="shared" ref="Q1665:Q1728" si="9979">VLOOKUP($A1665,hospital_details,7,0)</f>
        <v>tier - 3</v>
      </c>
      <c r="R1665" s="7" t="str">
        <f t="shared" ref="R1665:R1728" si="9980">VLOOKUP($A1665,hospital_details,8,0)</f>
        <v>R1022</v>
      </c>
    </row>
    <row r="1666" spans="1:18" ht="14.4" customHeight="1" x14ac:dyDescent="0.3">
      <c r="A1666" s="5" t="s">
        <v>1686</v>
      </c>
      <c r="B1666" s="5" t="str">
        <f>VLOOKUP($A1666,[1]!Customer_Names[#Data],3,0)</f>
        <v xml:space="preserve">  Robert B</v>
      </c>
      <c r="C1666" s="5">
        <v>42.655000000000001</v>
      </c>
      <c r="D1666" s="5" t="str" cm="1">
        <f t="array" ref="D1666">_xlfn.IFS(Healthcare!$C1666&lt;18.5,"under weight",Healthcare!$C1666&lt;=24.9,"Normal Weight",Healthcare!$C1666&gt;=25,"overweight",Healthcare!$C1666&gt;=30,"obese")</f>
        <v>overweight</v>
      </c>
      <c r="E1666" s="5">
        <v>5.94</v>
      </c>
      <c r="F1666" s="5" t="str" cm="1">
        <f t="array" ref="F1666">_xlfn.IFS(Healthcare!$E1666&lt;5.7,"normal",Healthcare!$E1666&lt;=6.4,"prediabetes",Healthcare!$E1666&gt;=6.5,"diabetes")</f>
        <v>prediabetes</v>
      </c>
      <c r="G1666" s="5" t="s">
        <v>20</v>
      </c>
      <c r="H1666" s="5" t="s">
        <v>19</v>
      </c>
      <c r="I1666" s="5" t="s">
        <v>29</v>
      </c>
      <c r="J1666" s="5">
        <v>1</v>
      </c>
      <c r="K1666" s="5" t="s">
        <v>19</v>
      </c>
      <c r="L1666" s="5" t="str">
        <f>VLOOKUP(Healthcare!$A1666,hospital_details,2,0)</f>
        <v>30-Aug-1983</v>
      </c>
      <c r="M1666" s="5">
        <f t="shared" ref="M1666:M1729" ca="1" si="9981">VLOOKUP(A1666,hospital_details,3,0)</f>
        <v>43</v>
      </c>
      <c r="N1666" s="5">
        <f t="shared" ref="N1666:N1729" si="9982">VLOOKUP($A1666,hospital_details,4,0)</f>
        <v>0</v>
      </c>
      <c r="O1666" s="6">
        <f t="shared" ref="O1666:O1729" si="9983">VLOOKUP($A1666,hospital_details,5,0)</f>
        <v>5757.41</v>
      </c>
      <c r="P1666" s="5" t="str">
        <f t="shared" ref="P1666:P1729" si="9984">VLOOKUP($A1666,hospital_details,6,0)</f>
        <v>tier - 2</v>
      </c>
      <c r="Q1666" s="5" t="str">
        <f t="shared" ref="Q1666:Q1729" si="9985">VLOOKUP($A1666,hospital_details,7,0)</f>
        <v>tier - 3</v>
      </c>
      <c r="R1666" s="5" t="str">
        <f t="shared" ref="R1666:R1729" si="9986">VLOOKUP($A1666,hospital_details,8,0)</f>
        <v>R1019</v>
      </c>
    </row>
    <row r="1667" spans="1:18" ht="14.4" customHeight="1" x14ac:dyDescent="0.3">
      <c r="A1667" s="7" t="s">
        <v>1687</v>
      </c>
      <c r="B1667" s="7" t="str">
        <f>VLOOKUP($A1667,[1]!Customer_Names[#Data],3,0)</f>
        <v xml:space="preserve">  Benjamin M</v>
      </c>
      <c r="C1667" s="7">
        <v>30.57</v>
      </c>
      <c r="D1667" s="7" t="str" cm="1">
        <f t="array" ref="D1667">_xlfn.IFS(Healthcare!$C1667&lt;18.5,"under weight",Healthcare!$C1667&lt;=24.9,"Normal Weight",Healthcare!$C1667&gt;=25,"overweight",Healthcare!$C1667&gt;=30,"obese")</f>
        <v>overweight</v>
      </c>
      <c r="E1667" s="7">
        <v>5.34</v>
      </c>
      <c r="F1667" s="7" t="str" cm="1">
        <f t="array" ref="F1667">_xlfn.IFS(Healthcare!$E1667&lt;5.7,"normal",Healthcare!$E1667&lt;=6.4,"prediabetes",Healthcare!$E1667&gt;=6.5,"diabetes")</f>
        <v>normal</v>
      </c>
      <c r="G1667" s="7" t="s">
        <v>19</v>
      </c>
      <c r="H1667" s="7" t="s">
        <v>19</v>
      </c>
      <c r="I1667" s="7" t="s">
        <v>29</v>
      </c>
      <c r="J1667" s="7">
        <v>1</v>
      </c>
      <c r="K1667" s="7" t="s">
        <v>19</v>
      </c>
      <c r="L1667" s="7" t="str">
        <f>VLOOKUP(Healthcare!$A1667,hospital_details,2,0)</f>
        <v>10-Jun-1993</v>
      </c>
      <c r="M1667" s="7">
        <f t="shared" ref="M1667:M1730" ca="1" si="9987">VLOOKUP(A1667,hospital_details,3,0)</f>
        <v>33</v>
      </c>
      <c r="N1667" s="7">
        <f t="shared" ref="N1667:N1730" si="9988">VLOOKUP($A1667,hospital_details,4,0)</f>
        <v>0</v>
      </c>
      <c r="O1667" s="8">
        <f t="shared" ref="O1667:O1730" si="9989">VLOOKUP($A1667,hospital_details,5,0)</f>
        <v>5748.13</v>
      </c>
      <c r="P1667" s="7" t="str">
        <f t="shared" ref="P1667:P1730" si="9990">VLOOKUP($A1667,hospital_details,6,0)</f>
        <v>tier - 2</v>
      </c>
      <c r="Q1667" s="7" t="str">
        <f t="shared" ref="Q1667:Q1730" si="9991">VLOOKUP($A1667,hospital_details,7,0)</f>
        <v>tier - 1</v>
      </c>
      <c r="R1667" s="7" t="str">
        <f t="shared" ref="R1667:R1730" si="9992">VLOOKUP($A1667,hospital_details,8,0)</f>
        <v>R1021</v>
      </c>
    </row>
    <row r="1668" spans="1:18" ht="14.4" customHeight="1" x14ac:dyDescent="0.3">
      <c r="A1668" s="5" t="s">
        <v>1688</v>
      </c>
      <c r="B1668" s="5" t="str">
        <f>VLOOKUP($A1668,[1]!Customer_Names[#Data],3,0)</f>
        <v xml:space="preserve">  Robert</v>
      </c>
      <c r="C1668" s="5">
        <v>17.7</v>
      </c>
      <c r="D1668" s="5" t="str" cm="1">
        <f t="array" ref="D1668">_xlfn.IFS(Healthcare!$C1668&lt;18.5,"under weight",Healthcare!$C1668&lt;=24.9,"Normal Weight",Healthcare!$C1668&gt;=25,"overweight",Healthcare!$C1668&gt;=30,"obese")</f>
        <v>under weight</v>
      </c>
      <c r="E1668" s="5">
        <v>6.38</v>
      </c>
      <c r="F1668" s="5" t="str" cm="1">
        <f t="array" ref="F1668">_xlfn.IFS(Healthcare!$E1668&lt;5.7,"normal",Healthcare!$E1668&lt;=6.4,"prediabetes",Healthcare!$E1668&gt;=6.5,"diabetes")</f>
        <v>prediabetes</v>
      </c>
      <c r="G1668" s="5" t="s">
        <v>19</v>
      </c>
      <c r="H1668" s="5" t="s">
        <v>19</v>
      </c>
      <c r="I1668" s="5" t="s">
        <v>19</v>
      </c>
      <c r="J1668" s="5">
        <v>2</v>
      </c>
      <c r="K1668" s="5" t="s">
        <v>19</v>
      </c>
      <c r="L1668" s="5" t="str">
        <f>VLOOKUP(Healthcare!$A1668,hospital_details,2,0)</f>
        <v>21-Aug-1972</v>
      </c>
      <c r="M1668" s="5">
        <f t="shared" ref="M1668:M1731" ca="1" si="9993">VLOOKUP(A1668,hospital_details,3,0)</f>
        <v>54</v>
      </c>
      <c r="N1668" s="5">
        <f t="shared" ref="N1668:N1731" si="9994">VLOOKUP($A1668,hospital_details,4,0)</f>
        <v>0</v>
      </c>
      <c r="O1668" s="6">
        <f t="shared" ref="O1668:O1731" si="9995">VLOOKUP($A1668,hospital_details,5,0)</f>
        <v>5741.67</v>
      </c>
      <c r="P1668" s="5" t="str">
        <f t="shared" ref="P1668:P1731" si="9996">VLOOKUP($A1668,hospital_details,6,0)</f>
        <v>tier - 2</v>
      </c>
      <c r="Q1668" s="5" t="str">
        <f t="shared" ref="Q1668:Q1731" si="9997">VLOOKUP($A1668,hospital_details,7,0)</f>
        <v>tier - 3</v>
      </c>
      <c r="R1668" s="5" t="str">
        <f t="shared" ref="R1668:R1731" si="9998">VLOOKUP($A1668,hospital_details,8,0)</f>
        <v>R1013</v>
      </c>
    </row>
    <row r="1669" spans="1:18" ht="14.4" customHeight="1" x14ac:dyDescent="0.3">
      <c r="A1669" s="7" t="s">
        <v>1689</v>
      </c>
      <c r="B1669" s="7" t="str">
        <f>VLOOKUP($A1669,[1]!Customer_Names[#Data],3,0)</f>
        <v xml:space="preserve">  Eric R</v>
      </c>
      <c r="C1669" s="7">
        <v>34.770000000000003</v>
      </c>
      <c r="D1669" s="7" t="str" cm="1">
        <f t="array" ref="D1669">_xlfn.IFS(Healthcare!$C1669&lt;18.5,"under weight",Healthcare!$C1669&lt;=24.9,"Normal Weight",Healthcare!$C1669&gt;=25,"overweight",Healthcare!$C1669&gt;=30,"obese")</f>
        <v>overweight</v>
      </c>
      <c r="E1669" s="7">
        <v>4.47</v>
      </c>
      <c r="F1669" s="7" t="str" cm="1">
        <f t="array" ref="F1669">_xlfn.IFS(Healthcare!$E1669&lt;5.7,"normal",Healthcare!$E1669&lt;=6.4,"prediabetes",Healthcare!$E1669&gt;=6.5,"diabetes")</f>
        <v>normal</v>
      </c>
      <c r="G1669" s="7" t="s">
        <v>19</v>
      </c>
      <c r="H1669" s="7" t="s">
        <v>19</v>
      </c>
      <c r="I1669" s="7" t="s">
        <v>19</v>
      </c>
      <c r="J1669" s="7">
        <v>1</v>
      </c>
      <c r="K1669" s="7" t="s">
        <v>19</v>
      </c>
      <c r="L1669" s="7" t="str">
        <f>VLOOKUP(Healthcare!$A1669,hospital_details,2,0)</f>
        <v>19-Oct-1987</v>
      </c>
      <c r="M1669" s="7">
        <f t="shared" ref="M1669:M1732" ca="1" si="9999">VLOOKUP(A1669,hospital_details,3,0)</f>
        <v>38</v>
      </c>
      <c r="N1669" s="7">
        <f t="shared" ref="N1669:N1732" si="10000">VLOOKUP($A1669,hospital_details,4,0)</f>
        <v>2</v>
      </c>
      <c r="O1669" s="8">
        <f t="shared" ref="O1669:O1732" si="10001">VLOOKUP($A1669,hospital_details,5,0)</f>
        <v>5729.01</v>
      </c>
      <c r="P1669" s="7" t="str">
        <f t="shared" ref="P1669:P1732" si="10002">VLOOKUP($A1669,hospital_details,6,0)</f>
        <v>tier - 1</v>
      </c>
      <c r="Q1669" s="7" t="str">
        <f t="shared" ref="Q1669:Q1732" si="10003">VLOOKUP($A1669,hospital_details,7,0)</f>
        <v>tier - 2</v>
      </c>
      <c r="R1669" s="7" t="str">
        <f t="shared" ref="R1669:R1732" si="10004">VLOOKUP($A1669,hospital_details,8,0)</f>
        <v>R1012</v>
      </c>
    </row>
    <row r="1670" spans="1:18" ht="14.4" customHeight="1" x14ac:dyDescent="0.3">
      <c r="A1670" s="5" t="s">
        <v>1690</v>
      </c>
      <c r="B1670" s="5" t="str">
        <f>VLOOKUP($A1670,[1]!Customer_Names[#Data],3,0)</f>
        <v xml:space="preserve">  Matthew</v>
      </c>
      <c r="C1670" s="5">
        <v>16.88</v>
      </c>
      <c r="D1670" s="5" t="str" cm="1">
        <f t="array" ref="D1670">_xlfn.IFS(Healthcare!$C1670&lt;18.5,"under weight",Healthcare!$C1670&lt;=24.9,"Normal Weight",Healthcare!$C1670&gt;=25,"overweight",Healthcare!$C1670&gt;=30,"obese")</f>
        <v>under weight</v>
      </c>
      <c r="E1670" s="5">
        <v>9.9600000000000009</v>
      </c>
      <c r="F1670" s="5" t="str" cm="1">
        <f t="array" ref="F1670">_xlfn.IFS(Healthcare!$E1670&lt;5.7,"normal",Healthcare!$E1670&lt;=6.4,"prediabetes",Healthcare!$E1670&gt;=6.5,"diabetes")</f>
        <v>diabetes</v>
      </c>
      <c r="G1670" s="5" t="s">
        <v>19</v>
      </c>
      <c r="H1670" s="5" t="s">
        <v>19</v>
      </c>
      <c r="I1670" s="5" t="s">
        <v>19</v>
      </c>
      <c r="J1670" s="5">
        <v>0</v>
      </c>
      <c r="K1670" s="5" t="s">
        <v>19</v>
      </c>
      <c r="L1670" s="5" t="str">
        <f>VLOOKUP(Healthcare!$A1670,hospital_details,2,0)</f>
        <v>18-Dec-1971</v>
      </c>
      <c r="M1670" s="5">
        <f t="shared" ref="M1670:M1733" ca="1" si="10005">VLOOKUP(A1670,hospital_details,3,0)</f>
        <v>54</v>
      </c>
      <c r="N1670" s="5">
        <f t="shared" ref="N1670:N1733" si="10006">VLOOKUP($A1670,hospital_details,4,0)</f>
        <v>0</v>
      </c>
      <c r="O1670" s="6">
        <f t="shared" ref="O1670:O1733" si="10007">VLOOKUP($A1670,hospital_details,5,0)</f>
        <v>5720.38</v>
      </c>
      <c r="P1670" s="5" t="str">
        <f t="shared" ref="P1670:P1733" si="10008">VLOOKUP($A1670,hospital_details,6,0)</f>
        <v>tier - 2</v>
      </c>
      <c r="Q1670" s="5" t="str">
        <f t="shared" ref="Q1670:Q1733" si="10009">VLOOKUP($A1670,hospital_details,7,0)</f>
        <v>tier - 1</v>
      </c>
      <c r="R1670" s="5" t="str">
        <f t="shared" ref="R1670:R1733" si="10010">VLOOKUP($A1670,hospital_details,8,0)</f>
        <v>R1013</v>
      </c>
    </row>
    <row r="1671" spans="1:18" ht="14.4" customHeight="1" x14ac:dyDescent="0.3">
      <c r="A1671" s="7" t="s">
        <v>1691</v>
      </c>
      <c r="B1671" s="7" t="str">
        <f>VLOOKUP($A1671,[1]!Customer_Names[#Data],3,0)</f>
        <v xml:space="preserve">  Bob R</v>
      </c>
      <c r="C1671" s="7">
        <v>40.26</v>
      </c>
      <c r="D1671" s="7" t="str" cm="1">
        <f t="array" ref="D1671">_xlfn.IFS(Healthcare!$C1671&lt;18.5,"under weight",Healthcare!$C1671&lt;=24.9,"Normal Weight",Healthcare!$C1671&gt;=25,"overweight",Healthcare!$C1671&gt;=30,"obese")</f>
        <v>overweight</v>
      </c>
      <c r="E1671" s="7">
        <v>9.92</v>
      </c>
      <c r="F1671" s="7" t="str" cm="1">
        <f t="array" ref="F1671">_xlfn.IFS(Healthcare!$E1671&lt;5.7,"normal",Healthcare!$E1671&lt;=6.4,"prediabetes",Healthcare!$E1671&gt;=6.5,"diabetes")</f>
        <v>diabetes</v>
      </c>
      <c r="G1671" s="7" t="s">
        <v>20</v>
      </c>
      <c r="H1671" s="7" t="s">
        <v>19</v>
      </c>
      <c r="I1671" s="7" t="s">
        <v>19</v>
      </c>
      <c r="J1671" s="7">
        <v>0</v>
      </c>
      <c r="K1671" s="7" t="s">
        <v>19</v>
      </c>
      <c r="L1671" s="7" t="str">
        <f>VLOOKUP(Healthcare!$A1671,hospital_details,2,0)</f>
        <v>30-Aug-1981</v>
      </c>
      <c r="M1671" s="7">
        <f t="shared" ref="M1671:M1734" ca="1" si="10011">VLOOKUP(A1671,hospital_details,3,0)</f>
        <v>45</v>
      </c>
      <c r="N1671" s="7">
        <f t="shared" ref="N1671:N1734" si="10012">VLOOKUP($A1671,hospital_details,4,0)</f>
        <v>0</v>
      </c>
      <c r="O1671" s="8">
        <f t="shared" ref="O1671:O1734" si="10013">VLOOKUP($A1671,hospital_details,5,0)</f>
        <v>5709.16</v>
      </c>
      <c r="P1671" s="7" t="str">
        <f t="shared" ref="P1671:P1734" si="10014">VLOOKUP($A1671,hospital_details,6,0)</f>
        <v>tier - 3</v>
      </c>
      <c r="Q1671" s="7" t="str">
        <f t="shared" ref="Q1671:Q1734" si="10015">VLOOKUP($A1671,hospital_details,7,0)</f>
        <v>tier - 3</v>
      </c>
      <c r="R1671" s="7" t="str">
        <f t="shared" ref="R1671:R1734" si="10016">VLOOKUP($A1671,hospital_details,8,0)</f>
        <v>R1013</v>
      </c>
    </row>
    <row r="1672" spans="1:18" ht="14.4" customHeight="1" x14ac:dyDescent="0.3">
      <c r="A1672" s="5" t="s">
        <v>1692</v>
      </c>
      <c r="B1672" s="5" t="str">
        <f>VLOOKUP($A1672,[1]!Customer_Names[#Data],3,0)</f>
        <v xml:space="preserve">  Stephanie J</v>
      </c>
      <c r="C1672" s="5">
        <v>25.6</v>
      </c>
      <c r="D1672" s="5" t="str" cm="1">
        <f t="array" ref="D1672">_xlfn.IFS(Healthcare!$C1672&lt;18.5,"under weight",Healthcare!$C1672&lt;=24.9,"Normal Weight",Healthcare!$C1672&gt;=25,"overweight",Healthcare!$C1672&gt;=30,"obese")</f>
        <v>overweight</v>
      </c>
      <c r="E1672" s="5">
        <v>6.03</v>
      </c>
      <c r="F1672" s="5" t="str" cm="1">
        <f t="array" ref="F1672">_xlfn.IFS(Healthcare!$E1672&lt;5.7,"normal",Healthcare!$E1672&lt;=6.4,"prediabetes",Healthcare!$E1672&gt;=6.5,"diabetes")</f>
        <v>prediabetes</v>
      </c>
      <c r="G1672" s="5" t="s">
        <v>19</v>
      </c>
      <c r="H1672" s="5" t="s">
        <v>19</v>
      </c>
      <c r="I1672" s="5" t="s">
        <v>29</v>
      </c>
      <c r="J1672" s="5">
        <v>1</v>
      </c>
      <c r="K1672" s="5" t="s">
        <v>19</v>
      </c>
      <c r="L1672" s="5" t="str">
        <f>VLOOKUP(Healthcare!$A1672,hospital_details,2,0)</f>
        <v>3-Nov-1993</v>
      </c>
      <c r="M1672" s="5">
        <f t="shared" ref="M1672:M1735" ca="1" si="10017">VLOOKUP(A1672,hospital_details,3,0)</f>
        <v>32</v>
      </c>
      <c r="N1672" s="5">
        <f t="shared" ref="N1672:N1735" si="10018">VLOOKUP($A1672,hospital_details,4,0)</f>
        <v>4</v>
      </c>
      <c r="O1672" s="6">
        <f t="shared" ref="O1672:O1735" si="10019">VLOOKUP($A1672,hospital_details,5,0)</f>
        <v>5708.87</v>
      </c>
      <c r="P1672" s="5" t="str">
        <f t="shared" ref="P1672:P1735" si="10020">VLOOKUP($A1672,hospital_details,6,0)</f>
        <v>tier - 2</v>
      </c>
      <c r="Q1672" s="5" t="str">
        <f t="shared" ref="Q1672:Q1735" si="10021">VLOOKUP($A1672,hospital_details,7,0)</f>
        <v>tier - 1</v>
      </c>
      <c r="R1672" s="5" t="str">
        <f t="shared" ref="R1672:R1735" si="10022">VLOOKUP($A1672,hospital_details,8,0)</f>
        <v>R1011</v>
      </c>
    </row>
    <row r="1673" spans="1:18" ht="14.4" customHeight="1" x14ac:dyDescent="0.3">
      <c r="A1673" s="7" t="s">
        <v>1693</v>
      </c>
      <c r="B1673" s="7" t="str">
        <f>VLOOKUP($A1673,[1]!Customer_Names[#Data],3,0)</f>
        <v xml:space="preserve">  Jake</v>
      </c>
      <c r="C1673" s="7">
        <v>33.549999999999997</v>
      </c>
      <c r="D1673" s="7" t="str" cm="1">
        <f t="array" ref="D1673">_xlfn.IFS(Healthcare!$C1673&lt;18.5,"under weight",Healthcare!$C1673&lt;=24.9,"Normal Weight",Healthcare!$C1673&gt;=25,"overweight",Healthcare!$C1673&gt;=30,"obese")</f>
        <v>overweight</v>
      </c>
      <c r="E1673" s="7">
        <v>10.9</v>
      </c>
      <c r="F1673" s="7" t="str" cm="1">
        <f t="array" ref="F1673">_xlfn.IFS(Healthcare!$E1673&lt;5.7,"normal",Healthcare!$E1673&lt;=6.4,"prediabetes",Healthcare!$E1673&gt;=6.5,"diabetes")</f>
        <v>diabetes</v>
      </c>
      <c r="G1673" s="7" t="s">
        <v>20</v>
      </c>
      <c r="H1673" s="7" t="s">
        <v>19</v>
      </c>
      <c r="I1673" s="7" t="s">
        <v>19</v>
      </c>
      <c r="J1673" s="7">
        <v>0</v>
      </c>
      <c r="K1673" s="7" t="s">
        <v>19</v>
      </c>
      <c r="L1673" s="7" t="str">
        <f>VLOOKUP(Healthcare!$A1673,hospital_details,2,0)</f>
        <v>15-Jun-1981</v>
      </c>
      <c r="M1673" s="7">
        <f t="shared" ref="M1673:M1736" ca="1" si="10023">VLOOKUP(A1673,hospital_details,3,0)</f>
        <v>45</v>
      </c>
      <c r="N1673" s="7">
        <f t="shared" ref="N1673:N1736" si="10024">VLOOKUP($A1673,hospital_details,4,0)</f>
        <v>0</v>
      </c>
      <c r="O1673" s="8">
        <f t="shared" ref="O1673:O1736" si="10025">VLOOKUP($A1673,hospital_details,5,0)</f>
        <v>5699.84</v>
      </c>
      <c r="P1673" s="7" t="str">
        <f t="shared" ref="P1673:P1736" si="10026">VLOOKUP($A1673,hospital_details,6,0)</f>
        <v>tier - 2</v>
      </c>
      <c r="Q1673" s="7" t="str">
        <f t="shared" ref="Q1673:Q1736" si="10027">VLOOKUP($A1673,hospital_details,7,0)</f>
        <v>tier - 3</v>
      </c>
      <c r="R1673" s="7" t="str">
        <f t="shared" ref="R1673:R1736" si="10028">VLOOKUP($A1673,hospital_details,8,0)</f>
        <v>R1013</v>
      </c>
    </row>
    <row r="1674" spans="1:18" ht="14.4" customHeight="1" x14ac:dyDescent="0.3">
      <c r="A1674" s="5" t="s">
        <v>1694</v>
      </c>
      <c r="B1674" s="5" t="str">
        <f>VLOOKUP($A1674,[1]!Customer_Names[#Data],3,0)</f>
        <v xml:space="preserve">  Alison L</v>
      </c>
      <c r="C1674" s="5">
        <v>16.690000000000001</v>
      </c>
      <c r="D1674" s="5" t="str" cm="1">
        <f t="array" ref="D1674">_xlfn.IFS(Healthcare!$C1674&lt;18.5,"under weight",Healthcare!$C1674&lt;=24.9,"Normal Weight",Healthcare!$C1674&gt;=25,"overweight",Healthcare!$C1674&gt;=30,"obese")</f>
        <v>under weight</v>
      </c>
      <c r="E1674" s="5">
        <v>10.66</v>
      </c>
      <c r="F1674" s="5" t="str" cm="1">
        <f t="array" ref="F1674">_xlfn.IFS(Healthcare!$E1674&lt;5.7,"normal",Healthcare!$E1674&lt;=6.4,"prediabetes",Healthcare!$E1674&gt;=6.5,"diabetes")</f>
        <v>diabetes</v>
      </c>
      <c r="G1674" s="5" t="s">
        <v>19</v>
      </c>
      <c r="H1674" s="5" t="s">
        <v>19</v>
      </c>
      <c r="I1674" s="5" t="s">
        <v>19</v>
      </c>
      <c r="J1674" s="5">
        <v>0</v>
      </c>
      <c r="K1674" s="5" t="s">
        <v>19</v>
      </c>
      <c r="L1674" s="5" t="str">
        <f>VLOOKUP(Healthcare!$A1674,hospital_details,2,0)</f>
        <v>6-Jul-1974</v>
      </c>
      <c r="M1674" s="5">
        <f t="shared" ref="M1674:M1737" ca="1" si="10029">VLOOKUP(A1674,hospital_details,3,0)</f>
        <v>52</v>
      </c>
      <c r="N1674" s="5">
        <f t="shared" ref="N1674:N1737" si="10030">VLOOKUP($A1674,hospital_details,4,0)</f>
        <v>0</v>
      </c>
      <c r="O1674" s="6">
        <f t="shared" ref="O1674:O1737" si="10031">VLOOKUP($A1674,hospital_details,5,0)</f>
        <v>5698.74</v>
      </c>
      <c r="P1674" s="5" t="str">
        <f t="shared" ref="P1674:P1737" si="10032">VLOOKUP($A1674,hospital_details,6,0)</f>
        <v>tier - 2</v>
      </c>
      <c r="Q1674" s="5" t="str">
        <f t="shared" ref="Q1674:Q1737" si="10033">VLOOKUP($A1674,hospital_details,7,0)</f>
        <v>tier - 2</v>
      </c>
      <c r="R1674" s="5" t="str">
        <f t="shared" ref="R1674:R1737" si="10034">VLOOKUP($A1674,hospital_details,8,0)</f>
        <v>R1012</v>
      </c>
    </row>
    <row r="1675" spans="1:18" ht="14.4" customHeight="1" x14ac:dyDescent="0.3">
      <c r="A1675" s="7" t="s">
        <v>1695</v>
      </c>
      <c r="B1675" s="7" t="str">
        <f>VLOOKUP($A1675,[1]!Customer_Names[#Data],3,0)</f>
        <v xml:space="preserve">  Lindsay M</v>
      </c>
      <c r="C1675" s="7">
        <v>19.95</v>
      </c>
      <c r="D1675" s="7" t="str" cm="1">
        <f t="array" ref="D1675">_xlfn.IFS(Healthcare!$C1675&lt;18.5,"under weight",Healthcare!$C1675&lt;=24.9,"Normal Weight",Healthcare!$C1675&gt;=25,"overweight",Healthcare!$C1675&gt;=30,"obese")</f>
        <v>Normal Weight</v>
      </c>
      <c r="E1675" s="7">
        <v>4.05</v>
      </c>
      <c r="F1675" s="7" t="str" cm="1">
        <f t="array" ref="F1675">_xlfn.IFS(Healthcare!$E1675&lt;5.7,"normal",Healthcare!$E1675&lt;=6.4,"prediabetes",Healthcare!$E1675&gt;=6.5,"diabetes")</f>
        <v>normal</v>
      </c>
      <c r="G1675" s="7" t="s">
        <v>19</v>
      </c>
      <c r="H1675" s="7" t="s">
        <v>19</v>
      </c>
      <c r="I1675" s="7" t="s">
        <v>19</v>
      </c>
      <c r="J1675" s="7">
        <v>1</v>
      </c>
      <c r="K1675" s="7" t="s">
        <v>19</v>
      </c>
      <c r="L1675" s="7" t="str">
        <f>VLOOKUP(Healthcare!$A1675,hospital_details,2,0)</f>
        <v>3-Nov-1992</v>
      </c>
      <c r="M1675" s="7">
        <f t="shared" ref="M1675:M1738" ca="1" si="10035">VLOOKUP(A1675,hospital_details,3,0)</f>
        <v>33</v>
      </c>
      <c r="N1675" s="7">
        <f t="shared" ref="N1675:N1738" si="10036">VLOOKUP($A1675,hospital_details,4,0)</f>
        <v>3</v>
      </c>
      <c r="O1675" s="8">
        <f t="shared" ref="O1675:O1738" si="10037">VLOOKUP($A1675,hospital_details,5,0)</f>
        <v>5693.43</v>
      </c>
      <c r="P1675" s="7" t="str">
        <f t="shared" ref="P1675:P1738" si="10038">VLOOKUP($A1675,hospital_details,6,0)</f>
        <v>tier - 2</v>
      </c>
      <c r="Q1675" s="7" t="str">
        <f t="shared" ref="Q1675:Q1738" si="10039">VLOOKUP($A1675,hospital_details,7,0)</f>
        <v>tier - 3</v>
      </c>
      <c r="R1675" s="7" t="str">
        <f t="shared" ref="R1675:R1738" si="10040">VLOOKUP($A1675,hospital_details,8,0)</f>
        <v>R1012</v>
      </c>
    </row>
    <row r="1676" spans="1:18" ht="14.4" customHeight="1" x14ac:dyDescent="0.3">
      <c r="A1676" s="5" t="s">
        <v>1696</v>
      </c>
      <c r="B1676" s="5" t="str">
        <f>VLOOKUP($A1676,[1]!Customer_Names[#Data],3,0)</f>
        <v xml:space="preserve">  Guillaume</v>
      </c>
      <c r="C1676" s="5">
        <v>17.55</v>
      </c>
      <c r="D1676" s="5" t="str" cm="1">
        <f t="array" ref="D1676">_xlfn.IFS(Healthcare!$C1676&lt;18.5,"under weight",Healthcare!$C1676&lt;=24.9,"Normal Weight",Healthcare!$C1676&gt;=25,"overweight",Healthcare!$C1676&gt;=30,"obese")</f>
        <v>under weight</v>
      </c>
      <c r="E1676" s="5">
        <v>4.2300000000000004</v>
      </c>
      <c r="F1676" s="5" t="str" cm="1">
        <f t="array" ref="F1676">_xlfn.IFS(Healthcare!$E1676&lt;5.7,"normal",Healthcare!$E1676&lt;=6.4,"prediabetes",Healthcare!$E1676&gt;=6.5,"diabetes")</f>
        <v>normal</v>
      </c>
      <c r="G1676" s="5" t="s">
        <v>19</v>
      </c>
      <c r="H1676" s="5" t="s">
        <v>19</v>
      </c>
      <c r="I1676" s="5" t="s">
        <v>19</v>
      </c>
      <c r="J1676" s="5">
        <v>2</v>
      </c>
      <c r="K1676" s="5" t="s">
        <v>19</v>
      </c>
      <c r="L1676" s="5" t="str">
        <f>VLOOKUP(Healthcare!$A1676,hospital_details,2,0)</f>
        <v>28-Oct-1972</v>
      </c>
      <c r="M1676" s="5">
        <f t="shared" ref="M1676:M1739" ca="1" si="10041">VLOOKUP(A1676,hospital_details,3,0)</f>
        <v>53</v>
      </c>
      <c r="N1676" s="5">
        <f t="shared" ref="N1676:N1739" si="10042">VLOOKUP($A1676,hospital_details,4,0)</f>
        <v>0</v>
      </c>
      <c r="O1676" s="6">
        <f t="shared" ref="O1676:O1739" si="10043">VLOOKUP($A1676,hospital_details,5,0)</f>
        <v>5690.79</v>
      </c>
      <c r="P1676" s="5" t="str">
        <f t="shared" ref="P1676:P1739" si="10044">VLOOKUP($A1676,hospital_details,6,0)</f>
        <v>tier - 2</v>
      </c>
      <c r="Q1676" s="5" t="str">
        <f t="shared" ref="Q1676:Q1739" si="10045">VLOOKUP($A1676,hospital_details,7,0)</f>
        <v>tier - 1</v>
      </c>
      <c r="R1676" s="5" t="str">
        <f t="shared" ref="R1676:R1739" si="10046">VLOOKUP($A1676,hospital_details,8,0)</f>
        <v>R1013</v>
      </c>
    </row>
    <row r="1677" spans="1:18" ht="14.4" customHeight="1" x14ac:dyDescent="0.3">
      <c r="A1677" s="7" t="s">
        <v>1697</v>
      </c>
      <c r="B1677" s="7" t="str">
        <f>VLOOKUP($A1677,[1]!Customer_Names[#Data],3,0)</f>
        <v xml:space="preserve">  Kaylee</v>
      </c>
      <c r="C1677" s="7">
        <v>22.01</v>
      </c>
      <c r="D1677" s="7" t="str" cm="1">
        <f t="array" ref="D1677">_xlfn.IFS(Healthcare!$C1677&lt;18.5,"under weight",Healthcare!$C1677&lt;=24.9,"Normal Weight",Healthcare!$C1677&gt;=25,"overweight",Healthcare!$C1677&gt;=30,"obese")</f>
        <v>Normal Weight</v>
      </c>
      <c r="E1677" s="7">
        <v>5.01</v>
      </c>
      <c r="F1677" s="7" t="str" cm="1">
        <f t="array" ref="F1677">_xlfn.IFS(Healthcare!$E1677&lt;5.7,"normal",Healthcare!$E1677&lt;=6.4,"prediabetes",Healthcare!$E1677&gt;=6.5,"diabetes")</f>
        <v>normal</v>
      </c>
      <c r="G1677" s="7" t="s">
        <v>19</v>
      </c>
      <c r="H1677" s="7" t="s">
        <v>19</v>
      </c>
      <c r="I1677" s="7" t="s">
        <v>19</v>
      </c>
      <c r="J1677" s="7">
        <v>1</v>
      </c>
      <c r="K1677" s="7" t="s">
        <v>19</v>
      </c>
      <c r="L1677" s="7" t="str">
        <f>VLOOKUP(Healthcare!$A1677,hospital_details,2,0)</f>
        <v>12-Aug-1984</v>
      </c>
      <c r="M1677" s="7">
        <f t="shared" ref="M1677:M1740" ca="1" si="10047">VLOOKUP(A1677,hospital_details,3,0)</f>
        <v>42</v>
      </c>
      <c r="N1677" s="7">
        <f t="shared" ref="N1677:N1740" si="10048">VLOOKUP($A1677,hospital_details,4,0)</f>
        <v>3</v>
      </c>
      <c r="O1677" s="8">
        <f t="shared" ref="O1677:O1740" si="10049">VLOOKUP($A1677,hospital_details,5,0)</f>
        <v>5679.13</v>
      </c>
      <c r="P1677" s="7" t="str">
        <f t="shared" ref="P1677:P1740" si="10050">VLOOKUP($A1677,hospital_details,6,0)</f>
        <v>tier - 2</v>
      </c>
      <c r="Q1677" s="7" t="str">
        <f t="shared" ref="Q1677:Q1740" si="10051">VLOOKUP($A1677,hospital_details,7,0)</f>
        <v>tier - 2</v>
      </c>
      <c r="R1677" s="7" t="str">
        <f t="shared" ref="R1677:R1740" si="10052">VLOOKUP($A1677,hospital_details,8,0)</f>
        <v>R1013</v>
      </c>
    </row>
    <row r="1678" spans="1:18" ht="14.4" customHeight="1" x14ac:dyDescent="0.3">
      <c r="A1678" s="5" t="s">
        <v>1698</v>
      </c>
      <c r="B1678" s="5" t="str">
        <f>VLOOKUP($A1678,[1]!Customer_Names[#Data],3,0)</f>
        <v xml:space="preserve">  Theresa</v>
      </c>
      <c r="C1678" s="5">
        <v>41.8</v>
      </c>
      <c r="D1678" s="5" t="str" cm="1">
        <f t="array" ref="D1678">_xlfn.IFS(Healthcare!$C1678&lt;18.5,"under weight",Healthcare!$C1678&lt;=24.9,"Normal Weight",Healthcare!$C1678&gt;=25,"overweight",Healthcare!$C1678&gt;=30,"obese")</f>
        <v>overweight</v>
      </c>
      <c r="E1678" s="5">
        <v>5.82</v>
      </c>
      <c r="F1678" s="5" t="str" cm="1">
        <f t="array" ref="F1678">_xlfn.IFS(Healthcare!$E1678&lt;5.7,"normal",Healthcare!$E1678&lt;=6.4,"prediabetes",Healthcare!$E1678&gt;=6.5,"diabetes")</f>
        <v>prediabetes</v>
      </c>
      <c r="G1678" s="5" t="s">
        <v>20</v>
      </c>
      <c r="H1678" s="5" t="s">
        <v>19</v>
      </c>
      <c r="I1678" s="5" t="s">
        <v>29</v>
      </c>
      <c r="J1678" s="5">
        <v>1</v>
      </c>
      <c r="K1678" s="5" t="s">
        <v>19</v>
      </c>
      <c r="L1678" s="5" t="str">
        <f>VLOOKUP(Healthcare!$A1678,hospital_details,2,0)</f>
        <v>3-Sep-1983</v>
      </c>
      <c r="M1678" s="5">
        <f t="shared" ref="M1678:M1741" ca="1" si="10053">VLOOKUP(A1678,hospital_details,3,0)</f>
        <v>43</v>
      </c>
      <c r="N1678" s="5">
        <f t="shared" ref="N1678:N1741" si="10054">VLOOKUP($A1678,hospital_details,4,0)</f>
        <v>0</v>
      </c>
      <c r="O1678" s="6">
        <f t="shared" ref="O1678:O1741" si="10055">VLOOKUP($A1678,hospital_details,5,0)</f>
        <v>5662.23</v>
      </c>
      <c r="P1678" s="5" t="str">
        <f t="shared" ref="P1678:P1741" si="10056">VLOOKUP($A1678,hospital_details,6,0)</f>
        <v>tier - 2</v>
      </c>
      <c r="Q1678" s="5" t="str">
        <f t="shared" ref="Q1678:Q1741" si="10057">VLOOKUP($A1678,hospital_details,7,0)</f>
        <v>tier - 1</v>
      </c>
      <c r="R1678" s="5" t="str">
        <f t="shared" ref="R1678:R1741" si="10058">VLOOKUP($A1678,hospital_details,8,0)</f>
        <v>R1013</v>
      </c>
    </row>
    <row r="1679" spans="1:18" ht="14.4" customHeight="1" x14ac:dyDescent="0.3">
      <c r="A1679" s="7" t="s">
        <v>1699</v>
      </c>
      <c r="B1679" s="7" t="str">
        <f>VLOOKUP($A1679,[1]!Customer_Names[#Data],3,0)</f>
        <v xml:space="preserve">  Travis G</v>
      </c>
      <c r="C1679" s="7">
        <v>19.170000000000002</v>
      </c>
      <c r="D1679" s="7" t="str" cm="1">
        <f t="array" ref="D1679">_xlfn.IFS(Healthcare!$C1679&lt;18.5,"under weight",Healthcare!$C1679&lt;=24.9,"Normal Weight",Healthcare!$C1679&gt;=25,"overweight",Healthcare!$C1679&gt;=30,"obese")</f>
        <v>Normal Weight</v>
      </c>
      <c r="E1679" s="7">
        <v>7.94</v>
      </c>
      <c r="F1679" s="7" t="str" cm="1">
        <f t="array" ref="F1679">_xlfn.IFS(Healthcare!$E1679&lt;5.7,"normal",Healthcare!$E1679&lt;=6.4,"prediabetes",Healthcare!$E1679&gt;=6.5,"diabetes")</f>
        <v>diabetes</v>
      </c>
      <c r="G1679" s="7" t="s">
        <v>19</v>
      </c>
      <c r="H1679" s="7" t="s">
        <v>19</v>
      </c>
      <c r="I1679" s="7" t="s">
        <v>19</v>
      </c>
      <c r="J1679" s="7">
        <v>0</v>
      </c>
      <c r="K1679" s="7" t="s">
        <v>19</v>
      </c>
      <c r="L1679" s="7" t="str">
        <f>VLOOKUP(Healthcare!$A1679,hospital_details,2,0)</f>
        <v>27-Sep-1978</v>
      </c>
      <c r="M1679" s="7">
        <f t="shared" ref="M1679:M1742" ca="1" si="10059">VLOOKUP(A1679,hospital_details,3,0)</f>
        <v>48</v>
      </c>
      <c r="N1679" s="7">
        <f t="shared" ref="N1679:N1742" si="10060">VLOOKUP($A1679,hospital_details,4,0)</f>
        <v>2</v>
      </c>
      <c r="O1679" s="8">
        <f t="shared" ref="O1679:O1742" si="10061">VLOOKUP($A1679,hospital_details,5,0)</f>
        <v>5650.14</v>
      </c>
      <c r="P1679" s="7" t="str">
        <f t="shared" ref="P1679:P1742" si="10062">VLOOKUP($A1679,hospital_details,6,0)</f>
        <v>tier - 2</v>
      </c>
      <c r="Q1679" s="7" t="str">
        <f t="shared" ref="Q1679:Q1742" si="10063">VLOOKUP($A1679,hospital_details,7,0)</f>
        <v>tier - 1</v>
      </c>
      <c r="R1679" s="7" t="str">
        <f t="shared" ref="R1679:R1742" si="10064">VLOOKUP($A1679,hospital_details,8,0)</f>
        <v>R1013</v>
      </c>
    </row>
    <row r="1680" spans="1:18" ht="14.4" customHeight="1" x14ac:dyDescent="0.3">
      <c r="A1680" s="5" t="s">
        <v>1700</v>
      </c>
      <c r="B1680" s="5" t="str">
        <f>VLOOKUP($A1680,[1]!Customer_Names[#Data],3,0)</f>
        <v xml:space="preserve">  Emma L</v>
      </c>
      <c r="C1680" s="5">
        <v>32.799999999999997</v>
      </c>
      <c r="D1680" s="5" t="str" cm="1">
        <f t="array" ref="D1680">_xlfn.IFS(Healthcare!$C1680&lt;18.5,"under weight",Healthcare!$C1680&lt;=24.9,"Normal Weight",Healthcare!$C1680&gt;=25,"overweight",Healthcare!$C1680&gt;=30,"obese")</f>
        <v>overweight</v>
      </c>
      <c r="E1680" s="5">
        <v>6.16</v>
      </c>
      <c r="F1680" s="5" t="str" cm="1">
        <f t="array" ref="F1680">_xlfn.IFS(Healthcare!$E1680&lt;5.7,"normal",Healthcare!$E1680&lt;=6.4,"prediabetes",Healthcare!$E1680&gt;=6.5,"diabetes")</f>
        <v>prediabetes</v>
      </c>
      <c r="G1680" s="5" t="s">
        <v>20</v>
      </c>
      <c r="H1680" s="5" t="s">
        <v>19</v>
      </c>
      <c r="I1680" s="5" t="s">
        <v>29</v>
      </c>
      <c r="J1680" s="5">
        <v>1</v>
      </c>
      <c r="K1680" s="5" t="s">
        <v>19</v>
      </c>
      <c r="L1680" s="5" t="str">
        <f>VLOOKUP(Healthcare!$A1680,hospital_details,2,0)</f>
        <v>8-Jun-1983</v>
      </c>
      <c r="M1680" s="5">
        <f t="shared" ref="M1680:M1743" ca="1" si="10065">VLOOKUP(A1680,hospital_details,3,0)</f>
        <v>43</v>
      </c>
      <c r="N1680" s="5">
        <f t="shared" ref="N1680:N1743" si="10066">VLOOKUP($A1680,hospital_details,4,0)</f>
        <v>0</v>
      </c>
      <c r="O1680" s="6">
        <f t="shared" ref="O1680:O1743" si="10067">VLOOKUP($A1680,hospital_details,5,0)</f>
        <v>5649.72</v>
      </c>
      <c r="P1680" s="5" t="str">
        <f t="shared" ref="P1680:P1743" si="10068">VLOOKUP($A1680,hospital_details,6,0)</f>
        <v>tier - 2</v>
      </c>
      <c r="Q1680" s="5" t="str">
        <f t="shared" ref="Q1680:Q1743" si="10069">VLOOKUP($A1680,hospital_details,7,0)</f>
        <v>tier - 3</v>
      </c>
      <c r="R1680" s="5" t="str">
        <f t="shared" ref="R1680:R1743" si="10070">VLOOKUP($A1680,hospital_details,8,0)</f>
        <v>R1011</v>
      </c>
    </row>
    <row r="1681" spans="1:18" ht="14.4" customHeight="1" x14ac:dyDescent="0.3">
      <c r="A1681" s="7" t="s">
        <v>1701</v>
      </c>
      <c r="B1681" s="7" t="str">
        <f>VLOOKUP($A1681,[1]!Customer_Names[#Data],3,0)</f>
        <v xml:space="preserve">  Linda</v>
      </c>
      <c r="C1681" s="7">
        <v>35.814999999999998</v>
      </c>
      <c r="D1681" s="7" t="str" cm="1">
        <f t="array" ref="D1681">_xlfn.IFS(Healthcare!$C1681&lt;18.5,"under weight",Healthcare!$C1681&lt;=24.9,"Normal Weight",Healthcare!$C1681&gt;=25,"overweight",Healthcare!$C1681&gt;=30,"obese")</f>
        <v>overweight</v>
      </c>
      <c r="E1681" s="7">
        <v>4.1500000000000004</v>
      </c>
      <c r="F1681" s="7" t="str" cm="1">
        <f t="array" ref="F1681">_xlfn.IFS(Healthcare!$E1681&lt;5.7,"normal",Healthcare!$E1681&lt;=6.4,"prediabetes",Healthcare!$E1681&gt;=6.5,"diabetes")</f>
        <v>normal</v>
      </c>
      <c r="G1681" s="7" t="s">
        <v>19</v>
      </c>
      <c r="H1681" s="7" t="s">
        <v>19</v>
      </c>
      <c r="I1681" s="7" t="s">
        <v>19</v>
      </c>
      <c r="J1681" s="7">
        <v>1</v>
      </c>
      <c r="K1681" s="7" t="s">
        <v>19</v>
      </c>
      <c r="L1681" s="7" t="str">
        <f>VLOOKUP(Healthcare!$A1681,hospital_details,2,0)</f>
        <v>9-Dec-1987</v>
      </c>
      <c r="M1681" s="7">
        <f t="shared" ref="M1681:M1744" ca="1" si="10071">VLOOKUP(A1681,hospital_details,3,0)</f>
        <v>38</v>
      </c>
      <c r="N1681" s="7">
        <f t="shared" ref="N1681:N1744" si="10072">VLOOKUP($A1681,hospital_details,4,0)</f>
        <v>1</v>
      </c>
      <c r="O1681" s="8">
        <f t="shared" ref="O1681:O1744" si="10073">VLOOKUP($A1681,hospital_details,5,0)</f>
        <v>5630.46</v>
      </c>
      <c r="P1681" s="7" t="str">
        <f t="shared" ref="P1681:P1744" si="10074">VLOOKUP($A1681,hospital_details,6,0)</f>
        <v>tier - 2</v>
      </c>
      <c r="Q1681" s="7" t="str">
        <f t="shared" ref="Q1681:Q1744" si="10075">VLOOKUP($A1681,hospital_details,7,0)</f>
        <v>tier - 3</v>
      </c>
      <c r="R1681" s="7" t="str">
        <f t="shared" ref="R1681:R1744" si="10076">VLOOKUP($A1681,hospital_details,8,0)</f>
        <v>R1012</v>
      </c>
    </row>
    <row r="1682" spans="1:18" ht="14.4" customHeight="1" x14ac:dyDescent="0.3">
      <c r="A1682" s="5" t="s">
        <v>1702</v>
      </c>
      <c r="B1682" s="5" t="str">
        <f>VLOOKUP($A1682,[1]!Customer_Names[#Data],3,0)</f>
        <v xml:space="preserve">  Owen R</v>
      </c>
      <c r="C1682" s="5">
        <v>24.3</v>
      </c>
      <c r="D1682" s="5" t="str" cm="1">
        <f t="array" ref="D1682">_xlfn.IFS(Healthcare!$C1682&lt;18.5,"under weight",Healthcare!$C1682&lt;=24.9,"Normal Weight",Healthcare!$C1682&gt;=25,"overweight",Healthcare!$C1682&gt;=30,"obese")</f>
        <v>Normal Weight</v>
      </c>
      <c r="E1682" s="5">
        <v>6.23</v>
      </c>
      <c r="F1682" s="5" t="str" cm="1">
        <f t="array" ref="F1682">_xlfn.IFS(Healthcare!$E1682&lt;5.7,"normal",Healthcare!$E1682&lt;=6.4,"prediabetes",Healthcare!$E1682&gt;=6.5,"diabetes")</f>
        <v>prediabetes</v>
      </c>
      <c r="G1682" s="5" t="s">
        <v>19</v>
      </c>
      <c r="H1682" s="5" t="s">
        <v>19</v>
      </c>
      <c r="I1682" s="5" t="s">
        <v>19</v>
      </c>
      <c r="J1682" s="5">
        <v>0</v>
      </c>
      <c r="K1682" s="5" t="s">
        <v>19</v>
      </c>
      <c r="L1682" s="5" t="str">
        <f>VLOOKUP(Healthcare!$A1682,hospital_details,2,0)</f>
        <v>15-Nov-1994</v>
      </c>
      <c r="M1682" s="5">
        <f t="shared" ref="M1682:M1745" ca="1" si="10077">VLOOKUP(A1682,hospital_details,3,0)</f>
        <v>31</v>
      </c>
      <c r="N1682" s="5">
        <f t="shared" ref="N1682:N1745" si="10078">VLOOKUP($A1682,hospital_details,4,0)</f>
        <v>5</v>
      </c>
      <c r="O1682" s="6">
        <f t="shared" ref="O1682:O1745" si="10079">VLOOKUP($A1682,hospital_details,5,0)</f>
        <v>5615.37</v>
      </c>
      <c r="P1682" s="5" t="str">
        <f t="shared" ref="P1682:P1745" si="10080">VLOOKUP($A1682,hospital_details,6,0)</f>
        <v>tier - 2</v>
      </c>
      <c r="Q1682" s="5" t="str">
        <f t="shared" ref="Q1682:Q1745" si="10081">VLOOKUP($A1682,hospital_details,7,0)</f>
        <v>tier - 3</v>
      </c>
      <c r="R1682" s="5" t="str">
        <f t="shared" ref="R1682:R1745" si="10082">VLOOKUP($A1682,hospital_details,8,0)</f>
        <v>R1011</v>
      </c>
    </row>
    <row r="1683" spans="1:18" ht="14.4" customHeight="1" x14ac:dyDescent="0.3">
      <c r="A1683" s="7" t="s">
        <v>1703</v>
      </c>
      <c r="B1683" s="7" t="str">
        <f>VLOOKUP($A1683,[1]!Customer_Names[#Data],3,0)</f>
        <v xml:space="preserve">  Jacob</v>
      </c>
      <c r="C1683" s="7">
        <v>19.059999999999999</v>
      </c>
      <c r="D1683" s="7" t="str" cm="1">
        <f t="array" ref="D1683">_xlfn.IFS(Healthcare!$C1683&lt;18.5,"under weight",Healthcare!$C1683&lt;=24.9,"Normal Weight",Healthcare!$C1683&gt;=25,"overweight",Healthcare!$C1683&gt;=30,"obese")</f>
        <v>Normal Weight</v>
      </c>
      <c r="E1683" s="7">
        <v>7.41</v>
      </c>
      <c r="F1683" s="7" t="str" cm="1">
        <f t="array" ref="F1683">_xlfn.IFS(Healthcare!$E1683&lt;5.7,"normal",Healthcare!$E1683&lt;=6.4,"prediabetes",Healthcare!$E1683&gt;=6.5,"diabetes")</f>
        <v>diabetes</v>
      </c>
      <c r="G1683" s="7" t="s">
        <v>19</v>
      </c>
      <c r="H1683" s="7" t="s">
        <v>19</v>
      </c>
      <c r="I1683" s="7" t="s">
        <v>19</v>
      </c>
      <c r="J1683" s="7">
        <v>0</v>
      </c>
      <c r="K1683" s="7" t="s">
        <v>19</v>
      </c>
      <c r="L1683" s="7" t="str">
        <f>VLOOKUP(Healthcare!$A1683,hospital_details,2,0)</f>
        <v>11-Sep-1978</v>
      </c>
      <c r="M1683" s="7">
        <f t="shared" ref="M1683:M1746" ca="1" si="10083">VLOOKUP(A1683,hospital_details,3,0)</f>
        <v>48</v>
      </c>
      <c r="N1683" s="7">
        <f t="shared" ref="N1683:N1746" si="10084">VLOOKUP($A1683,hospital_details,4,0)</f>
        <v>2</v>
      </c>
      <c r="O1683" s="8">
        <f t="shared" ref="O1683:O1746" si="10085">VLOOKUP($A1683,hospital_details,5,0)</f>
        <v>5612.83</v>
      </c>
      <c r="P1683" s="7" t="str">
        <f t="shared" ref="P1683:P1746" si="10086">VLOOKUP($A1683,hospital_details,6,0)</f>
        <v>tier - 2</v>
      </c>
      <c r="Q1683" s="7" t="str">
        <f t="shared" ref="Q1683:Q1746" si="10087">VLOOKUP($A1683,hospital_details,7,0)</f>
        <v>tier - 3</v>
      </c>
      <c r="R1683" s="7" t="str">
        <f t="shared" ref="R1683:R1746" si="10088">VLOOKUP($A1683,hospital_details,8,0)</f>
        <v>R1013</v>
      </c>
    </row>
    <row r="1684" spans="1:18" ht="14.4" customHeight="1" x14ac:dyDescent="0.3">
      <c r="A1684" s="5" t="s">
        <v>1704</v>
      </c>
      <c r="B1684" s="5" t="str">
        <f>VLOOKUP($A1684,[1]!Customer_Names[#Data],3,0)</f>
        <v xml:space="preserve">  Jacqueline</v>
      </c>
      <c r="C1684" s="5">
        <v>33.25</v>
      </c>
      <c r="D1684" s="5" t="str" cm="1">
        <f t="array" ref="D1684">_xlfn.IFS(Healthcare!$C1684&lt;18.5,"under weight",Healthcare!$C1684&lt;=24.9,"Normal Weight",Healthcare!$C1684&gt;=25,"overweight",Healthcare!$C1684&gt;=30,"obese")</f>
        <v>overweight</v>
      </c>
      <c r="E1684" s="5">
        <v>5.62</v>
      </c>
      <c r="F1684" s="5" t="str" cm="1">
        <f t="array" ref="F1684">_xlfn.IFS(Healthcare!$E1684&lt;5.7,"normal",Healthcare!$E1684&lt;=6.4,"prediabetes",Healthcare!$E1684&gt;=6.5,"diabetes")</f>
        <v>normal</v>
      </c>
      <c r="G1684" s="5" t="s">
        <v>20</v>
      </c>
      <c r="H1684" s="5" t="s">
        <v>19</v>
      </c>
      <c r="I1684" s="5" t="s">
        <v>19</v>
      </c>
      <c r="J1684" s="5">
        <v>1</v>
      </c>
      <c r="K1684" s="5" t="s">
        <v>19</v>
      </c>
      <c r="L1684" s="5" t="str">
        <f>VLOOKUP(Healthcare!$A1684,hospital_details,2,0)</f>
        <v>18-Nov-1988</v>
      </c>
      <c r="M1684" s="5">
        <f t="shared" ref="M1684:M1747" ca="1" si="10089">VLOOKUP(A1684,hospital_details,3,0)</f>
        <v>37</v>
      </c>
      <c r="N1684" s="5">
        <f t="shared" ref="N1684:N1747" si="10090">VLOOKUP($A1684,hospital_details,4,0)</f>
        <v>1</v>
      </c>
      <c r="O1684" s="6">
        <f t="shared" ref="O1684:O1747" si="10091">VLOOKUP($A1684,hospital_details,5,0)</f>
        <v>5594.85</v>
      </c>
      <c r="P1684" s="5" t="str">
        <f t="shared" ref="P1684:P1747" si="10092">VLOOKUP($A1684,hospital_details,6,0)</f>
        <v>tier - 2</v>
      </c>
      <c r="Q1684" s="5" t="str">
        <f t="shared" ref="Q1684:Q1747" si="10093">VLOOKUP($A1684,hospital_details,7,0)</f>
        <v>tier - 3</v>
      </c>
      <c r="R1684" s="5" t="str">
        <f t="shared" ref="R1684:R1747" si="10094">VLOOKUP($A1684,hospital_details,8,0)</f>
        <v>R1024</v>
      </c>
    </row>
    <row r="1685" spans="1:18" ht="14.4" customHeight="1" x14ac:dyDescent="0.3">
      <c r="A1685" s="7" t="s">
        <v>1705</v>
      </c>
      <c r="B1685" s="7" t="str">
        <f>VLOOKUP($A1685,[1]!Customer_Names[#Data],3,0)</f>
        <v xml:space="preserve">  Yefeng</v>
      </c>
      <c r="C1685" s="7">
        <v>21.37</v>
      </c>
      <c r="D1685" s="7" t="str" cm="1">
        <f t="array" ref="D1685">_xlfn.IFS(Healthcare!$C1685&lt;18.5,"under weight",Healthcare!$C1685&lt;=24.9,"Normal Weight",Healthcare!$C1685&gt;=25,"overweight",Healthcare!$C1685&gt;=30,"obese")</f>
        <v>Normal Weight</v>
      </c>
      <c r="E1685" s="7">
        <v>4.54</v>
      </c>
      <c r="F1685" s="7" t="str" cm="1">
        <f t="array" ref="F1685">_xlfn.IFS(Healthcare!$E1685&lt;5.7,"normal",Healthcare!$E1685&lt;=6.4,"prediabetes",Healthcare!$E1685&gt;=6.5,"diabetes")</f>
        <v>normal</v>
      </c>
      <c r="G1685" s="7" t="s">
        <v>20</v>
      </c>
      <c r="H1685" s="7" t="s">
        <v>19</v>
      </c>
      <c r="I1685" s="7" t="s">
        <v>29</v>
      </c>
      <c r="J1685" s="7">
        <v>1</v>
      </c>
      <c r="K1685" s="7" t="s">
        <v>19</v>
      </c>
      <c r="L1685" s="7" t="str">
        <f>VLOOKUP(Healthcare!$A1685,hospital_details,2,0)</f>
        <v>3-Oct-1983</v>
      </c>
      <c r="M1685" s="7">
        <f t="shared" ref="M1685:M1748" ca="1" si="10095">VLOOKUP(A1685,hospital_details,3,0)</f>
        <v>43</v>
      </c>
      <c r="N1685" s="7">
        <f t="shared" ref="N1685:N1748" si="10096">VLOOKUP($A1685,hospital_details,4,0)</f>
        <v>3</v>
      </c>
      <c r="O1685" s="8">
        <f t="shared" ref="O1685:O1748" si="10097">VLOOKUP($A1685,hospital_details,5,0)</f>
        <v>5587.59</v>
      </c>
      <c r="P1685" s="7" t="str">
        <f t="shared" ref="P1685:P1748" si="10098">VLOOKUP($A1685,hospital_details,6,0)</f>
        <v>tier - 2</v>
      </c>
      <c r="Q1685" s="7" t="str">
        <f t="shared" ref="Q1685:Q1748" si="10099">VLOOKUP($A1685,hospital_details,7,0)</f>
        <v>tier - 1</v>
      </c>
      <c r="R1685" s="7" t="str">
        <f t="shared" ref="R1685:R1748" si="10100">VLOOKUP($A1685,hospital_details,8,0)</f>
        <v>R1013</v>
      </c>
    </row>
    <row r="1686" spans="1:18" ht="14.4" customHeight="1" x14ac:dyDescent="0.3">
      <c r="A1686" s="5" t="s">
        <v>1706</v>
      </c>
      <c r="B1686" s="5" t="str">
        <f>VLOOKUP($A1686,[1]!Customer_Names[#Data],3,0)</f>
        <v xml:space="preserve">  Thomas J</v>
      </c>
      <c r="C1686" s="5">
        <v>34.43</v>
      </c>
      <c r="D1686" s="5" t="str" cm="1">
        <f t="array" ref="D1686">_xlfn.IFS(Healthcare!$C1686&lt;18.5,"under weight",Healthcare!$C1686&lt;=24.9,"Normal Weight",Healthcare!$C1686&gt;=25,"overweight",Healthcare!$C1686&gt;=30,"obese")</f>
        <v>overweight</v>
      </c>
      <c r="E1686" s="5">
        <v>8.6199999999999992</v>
      </c>
      <c r="F1686" s="5" t="str" cm="1">
        <f t="array" ref="F1686">_xlfn.IFS(Healthcare!$E1686&lt;5.7,"normal",Healthcare!$E1686&lt;=6.4,"prediabetes",Healthcare!$E1686&gt;=6.5,"diabetes")</f>
        <v>diabetes</v>
      </c>
      <c r="G1686" s="5" t="s">
        <v>20</v>
      </c>
      <c r="H1686" s="5" t="s">
        <v>19</v>
      </c>
      <c r="I1686" s="5" t="s">
        <v>19</v>
      </c>
      <c r="J1686" s="5">
        <v>1</v>
      </c>
      <c r="K1686" s="5" t="s">
        <v>19</v>
      </c>
      <c r="L1686" s="5" t="str">
        <f>VLOOKUP(Healthcare!$A1686,hospital_details,2,0)</f>
        <v>21-Nov-1986</v>
      </c>
      <c r="M1686" s="5">
        <f t="shared" ref="M1686:M1749" ca="1" si="10101">VLOOKUP(A1686,hospital_details,3,0)</f>
        <v>39</v>
      </c>
      <c r="N1686" s="5">
        <f t="shared" ref="N1686:N1749" si="10102">VLOOKUP($A1686,hospital_details,4,0)</f>
        <v>2</v>
      </c>
      <c r="O1686" s="6">
        <f t="shared" ref="O1686:O1749" si="10103">VLOOKUP($A1686,hospital_details,5,0)</f>
        <v>5584.31</v>
      </c>
      <c r="P1686" s="5" t="str">
        <f t="shared" ref="P1686:P1749" si="10104">VLOOKUP($A1686,hospital_details,6,0)</f>
        <v>tier - 3</v>
      </c>
      <c r="Q1686" s="5" t="str">
        <f t="shared" ref="Q1686:Q1749" si="10105">VLOOKUP($A1686,hospital_details,7,0)</f>
        <v>tier - 1</v>
      </c>
      <c r="R1686" s="5" t="str">
        <f t="shared" ref="R1686:R1749" si="10106">VLOOKUP($A1686,hospital_details,8,0)</f>
        <v>R1013</v>
      </c>
    </row>
    <row r="1687" spans="1:18" ht="14.4" customHeight="1" x14ac:dyDescent="0.3">
      <c r="A1687" s="7" t="s">
        <v>1707</v>
      </c>
      <c r="B1687" s="7" t="str">
        <f>VLOOKUP($A1687,[1]!Customer_Names[#Data],3,0)</f>
        <v xml:space="preserve">  Ken</v>
      </c>
      <c r="C1687" s="7">
        <v>20.86</v>
      </c>
      <c r="D1687" s="7" t="str" cm="1">
        <f t="array" ref="D1687">_xlfn.IFS(Healthcare!$C1687&lt;18.5,"under weight",Healthcare!$C1687&lt;=24.9,"Normal Weight",Healthcare!$C1687&gt;=25,"overweight",Healthcare!$C1687&gt;=30,"obese")</f>
        <v>Normal Weight</v>
      </c>
      <c r="E1687" s="7">
        <v>4.3600000000000003</v>
      </c>
      <c r="F1687" s="7" t="str" cm="1">
        <f t="array" ref="F1687">_xlfn.IFS(Healthcare!$E1687&lt;5.7,"normal",Healthcare!$E1687&lt;=6.4,"prediabetes",Healthcare!$E1687&gt;=6.5,"diabetes")</f>
        <v>normal</v>
      </c>
      <c r="G1687" s="7" t="s">
        <v>20</v>
      </c>
      <c r="H1687" s="7" t="s">
        <v>19</v>
      </c>
      <c r="I1687" s="7" t="s">
        <v>19</v>
      </c>
      <c r="J1687" s="7">
        <v>0</v>
      </c>
      <c r="K1687" s="7" t="s">
        <v>19</v>
      </c>
      <c r="L1687" s="7" t="str">
        <f>VLOOKUP(Healthcare!$A1687,hospital_details,2,0)</f>
        <v>5-Sep-1985</v>
      </c>
      <c r="M1687" s="7">
        <f t="shared" ref="M1687:M1750" ca="1" si="10107">VLOOKUP(A1687,hospital_details,3,0)</f>
        <v>41</v>
      </c>
      <c r="N1687" s="7">
        <f t="shared" ref="N1687:N1750" si="10108">VLOOKUP($A1687,hospital_details,4,0)</f>
        <v>3</v>
      </c>
      <c r="O1687" s="8">
        <f t="shared" ref="O1687:O1750" si="10109">VLOOKUP($A1687,hospital_details,5,0)</f>
        <v>5582.95</v>
      </c>
      <c r="P1687" s="7" t="str">
        <f t="shared" ref="P1687:P1750" si="10110">VLOOKUP($A1687,hospital_details,6,0)</f>
        <v>tier - 2</v>
      </c>
      <c r="Q1687" s="7" t="str">
        <f t="shared" ref="Q1687:Q1750" si="10111">VLOOKUP($A1687,hospital_details,7,0)</f>
        <v>tier - 1</v>
      </c>
      <c r="R1687" s="7" t="str">
        <f t="shared" ref="R1687:R1750" si="10112">VLOOKUP($A1687,hospital_details,8,0)</f>
        <v>R1012</v>
      </c>
    </row>
    <row r="1688" spans="1:18" ht="14.4" customHeight="1" x14ac:dyDescent="0.3">
      <c r="A1688" s="5" t="s">
        <v>1708</v>
      </c>
      <c r="B1688" s="5" t="str">
        <f>VLOOKUP($A1688,[1]!Customer_Names[#Data],3,0)</f>
        <v xml:space="preserve">  Annie E</v>
      </c>
      <c r="C1688" s="5">
        <v>18.34</v>
      </c>
      <c r="D1688" s="5" t="str" cm="1">
        <f t="array" ref="D1688">_xlfn.IFS(Healthcare!$C1688&lt;18.5,"under weight",Healthcare!$C1688&lt;=24.9,"Normal Weight",Healthcare!$C1688&gt;=25,"overweight",Healthcare!$C1688&gt;=30,"obese")</f>
        <v>under weight</v>
      </c>
      <c r="E1688" s="5">
        <v>10.01</v>
      </c>
      <c r="F1688" s="5" t="str" cm="1">
        <f t="array" ref="F1688">_xlfn.IFS(Healthcare!$E1688&lt;5.7,"normal",Healthcare!$E1688&lt;=6.4,"prediabetes",Healthcare!$E1688&gt;=6.5,"diabetes")</f>
        <v>diabetes</v>
      </c>
      <c r="G1688" s="5" t="s">
        <v>19</v>
      </c>
      <c r="H1688" s="5" t="s">
        <v>19</v>
      </c>
      <c r="I1688" s="5" t="s">
        <v>19</v>
      </c>
      <c r="J1688" s="5">
        <v>0</v>
      </c>
      <c r="K1688" s="5" t="s">
        <v>19</v>
      </c>
      <c r="L1688" s="5" t="str">
        <f>VLOOKUP(Healthcare!$A1688,hospital_details,2,0)</f>
        <v>18-Sep-1974</v>
      </c>
      <c r="M1688" s="5">
        <f t="shared" ref="M1688:M1751" ca="1" si="10113">VLOOKUP(A1688,hospital_details,3,0)</f>
        <v>52</v>
      </c>
      <c r="N1688" s="5">
        <f t="shared" ref="N1688:N1751" si="10114">VLOOKUP($A1688,hospital_details,4,0)</f>
        <v>0</v>
      </c>
      <c r="O1688" s="6">
        <f t="shared" ref="O1688:O1751" si="10115">VLOOKUP($A1688,hospital_details,5,0)</f>
        <v>5576.35</v>
      </c>
      <c r="P1688" s="5" t="str">
        <f t="shared" ref="P1688:P1751" si="10116">VLOOKUP($A1688,hospital_details,6,0)</f>
        <v>tier - 2</v>
      </c>
      <c r="Q1688" s="5" t="str">
        <f t="shared" ref="Q1688:Q1751" si="10117">VLOOKUP($A1688,hospital_details,7,0)</f>
        <v>tier - 3</v>
      </c>
      <c r="R1688" s="5" t="str">
        <f t="shared" ref="R1688:R1751" si="10118">VLOOKUP($A1688,hospital_details,8,0)</f>
        <v>R1013</v>
      </c>
    </row>
    <row r="1689" spans="1:18" ht="14.4" customHeight="1" x14ac:dyDescent="0.3">
      <c r="A1689" s="7" t="s">
        <v>1709</v>
      </c>
      <c r="B1689" s="7" t="str">
        <f>VLOOKUP($A1689,[1]!Customer_Names[#Data],3,0)</f>
        <v xml:space="preserve">  Noel K</v>
      </c>
      <c r="C1689" s="7">
        <v>34.15</v>
      </c>
      <c r="D1689" s="7" t="str" cm="1">
        <f t="array" ref="D1689">_xlfn.IFS(Healthcare!$C1689&lt;18.5,"under weight",Healthcare!$C1689&lt;=24.9,"Normal Weight",Healthcare!$C1689&gt;=25,"overweight",Healthcare!$C1689&gt;=30,"obese")</f>
        <v>overweight</v>
      </c>
      <c r="E1689" s="7">
        <v>5.42</v>
      </c>
      <c r="F1689" s="7" t="str" cm="1">
        <f t="array" ref="F1689">_xlfn.IFS(Healthcare!$E1689&lt;5.7,"normal",Healthcare!$E1689&lt;=6.4,"prediabetes",Healthcare!$E1689&gt;=6.5,"diabetes")</f>
        <v>normal</v>
      </c>
      <c r="G1689" s="7" t="s">
        <v>19</v>
      </c>
      <c r="H1689" s="7" t="s">
        <v>19</v>
      </c>
      <c r="I1689" s="7" t="s">
        <v>19</v>
      </c>
      <c r="J1689" s="7">
        <v>0</v>
      </c>
      <c r="K1689" s="7" t="s">
        <v>19</v>
      </c>
      <c r="L1689" s="7" t="str">
        <f>VLOOKUP(Healthcare!$A1689,hospital_details,2,0)</f>
        <v>22-Sep-1999</v>
      </c>
      <c r="M1689" s="7">
        <f t="shared" ref="M1689:M1752" ca="1" si="10119">VLOOKUP(A1689,hospital_details,3,0)</f>
        <v>27</v>
      </c>
      <c r="N1689" s="7">
        <f t="shared" ref="N1689:N1752" si="10120">VLOOKUP($A1689,hospital_details,4,0)</f>
        <v>0</v>
      </c>
      <c r="O1689" s="8">
        <f t="shared" ref="O1689:O1752" si="10121">VLOOKUP($A1689,hospital_details,5,0)</f>
        <v>5552.61</v>
      </c>
      <c r="P1689" s="7" t="str">
        <f t="shared" ref="P1689:P1752" si="10122">VLOOKUP($A1689,hospital_details,6,0)</f>
        <v>tier - 2</v>
      </c>
      <c r="Q1689" s="7" t="str">
        <f t="shared" ref="Q1689:Q1752" si="10123">VLOOKUP($A1689,hospital_details,7,0)</f>
        <v>tier - 3</v>
      </c>
      <c r="R1689" s="7" t="str">
        <f t="shared" ref="R1689:R1752" si="10124">VLOOKUP($A1689,hospital_details,8,0)</f>
        <v>R1026</v>
      </c>
    </row>
    <row r="1690" spans="1:18" ht="14.4" customHeight="1" x14ac:dyDescent="0.3">
      <c r="A1690" s="5" t="s">
        <v>1710</v>
      </c>
      <c r="B1690" s="5" t="str">
        <f>VLOOKUP($A1690,[1]!Customer_Names[#Data],3,0)</f>
        <v xml:space="preserve">  Mark S</v>
      </c>
      <c r="C1690" s="5">
        <v>18.350000000000001</v>
      </c>
      <c r="D1690" s="5" t="str" cm="1">
        <f t="array" ref="D1690">_xlfn.IFS(Healthcare!$C1690&lt;18.5,"under weight",Healthcare!$C1690&lt;=24.9,"Normal Weight",Healthcare!$C1690&gt;=25,"overweight",Healthcare!$C1690&gt;=30,"obese")</f>
        <v>under weight</v>
      </c>
      <c r="E1690" s="5">
        <v>5.12</v>
      </c>
      <c r="F1690" s="5" t="str" cm="1">
        <f t="array" ref="F1690">_xlfn.IFS(Healthcare!$E1690&lt;5.7,"normal",Healthcare!$E1690&lt;=6.4,"prediabetes",Healthcare!$E1690&gt;=6.5,"diabetes")</f>
        <v>normal</v>
      </c>
      <c r="G1690" s="5" t="s">
        <v>19</v>
      </c>
      <c r="H1690" s="5" t="s">
        <v>19</v>
      </c>
      <c r="I1690" s="5" t="s">
        <v>19</v>
      </c>
      <c r="J1690" s="5">
        <v>0</v>
      </c>
      <c r="K1690" s="5" t="s">
        <v>19</v>
      </c>
      <c r="L1690" s="5" t="str">
        <f>VLOOKUP(Healthcare!$A1690,hospital_details,2,0)</f>
        <v>7-Dec-1980</v>
      </c>
      <c r="M1690" s="5">
        <f t="shared" ref="M1690:M1753" ca="1" si="10125">VLOOKUP(A1690,hospital_details,3,0)</f>
        <v>45</v>
      </c>
      <c r="N1690" s="5">
        <f t="shared" ref="N1690:N1753" si="10126">VLOOKUP($A1690,hospital_details,4,0)</f>
        <v>2</v>
      </c>
      <c r="O1690" s="6">
        <f t="shared" ref="O1690:O1753" si="10127">VLOOKUP($A1690,hospital_details,5,0)</f>
        <v>5540.35</v>
      </c>
      <c r="P1690" s="5" t="str">
        <f t="shared" ref="P1690:P1753" si="10128">VLOOKUP($A1690,hospital_details,6,0)</f>
        <v>tier - 2</v>
      </c>
      <c r="Q1690" s="5" t="str">
        <f t="shared" ref="Q1690:Q1753" si="10129">VLOOKUP($A1690,hospital_details,7,0)</f>
        <v>tier - 2</v>
      </c>
      <c r="R1690" s="5" t="str">
        <f t="shared" ref="R1690:R1753" si="10130">VLOOKUP($A1690,hospital_details,8,0)</f>
        <v>R1012</v>
      </c>
    </row>
    <row r="1691" spans="1:18" ht="14.4" customHeight="1" x14ac:dyDescent="0.3">
      <c r="A1691" s="7" t="s">
        <v>1711</v>
      </c>
      <c r="B1691" s="7" t="str">
        <f>VLOOKUP($A1691,[1]!Customer_Names[#Data],3,0)</f>
        <v xml:space="preserve">  Federica</v>
      </c>
      <c r="C1691" s="7">
        <v>22.13</v>
      </c>
      <c r="D1691" s="7" t="str" cm="1">
        <f t="array" ref="D1691">_xlfn.IFS(Healthcare!$C1691&lt;18.5,"under weight",Healthcare!$C1691&lt;=24.9,"Normal Weight",Healthcare!$C1691&gt;=25,"overweight",Healthcare!$C1691&gt;=30,"obese")</f>
        <v>Normal Weight</v>
      </c>
      <c r="E1691" s="7">
        <v>9.1999999999999993</v>
      </c>
      <c r="F1691" s="7" t="str" cm="1">
        <f t="array" ref="F1691">_xlfn.IFS(Healthcare!$E1691&lt;5.7,"normal",Healthcare!$E1691&lt;=6.4,"prediabetes",Healthcare!$E1691&gt;=6.5,"diabetes")</f>
        <v>diabetes</v>
      </c>
      <c r="G1691" s="7" t="s">
        <v>20</v>
      </c>
      <c r="H1691" s="7" t="s">
        <v>19</v>
      </c>
      <c r="I1691" s="7" t="s">
        <v>19</v>
      </c>
      <c r="J1691" s="7">
        <v>0</v>
      </c>
      <c r="K1691" s="7" t="s">
        <v>19</v>
      </c>
      <c r="L1691" s="7" t="str">
        <f>VLOOKUP(Healthcare!$A1691,hospital_details,2,0)</f>
        <v>7-Nov-1981</v>
      </c>
      <c r="M1691" s="7">
        <f t="shared" ref="M1691:M1754" ca="1" si="10131">VLOOKUP(A1691,hospital_details,3,0)</f>
        <v>44</v>
      </c>
      <c r="N1691" s="7">
        <f t="shared" ref="N1691:N1754" si="10132">VLOOKUP($A1691,hospital_details,4,0)</f>
        <v>1</v>
      </c>
      <c r="O1691" s="8">
        <f t="shared" ref="O1691:O1754" si="10133">VLOOKUP($A1691,hospital_details,5,0)</f>
        <v>5539.4</v>
      </c>
      <c r="P1691" s="7" t="str">
        <f t="shared" ref="P1691:P1754" si="10134">VLOOKUP($A1691,hospital_details,6,0)</f>
        <v>tier - 2</v>
      </c>
      <c r="Q1691" s="7" t="str">
        <f t="shared" ref="Q1691:Q1754" si="10135">VLOOKUP($A1691,hospital_details,7,0)</f>
        <v>tier - 2</v>
      </c>
      <c r="R1691" s="7" t="str">
        <f t="shared" ref="R1691:R1754" si="10136">VLOOKUP($A1691,hospital_details,8,0)</f>
        <v>R1013</v>
      </c>
    </row>
    <row r="1692" spans="1:18" ht="14.4" customHeight="1" x14ac:dyDescent="0.3">
      <c r="A1692" s="5" t="s">
        <v>1712</v>
      </c>
      <c r="B1692" s="5" t="str">
        <f>VLOOKUP($A1692,[1]!Customer_Names[#Data],3,0)</f>
        <v xml:space="preserve">  Pamela L</v>
      </c>
      <c r="C1692" s="5">
        <v>22.51</v>
      </c>
      <c r="D1692" s="5" t="str" cm="1">
        <f t="array" ref="D1692">_xlfn.IFS(Healthcare!$C1692&lt;18.5,"under weight",Healthcare!$C1692&lt;=24.9,"Normal Weight",Healthcare!$C1692&gt;=25,"overweight",Healthcare!$C1692&gt;=30,"obese")</f>
        <v>Normal Weight</v>
      </c>
      <c r="E1692" s="5">
        <v>6.08</v>
      </c>
      <c r="F1692" s="5" t="str" cm="1">
        <f t="array" ref="F1692">_xlfn.IFS(Healthcare!$E1692&lt;5.7,"normal",Healthcare!$E1692&lt;=6.4,"prediabetes",Healthcare!$E1692&gt;=6.5,"diabetes")</f>
        <v>prediabetes</v>
      </c>
      <c r="G1692" s="5" t="s">
        <v>20</v>
      </c>
      <c r="H1692" s="5" t="s">
        <v>19</v>
      </c>
      <c r="I1692" s="5" t="s">
        <v>19</v>
      </c>
      <c r="J1692" s="5">
        <v>1</v>
      </c>
      <c r="K1692" s="5" t="s">
        <v>19</v>
      </c>
      <c r="L1692" s="5" t="str">
        <f>VLOOKUP(Healthcare!$A1692,hospital_details,2,0)</f>
        <v>29-Jul-1988</v>
      </c>
      <c r="M1692" s="5">
        <f t="shared" ref="M1692:M1755" ca="1" si="10137">VLOOKUP(A1692,hospital_details,3,0)</f>
        <v>38</v>
      </c>
      <c r="N1692" s="5">
        <f t="shared" ref="N1692:N1755" si="10138">VLOOKUP($A1692,hospital_details,4,0)</f>
        <v>3</v>
      </c>
      <c r="O1692" s="6">
        <f t="shared" ref="O1692:O1755" si="10139">VLOOKUP($A1692,hospital_details,5,0)</f>
        <v>5503.36</v>
      </c>
      <c r="P1692" s="5" t="str">
        <f t="shared" ref="P1692:P1755" si="10140">VLOOKUP($A1692,hospital_details,6,0)</f>
        <v>tier - 2</v>
      </c>
      <c r="Q1692" s="5" t="str">
        <f t="shared" ref="Q1692:Q1755" si="10141">VLOOKUP($A1692,hospital_details,7,0)</f>
        <v>tier - 2</v>
      </c>
      <c r="R1692" s="5" t="str">
        <f t="shared" ref="R1692:R1755" si="10142">VLOOKUP($A1692,hospital_details,8,0)</f>
        <v>R1012</v>
      </c>
    </row>
    <row r="1693" spans="1:18" ht="14.4" customHeight="1" x14ac:dyDescent="0.3">
      <c r="A1693" s="7" t="s">
        <v>1713</v>
      </c>
      <c r="B1693" s="7" t="str">
        <f>VLOOKUP($A1693,[1]!Customer_Names[#Data],3,0)</f>
        <v xml:space="preserve">  Andrew W</v>
      </c>
      <c r="C1693" s="7">
        <v>31</v>
      </c>
      <c r="D1693" s="7" t="str" cm="1">
        <f t="array" ref="D1693">_xlfn.IFS(Healthcare!$C1693&lt;18.5,"under weight",Healthcare!$C1693&lt;=24.9,"Normal Weight",Healthcare!$C1693&gt;=25,"overweight",Healthcare!$C1693&gt;=30,"obese")</f>
        <v>overweight</v>
      </c>
      <c r="E1693" s="7">
        <v>4.7699999999999996</v>
      </c>
      <c r="F1693" s="7" t="str" cm="1">
        <f t="array" ref="F1693">_xlfn.IFS(Healthcare!$E1693&lt;5.7,"normal",Healthcare!$E1693&lt;=6.4,"prediabetes",Healthcare!$E1693&gt;=6.5,"diabetes")</f>
        <v>normal</v>
      </c>
      <c r="G1693" s="7" t="s">
        <v>19</v>
      </c>
      <c r="H1693" s="7" t="s">
        <v>19</v>
      </c>
      <c r="I1693" s="7" t="s">
        <v>19</v>
      </c>
      <c r="J1693" s="7">
        <v>1</v>
      </c>
      <c r="K1693" s="7" t="s">
        <v>19</v>
      </c>
      <c r="L1693" s="7" t="str">
        <f>VLOOKUP(Healthcare!$A1693,hospital_details,2,0)</f>
        <v>17-Aug-1984</v>
      </c>
      <c r="M1693" s="7">
        <f t="shared" ref="M1693:M1756" ca="1" si="10143">VLOOKUP(A1693,hospital_details,3,0)</f>
        <v>42</v>
      </c>
      <c r="N1693" s="7">
        <f t="shared" ref="N1693:N1756" si="10144">VLOOKUP($A1693,hospital_details,4,0)</f>
        <v>1</v>
      </c>
      <c r="O1693" s="8">
        <f t="shared" ref="O1693:O1756" si="10145">VLOOKUP($A1693,hospital_details,5,0)</f>
        <v>5488.26</v>
      </c>
      <c r="P1693" s="7" t="str">
        <f t="shared" ref="P1693:P1756" si="10146">VLOOKUP($A1693,hospital_details,6,0)</f>
        <v>tier - 2</v>
      </c>
      <c r="Q1693" s="7" t="str">
        <f t="shared" ref="Q1693:Q1756" si="10147">VLOOKUP($A1693,hospital_details,7,0)</f>
        <v>tier - 3</v>
      </c>
      <c r="R1693" s="7" t="str">
        <f t="shared" ref="R1693:R1756" si="10148">VLOOKUP($A1693,hospital_details,8,0)</f>
        <v>R1011</v>
      </c>
    </row>
    <row r="1694" spans="1:18" ht="14.4" customHeight="1" x14ac:dyDescent="0.3">
      <c r="A1694" s="5" t="s">
        <v>1714</v>
      </c>
      <c r="B1694" s="5" t="str">
        <f>VLOOKUP($A1694,[1]!Customer_Names[#Data],3,0)</f>
        <v xml:space="preserve">  Randall</v>
      </c>
      <c r="C1694" s="5">
        <v>28.27</v>
      </c>
      <c r="D1694" s="5" t="str" cm="1">
        <f t="array" ref="D1694">_xlfn.IFS(Healthcare!$C1694&lt;18.5,"under weight",Healthcare!$C1694&lt;=24.9,"Normal Weight",Healthcare!$C1694&gt;=25,"overweight",Healthcare!$C1694&gt;=30,"obese")</f>
        <v>overweight</v>
      </c>
      <c r="E1694" s="5">
        <v>4.62</v>
      </c>
      <c r="F1694" s="5" t="str" cm="1">
        <f t="array" ref="F1694">_xlfn.IFS(Healthcare!$E1694&lt;5.7,"normal",Healthcare!$E1694&lt;=6.4,"prediabetes",Healthcare!$E1694&gt;=6.5,"diabetes")</f>
        <v>normal</v>
      </c>
      <c r="G1694" s="5" t="s">
        <v>19</v>
      </c>
      <c r="H1694" s="5" t="s">
        <v>19</v>
      </c>
      <c r="I1694" s="5" t="s">
        <v>19</v>
      </c>
      <c r="J1694" s="5">
        <v>1</v>
      </c>
      <c r="K1694" s="5" t="s">
        <v>19</v>
      </c>
      <c r="L1694" s="5" t="str">
        <f>VLOOKUP(Healthcare!$A1694,hospital_details,2,0)</f>
        <v>26-Aug-1984</v>
      </c>
      <c r="M1694" s="5">
        <f t="shared" ref="M1694:M1757" ca="1" si="10149">VLOOKUP(A1694,hospital_details,3,0)</f>
        <v>42</v>
      </c>
      <c r="N1694" s="5">
        <f t="shared" ref="N1694:N1757" si="10150">VLOOKUP($A1694,hospital_details,4,0)</f>
        <v>1</v>
      </c>
      <c r="O1694" s="6">
        <f t="shared" ref="O1694:O1757" si="10151">VLOOKUP($A1694,hospital_details,5,0)</f>
        <v>5484.47</v>
      </c>
      <c r="P1694" s="5" t="str">
        <f t="shared" ref="P1694:P1757" si="10152">VLOOKUP($A1694,hospital_details,6,0)</f>
        <v>tier - 2</v>
      </c>
      <c r="Q1694" s="5" t="str">
        <f t="shared" ref="Q1694:Q1757" si="10153">VLOOKUP($A1694,hospital_details,7,0)</f>
        <v>tier - 2</v>
      </c>
      <c r="R1694" s="5" t="str">
        <f t="shared" ref="R1694:R1757" si="10154">VLOOKUP($A1694,hospital_details,8,0)</f>
        <v>R1013</v>
      </c>
    </row>
    <row r="1695" spans="1:18" ht="14.4" customHeight="1" x14ac:dyDescent="0.3">
      <c r="A1695" s="7" t="s">
        <v>1715</v>
      </c>
      <c r="B1695" s="7" t="str">
        <f>VLOOKUP($A1695,[1]!Customer_Names[#Data],3,0)</f>
        <v xml:space="preserve">  Tracy L</v>
      </c>
      <c r="C1695" s="7">
        <v>29.92</v>
      </c>
      <c r="D1695" s="7" t="str" cm="1">
        <f t="array" ref="D1695">_xlfn.IFS(Healthcare!$C1695&lt;18.5,"under weight",Healthcare!$C1695&lt;=24.9,"Normal Weight",Healthcare!$C1695&gt;=25,"overweight",Healthcare!$C1695&gt;=30,"obese")</f>
        <v>overweight</v>
      </c>
      <c r="E1695" s="7">
        <v>9.07</v>
      </c>
      <c r="F1695" s="7" t="str" cm="1">
        <f t="array" ref="F1695">_xlfn.IFS(Healthcare!$E1695&lt;5.7,"normal",Healthcare!$E1695&lt;=6.4,"prediabetes",Healthcare!$E1695&gt;=6.5,"diabetes")</f>
        <v>diabetes</v>
      </c>
      <c r="G1695" s="7" t="s">
        <v>20</v>
      </c>
      <c r="H1695" s="7" t="s">
        <v>19</v>
      </c>
      <c r="I1695" s="7" t="s">
        <v>19</v>
      </c>
      <c r="J1695" s="7">
        <v>1</v>
      </c>
      <c r="K1695" s="7" t="s">
        <v>19</v>
      </c>
      <c r="L1695" s="7" t="str">
        <f>VLOOKUP(Healthcare!$A1695,hospital_details,2,0)</f>
        <v>30-Sep-1986</v>
      </c>
      <c r="M1695" s="7">
        <f t="shared" ref="M1695:M1758" ca="1" si="10155">VLOOKUP(A1695,hospital_details,3,0)</f>
        <v>40</v>
      </c>
      <c r="N1695" s="7">
        <f t="shared" ref="N1695:N1758" si="10156">VLOOKUP($A1695,hospital_details,4,0)</f>
        <v>1</v>
      </c>
      <c r="O1695" s="8">
        <f t="shared" ref="O1695:O1758" si="10157">VLOOKUP($A1695,hospital_details,5,0)</f>
        <v>5478.04</v>
      </c>
      <c r="P1695" s="7" t="str">
        <f t="shared" ref="P1695:P1758" si="10158">VLOOKUP($A1695,hospital_details,6,0)</f>
        <v>tier - 2</v>
      </c>
      <c r="Q1695" s="7" t="str">
        <f t="shared" ref="Q1695:Q1758" si="10159">VLOOKUP($A1695,hospital_details,7,0)</f>
        <v>tier - 3</v>
      </c>
      <c r="R1695" s="7" t="str">
        <f t="shared" ref="R1695:R1758" si="10160">VLOOKUP($A1695,hospital_details,8,0)</f>
        <v>R1013</v>
      </c>
    </row>
    <row r="1696" spans="1:18" ht="14.4" customHeight="1" x14ac:dyDescent="0.3">
      <c r="A1696" s="5" t="s">
        <v>1716</v>
      </c>
      <c r="B1696" s="5" t="str">
        <f>VLOOKUP($A1696,[1]!Customer_Names[#Data],3,0)</f>
        <v xml:space="preserve">  Azelie</v>
      </c>
      <c r="C1696" s="5">
        <v>25.9</v>
      </c>
      <c r="D1696" s="5" t="str" cm="1">
        <f t="array" ref="D1696">_xlfn.IFS(Healthcare!$C1696&lt;18.5,"under weight",Healthcare!$C1696&lt;=24.9,"Normal Weight",Healthcare!$C1696&gt;=25,"overweight",Healthcare!$C1696&gt;=30,"obese")</f>
        <v>overweight</v>
      </c>
      <c r="E1696" s="5">
        <v>9.1199999999999992</v>
      </c>
      <c r="F1696" s="5" t="str" cm="1">
        <f t="array" ref="F1696">_xlfn.IFS(Healthcare!$E1696&lt;5.7,"normal",Healthcare!$E1696&lt;=6.4,"prediabetes",Healthcare!$E1696&gt;=6.5,"diabetes")</f>
        <v>diabetes</v>
      </c>
      <c r="G1696" s="5" t="s">
        <v>20</v>
      </c>
      <c r="H1696" s="5" t="s">
        <v>19</v>
      </c>
      <c r="I1696" s="5" t="s">
        <v>19</v>
      </c>
      <c r="J1696" s="5">
        <v>1</v>
      </c>
      <c r="K1696" s="5" t="s">
        <v>19</v>
      </c>
      <c r="L1696" s="5" t="str">
        <f>VLOOKUP(Healthcare!$A1696,hospital_details,2,0)</f>
        <v>12-Jul-1986</v>
      </c>
      <c r="M1696" s="5">
        <f t="shared" ref="M1696:M1759" ca="1" si="10161">VLOOKUP(A1696,hospital_details,3,0)</f>
        <v>40</v>
      </c>
      <c r="N1696" s="5">
        <f t="shared" ref="N1696:N1759" si="10162">VLOOKUP($A1696,hospital_details,4,0)</f>
        <v>1</v>
      </c>
      <c r="O1696" s="6">
        <f t="shared" ref="O1696:O1759" si="10163">VLOOKUP($A1696,hospital_details,5,0)</f>
        <v>5472.45</v>
      </c>
      <c r="P1696" s="5" t="str">
        <f t="shared" ref="P1696:P1759" si="10164">VLOOKUP($A1696,hospital_details,6,0)</f>
        <v>tier - 2</v>
      </c>
      <c r="Q1696" s="5" t="str">
        <f t="shared" ref="Q1696:Q1759" si="10165">VLOOKUP($A1696,hospital_details,7,0)</f>
        <v>tier - 3</v>
      </c>
      <c r="R1696" s="5" t="str">
        <f t="shared" ref="R1696:R1759" si="10166">VLOOKUP($A1696,hospital_details,8,0)</f>
        <v>R1011</v>
      </c>
    </row>
    <row r="1697" spans="1:18" ht="14.4" customHeight="1" x14ac:dyDescent="0.3">
      <c r="A1697" s="7" t="s">
        <v>1717</v>
      </c>
      <c r="B1697" s="7" t="str">
        <f>VLOOKUP($A1697,[1]!Customer_Names[#Data],3,0)</f>
        <v xml:space="preserve">  Monica M</v>
      </c>
      <c r="C1697" s="7">
        <v>27.74</v>
      </c>
      <c r="D1697" s="7" t="str" cm="1">
        <f t="array" ref="D1697">_xlfn.IFS(Healthcare!$C1697&lt;18.5,"under weight",Healthcare!$C1697&lt;=24.9,"Normal Weight",Healthcare!$C1697&gt;=25,"overweight",Healthcare!$C1697&gt;=30,"obese")</f>
        <v>overweight</v>
      </c>
      <c r="E1697" s="7">
        <v>7.32</v>
      </c>
      <c r="F1697" s="7" t="str" cm="1">
        <f t="array" ref="F1697">_xlfn.IFS(Healthcare!$E1697&lt;5.7,"normal",Healthcare!$E1697&lt;=6.4,"prediabetes",Healthcare!$E1697&gt;=6.5,"diabetes")</f>
        <v>diabetes</v>
      </c>
      <c r="G1697" s="7" t="s">
        <v>20</v>
      </c>
      <c r="H1697" s="7" t="s">
        <v>19</v>
      </c>
      <c r="I1697" s="7" t="s">
        <v>19</v>
      </c>
      <c r="J1697" s="7">
        <v>1</v>
      </c>
      <c r="K1697" s="7" t="s">
        <v>19</v>
      </c>
      <c r="L1697" s="7" t="str">
        <f>VLOOKUP(Healthcare!$A1697,hospital_details,2,0)</f>
        <v>2-Dec-1986</v>
      </c>
      <c r="M1697" s="7">
        <f t="shared" ref="M1697:M1760" ca="1" si="10167">VLOOKUP(A1697,hospital_details,3,0)</f>
        <v>39</v>
      </c>
      <c r="N1697" s="7">
        <f t="shared" ref="N1697:N1760" si="10168">VLOOKUP($A1697,hospital_details,4,0)</f>
        <v>0</v>
      </c>
      <c r="O1697" s="8">
        <f t="shared" ref="O1697:O1760" si="10169">VLOOKUP($A1697,hospital_details,5,0)</f>
        <v>5469.01</v>
      </c>
      <c r="P1697" s="7" t="str">
        <f t="shared" ref="P1697:P1760" si="10170">VLOOKUP($A1697,hospital_details,6,0)</f>
        <v>tier - 2</v>
      </c>
      <c r="Q1697" s="7" t="str">
        <f t="shared" ref="Q1697:Q1760" si="10171">VLOOKUP($A1697,hospital_details,7,0)</f>
        <v>tier - 2</v>
      </c>
      <c r="R1697" s="7" t="str">
        <f t="shared" ref="R1697:R1760" si="10172">VLOOKUP($A1697,hospital_details,8,0)</f>
        <v>R1024</v>
      </c>
    </row>
    <row r="1698" spans="1:18" ht="14.4" customHeight="1" x14ac:dyDescent="0.3">
      <c r="A1698" s="5" t="s">
        <v>1718</v>
      </c>
      <c r="B1698" s="5" t="str">
        <f>VLOOKUP($A1698,[1]!Customer_Names[#Data],3,0)</f>
        <v xml:space="preserve">  Katarina K</v>
      </c>
      <c r="C1698" s="5">
        <v>17.260000000000002</v>
      </c>
      <c r="D1698" s="5" t="str" cm="1">
        <f t="array" ref="D1698">_xlfn.IFS(Healthcare!$C1698&lt;18.5,"under weight",Healthcare!$C1698&lt;=24.9,"Normal Weight",Healthcare!$C1698&gt;=25,"overweight",Healthcare!$C1698&gt;=30,"obese")</f>
        <v>under weight</v>
      </c>
      <c r="E1698" s="5">
        <v>11.73</v>
      </c>
      <c r="F1698" s="5" t="str" cm="1">
        <f t="array" ref="F1698">_xlfn.IFS(Healthcare!$E1698&lt;5.7,"normal",Healthcare!$E1698&lt;=6.4,"prediabetes",Healthcare!$E1698&gt;=6.5,"diabetes")</f>
        <v>diabetes</v>
      </c>
      <c r="G1698" s="5" t="s">
        <v>19</v>
      </c>
      <c r="H1698" s="5" t="s">
        <v>19</v>
      </c>
      <c r="I1698" s="5" t="s">
        <v>19</v>
      </c>
      <c r="J1698" s="5">
        <v>2</v>
      </c>
      <c r="K1698" s="5" t="s">
        <v>19</v>
      </c>
      <c r="L1698" s="5" t="str">
        <f>VLOOKUP(Healthcare!$A1698,hospital_details,2,0)</f>
        <v>24-Oct-1973</v>
      </c>
      <c r="M1698" s="5">
        <f t="shared" ref="M1698:M1761" ca="1" si="10173">VLOOKUP(A1698,hospital_details,3,0)</f>
        <v>52</v>
      </c>
      <c r="N1698" s="5">
        <f t="shared" ref="N1698:N1761" si="10174">VLOOKUP($A1698,hospital_details,4,0)</f>
        <v>0</v>
      </c>
      <c r="O1698" s="6">
        <f t="shared" ref="O1698:O1761" si="10175">VLOOKUP($A1698,hospital_details,5,0)</f>
        <v>5466.88</v>
      </c>
      <c r="P1698" s="5" t="str">
        <f t="shared" ref="P1698:P1761" si="10176">VLOOKUP($A1698,hospital_details,6,0)</f>
        <v>tier - 2</v>
      </c>
      <c r="Q1698" s="5" t="str">
        <f t="shared" ref="Q1698:Q1761" si="10177">VLOOKUP($A1698,hospital_details,7,0)</f>
        <v>tier - 2</v>
      </c>
      <c r="R1698" s="5" t="str">
        <f t="shared" ref="R1698:R1761" si="10178">VLOOKUP($A1698,hospital_details,8,0)</f>
        <v>R1013</v>
      </c>
    </row>
    <row r="1699" spans="1:18" ht="14.4" customHeight="1" x14ac:dyDescent="0.3">
      <c r="A1699" s="7" t="s">
        <v>1719</v>
      </c>
      <c r="B1699" s="7" t="str">
        <f>VLOOKUP($A1699,[1]!Customer_Names[#Data],3,0)</f>
        <v xml:space="preserve">  Jamie L</v>
      </c>
      <c r="C1699" s="7">
        <v>19.855</v>
      </c>
      <c r="D1699" s="7" t="str" cm="1">
        <f t="array" ref="D1699">_xlfn.IFS(Healthcare!$C1699&lt;18.5,"under weight",Healthcare!$C1699&lt;=24.9,"Normal Weight",Healthcare!$C1699&gt;=25,"overweight",Healthcare!$C1699&gt;=30,"obese")</f>
        <v>Normal Weight</v>
      </c>
      <c r="E1699" s="7">
        <v>6.64</v>
      </c>
      <c r="F1699" s="7" t="str" cm="1">
        <f t="array" ref="F1699">_xlfn.IFS(Healthcare!$E1699&lt;5.7,"normal",Healthcare!$E1699&lt;=6.4,"prediabetes",Healthcare!$E1699&gt;=6.5,"diabetes")</f>
        <v>diabetes</v>
      </c>
      <c r="G1699" s="7" t="s">
        <v>20</v>
      </c>
      <c r="H1699" s="7" t="s">
        <v>19</v>
      </c>
      <c r="I1699" s="7" t="s">
        <v>19</v>
      </c>
      <c r="J1699" s="7">
        <v>1</v>
      </c>
      <c r="K1699" s="7" t="s">
        <v>19</v>
      </c>
      <c r="L1699" s="7" t="str">
        <f>VLOOKUP(Healthcare!$A1699,hospital_details,2,0)</f>
        <v>25-Dec-1986</v>
      </c>
      <c r="M1699" s="7">
        <f t="shared" ref="M1699:M1762" ca="1" si="10179">VLOOKUP(A1699,hospital_details,3,0)</f>
        <v>39</v>
      </c>
      <c r="N1699" s="7">
        <f t="shared" ref="N1699:N1762" si="10180">VLOOKUP($A1699,hospital_details,4,0)</f>
        <v>0</v>
      </c>
      <c r="O1699" s="8">
        <f t="shared" ref="O1699:O1762" si="10181">VLOOKUP($A1699,hospital_details,5,0)</f>
        <v>5458.05</v>
      </c>
      <c r="P1699" s="7" t="str">
        <f t="shared" ref="P1699:P1762" si="10182">VLOOKUP($A1699,hospital_details,6,0)</f>
        <v>tier - 2</v>
      </c>
      <c r="Q1699" s="7" t="str">
        <f t="shared" ref="Q1699:Q1762" si="10183">VLOOKUP($A1699,hospital_details,7,0)</f>
        <v>tier - 2</v>
      </c>
      <c r="R1699" s="7" t="str">
        <f t="shared" ref="R1699:R1762" si="10184">VLOOKUP($A1699,hospital_details,8,0)</f>
        <v>R1024</v>
      </c>
    </row>
    <row r="1700" spans="1:18" ht="14.4" customHeight="1" x14ac:dyDescent="0.3">
      <c r="A1700" s="5" t="s">
        <v>1720</v>
      </c>
      <c r="B1700" s="5" t="str">
        <f>VLOOKUP($A1700,[1]!Customer_Names[#Data],3,0)</f>
        <v xml:space="preserve">  Brian</v>
      </c>
      <c r="C1700" s="5">
        <v>41.69</v>
      </c>
      <c r="D1700" s="5" t="str" cm="1">
        <f t="array" ref="D1700">_xlfn.IFS(Healthcare!$C1700&lt;18.5,"under weight",Healthcare!$C1700&lt;=24.9,"Normal Weight",Healthcare!$C1700&gt;=25,"overweight",Healthcare!$C1700&gt;=30,"obese")</f>
        <v>overweight</v>
      </c>
      <c r="E1700" s="5">
        <v>5.78</v>
      </c>
      <c r="F1700" s="5" t="str" cm="1">
        <f t="array" ref="F1700">_xlfn.IFS(Healthcare!$E1700&lt;5.7,"normal",Healthcare!$E1700&lt;=6.4,"prediabetes",Healthcare!$E1700&gt;=6.5,"diabetes")</f>
        <v>prediabetes</v>
      </c>
      <c r="G1700" s="5" t="s">
        <v>19</v>
      </c>
      <c r="H1700" s="5" t="s">
        <v>19</v>
      </c>
      <c r="I1700" s="5" t="s">
        <v>19</v>
      </c>
      <c r="J1700" s="5">
        <v>0</v>
      </c>
      <c r="K1700" s="5" t="s">
        <v>19</v>
      </c>
      <c r="L1700" s="5" t="str">
        <f>VLOOKUP(Healthcare!$A1700,hospital_details,2,0)</f>
        <v>25-Aug-1982</v>
      </c>
      <c r="M1700" s="5">
        <f t="shared" ref="M1700:M1763" ca="1" si="10185">VLOOKUP(A1700,hospital_details,3,0)</f>
        <v>44</v>
      </c>
      <c r="N1700" s="5">
        <f t="shared" ref="N1700:N1763" si="10186">VLOOKUP($A1700,hospital_details,4,0)</f>
        <v>0</v>
      </c>
      <c r="O1700" s="6">
        <f t="shared" ref="O1700:O1763" si="10187">VLOOKUP($A1700,hospital_details,5,0)</f>
        <v>5438.75</v>
      </c>
      <c r="P1700" s="5" t="str">
        <f t="shared" ref="P1700:P1763" si="10188">VLOOKUP($A1700,hospital_details,6,0)</f>
        <v>tier - 3</v>
      </c>
      <c r="Q1700" s="5" t="str">
        <f t="shared" ref="Q1700:Q1763" si="10189">VLOOKUP($A1700,hospital_details,7,0)</f>
        <v>tier - 2</v>
      </c>
      <c r="R1700" s="5" t="str">
        <f t="shared" ref="R1700:R1763" si="10190">VLOOKUP($A1700,hospital_details,8,0)</f>
        <v>R1013</v>
      </c>
    </row>
    <row r="1701" spans="1:18" ht="14.4" customHeight="1" x14ac:dyDescent="0.3">
      <c r="A1701" s="7" t="s">
        <v>1721</v>
      </c>
      <c r="B1701" s="7" t="str">
        <f>VLOOKUP($A1701,[1]!Customer_Names[#Data],3,0)</f>
        <v xml:space="preserve">  Stacey L</v>
      </c>
      <c r="C1701" s="7">
        <v>16.12</v>
      </c>
      <c r="D1701" s="7" t="str" cm="1">
        <f t="array" ref="D1701">_xlfn.IFS(Healthcare!$C1701&lt;18.5,"under weight",Healthcare!$C1701&lt;=24.9,"Normal Weight",Healthcare!$C1701&gt;=25,"overweight",Healthcare!$C1701&gt;=30,"obese")</f>
        <v>under weight</v>
      </c>
      <c r="E1701" s="7">
        <v>10.45</v>
      </c>
      <c r="F1701" s="7" t="str" cm="1">
        <f t="array" ref="F1701">_xlfn.IFS(Healthcare!$E1701&lt;5.7,"normal",Healthcare!$E1701&lt;=6.4,"prediabetes",Healthcare!$E1701&gt;=6.5,"diabetes")</f>
        <v>diabetes</v>
      </c>
      <c r="G1701" s="7" t="s">
        <v>19</v>
      </c>
      <c r="H1701" s="7" t="s">
        <v>19</v>
      </c>
      <c r="I1701" s="7" t="s">
        <v>19</v>
      </c>
      <c r="J1701" s="7">
        <v>0</v>
      </c>
      <c r="K1701" s="7" t="s">
        <v>19</v>
      </c>
      <c r="L1701" s="7" t="str">
        <f>VLOOKUP(Healthcare!$A1701,hospital_details,2,0)</f>
        <v>8-Jun-1978</v>
      </c>
      <c r="M1701" s="7">
        <f t="shared" ref="M1701:M1764" ca="1" si="10191">VLOOKUP(A1701,hospital_details,3,0)</f>
        <v>48</v>
      </c>
      <c r="N1701" s="7">
        <f t="shared" ref="N1701:N1764" si="10192">VLOOKUP($A1701,hospital_details,4,0)</f>
        <v>2</v>
      </c>
      <c r="O1701" s="8">
        <f t="shared" ref="O1701:O1764" si="10193">VLOOKUP($A1701,hospital_details,5,0)</f>
        <v>5428.98</v>
      </c>
      <c r="P1701" s="7" t="str">
        <f t="shared" ref="P1701:P1764" si="10194">VLOOKUP($A1701,hospital_details,6,0)</f>
        <v>tier - 2</v>
      </c>
      <c r="Q1701" s="7" t="str">
        <f t="shared" ref="Q1701:Q1764" si="10195">VLOOKUP($A1701,hospital_details,7,0)</f>
        <v>tier - 2</v>
      </c>
      <c r="R1701" s="7" t="str">
        <f t="shared" ref="R1701:R1764" si="10196">VLOOKUP($A1701,hospital_details,8,0)</f>
        <v>R1012</v>
      </c>
    </row>
    <row r="1702" spans="1:18" ht="14.4" customHeight="1" x14ac:dyDescent="0.3">
      <c r="A1702" s="5" t="s">
        <v>1722</v>
      </c>
      <c r="B1702" s="5" t="str">
        <f>VLOOKUP($A1702,[1]!Customer_Names[#Data],3,0)</f>
        <v xml:space="preserve">  Stephen</v>
      </c>
      <c r="C1702" s="5">
        <v>37.43</v>
      </c>
      <c r="D1702" s="5" t="str" cm="1">
        <f t="array" ref="D1702">_xlfn.IFS(Healthcare!$C1702&lt;18.5,"under weight",Healthcare!$C1702&lt;=24.9,"Normal Weight",Healthcare!$C1702&gt;=25,"overweight",Healthcare!$C1702&gt;=30,"obese")</f>
        <v>overweight</v>
      </c>
      <c r="E1702" s="5">
        <v>4.5199999999999996</v>
      </c>
      <c r="F1702" s="5" t="str" cm="1">
        <f t="array" ref="F1702">_xlfn.IFS(Healthcare!$E1702&lt;5.7,"normal",Healthcare!$E1702&lt;=6.4,"prediabetes",Healthcare!$E1702&gt;=6.5,"diabetes")</f>
        <v>normal</v>
      </c>
      <c r="G1702" s="5" t="s">
        <v>19</v>
      </c>
      <c r="H1702" s="5" t="s">
        <v>19</v>
      </c>
      <c r="I1702" s="5" t="s">
        <v>19</v>
      </c>
      <c r="J1702" s="5">
        <v>1</v>
      </c>
      <c r="K1702" s="5" t="s">
        <v>19</v>
      </c>
      <c r="L1702" s="5" t="str">
        <f>VLOOKUP(Healthcare!$A1702,hospital_details,2,0)</f>
        <v>17-Sep-1992</v>
      </c>
      <c r="M1702" s="5">
        <f t="shared" ref="M1702:M1765" ca="1" si="10197">VLOOKUP(A1702,hospital_details,3,0)</f>
        <v>34</v>
      </c>
      <c r="N1702" s="5">
        <f t="shared" ref="N1702:N1765" si="10198">VLOOKUP($A1702,hospital_details,4,0)</f>
        <v>3</v>
      </c>
      <c r="O1702" s="6">
        <f t="shared" ref="O1702:O1765" si="10199">VLOOKUP($A1702,hospital_details,5,0)</f>
        <v>5428.73</v>
      </c>
      <c r="P1702" s="5" t="str">
        <f t="shared" ref="P1702:P1765" si="10200">VLOOKUP($A1702,hospital_details,6,0)</f>
        <v>tier - 3</v>
      </c>
      <c r="Q1702" s="5" t="str">
        <f t="shared" ref="Q1702:Q1765" si="10201">VLOOKUP($A1702,hospital_details,7,0)</f>
        <v>tier - 1</v>
      </c>
      <c r="R1702" s="5" t="str">
        <f t="shared" ref="R1702:R1765" si="10202">VLOOKUP($A1702,hospital_details,8,0)</f>
        <v>R1017</v>
      </c>
    </row>
    <row r="1703" spans="1:18" ht="14.4" customHeight="1" x14ac:dyDescent="0.3">
      <c r="A1703" s="7" t="s">
        <v>1723</v>
      </c>
      <c r="B1703" s="7" t="str">
        <f>VLOOKUP($A1703,[1]!Customer_Names[#Data],3,0)</f>
        <v xml:space="preserve">  Joshua</v>
      </c>
      <c r="C1703" s="7">
        <v>31.065000000000001</v>
      </c>
      <c r="D1703" s="7" t="str" cm="1">
        <f t="array" ref="D1703">_xlfn.IFS(Healthcare!$C1703&lt;18.5,"under weight",Healthcare!$C1703&lt;=24.9,"Normal Weight",Healthcare!$C1703&gt;=25,"overweight",Healthcare!$C1703&gt;=30,"obese")</f>
        <v>overweight</v>
      </c>
      <c r="E1703" s="7">
        <v>5.71</v>
      </c>
      <c r="F1703" s="7" t="str" cm="1">
        <f t="array" ref="F1703">_xlfn.IFS(Healthcare!$E1703&lt;5.7,"normal",Healthcare!$E1703&lt;=6.4,"prediabetes",Healthcare!$E1703&gt;=6.5,"diabetes")</f>
        <v>prediabetes</v>
      </c>
      <c r="G1703" s="7" t="s">
        <v>19</v>
      </c>
      <c r="H1703" s="7" t="s">
        <v>19</v>
      </c>
      <c r="I1703" s="7" t="s">
        <v>19</v>
      </c>
      <c r="J1703" s="7">
        <v>0</v>
      </c>
      <c r="K1703" s="7" t="s">
        <v>19</v>
      </c>
      <c r="L1703" s="7" t="str">
        <f>VLOOKUP(Healthcare!$A1703,hospital_details,2,0)</f>
        <v>6-Jul-1991</v>
      </c>
      <c r="M1703" s="7">
        <f t="shared" ref="M1703:M1766" ca="1" si="10203">VLOOKUP(A1703,hospital_details,3,0)</f>
        <v>35</v>
      </c>
      <c r="N1703" s="7">
        <f t="shared" ref="N1703:N1766" si="10204">VLOOKUP($A1703,hospital_details,4,0)</f>
        <v>3</v>
      </c>
      <c r="O1703" s="8">
        <f t="shared" ref="O1703:O1766" si="10205">VLOOKUP($A1703,hospital_details,5,0)</f>
        <v>5425.02</v>
      </c>
      <c r="P1703" s="7" t="str">
        <f t="shared" ref="P1703:P1766" si="10206">VLOOKUP($A1703,hospital_details,6,0)</f>
        <v>tier - 2</v>
      </c>
      <c r="Q1703" s="7" t="str">
        <f t="shared" ref="Q1703:Q1766" si="10207">VLOOKUP($A1703,hospital_details,7,0)</f>
        <v>tier - 1</v>
      </c>
      <c r="R1703" s="7" t="str">
        <f t="shared" ref="R1703:R1766" si="10208">VLOOKUP($A1703,hospital_details,8,0)</f>
        <v>R1012</v>
      </c>
    </row>
    <row r="1704" spans="1:18" ht="14.4" customHeight="1" x14ac:dyDescent="0.3">
      <c r="A1704" s="5" t="s">
        <v>1724</v>
      </c>
      <c r="B1704" s="5" t="str">
        <f>VLOOKUP($A1704,[1]!Customer_Names[#Data],3,0)</f>
        <v xml:space="preserve">  Josh</v>
      </c>
      <c r="C1704" s="5">
        <v>25.08</v>
      </c>
      <c r="D1704" s="5" t="str" cm="1">
        <f t="array" ref="D1704">_xlfn.IFS(Healthcare!$C1704&lt;18.5,"under weight",Healthcare!$C1704&lt;=24.9,"Normal Weight",Healthcare!$C1704&gt;=25,"overweight",Healthcare!$C1704&gt;=30,"obese")</f>
        <v>overweight</v>
      </c>
      <c r="E1704" s="5">
        <v>4.7699999999999996</v>
      </c>
      <c r="F1704" s="5" t="str" cm="1">
        <f t="array" ref="F1704">_xlfn.IFS(Healthcare!$E1704&lt;5.7,"normal",Healthcare!$E1704&lt;=6.4,"prediabetes",Healthcare!$E1704&gt;=6.5,"diabetes")</f>
        <v>normal</v>
      </c>
      <c r="G1704" s="5" t="s">
        <v>19</v>
      </c>
      <c r="H1704" s="5" t="s">
        <v>19</v>
      </c>
      <c r="I1704" s="5" t="s">
        <v>19</v>
      </c>
      <c r="J1704" s="5">
        <v>0</v>
      </c>
      <c r="K1704" s="5" t="s">
        <v>19</v>
      </c>
      <c r="L1704" s="5" t="str">
        <f>VLOOKUP(Healthcare!$A1704,hospital_details,2,0)</f>
        <v>27-Sep-1982</v>
      </c>
      <c r="M1704" s="5">
        <f t="shared" ref="M1704:M1767" ca="1" si="10209">VLOOKUP(A1704,hospital_details,3,0)</f>
        <v>44</v>
      </c>
      <c r="N1704" s="5">
        <f t="shared" ref="N1704:N1767" si="10210">VLOOKUP($A1704,hospital_details,4,0)</f>
        <v>0</v>
      </c>
      <c r="O1704" s="6">
        <f t="shared" ref="O1704:O1767" si="10211">VLOOKUP($A1704,hospital_details,5,0)</f>
        <v>5415.66</v>
      </c>
      <c r="P1704" s="5" t="str">
        <f t="shared" ref="P1704:P1767" si="10212">VLOOKUP($A1704,hospital_details,6,0)</f>
        <v>tier - 2</v>
      </c>
      <c r="Q1704" s="5" t="str">
        <f t="shared" ref="Q1704:Q1767" si="10213">VLOOKUP($A1704,hospital_details,7,0)</f>
        <v>tier - 3</v>
      </c>
      <c r="R1704" s="5" t="str">
        <f t="shared" ref="R1704:R1767" si="10214">VLOOKUP($A1704,hospital_details,8,0)</f>
        <v>R1013</v>
      </c>
    </row>
    <row r="1705" spans="1:18" ht="14.4" customHeight="1" x14ac:dyDescent="0.3">
      <c r="A1705" s="7" t="s">
        <v>1725</v>
      </c>
      <c r="B1705" s="7" t="str">
        <f>VLOOKUP($A1705,[1]!Customer_Names[#Data],3,0)</f>
        <v xml:space="preserve">  Heather</v>
      </c>
      <c r="C1705" s="7">
        <v>15.2</v>
      </c>
      <c r="D1705" s="7" t="str" cm="1">
        <f t="array" ref="D1705">_xlfn.IFS(Healthcare!$C1705&lt;18.5,"under weight",Healthcare!$C1705&lt;=24.9,"Normal Weight",Healthcare!$C1705&gt;=25,"overweight",Healthcare!$C1705&gt;=30,"obese")</f>
        <v>under weight</v>
      </c>
      <c r="E1705" s="7">
        <v>7.81</v>
      </c>
      <c r="F1705" s="7" t="str" cm="1">
        <f t="array" ref="F1705">_xlfn.IFS(Healthcare!$E1705&lt;5.7,"normal",Healthcare!$E1705&lt;=6.4,"prediabetes",Healthcare!$E1705&gt;=6.5,"diabetes")</f>
        <v>diabetes</v>
      </c>
      <c r="G1705" s="7" t="s">
        <v>20</v>
      </c>
      <c r="H1705" s="7" t="s">
        <v>19</v>
      </c>
      <c r="I1705" s="7" t="s">
        <v>19</v>
      </c>
      <c r="J1705" s="7">
        <v>1</v>
      </c>
      <c r="K1705" s="7" t="s">
        <v>19</v>
      </c>
      <c r="L1705" s="7" t="str">
        <f>VLOOKUP(Healthcare!$A1705,hospital_details,2,0)</f>
        <v>27-Sep-1975</v>
      </c>
      <c r="M1705" s="7">
        <f t="shared" ref="M1705:M1768" ca="1" si="10215">VLOOKUP(A1705,hospital_details,3,0)</f>
        <v>51</v>
      </c>
      <c r="N1705" s="7">
        <f t="shared" ref="N1705:N1768" si="10216">VLOOKUP($A1705,hospital_details,4,0)</f>
        <v>1</v>
      </c>
      <c r="O1705" s="8">
        <f t="shared" ref="O1705:O1768" si="10217">VLOOKUP($A1705,hospital_details,5,0)</f>
        <v>5411.99</v>
      </c>
      <c r="P1705" s="7" t="str">
        <f t="shared" ref="P1705:P1768" si="10218">VLOOKUP($A1705,hospital_details,6,0)</f>
        <v>tier - 2</v>
      </c>
      <c r="Q1705" s="7" t="str">
        <f t="shared" ref="Q1705:Q1768" si="10219">VLOOKUP($A1705,hospital_details,7,0)</f>
        <v>tier - 3</v>
      </c>
      <c r="R1705" s="7" t="str">
        <f t="shared" ref="R1705:R1768" si="10220">VLOOKUP($A1705,hospital_details,8,0)</f>
        <v>R1012</v>
      </c>
    </row>
    <row r="1706" spans="1:18" ht="14.4" customHeight="1" x14ac:dyDescent="0.3">
      <c r="A1706" s="5" t="s">
        <v>1726</v>
      </c>
      <c r="B1706" s="5" t="str">
        <f>VLOOKUP($A1706,[1]!Customer_Names[#Data],3,0)</f>
        <v xml:space="preserve">  James C</v>
      </c>
      <c r="C1706" s="5">
        <v>22.34</v>
      </c>
      <c r="D1706" s="5" t="str" cm="1">
        <f t="array" ref="D1706">_xlfn.IFS(Healthcare!$C1706&lt;18.5,"under weight",Healthcare!$C1706&lt;=24.9,"Normal Weight",Healthcare!$C1706&gt;=25,"overweight",Healthcare!$C1706&gt;=30,"obese")</f>
        <v>Normal Weight</v>
      </c>
      <c r="E1706" s="5">
        <v>5.19</v>
      </c>
      <c r="F1706" s="5" t="str" cm="1">
        <f t="array" ref="F1706">_xlfn.IFS(Healthcare!$E1706&lt;5.7,"normal",Healthcare!$E1706&lt;=6.4,"prediabetes",Healthcare!$E1706&gt;=6.5,"diabetes")</f>
        <v>normal</v>
      </c>
      <c r="G1706" s="5" t="s">
        <v>20</v>
      </c>
      <c r="H1706" s="5" t="s">
        <v>19</v>
      </c>
      <c r="I1706" s="5" t="s">
        <v>19</v>
      </c>
      <c r="J1706" s="5">
        <v>0</v>
      </c>
      <c r="K1706" s="5" t="s">
        <v>19</v>
      </c>
      <c r="L1706" s="5" t="str">
        <f>VLOOKUP(Healthcare!$A1706,hospital_details,2,0)</f>
        <v>23-Dec-1985</v>
      </c>
      <c r="M1706" s="5">
        <f t="shared" ref="M1706:M1769" ca="1" si="10221">VLOOKUP(A1706,hospital_details,3,0)</f>
        <v>40</v>
      </c>
      <c r="N1706" s="5">
        <f t="shared" ref="N1706:N1769" si="10222">VLOOKUP($A1706,hospital_details,4,0)</f>
        <v>3</v>
      </c>
      <c r="O1706" s="6">
        <f t="shared" ref="O1706:O1769" si="10223">VLOOKUP($A1706,hospital_details,5,0)</f>
        <v>5402.89</v>
      </c>
      <c r="P1706" s="5" t="str">
        <f t="shared" ref="P1706:P1769" si="10224">VLOOKUP($A1706,hospital_details,6,0)</f>
        <v>tier - 2</v>
      </c>
      <c r="Q1706" s="5" t="str">
        <f t="shared" ref="Q1706:Q1769" si="10225">VLOOKUP($A1706,hospital_details,7,0)</f>
        <v>tier - 1</v>
      </c>
      <c r="R1706" s="5" t="str">
        <f t="shared" ref="R1706:R1769" si="10226">VLOOKUP($A1706,hospital_details,8,0)</f>
        <v>R1013</v>
      </c>
    </row>
    <row r="1707" spans="1:18" ht="14.4" customHeight="1" x14ac:dyDescent="0.3">
      <c r="A1707" s="7" t="s">
        <v>1727</v>
      </c>
      <c r="B1707" s="7" t="str">
        <f>VLOOKUP($A1707,[1]!Customer_Names[#Data],3,0)</f>
        <v xml:space="preserve">  Kim</v>
      </c>
      <c r="C1707" s="7">
        <v>40.15</v>
      </c>
      <c r="D1707" s="7" t="str" cm="1">
        <f t="array" ref="D1707">_xlfn.IFS(Healthcare!$C1707&lt;18.5,"under weight",Healthcare!$C1707&lt;=24.9,"Normal Weight",Healthcare!$C1707&gt;=25,"overweight",Healthcare!$C1707&gt;=30,"obese")</f>
        <v>overweight</v>
      </c>
      <c r="E1707" s="7">
        <v>5.93</v>
      </c>
      <c r="F1707" s="7" t="str" cm="1">
        <f t="array" ref="F1707">_xlfn.IFS(Healthcare!$E1707&lt;5.7,"normal",Healthcare!$E1707&lt;=6.4,"prediabetes",Healthcare!$E1707&gt;=6.5,"diabetes")</f>
        <v>prediabetes</v>
      </c>
      <c r="G1707" s="7" t="s">
        <v>19</v>
      </c>
      <c r="H1707" s="7" t="s">
        <v>19</v>
      </c>
      <c r="I1707" s="7" t="s">
        <v>19</v>
      </c>
      <c r="J1707" s="7">
        <v>1</v>
      </c>
      <c r="K1707" s="7" t="s">
        <v>19</v>
      </c>
      <c r="L1707" s="7" t="str">
        <f>VLOOKUP(Healthcare!$A1707,hospital_details,2,0)</f>
        <v>1-Aug-1984</v>
      </c>
      <c r="M1707" s="7">
        <f t="shared" ref="M1707:M1770" ca="1" si="10227">VLOOKUP(A1707,hospital_details,3,0)</f>
        <v>42</v>
      </c>
      <c r="N1707" s="7">
        <f t="shared" ref="N1707:N1770" si="10228">VLOOKUP($A1707,hospital_details,4,0)</f>
        <v>0</v>
      </c>
      <c r="O1707" s="8">
        <f t="shared" ref="O1707:O1770" si="10229">VLOOKUP($A1707,hospital_details,5,0)</f>
        <v>5400.98</v>
      </c>
      <c r="P1707" s="7" t="str">
        <f t="shared" ref="P1707:P1770" si="10230">VLOOKUP($A1707,hospital_details,6,0)</f>
        <v>tier - 2</v>
      </c>
      <c r="Q1707" s="7" t="str">
        <f t="shared" ref="Q1707:Q1770" si="10231">VLOOKUP($A1707,hospital_details,7,0)</f>
        <v>tier - 2</v>
      </c>
      <c r="R1707" s="7" t="str">
        <f t="shared" ref="R1707:R1770" si="10232">VLOOKUP($A1707,hospital_details,8,0)</f>
        <v>R1013</v>
      </c>
    </row>
    <row r="1708" spans="1:18" ht="14.4" customHeight="1" x14ac:dyDescent="0.3">
      <c r="A1708" s="5" t="s">
        <v>1728</v>
      </c>
      <c r="B1708" s="5" t="str">
        <f>VLOOKUP($A1708,[1]!Customer_Names[#Data],3,0)</f>
        <v xml:space="preserve">  Marie E</v>
      </c>
      <c r="C1708" s="5">
        <v>37.729999999999997</v>
      </c>
      <c r="D1708" s="5" t="str" cm="1">
        <f t="array" ref="D1708">_xlfn.IFS(Healthcare!$C1708&lt;18.5,"under weight",Healthcare!$C1708&lt;=24.9,"Normal Weight",Healthcare!$C1708&gt;=25,"overweight",Healthcare!$C1708&gt;=30,"obese")</f>
        <v>overweight</v>
      </c>
      <c r="E1708" s="5">
        <v>6.29</v>
      </c>
      <c r="F1708" s="5" t="str" cm="1">
        <f t="array" ref="F1708">_xlfn.IFS(Healthcare!$E1708&lt;5.7,"normal",Healthcare!$E1708&lt;=6.4,"prediabetes",Healthcare!$E1708&gt;=6.5,"diabetes")</f>
        <v>prediabetes</v>
      </c>
      <c r="G1708" s="5" t="s">
        <v>19</v>
      </c>
      <c r="H1708" s="5" t="s">
        <v>19</v>
      </c>
      <c r="I1708" s="5" t="s">
        <v>19</v>
      </c>
      <c r="J1708" s="5">
        <v>1</v>
      </c>
      <c r="K1708" s="5" t="s">
        <v>19</v>
      </c>
      <c r="L1708" s="5" t="str">
        <f>VLOOKUP(Healthcare!$A1708,hospital_details,2,0)</f>
        <v>3-Sep-1984</v>
      </c>
      <c r="M1708" s="5">
        <f t="shared" ref="M1708:M1771" ca="1" si="10233">VLOOKUP(A1708,hospital_details,3,0)</f>
        <v>42</v>
      </c>
      <c r="N1708" s="5">
        <f t="shared" ref="N1708:N1771" si="10234">VLOOKUP($A1708,hospital_details,4,0)</f>
        <v>0</v>
      </c>
      <c r="O1708" s="6">
        <f t="shared" ref="O1708:O1771" si="10235">VLOOKUP($A1708,hospital_details,5,0)</f>
        <v>5397.62</v>
      </c>
      <c r="P1708" s="5" t="str">
        <f t="shared" ref="P1708:P1771" si="10236">VLOOKUP($A1708,hospital_details,6,0)</f>
        <v>tier - 2</v>
      </c>
      <c r="Q1708" s="5" t="str">
        <f t="shared" ref="Q1708:Q1771" si="10237">VLOOKUP($A1708,hospital_details,7,0)</f>
        <v>tier - 2</v>
      </c>
      <c r="R1708" s="5" t="str">
        <f t="shared" ref="R1708:R1771" si="10238">VLOOKUP($A1708,hospital_details,8,0)</f>
        <v>R1013</v>
      </c>
    </row>
    <row r="1709" spans="1:18" ht="14.4" customHeight="1" x14ac:dyDescent="0.3">
      <c r="A1709" s="7" t="s">
        <v>1729</v>
      </c>
      <c r="B1709" s="7" t="str">
        <f>VLOOKUP($A1709,[1]!Customer_Names[#Data],3,0)</f>
        <v xml:space="preserve">  Dariusz</v>
      </c>
      <c r="C1709" s="7">
        <v>25.35</v>
      </c>
      <c r="D1709" s="7" t="str" cm="1">
        <f t="array" ref="D1709">_xlfn.IFS(Healthcare!$C1709&lt;18.5,"under weight",Healthcare!$C1709&lt;=24.9,"Normal Weight",Healthcare!$C1709&gt;=25,"overweight",Healthcare!$C1709&gt;=30,"obese")</f>
        <v>overweight</v>
      </c>
      <c r="E1709" s="7">
        <v>4.9000000000000004</v>
      </c>
      <c r="F1709" s="7" t="str" cm="1">
        <f t="array" ref="F1709">_xlfn.IFS(Healthcare!$E1709&lt;5.7,"normal",Healthcare!$E1709&lt;=6.4,"prediabetes",Healthcare!$E1709&gt;=6.5,"diabetes")</f>
        <v>normal</v>
      </c>
      <c r="G1709" s="7" t="s">
        <v>19</v>
      </c>
      <c r="H1709" s="7" t="s">
        <v>19</v>
      </c>
      <c r="I1709" s="7" t="s">
        <v>19</v>
      </c>
      <c r="J1709" s="7">
        <v>0</v>
      </c>
      <c r="K1709" s="7" t="s">
        <v>19</v>
      </c>
      <c r="L1709" s="7" t="str">
        <f>VLOOKUP(Healthcare!$A1709,hospital_details,2,0)</f>
        <v>6-Nov-1989</v>
      </c>
      <c r="M1709" s="7">
        <f t="shared" ref="M1709:M1772" ca="1" si="10239">VLOOKUP(A1709,hospital_details,3,0)</f>
        <v>36</v>
      </c>
      <c r="N1709" s="7">
        <f t="shared" ref="N1709:N1772" si="10240">VLOOKUP($A1709,hospital_details,4,0)</f>
        <v>3</v>
      </c>
      <c r="O1709" s="8">
        <f t="shared" ref="O1709:O1772" si="10241">VLOOKUP($A1709,hospital_details,5,0)</f>
        <v>5396.44</v>
      </c>
      <c r="P1709" s="7" t="str">
        <f t="shared" ref="P1709:P1772" si="10242">VLOOKUP($A1709,hospital_details,6,0)</f>
        <v>tier - 2</v>
      </c>
      <c r="Q1709" s="7" t="str">
        <f t="shared" ref="Q1709:Q1772" si="10243">VLOOKUP($A1709,hospital_details,7,0)</f>
        <v>tier - 3</v>
      </c>
      <c r="R1709" s="7" t="str">
        <f t="shared" ref="R1709:R1772" si="10244">VLOOKUP($A1709,hospital_details,8,0)</f>
        <v>R1013</v>
      </c>
    </row>
    <row r="1710" spans="1:18" ht="14.4" customHeight="1" x14ac:dyDescent="0.3">
      <c r="A1710" s="5" t="s">
        <v>1730</v>
      </c>
      <c r="B1710" s="5" t="str">
        <f>VLOOKUP($A1710,[1]!Customer_Names[#Data],3,0)</f>
        <v xml:space="preserve">  Jessica E</v>
      </c>
      <c r="C1710" s="5">
        <v>26.41</v>
      </c>
      <c r="D1710" s="5" t="str" cm="1">
        <f t="array" ref="D1710">_xlfn.IFS(Healthcare!$C1710&lt;18.5,"under weight",Healthcare!$C1710&lt;=24.9,"Normal Weight",Healthcare!$C1710&gt;=25,"overweight",Healthcare!$C1710&gt;=30,"obese")</f>
        <v>overweight</v>
      </c>
      <c r="E1710" s="5">
        <v>5.07</v>
      </c>
      <c r="F1710" s="5" t="str" cm="1">
        <f t="array" ref="F1710">_xlfn.IFS(Healthcare!$E1710&lt;5.7,"normal",Healthcare!$E1710&lt;=6.4,"prediabetes",Healthcare!$E1710&gt;=6.5,"diabetes")</f>
        <v>normal</v>
      </c>
      <c r="G1710" s="5" t="s">
        <v>20</v>
      </c>
      <c r="H1710" s="5" t="s">
        <v>19</v>
      </c>
      <c r="I1710" s="5" t="s">
        <v>19</v>
      </c>
      <c r="J1710" s="5">
        <v>1</v>
      </c>
      <c r="K1710" s="5" t="s">
        <v>19</v>
      </c>
      <c r="L1710" s="5" t="str">
        <f>VLOOKUP(Healthcare!$A1710,hospital_details,2,0)</f>
        <v>8-Aug-1988</v>
      </c>
      <c r="M1710" s="5">
        <f t="shared" ref="M1710:M1773" ca="1" si="10245">VLOOKUP(A1710,hospital_details,3,0)</f>
        <v>38</v>
      </c>
      <c r="N1710" s="5">
        <f t="shared" ref="N1710:N1773" si="10246">VLOOKUP($A1710,hospital_details,4,0)</f>
        <v>1</v>
      </c>
      <c r="O1710" s="6">
        <f t="shared" ref="O1710:O1773" si="10247">VLOOKUP($A1710,hospital_details,5,0)</f>
        <v>5385.34</v>
      </c>
      <c r="P1710" s="5" t="str">
        <f t="shared" ref="P1710:P1773" si="10248">VLOOKUP($A1710,hospital_details,6,0)</f>
        <v>tier - 2</v>
      </c>
      <c r="Q1710" s="5" t="str">
        <f t="shared" ref="Q1710:Q1773" si="10249">VLOOKUP($A1710,hospital_details,7,0)</f>
        <v>tier - 3</v>
      </c>
      <c r="R1710" s="5" t="str">
        <f t="shared" ref="R1710:R1773" si="10250">VLOOKUP($A1710,hospital_details,8,0)</f>
        <v>R1012</v>
      </c>
    </row>
    <row r="1711" spans="1:18" ht="14.4" customHeight="1" x14ac:dyDescent="0.3">
      <c r="A1711" s="7" t="s">
        <v>1731</v>
      </c>
      <c r="B1711" s="7" t="str">
        <f>VLOOKUP($A1711,[1]!Customer_Names[#Data],3,0)</f>
        <v xml:space="preserve">  Kristen</v>
      </c>
      <c r="C1711" s="7">
        <v>27.6</v>
      </c>
      <c r="D1711" s="7" t="str" cm="1">
        <f t="array" ref="D1711">_xlfn.IFS(Healthcare!$C1711&lt;18.5,"under weight",Healthcare!$C1711&lt;=24.9,"Normal Weight",Healthcare!$C1711&gt;=25,"overweight",Healthcare!$C1711&gt;=30,"obese")</f>
        <v>overweight</v>
      </c>
      <c r="E1711" s="7">
        <v>5.33</v>
      </c>
      <c r="F1711" s="7" t="str" cm="1">
        <f t="array" ref="F1711">_xlfn.IFS(Healthcare!$E1711&lt;5.7,"normal",Healthcare!$E1711&lt;=6.4,"prediabetes",Healthcare!$E1711&gt;=6.5,"diabetes")</f>
        <v>normal</v>
      </c>
      <c r="G1711" s="7" t="s">
        <v>19</v>
      </c>
      <c r="H1711" s="7" t="s">
        <v>19</v>
      </c>
      <c r="I1711" s="7" t="s">
        <v>19</v>
      </c>
      <c r="J1711" s="7">
        <v>1</v>
      </c>
      <c r="K1711" s="7" t="s">
        <v>19</v>
      </c>
      <c r="L1711" s="7" t="str">
        <f>VLOOKUP(Healthcare!$A1711,hospital_details,2,0)</f>
        <v>1-Jun-1984</v>
      </c>
      <c r="M1711" s="7">
        <f t="shared" ref="M1711:M1774" ca="1" si="10251">VLOOKUP(A1711,hospital_details,3,0)</f>
        <v>42</v>
      </c>
      <c r="N1711" s="7">
        <f t="shared" ref="N1711:N1774" si="10252">VLOOKUP($A1711,hospital_details,4,0)</f>
        <v>0</v>
      </c>
      <c r="O1711" s="8">
        <f t="shared" ref="O1711:O1774" si="10253">VLOOKUP($A1711,hospital_details,5,0)</f>
        <v>5383.54</v>
      </c>
      <c r="P1711" s="7" t="str">
        <f t="shared" ref="P1711:P1774" si="10254">VLOOKUP($A1711,hospital_details,6,0)</f>
        <v>tier - 2</v>
      </c>
      <c r="Q1711" s="7" t="str">
        <f t="shared" ref="Q1711:Q1774" si="10255">VLOOKUP($A1711,hospital_details,7,0)</f>
        <v>tier - 3</v>
      </c>
      <c r="R1711" s="7" t="str">
        <f t="shared" ref="R1711:R1774" si="10256">VLOOKUP($A1711,hospital_details,8,0)</f>
        <v>R1011</v>
      </c>
    </row>
    <row r="1712" spans="1:18" ht="14.4" customHeight="1" x14ac:dyDescent="0.3">
      <c r="A1712" s="5" t="s">
        <v>1732</v>
      </c>
      <c r="B1712" s="5" t="str">
        <f>VLOOKUP($A1712,[1]!Customer_Names[#Data],3,0)</f>
        <v xml:space="preserve">  Jose Guadalupe P</v>
      </c>
      <c r="C1712" s="5">
        <v>33.82</v>
      </c>
      <c r="D1712" s="5" t="str" cm="1">
        <f t="array" ref="D1712">_xlfn.IFS(Healthcare!$C1712&lt;18.5,"under weight",Healthcare!$C1712&lt;=24.9,"Normal Weight",Healthcare!$C1712&gt;=25,"overweight",Healthcare!$C1712&gt;=30,"obese")</f>
        <v>overweight</v>
      </c>
      <c r="E1712" s="5">
        <v>8.93</v>
      </c>
      <c r="F1712" s="5" t="str" cm="1">
        <f t="array" ref="F1712">_xlfn.IFS(Healthcare!$E1712&lt;5.7,"normal",Healthcare!$E1712&lt;=6.4,"prediabetes",Healthcare!$E1712&gt;=6.5,"diabetes")</f>
        <v>diabetes</v>
      </c>
      <c r="G1712" s="5" t="s">
        <v>20</v>
      </c>
      <c r="H1712" s="5" t="s">
        <v>19</v>
      </c>
      <c r="I1712" s="5" t="s">
        <v>19</v>
      </c>
      <c r="J1712" s="5">
        <v>1</v>
      </c>
      <c r="K1712" s="5" t="s">
        <v>19</v>
      </c>
      <c r="L1712" s="5" t="str">
        <f>VLOOKUP(Healthcare!$A1712,hospital_details,2,0)</f>
        <v>22-Jul-1986</v>
      </c>
      <c r="M1712" s="5">
        <f t="shared" ref="M1712:M1775" ca="1" si="10257">VLOOKUP(A1712,hospital_details,3,0)</f>
        <v>40</v>
      </c>
      <c r="N1712" s="5">
        <f t="shared" ref="N1712:N1775" si="10258">VLOOKUP($A1712,hospital_details,4,0)</f>
        <v>1</v>
      </c>
      <c r="O1712" s="6">
        <f t="shared" ref="O1712:O1775" si="10259">VLOOKUP($A1712,hospital_details,5,0)</f>
        <v>5377.46</v>
      </c>
      <c r="P1712" s="5" t="str">
        <f t="shared" ref="P1712:P1775" si="10260">VLOOKUP($A1712,hospital_details,6,0)</f>
        <v>tier - 2</v>
      </c>
      <c r="Q1712" s="5" t="str">
        <f t="shared" ref="Q1712:Q1775" si="10261">VLOOKUP($A1712,hospital_details,7,0)</f>
        <v>tier - 3</v>
      </c>
      <c r="R1712" s="5" t="str">
        <f t="shared" ref="R1712:R1775" si="10262">VLOOKUP($A1712,hospital_details,8,0)</f>
        <v>R1012</v>
      </c>
    </row>
    <row r="1713" spans="1:18" ht="14.4" customHeight="1" x14ac:dyDescent="0.3">
      <c r="A1713" s="7" t="s">
        <v>1733</v>
      </c>
      <c r="B1713" s="7" t="str">
        <f>VLOOKUP($A1713,[1]!Customer_Names[#Data],3,0)</f>
        <v xml:space="preserve">  Cynthia</v>
      </c>
      <c r="C1713" s="7">
        <v>32.9</v>
      </c>
      <c r="D1713" s="7" t="str" cm="1">
        <f t="array" ref="D1713">_xlfn.IFS(Healthcare!$C1713&lt;18.5,"under weight",Healthcare!$C1713&lt;=24.9,"Normal Weight",Healthcare!$C1713&gt;=25,"overweight",Healthcare!$C1713&gt;=30,"obese")</f>
        <v>overweight</v>
      </c>
      <c r="E1713" s="7">
        <v>4.3499999999999996</v>
      </c>
      <c r="F1713" s="7" t="str" cm="1">
        <f t="array" ref="F1713">_xlfn.IFS(Healthcare!$E1713&lt;5.7,"normal",Healthcare!$E1713&lt;=6.4,"prediabetes",Healthcare!$E1713&gt;=6.5,"diabetes")</f>
        <v>normal</v>
      </c>
      <c r="G1713" s="7" t="s">
        <v>19</v>
      </c>
      <c r="H1713" s="7" t="s">
        <v>19</v>
      </c>
      <c r="I1713" s="7" t="s">
        <v>19</v>
      </c>
      <c r="J1713" s="7">
        <v>0</v>
      </c>
      <c r="K1713" s="7" t="s">
        <v>19</v>
      </c>
      <c r="L1713" s="7" t="str">
        <f>VLOOKUP(Healthcare!$A1713,hospital_details,2,0)</f>
        <v>18-Nov-1989</v>
      </c>
      <c r="M1713" s="7">
        <f t="shared" ref="M1713:M1776" ca="1" si="10263">VLOOKUP(A1713,hospital_details,3,0)</f>
        <v>36</v>
      </c>
      <c r="N1713" s="7">
        <f t="shared" ref="N1713:N1776" si="10264">VLOOKUP($A1713,hospital_details,4,0)</f>
        <v>2</v>
      </c>
      <c r="O1713" s="8">
        <f t="shared" ref="O1713:O1776" si="10265">VLOOKUP($A1713,hospital_details,5,0)</f>
        <v>5375.04</v>
      </c>
      <c r="P1713" s="7" t="str">
        <f t="shared" ref="P1713:P1776" si="10266">VLOOKUP($A1713,hospital_details,6,0)</f>
        <v>tier - 2</v>
      </c>
      <c r="Q1713" s="7" t="str">
        <f t="shared" ref="Q1713:Q1776" si="10267">VLOOKUP($A1713,hospital_details,7,0)</f>
        <v>tier - 1</v>
      </c>
      <c r="R1713" s="7" t="str">
        <f t="shared" ref="R1713:R1776" si="10268">VLOOKUP($A1713,hospital_details,8,0)</f>
        <v>R1011</v>
      </c>
    </row>
    <row r="1714" spans="1:18" ht="14.4" customHeight="1" x14ac:dyDescent="0.3">
      <c r="A1714" s="5" t="s">
        <v>1734</v>
      </c>
      <c r="B1714" s="5" t="str">
        <f>VLOOKUP($A1714,[1]!Customer_Names[#Data],3,0)</f>
        <v xml:space="preserve">  Tyler</v>
      </c>
      <c r="C1714" s="5">
        <v>30.875</v>
      </c>
      <c r="D1714" s="5" t="str" cm="1">
        <f t="array" ref="D1714">_xlfn.IFS(Healthcare!$C1714&lt;18.5,"under weight",Healthcare!$C1714&lt;=24.9,"Normal Weight",Healthcare!$C1714&gt;=25,"overweight",Healthcare!$C1714&gt;=30,"obese")</f>
        <v>overweight</v>
      </c>
      <c r="E1714" s="5">
        <v>9.5399999999999991</v>
      </c>
      <c r="F1714" s="5" t="str" cm="1">
        <f t="array" ref="F1714">_xlfn.IFS(Healthcare!$E1714&lt;5.7,"normal",Healthcare!$E1714&lt;=6.4,"prediabetes",Healthcare!$E1714&gt;=6.5,"diabetes")</f>
        <v>diabetes</v>
      </c>
      <c r="G1714" s="5" t="s">
        <v>20</v>
      </c>
      <c r="H1714" s="5" t="s">
        <v>19</v>
      </c>
      <c r="I1714" s="5" t="s">
        <v>19</v>
      </c>
      <c r="J1714" s="5">
        <v>1</v>
      </c>
      <c r="K1714" s="5" t="s">
        <v>19</v>
      </c>
      <c r="L1714" s="5" t="str">
        <f>VLOOKUP(Healthcare!$A1714,hospital_details,2,0)</f>
        <v>1-Jun-1986</v>
      </c>
      <c r="M1714" s="5">
        <f t="shared" ref="M1714:M1777" ca="1" si="10269">VLOOKUP(A1714,hospital_details,3,0)</f>
        <v>40</v>
      </c>
      <c r="N1714" s="5">
        <f t="shared" ref="N1714:N1777" si="10270">VLOOKUP($A1714,hospital_details,4,0)</f>
        <v>1</v>
      </c>
      <c r="O1714" s="6">
        <f t="shared" ref="O1714:O1777" si="10271">VLOOKUP($A1714,hospital_details,5,0)</f>
        <v>5373.36</v>
      </c>
      <c r="P1714" s="5" t="str">
        <f t="shared" ref="P1714:P1777" si="10272">VLOOKUP($A1714,hospital_details,6,0)</f>
        <v>tier - 2</v>
      </c>
      <c r="Q1714" s="5" t="str">
        <f t="shared" ref="Q1714:Q1777" si="10273">VLOOKUP($A1714,hospital_details,7,0)</f>
        <v>tier - 2</v>
      </c>
      <c r="R1714" s="5" t="str">
        <f t="shared" ref="R1714:R1777" si="10274">VLOOKUP($A1714,hospital_details,8,0)</f>
        <v>R1012</v>
      </c>
    </row>
    <row r="1715" spans="1:18" ht="14.4" customHeight="1" x14ac:dyDescent="0.3">
      <c r="A1715" s="7" t="s">
        <v>1735</v>
      </c>
      <c r="B1715" s="7" t="str">
        <f>VLOOKUP($A1715,[1]!Customer_Names[#Data],3,0)</f>
        <v xml:space="preserve">  Holly J</v>
      </c>
      <c r="C1715" s="7">
        <v>32.64</v>
      </c>
      <c r="D1715" s="7" t="str" cm="1">
        <f t="array" ref="D1715">_xlfn.IFS(Healthcare!$C1715&lt;18.5,"under weight",Healthcare!$C1715&lt;=24.9,"Normal Weight",Healthcare!$C1715&gt;=25,"overweight",Healthcare!$C1715&gt;=30,"obese")</f>
        <v>overweight</v>
      </c>
      <c r="E1715" s="7">
        <v>5.91</v>
      </c>
      <c r="F1715" s="7" t="str" cm="1">
        <f t="array" ref="F1715">_xlfn.IFS(Healthcare!$E1715&lt;5.7,"normal",Healthcare!$E1715&lt;=6.4,"prediabetes",Healthcare!$E1715&gt;=6.5,"diabetes")</f>
        <v>prediabetes</v>
      </c>
      <c r="G1715" s="7" t="s">
        <v>19</v>
      </c>
      <c r="H1715" s="7" t="s">
        <v>19</v>
      </c>
      <c r="I1715" s="7" t="s">
        <v>19</v>
      </c>
      <c r="J1715" s="7">
        <v>0</v>
      </c>
      <c r="K1715" s="7" t="s">
        <v>19</v>
      </c>
      <c r="L1715" s="7" t="str">
        <f>VLOOKUP(Healthcare!$A1715,hospital_details,2,0)</f>
        <v>7-Dec-1994</v>
      </c>
      <c r="M1715" s="7">
        <f t="shared" ref="M1715:M1778" ca="1" si="10275">VLOOKUP(A1715,hospital_details,3,0)</f>
        <v>31</v>
      </c>
      <c r="N1715" s="7">
        <f t="shared" ref="N1715:N1778" si="10276">VLOOKUP($A1715,hospital_details,4,0)</f>
        <v>0</v>
      </c>
      <c r="O1715" s="8">
        <f t="shared" ref="O1715:O1778" si="10277">VLOOKUP($A1715,hospital_details,5,0)</f>
        <v>5364.66</v>
      </c>
      <c r="P1715" s="7" t="str">
        <f t="shared" ref="P1715:P1778" si="10278">VLOOKUP($A1715,hospital_details,6,0)</f>
        <v>tier - 2</v>
      </c>
      <c r="Q1715" s="7" t="str">
        <f t="shared" ref="Q1715:Q1778" si="10279">VLOOKUP($A1715,hospital_details,7,0)</f>
        <v>tier - 1</v>
      </c>
      <c r="R1715" s="7" t="str">
        <f t="shared" ref="R1715:R1778" si="10280">VLOOKUP($A1715,hospital_details,8,0)</f>
        <v>R1011</v>
      </c>
    </row>
    <row r="1716" spans="1:18" ht="14.4" customHeight="1" x14ac:dyDescent="0.3">
      <c r="A1716" s="5" t="s">
        <v>1736</v>
      </c>
      <c r="B1716" s="5" t="str">
        <f>VLOOKUP($A1716,[1]!Customer_Names[#Data],3,0)</f>
        <v xml:space="preserve">  Kristen</v>
      </c>
      <c r="C1716" s="5">
        <v>22.135000000000002</v>
      </c>
      <c r="D1716" s="5" t="str" cm="1">
        <f t="array" ref="D1716">_xlfn.IFS(Healthcare!$C1716&lt;18.5,"under weight",Healthcare!$C1716&lt;=24.9,"Normal Weight",Healthcare!$C1716&gt;=25,"overweight",Healthcare!$C1716&gt;=30,"obese")</f>
        <v>Normal Weight</v>
      </c>
      <c r="E1716" s="5">
        <v>5.0999999999999996</v>
      </c>
      <c r="F1716" s="5" t="str" cm="1">
        <f t="array" ref="F1716">_xlfn.IFS(Healthcare!$E1716&lt;5.7,"normal",Healthcare!$E1716&lt;=6.4,"prediabetes",Healthcare!$E1716&gt;=6.5,"diabetes")</f>
        <v>normal</v>
      </c>
      <c r="G1716" s="5" t="s">
        <v>19</v>
      </c>
      <c r="H1716" s="5" t="s">
        <v>19</v>
      </c>
      <c r="I1716" s="5" t="s">
        <v>19</v>
      </c>
      <c r="J1716" s="5">
        <v>0</v>
      </c>
      <c r="K1716" s="5" t="s">
        <v>19</v>
      </c>
      <c r="L1716" s="5" t="str">
        <f>VLOOKUP(Healthcare!$A1716,hospital_details,2,0)</f>
        <v>7-Nov-1989</v>
      </c>
      <c r="M1716" s="5">
        <f t="shared" ref="M1716:M1779" ca="1" si="10281">VLOOKUP(A1716,hospital_details,3,0)</f>
        <v>36</v>
      </c>
      <c r="N1716" s="5">
        <f t="shared" ref="N1716:N1779" si="10282">VLOOKUP($A1716,hospital_details,4,0)</f>
        <v>1</v>
      </c>
      <c r="O1716" s="6">
        <f t="shared" ref="O1716:O1779" si="10283">VLOOKUP($A1716,hospital_details,5,0)</f>
        <v>5354.07</v>
      </c>
      <c r="P1716" s="5" t="str">
        <f t="shared" ref="P1716:P1779" si="10284">VLOOKUP($A1716,hospital_details,6,0)</f>
        <v>tier - 2</v>
      </c>
      <c r="Q1716" s="5" t="str">
        <f t="shared" ref="Q1716:Q1779" si="10285">VLOOKUP($A1716,hospital_details,7,0)</f>
        <v>tier - 3</v>
      </c>
      <c r="R1716" s="5" t="str">
        <f t="shared" ref="R1716:R1779" si="10286">VLOOKUP($A1716,hospital_details,8,0)</f>
        <v>R1024</v>
      </c>
    </row>
    <row r="1717" spans="1:18" ht="14.4" customHeight="1" x14ac:dyDescent="0.3">
      <c r="A1717" s="7" t="s">
        <v>1737</v>
      </c>
      <c r="B1717" s="7" t="str">
        <f>VLOOKUP($A1717,[1]!Customer_Names[#Data],3,0)</f>
        <v xml:space="preserve">  Thomas</v>
      </c>
      <c r="C1717" s="7">
        <v>16.53</v>
      </c>
      <c r="D1717" s="7" t="str" cm="1">
        <f t="array" ref="D1717">_xlfn.IFS(Healthcare!$C1717&lt;18.5,"under weight",Healthcare!$C1717&lt;=24.9,"Normal Weight",Healthcare!$C1717&gt;=25,"overweight",Healthcare!$C1717&gt;=30,"obese")</f>
        <v>under weight</v>
      </c>
      <c r="E1717" s="7">
        <v>5.08</v>
      </c>
      <c r="F1717" s="7" t="str" cm="1">
        <f t="array" ref="F1717">_xlfn.IFS(Healthcare!$E1717&lt;5.7,"normal",Healthcare!$E1717&lt;=6.4,"prediabetes",Healthcare!$E1717&gt;=6.5,"diabetes")</f>
        <v>normal</v>
      </c>
      <c r="G1717" s="7" t="s">
        <v>19</v>
      </c>
      <c r="H1717" s="7" t="s">
        <v>19</v>
      </c>
      <c r="I1717" s="7" t="s">
        <v>19</v>
      </c>
      <c r="J1717" s="7">
        <v>2</v>
      </c>
      <c r="K1717" s="7" t="s">
        <v>19</v>
      </c>
      <c r="L1717" s="7" t="str">
        <f>VLOOKUP(Healthcare!$A1717,hospital_details,2,0)</f>
        <v>15-Dec-1972</v>
      </c>
      <c r="M1717" s="7">
        <f t="shared" ref="M1717:M1780" ca="1" si="10287">VLOOKUP(A1717,hospital_details,3,0)</f>
        <v>53</v>
      </c>
      <c r="N1717" s="7">
        <f t="shared" ref="N1717:N1780" si="10288">VLOOKUP($A1717,hospital_details,4,0)</f>
        <v>0</v>
      </c>
      <c r="O1717" s="8">
        <f t="shared" ref="O1717:O1780" si="10289">VLOOKUP($A1717,hospital_details,5,0)</f>
        <v>5344.81</v>
      </c>
      <c r="P1717" s="7" t="str">
        <f t="shared" ref="P1717:P1780" si="10290">VLOOKUP($A1717,hospital_details,6,0)</f>
        <v>tier - 2</v>
      </c>
      <c r="Q1717" s="7" t="str">
        <f t="shared" ref="Q1717:Q1780" si="10291">VLOOKUP($A1717,hospital_details,7,0)</f>
        <v>tier - 3</v>
      </c>
      <c r="R1717" s="7" t="str">
        <f t="shared" ref="R1717:R1780" si="10292">VLOOKUP($A1717,hospital_details,8,0)</f>
        <v>R1013</v>
      </c>
    </row>
    <row r="1718" spans="1:18" ht="14.4" customHeight="1" x14ac:dyDescent="0.3">
      <c r="A1718" s="5" t="s">
        <v>1738</v>
      </c>
      <c r="B1718" s="5" t="str">
        <f>VLOOKUP($A1718,[1]!Customer_Names[#Data],3,0)</f>
        <v xml:space="preserve">  Tricity M</v>
      </c>
      <c r="C1718" s="5">
        <v>32.774999999999999</v>
      </c>
      <c r="D1718" s="5" t="str" cm="1">
        <f t="array" ref="D1718">_xlfn.IFS(Healthcare!$C1718&lt;18.5,"under weight",Healthcare!$C1718&lt;=24.9,"Normal Weight",Healthcare!$C1718&gt;=25,"overweight",Healthcare!$C1718&gt;=30,"obese")</f>
        <v>overweight</v>
      </c>
      <c r="E1718" s="5">
        <v>4.75</v>
      </c>
      <c r="F1718" s="5" t="str" cm="1">
        <f t="array" ref="F1718">_xlfn.IFS(Healthcare!$E1718&lt;5.7,"normal",Healthcare!$E1718&lt;=6.4,"prediabetes",Healthcare!$E1718&gt;=6.5,"diabetes")</f>
        <v>normal</v>
      </c>
      <c r="G1718" s="5" t="s">
        <v>19</v>
      </c>
      <c r="H1718" s="5" t="s">
        <v>19</v>
      </c>
      <c r="I1718" s="5" t="s">
        <v>19</v>
      </c>
      <c r="J1718" s="5">
        <v>0</v>
      </c>
      <c r="K1718" s="5" t="s">
        <v>19</v>
      </c>
      <c r="L1718" s="5" t="str">
        <f>VLOOKUP(Healthcare!$A1718,hospital_details,2,0)</f>
        <v>28-Aug-1991</v>
      </c>
      <c r="M1718" s="5">
        <f t="shared" ref="M1718:M1781" ca="1" si="10293">VLOOKUP(A1718,hospital_details,3,0)</f>
        <v>35</v>
      </c>
      <c r="N1718" s="5">
        <f t="shared" ref="N1718:N1781" si="10294">VLOOKUP($A1718,hospital_details,4,0)</f>
        <v>2</v>
      </c>
      <c r="O1718" s="6">
        <f t="shared" ref="O1718:O1781" si="10295">VLOOKUP($A1718,hospital_details,5,0)</f>
        <v>5327.4</v>
      </c>
      <c r="P1718" s="5" t="str">
        <f t="shared" ref="P1718:P1781" si="10296">VLOOKUP($A1718,hospital_details,6,0)</f>
        <v>tier - 2</v>
      </c>
      <c r="Q1718" s="5" t="str">
        <f t="shared" ref="Q1718:Q1781" si="10297">VLOOKUP($A1718,hospital_details,7,0)</f>
        <v>tier - 1</v>
      </c>
      <c r="R1718" s="5" t="str">
        <f t="shared" ref="R1718:R1781" si="10298">VLOOKUP($A1718,hospital_details,8,0)</f>
        <v>R1012</v>
      </c>
    </row>
    <row r="1719" spans="1:18" ht="14.4" customHeight="1" x14ac:dyDescent="0.3">
      <c r="A1719" s="7" t="s">
        <v>1739</v>
      </c>
      <c r="B1719" s="7" t="str">
        <f>VLOOKUP($A1719,[1]!Customer_Names[#Data],3,0)</f>
        <v xml:space="preserve">  Sarah A</v>
      </c>
      <c r="C1719" s="7">
        <v>30.9</v>
      </c>
      <c r="D1719" s="7" t="str" cm="1">
        <f t="array" ref="D1719">_xlfn.IFS(Healthcare!$C1719&lt;18.5,"under weight",Healthcare!$C1719&lt;=24.9,"Normal Weight",Healthcare!$C1719&gt;=25,"overweight",Healthcare!$C1719&gt;=30,"obese")</f>
        <v>overweight</v>
      </c>
      <c r="E1719" s="7">
        <v>6.05</v>
      </c>
      <c r="F1719" s="7" t="str" cm="1">
        <f t="array" ref="F1719">_xlfn.IFS(Healthcare!$E1719&lt;5.7,"normal",Healthcare!$E1719&lt;=6.4,"prediabetes",Healthcare!$E1719&gt;=6.5,"diabetes")</f>
        <v>prediabetes</v>
      </c>
      <c r="G1719" s="7" t="s">
        <v>19</v>
      </c>
      <c r="H1719" s="7" t="s">
        <v>19</v>
      </c>
      <c r="I1719" s="7" t="s">
        <v>19</v>
      </c>
      <c r="J1719" s="7">
        <v>1</v>
      </c>
      <c r="K1719" s="7" t="s">
        <v>19</v>
      </c>
      <c r="L1719" s="7" t="str">
        <f>VLOOKUP(Healthcare!$A1719,hospital_details,2,0)</f>
        <v>18-Jun-1992</v>
      </c>
      <c r="M1719" s="7">
        <f t="shared" ref="M1719:M1782" ca="1" si="10299">VLOOKUP(A1719,hospital_details,3,0)</f>
        <v>34</v>
      </c>
      <c r="N1719" s="7">
        <f t="shared" ref="N1719:N1782" si="10300">VLOOKUP($A1719,hospital_details,4,0)</f>
        <v>3</v>
      </c>
      <c r="O1719" s="8">
        <f t="shared" ref="O1719:O1782" si="10301">VLOOKUP($A1719,hospital_details,5,0)</f>
        <v>5325.65</v>
      </c>
      <c r="P1719" s="7" t="str">
        <f t="shared" ref="P1719:P1782" si="10302">VLOOKUP($A1719,hospital_details,6,0)</f>
        <v>tier - 2</v>
      </c>
      <c r="Q1719" s="7" t="str">
        <f t="shared" ref="Q1719:Q1782" si="10303">VLOOKUP($A1719,hospital_details,7,0)</f>
        <v>tier - 1</v>
      </c>
      <c r="R1719" s="7" t="str">
        <f t="shared" ref="R1719:R1782" si="10304">VLOOKUP($A1719,hospital_details,8,0)</f>
        <v>R1011</v>
      </c>
    </row>
    <row r="1720" spans="1:18" ht="14.4" customHeight="1" x14ac:dyDescent="0.3">
      <c r="A1720" s="5" t="s">
        <v>1740</v>
      </c>
      <c r="B1720" s="5" t="str">
        <f>VLOOKUP($A1720,[1]!Customer_Names[#Data],3,0)</f>
        <v xml:space="preserve">  Lisa M</v>
      </c>
      <c r="C1720" s="5">
        <v>15.58</v>
      </c>
      <c r="D1720" s="5" t="str" cm="1">
        <f t="array" ref="D1720">_xlfn.IFS(Healthcare!$C1720&lt;18.5,"under weight",Healthcare!$C1720&lt;=24.9,"Normal Weight",Healthcare!$C1720&gt;=25,"overweight",Healthcare!$C1720&gt;=30,"obese")</f>
        <v>under weight</v>
      </c>
      <c r="E1720" s="5">
        <v>11.56</v>
      </c>
      <c r="F1720" s="5" t="str" cm="1">
        <f t="array" ref="F1720">_xlfn.IFS(Healthcare!$E1720&lt;5.7,"normal",Healthcare!$E1720&lt;=6.4,"prediabetes",Healthcare!$E1720&gt;=6.5,"diabetes")</f>
        <v>diabetes</v>
      </c>
      <c r="G1720" s="5" t="s">
        <v>19</v>
      </c>
      <c r="H1720" s="5" t="s">
        <v>19</v>
      </c>
      <c r="I1720" s="5" t="s">
        <v>19</v>
      </c>
      <c r="J1720" s="5">
        <v>0</v>
      </c>
      <c r="K1720" s="5" t="s">
        <v>19</v>
      </c>
      <c r="L1720" s="5" t="str">
        <f>VLOOKUP(Healthcare!$A1720,hospital_details,2,0)</f>
        <v>2-Sep-1974</v>
      </c>
      <c r="M1720" s="5">
        <f t="shared" ref="M1720:M1783" ca="1" si="10305">VLOOKUP(A1720,hospital_details,3,0)</f>
        <v>52</v>
      </c>
      <c r="N1720" s="5">
        <f t="shared" ref="N1720:N1783" si="10306">VLOOKUP($A1720,hospital_details,4,0)</f>
        <v>0</v>
      </c>
      <c r="O1720" s="6">
        <f t="shared" ref="O1720:O1783" si="10307">VLOOKUP($A1720,hospital_details,5,0)</f>
        <v>5322.24</v>
      </c>
      <c r="P1720" s="5" t="str">
        <f t="shared" ref="P1720:P1783" si="10308">VLOOKUP($A1720,hospital_details,6,0)</f>
        <v>tier - 2</v>
      </c>
      <c r="Q1720" s="5" t="str">
        <f t="shared" ref="Q1720:Q1783" si="10309">VLOOKUP($A1720,hospital_details,7,0)</f>
        <v>tier - 1</v>
      </c>
      <c r="R1720" s="5" t="str">
        <f t="shared" ref="R1720:R1783" si="10310">VLOOKUP($A1720,hospital_details,8,0)</f>
        <v>R1012</v>
      </c>
    </row>
    <row r="1721" spans="1:18" ht="14.4" customHeight="1" x14ac:dyDescent="0.3">
      <c r="A1721" s="7" t="s">
        <v>1741</v>
      </c>
      <c r="B1721" s="7" t="str">
        <f>VLOOKUP($A1721,[1]!Customer_Names[#Data],3,0)</f>
        <v xml:space="preserve">  Tracy A</v>
      </c>
      <c r="C1721" s="7">
        <v>26.315000000000001</v>
      </c>
      <c r="D1721" s="7" t="str" cm="1">
        <f t="array" ref="D1721">_xlfn.IFS(Healthcare!$C1721&lt;18.5,"under weight",Healthcare!$C1721&lt;=24.9,"Normal Weight",Healthcare!$C1721&gt;=25,"overweight",Healthcare!$C1721&gt;=30,"obese")</f>
        <v>overweight</v>
      </c>
      <c r="E1721" s="7">
        <v>5.76</v>
      </c>
      <c r="F1721" s="7" t="str" cm="1">
        <f t="array" ref="F1721">_xlfn.IFS(Healthcare!$E1721&lt;5.7,"normal",Healthcare!$E1721&lt;=6.4,"prediabetes",Healthcare!$E1721&gt;=6.5,"diabetes")</f>
        <v>prediabetes</v>
      </c>
      <c r="G1721" s="7" t="s">
        <v>19</v>
      </c>
      <c r="H1721" s="7" t="s">
        <v>19</v>
      </c>
      <c r="I1721" s="7" t="s">
        <v>19</v>
      </c>
      <c r="J1721" s="7">
        <v>0</v>
      </c>
      <c r="K1721" s="7" t="s">
        <v>19</v>
      </c>
      <c r="L1721" s="7" t="str">
        <f>VLOOKUP(Healthcare!$A1721,hospital_details,2,0)</f>
        <v>13-Nov-1994</v>
      </c>
      <c r="M1721" s="7">
        <f t="shared" ref="M1721:M1784" ca="1" si="10311">VLOOKUP(A1721,hospital_details,3,0)</f>
        <v>31</v>
      </c>
      <c r="N1721" s="7">
        <f t="shared" ref="N1721:N1784" si="10312">VLOOKUP($A1721,hospital_details,4,0)</f>
        <v>3</v>
      </c>
      <c r="O1721" s="8">
        <f t="shared" ref="O1721:O1784" si="10313">VLOOKUP($A1721,hospital_details,5,0)</f>
        <v>5312.17</v>
      </c>
      <c r="P1721" s="7" t="str">
        <f t="shared" ref="P1721:P1784" si="10314">VLOOKUP($A1721,hospital_details,6,0)</f>
        <v>tier - 2</v>
      </c>
      <c r="Q1721" s="7" t="str">
        <f t="shared" ref="Q1721:Q1784" si="10315">VLOOKUP($A1721,hospital_details,7,0)</f>
        <v>tier - 2</v>
      </c>
      <c r="R1721" s="7" t="str">
        <f t="shared" ref="R1721:R1784" si="10316">VLOOKUP($A1721,hospital_details,8,0)</f>
        <v>R1012</v>
      </c>
    </row>
    <row r="1722" spans="1:18" ht="14.4" customHeight="1" x14ac:dyDescent="0.3">
      <c r="A1722" s="5" t="s">
        <v>1742</v>
      </c>
      <c r="B1722" s="5" t="str">
        <f>VLOOKUP($A1722,[1]!Customer_Names[#Data],3,0)</f>
        <v xml:space="preserve">  Patrick</v>
      </c>
      <c r="C1722" s="5">
        <v>35.61</v>
      </c>
      <c r="D1722" s="5" t="str" cm="1">
        <f t="array" ref="D1722">_xlfn.IFS(Healthcare!$C1722&lt;18.5,"under weight",Healthcare!$C1722&lt;=24.9,"Normal Weight",Healthcare!$C1722&gt;=25,"overweight",Healthcare!$C1722&gt;=30,"obese")</f>
        <v>overweight</v>
      </c>
      <c r="E1722" s="5">
        <v>5.65</v>
      </c>
      <c r="F1722" s="5" t="str" cm="1">
        <f t="array" ref="F1722">_xlfn.IFS(Healthcare!$E1722&lt;5.7,"normal",Healthcare!$E1722&lt;=6.4,"prediabetes",Healthcare!$E1722&gt;=6.5,"diabetes")</f>
        <v>normal</v>
      </c>
      <c r="G1722" s="5" t="s">
        <v>19</v>
      </c>
      <c r="H1722" s="5" t="s">
        <v>20</v>
      </c>
      <c r="I1722" s="5" t="s">
        <v>19</v>
      </c>
      <c r="J1722" s="5">
        <v>1</v>
      </c>
      <c r="K1722" s="5" t="s">
        <v>19</v>
      </c>
      <c r="L1722" s="5" t="str">
        <f>VLOOKUP(Healthcare!$A1722,hospital_details,2,0)</f>
        <v>9-Sep-2000</v>
      </c>
      <c r="M1722" s="5">
        <f t="shared" ref="M1722:M1785" ca="1" si="10317">VLOOKUP(A1722,hospital_details,3,0)</f>
        <v>26</v>
      </c>
      <c r="N1722" s="5">
        <f t="shared" ref="N1722:N1785" si="10318">VLOOKUP($A1722,hospital_details,4,0)</f>
        <v>0</v>
      </c>
      <c r="O1722" s="6">
        <f t="shared" ref="O1722:O1785" si="10319">VLOOKUP($A1722,hospital_details,5,0)</f>
        <v>5306.7</v>
      </c>
      <c r="P1722" s="5" t="str">
        <f t="shared" ref="P1722:P1785" si="10320">VLOOKUP($A1722,hospital_details,6,0)</f>
        <v>tier - 2</v>
      </c>
      <c r="Q1722" s="5" t="str">
        <f t="shared" ref="Q1722:Q1785" si="10321">VLOOKUP($A1722,hospital_details,7,0)</f>
        <v>tier - 3</v>
      </c>
      <c r="R1722" s="5" t="str">
        <f t="shared" ref="R1722:R1785" si="10322">VLOOKUP($A1722,hospital_details,8,0)</f>
        <v>R1012</v>
      </c>
    </row>
    <row r="1723" spans="1:18" ht="14.4" customHeight="1" x14ac:dyDescent="0.3">
      <c r="A1723" s="7" t="s">
        <v>1743</v>
      </c>
      <c r="B1723" s="7" t="str">
        <f>VLOOKUP($A1723,[1]!Customer_Names[#Data],3,0)</f>
        <v xml:space="preserve">  Trent</v>
      </c>
      <c r="C1723" s="7">
        <v>37.56</v>
      </c>
      <c r="D1723" s="7" t="str" cm="1">
        <f t="array" ref="D1723">_xlfn.IFS(Healthcare!$C1723&lt;18.5,"under weight",Healthcare!$C1723&lt;=24.9,"Normal Weight",Healthcare!$C1723&gt;=25,"overweight",Healthcare!$C1723&gt;=30,"obese")</f>
        <v>overweight</v>
      </c>
      <c r="E1723" s="7">
        <v>5.88</v>
      </c>
      <c r="F1723" s="7" t="str" cm="1">
        <f t="array" ref="F1723">_xlfn.IFS(Healthcare!$E1723&lt;5.7,"normal",Healthcare!$E1723&lt;=6.4,"prediabetes",Healthcare!$E1723&gt;=6.5,"diabetes")</f>
        <v>prediabetes</v>
      </c>
      <c r="G1723" s="7" t="s">
        <v>19</v>
      </c>
      <c r="H1723" s="7" t="s">
        <v>20</v>
      </c>
      <c r="I1723" s="7" t="s">
        <v>19</v>
      </c>
      <c r="J1723" s="7">
        <v>1</v>
      </c>
      <c r="K1723" s="7" t="s">
        <v>19</v>
      </c>
      <c r="L1723" s="7" t="str">
        <f>VLOOKUP(Healthcare!$A1723,hospital_details,2,0)</f>
        <v>22-Aug-2004</v>
      </c>
      <c r="M1723" s="7">
        <f t="shared" ref="M1723:M1786" ca="1" si="10323">VLOOKUP(A1723,hospital_details,3,0)</f>
        <v>22</v>
      </c>
      <c r="N1723" s="7">
        <f t="shared" ref="N1723:N1786" si="10324">VLOOKUP($A1723,hospital_details,4,0)</f>
        <v>0</v>
      </c>
      <c r="O1723" s="8">
        <f t="shared" ref="O1723:O1786" si="10325">VLOOKUP($A1723,hospital_details,5,0)</f>
        <v>5293.67</v>
      </c>
      <c r="P1723" s="7" t="str">
        <f t="shared" ref="P1723:P1786" si="10326">VLOOKUP($A1723,hospital_details,6,0)</f>
        <v>tier - 2</v>
      </c>
      <c r="Q1723" s="7" t="str">
        <f t="shared" ref="Q1723:Q1786" si="10327">VLOOKUP($A1723,hospital_details,7,0)</f>
        <v>tier - 2</v>
      </c>
      <c r="R1723" s="7" t="str">
        <f t="shared" ref="R1723:R1786" si="10328">VLOOKUP($A1723,hospital_details,8,0)</f>
        <v>R1022</v>
      </c>
    </row>
    <row r="1724" spans="1:18" ht="14.4" customHeight="1" x14ac:dyDescent="0.3">
      <c r="A1724" s="5" t="s">
        <v>1744</v>
      </c>
      <c r="B1724" s="5" t="str">
        <f>VLOOKUP($A1724,[1]!Customer_Names[#Data],3,0)</f>
        <v xml:space="preserve">  Julie</v>
      </c>
      <c r="C1724" s="5">
        <v>15.49</v>
      </c>
      <c r="D1724" s="5" t="str" cm="1">
        <f t="array" ref="D1724">_xlfn.IFS(Healthcare!$C1724&lt;18.5,"under weight",Healthcare!$C1724&lt;=24.9,"Normal Weight",Healthcare!$C1724&gt;=25,"overweight",Healthcare!$C1724&gt;=30,"obese")</f>
        <v>under weight</v>
      </c>
      <c r="E1724" s="5">
        <v>9.6</v>
      </c>
      <c r="F1724" s="5" t="str" cm="1">
        <f t="array" ref="F1724">_xlfn.IFS(Healthcare!$E1724&lt;5.7,"normal",Healthcare!$E1724&lt;=6.4,"prediabetes",Healthcare!$E1724&gt;=6.5,"diabetes")</f>
        <v>diabetes</v>
      </c>
      <c r="G1724" s="5" t="s">
        <v>19</v>
      </c>
      <c r="H1724" s="5" t="s">
        <v>19</v>
      </c>
      <c r="I1724" s="5" t="s">
        <v>19</v>
      </c>
      <c r="J1724" s="5">
        <v>0</v>
      </c>
      <c r="K1724" s="5" t="s">
        <v>19</v>
      </c>
      <c r="L1724" s="5" t="str">
        <f>VLOOKUP(Healthcare!$A1724,hospital_details,2,0)</f>
        <v>12-Nov-1974</v>
      </c>
      <c r="M1724" s="5">
        <f t="shared" ref="M1724:M1787" ca="1" si="10329">VLOOKUP(A1724,hospital_details,3,0)</f>
        <v>51</v>
      </c>
      <c r="N1724" s="5">
        <f t="shared" ref="N1724:N1787" si="10330">VLOOKUP($A1724,hospital_details,4,0)</f>
        <v>0</v>
      </c>
      <c r="O1724" s="6">
        <f t="shared" ref="O1724:O1787" si="10331">VLOOKUP($A1724,hospital_details,5,0)</f>
        <v>5291.71</v>
      </c>
      <c r="P1724" s="5" t="str">
        <f t="shared" ref="P1724:P1787" si="10332">VLOOKUP($A1724,hospital_details,6,0)</f>
        <v>tier - 2</v>
      </c>
      <c r="Q1724" s="5" t="str">
        <f t="shared" ref="Q1724:Q1787" si="10333">VLOOKUP($A1724,hospital_details,7,0)</f>
        <v>tier - 2</v>
      </c>
      <c r="R1724" s="5" t="str">
        <f t="shared" ref="R1724:R1787" si="10334">VLOOKUP($A1724,hospital_details,8,0)</f>
        <v>R1012</v>
      </c>
    </row>
    <row r="1725" spans="1:18" ht="14.4" customHeight="1" x14ac:dyDescent="0.3">
      <c r="A1725" s="7" t="s">
        <v>1745</v>
      </c>
      <c r="B1725" s="7" t="str">
        <f>VLOOKUP($A1725,[1]!Customer_Names[#Data],3,0)</f>
        <v xml:space="preserve">  Sawomir</v>
      </c>
      <c r="C1725" s="7">
        <v>23.48</v>
      </c>
      <c r="D1725" s="7" t="str" cm="1">
        <f t="array" ref="D1725">_xlfn.IFS(Healthcare!$C1725&lt;18.5,"under weight",Healthcare!$C1725&lt;=24.9,"Normal Weight",Healthcare!$C1725&gt;=25,"overweight",Healthcare!$C1725&gt;=30,"obese")</f>
        <v>Normal Weight</v>
      </c>
      <c r="E1725" s="7">
        <v>6.24</v>
      </c>
      <c r="F1725" s="7" t="str" cm="1">
        <f t="array" ref="F1725">_xlfn.IFS(Healthcare!$E1725&lt;5.7,"normal",Healthcare!$E1725&lt;=6.4,"prediabetes",Healthcare!$E1725&gt;=6.5,"diabetes")</f>
        <v>prediabetes</v>
      </c>
      <c r="G1725" s="7" t="s">
        <v>19</v>
      </c>
      <c r="H1725" s="7" t="s">
        <v>19</v>
      </c>
      <c r="I1725" s="7" t="s">
        <v>19</v>
      </c>
      <c r="J1725" s="7">
        <v>1</v>
      </c>
      <c r="K1725" s="7" t="s">
        <v>19</v>
      </c>
      <c r="L1725" s="7" t="str">
        <f>VLOOKUP(Healthcare!$A1725,hospital_details,2,0)</f>
        <v>1-Sep-1987</v>
      </c>
      <c r="M1725" s="7">
        <f t="shared" ref="M1725:M1788" ca="1" si="10335">VLOOKUP(A1725,hospital_details,3,0)</f>
        <v>39</v>
      </c>
      <c r="N1725" s="7">
        <f t="shared" ref="N1725:N1788" si="10336">VLOOKUP($A1725,hospital_details,4,0)</f>
        <v>3</v>
      </c>
      <c r="O1725" s="8">
        <f t="shared" ref="O1725:O1788" si="10337">VLOOKUP($A1725,hospital_details,5,0)</f>
        <v>5275.86</v>
      </c>
      <c r="P1725" s="7" t="str">
        <f t="shared" ref="P1725:P1788" si="10338">VLOOKUP($A1725,hospital_details,6,0)</f>
        <v>tier - 2</v>
      </c>
      <c r="Q1725" s="7" t="str">
        <f t="shared" ref="Q1725:Q1788" si="10339">VLOOKUP($A1725,hospital_details,7,0)</f>
        <v>tier - 2</v>
      </c>
      <c r="R1725" s="7" t="str">
        <f t="shared" ref="R1725:R1788" si="10340">VLOOKUP($A1725,hospital_details,8,0)</f>
        <v>R1013</v>
      </c>
    </row>
    <row r="1726" spans="1:18" ht="14.4" customHeight="1" x14ac:dyDescent="0.3">
      <c r="A1726" s="5" t="s">
        <v>1746</v>
      </c>
      <c r="B1726" s="5" t="str">
        <f>VLOOKUP($A1726,[1]!Customer_Names[#Data],3,0)</f>
        <v xml:space="preserve">  Micah</v>
      </c>
      <c r="C1726" s="5">
        <v>30.02</v>
      </c>
      <c r="D1726" s="5" t="str" cm="1">
        <f t="array" ref="D1726">_xlfn.IFS(Healthcare!$C1726&lt;18.5,"under weight",Healthcare!$C1726&lt;=24.9,"Normal Weight",Healthcare!$C1726&gt;=25,"overweight",Healthcare!$C1726&gt;=30,"obese")</f>
        <v>overweight</v>
      </c>
      <c r="E1726" s="5">
        <v>7.63</v>
      </c>
      <c r="F1726" s="5" t="str" cm="1">
        <f t="array" ref="F1726">_xlfn.IFS(Healthcare!$E1726&lt;5.7,"normal",Healthcare!$E1726&lt;=6.4,"prediabetes",Healthcare!$E1726&gt;=6.5,"diabetes")</f>
        <v>diabetes</v>
      </c>
      <c r="G1726" s="5" t="s">
        <v>20</v>
      </c>
      <c r="H1726" s="5" t="s">
        <v>19</v>
      </c>
      <c r="I1726" s="5" t="s">
        <v>19</v>
      </c>
      <c r="J1726" s="5">
        <v>1</v>
      </c>
      <c r="K1726" s="5" t="s">
        <v>19</v>
      </c>
      <c r="L1726" s="5" t="str">
        <f>VLOOKUP(Healthcare!$A1726,hospital_details,2,0)</f>
        <v>20-Oct-1986</v>
      </c>
      <c r="M1726" s="5">
        <f t="shared" ref="M1726:M1789" ca="1" si="10341">VLOOKUP(A1726,hospital_details,3,0)</f>
        <v>39</v>
      </c>
      <c r="N1726" s="5">
        <f t="shared" ref="N1726:N1789" si="10342">VLOOKUP($A1726,hospital_details,4,0)</f>
        <v>0</v>
      </c>
      <c r="O1726" s="6">
        <f t="shared" ref="O1726:O1789" si="10343">VLOOKUP($A1726,hospital_details,5,0)</f>
        <v>5272.18</v>
      </c>
      <c r="P1726" s="5" t="str">
        <f t="shared" ref="P1726:P1789" si="10344">VLOOKUP($A1726,hospital_details,6,0)</f>
        <v>tier - 2</v>
      </c>
      <c r="Q1726" s="5" t="str">
        <f t="shared" ref="Q1726:Q1789" si="10345">VLOOKUP($A1726,hospital_details,7,0)</f>
        <v>tier - 3</v>
      </c>
      <c r="R1726" s="5" t="str">
        <f t="shared" ref="R1726:R1789" si="10346">VLOOKUP($A1726,hospital_details,8,0)</f>
        <v>R1012</v>
      </c>
    </row>
    <row r="1727" spans="1:18" ht="14.4" customHeight="1" x14ac:dyDescent="0.3">
      <c r="A1727" s="7" t="s">
        <v>1747</v>
      </c>
      <c r="B1727" s="7" t="str">
        <f>VLOOKUP($A1727,[1]!Customer_Names[#Data],3,0)</f>
        <v xml:space="preserve">  Kelly H</v>
      </c>
      <c r="C1727" s="7">
        <v>26.885000000000002</v>
      </c>
      <c r="D1727" s="7" t="str" cm="1">
        <f t="array" ref="D1727">_xlfn.IFS(Healthcare!$C1727&lt;18.5,"under weight",Healthcare!$C1727&lt;=24.9,"Normal Weight",Healthcare!$C1727&gt;=25,"overweight",Healthcare!$C1727&gt;=30,"obese")</f>
        <v>overweight</v>
      </c>
      <c r="E1727" s="7">
        <v>8.66</v>
      </c>
      <c r="F1727" s="7" t="str" cm="1">
        <f t="array" ref="F1727">_xlfn.IFS(Healthcare!$E1727&lt;5.7,"normal",Healthcare!$E1727&lt;=6.4,"prediabetes",Healthcare!$E1727&gt;=6.5,"diabetes")</f>
        <v>diabetes</v>
      </c>
      <c r="G1727" s="7" t="s">
        <v>20</v>
      </c>
      <c r="H1727" s="7" t="s">
        <v>19</v>
      </c>
      <c r="I1727" s="7" t="s">
        <v>19</v>
      </c>
      <c r="J1727" s="7">
        <v>1</v>
      </c>
      <c r="K1727" s="7" t="s">
        <v>19</v>
      </c>
      <c r="L1727" s="7" t="str">
        <f>VLOOKUP(Healthcare!$A1727,hospital_details,2,0)</f>
        <v>20-Sep-1986</v>
      </c>
      <c r="M1727" s="7">
        <f t="shared" ref="M1727:M1790" ca="1" si="10347">VLOOKUP(A1727,hospital_details,3,0)</f>
        <v>40</v>
      </c>
      <c r="N1727" s="7">
        <f t="shared" ref="N1727:N1790" si="10348">VLOOKUP($A1727,hospital_details,4,0)</f>
        <v>0</v>
      </c>
      <c r="O1727" s="8">
        <f t="shared" ref="O1727:O1790" si="10349">VLOOKUP($A1727,hospital_details,5,0)</f>
        <v>5267.82</v>
      </c>
      <c r="P1727" s="7" t="str">
        <f t="shared" ref="P1727:P1790" si="10350">VLOOKUP($A1727,hospital_details,6,0)</f>
        <v>tier - 2</v>
      </c>
      <c r="Q1727" s="7" t="str">
        <f t="shared" ref="Q1727:Q1790" si="10351">VLOOKUP($A1727,hospital_details,7,0)</f>
        <v>tier - 2</v>
      </c>
      <c r="R1727" s="7" t="str">
        <f t="shared" ref="R1727:R1790" si="10352">VLOOKUP($A1727,hospital_details,8,0)</f>
        <v>R1012</v>
      </c>
    </row>
    <row r="1728" spans="1:18" ht="14.4" customHeight="1" x14ac:dyDescent="0.3">
      <c r="A1728" s="5" t="s">
        <v>1748</v>
      </c>
      <c r="B1728" s="5" t="str">
        <f>VLOOKUP($A1728,[1]!Customer_Names[#Data],3,0)</f>
        <v xml:space="preserve">  Lindsay M</v>
      </c>
      <c r="C1728" s="5">
        <v>25.84</v>
      </c>
      <c r="D1728" s="5" t="str" cm="1">
        <f t="array" ref="D1728">_xlfn.IFS(Healthcare!$C1728&lt;18.5,"under weight",Healthcare!$C1728&lt;=24.9,"Normal Weight",Healthcare!$C1728&gt;=25,"overweight",Healthcare!$C1728&gt;=30,"obese")</f>
        <v>overweight</v>
      </c>
      <c r="E1728" s="5">
        <v>8.5500000000000007</v>
      </c>
      <c r="F1728" s="5" t="str" cm="1">
        <f t="array" ref="F1728">_xlfn.IFS(Healthcare!$E1728&lt;5.7,"normal",Healthcare!$E1728&lt;=6.4,"prediabetes",Healthcare!$E1728&gt;=6.5,"diabetes")</f>
        <v>diabetes</v>
      </c>
      <c r="G1728" s="5" t="s">
        <v>20</v>
      </c>
      <c r="H1728" s="5" t="s">
        <v>19</v>
      </c>
      <c r="I1728" s="5" t="s">
        <v>19</v>
      </c>
      <c r="J1728" s="5">
        <v>1</v>
      </c>
      <c r="K1728" s="5" t="s">
        <v>19</v>
      </c>
      <c r="L1728" s="5" t="str">
        <f>VLOOKUP(Healthcare!$A1728,hospital_details,2,0)</f>
        <v>25-Oct-1986</v>
      </c>
      <c r="M1728" s="5">
        <f t="shared" ref="M1728:M1791" ca="1" si="10353">VLOOKUP(A1728,hospital_details,3,0)</f>
        <v>39</v>
      </c>
      <c r="N1728" s="5">
        <f t="shared" ref="N1728:N1791" si="10354">VLOOKUP($A1728,hospital_details,4,0)</f>
        <v>0</v>
      </c>
      <c r="O1728" s="6">
        <f t="shared" ref="O1728:O1791" si="10355">VLOOKUP($A1728,hospital_details,5,0)</f>
        <v>5266.37</v>
      </c>
      <c r="P1728" s="5" t="str">
        <f t="shared" ref="P1728:P1791" si="10356">VLOOKUP($A1728,hospital_details,6,0)</f>
        <v>tier - 2</v>
      </c>
      <c r="Q1728" s="5" t="str">
        <f t="shared" ref="Q1728:Q1791" si="10357">VLOOKUP($A1728,hospital_details,7,0)</f>
        <v>tier - 2</v>
      </c>
      <c r="R1728" s="5" t="str">
        <f t="shared" ref="R1728:R1791" si="10358">VLOOKUP($A1728,hospital_details,8,0)</f>
        <v>R1012</v>
      </c>
    </row>
    <row r="1729" spans="1:18" ht="14.4" customHeight="1" x14ac:dyDescent="0.3">
      <c r="A1729" s="7" t="s">
        <v>1749</v>
      </c>
      <c r="B1729" s="7" t="str">
        <f>VLOOKUP($A1729,[1]!Customer_Names[#Data],3,0)</f>
        <v xml:space="preserve">  Austen G</v>
      </c>
      <c r="C1729" s="7">
        <v>27.454999999999998</v>
      </c>
      <c r="D1729" s="7" t="str" cm="1">
        <f t="array" ref="D1729">_xlfn.IFS(Healthcare!$C1729&lt;18.5,"under weight",Healthcare!$C1729&lt;=24.9,"Normal Weight",Healthcare!$C1729&gt;=25,"overweight",Healthcare!$C1729&gt;=30,"obese")</f>
        <v>overweight</v>
      </c>
      <c r="E1729" s="7">
        <v>4.54</v>
      </c>
      <c r="F1729" s="7" t="str" cm="1">
        <f t="array" ref="F1729">_xlfn.IFS(Healthcare!$E1729&lt;5.7,"normal",Healthcare!$E1729&lt;=6.4,"prediabetes",Healthcare!$E1729&gt;=6.5,"diabetes")</f>
        <v>normal</v>
      </c>
      <c r="G1729" s="7" t="s">
        <v>19</v>
      </c>
      <c r="H1729" s="7" t="s">
        <v>19</v>
      </c>
      <c r="I1729" s="7" t="s">
        <v>19</v>
      </c>
      <c r="J1729" s="7">
        <v>0</v>
      </c>
      <c r="K1729" s="7" t="s">
        <v>19</v>
      </c>
      <c r="L1729" s="7" t="str">
        <f>VLOOKUP(Healthcare!$A1729,hospital_details,2,0)</f>
        <v>19-Jul-1989</v>
      </c>
      <c r="M1729" s="7">
        <f t="shared" ref="M1729:M1792" ca="1" si="10359">VLOOKUP(A1729,hospital_details,3,0)</f>
        <v>37</v>
      </c>
      <c r="N1729" s="7">
        <f t="shared" ref="N1729:N1792" si="10360">VLOOKUP($A1729,hospital_details,4,0)</f>
        <v>2</v>
      </c>
      <c r="O1729" s="8">
        <f t="shared" ref="O1729:O1792" si="10361">VLOOKUP($A1729,hospital_details,5,0)</f>
        <v>5261.47</v>
      </c>
      <c r="P1729" s="7" t="str">
        <f t="shared" ref="P1729:P1792" si="10362">VLOOKUP($A1729,hospital_details,6,0)</f>
        <v>tier - 2</v>
      </c>
      <c r="Q1729" s="7" t="str">
        <f t="shared" ref="Q1729:Q1792" si="10363">VLOOKUP($A1729,hospital_details,7,0)</f>
        <v>tier - 2</v>
      </c>
      <c r="R1729" s="7" t="str">
        <f t="shared" ref="R1729:R1792" si="10364">VLOOKUP($A1729,hospital_details,8,0)</f>
        <v>R1012</v>
      </c>
    </row>
    <row r="1730" spans="1:18" ht="14.4" customHeight="1" x14ac:dyDescent="0.3">
      <c r="A1730" s="5" t="s">
        <v>1750</v>
      </c>
      <c r="B1730" s="5" t="str">
        <f>VLOOKUP($A1730,[1]!Customer_Names[#Data],3,0)</f>
        <v xml:space="preserve">  Tory J</v>
      </c>
      <c r="C1730" s="5">
        <v>24.605</v>
      </c>
      <c r="D1730" s="5" t="str" cm="1">
        <f t="array" ref="D1730">_xlfn.IFS(Healthcare!$C1730&lt;18.5,"under weight",Healthcare!$C1730&lt;=24.9,"Normal Weight",Healthcare!$C1730&gt;=25,"overweight",Healthcare!$C1730&gt;=30,"obese")</f>
        <v>Normal Weight</v>
      </c>
      <c r="E1730" s="5">
        <v>5.7</v>
      </c>
      <c r="F1730" s="5" t="str" cm="1">
        <f t="array" ref="F1730">_xlfn.IFS(Healthcare!$E1730&lt;5.7,"normal",Healthcare!$E1730&lt;=6.4,"prediabetes",Healthcare!$E1730&gt;=6.5,"diabetes")</f>
        <v>prediabetes</v>
      </c>
      <c r="G1730" s="5" t="s">
        <v>19</v>
      </c>
      <c r="H1730" s="5" t="s">
        <v>19</v>
      </c>
      <c r="I1730" s="5" t="s">
        <v>19</v>
      </c>
      <c r="J1730" s="5">
        <v>0</v>
      </c>
      <c r="K1730" s="5" t="s">
        <v>19</v>
      </c>
      <c r="L1730" s="5" t="str">
        <f>VLOOKUP(Healthcare!$A1730,hospital_details,2,0)</f>
        <v>25-Nov-1989</v>
      </c>
      <c r="M1730" s="5">
        <f t="shared" ref="M1730:M1793" ca="1" si="10365">VLOOKUP(A1730,hospital_details,3,0)</f>
        <v>36</v>
      </c>
      <c r="N1730" s="5">
        <f t="shared" ref="N1730:N1793" si="10366">VLOOKUP($A1730,hospital_details,4,0)</f>
        <v>2</v>
      </c>
      <c r="O1730" s="6">
        <f t="shared" ref="O1730:O1793" si="10367">VLOOKUP($A1730,hospital_details,5,0)</f>
        <v>5257.51</v>
      </c>
      <c r="P1730" s="5" t="str">
        <f t="shared" ref="P1730:P1793" si="10368">VLOOKUP($A1730,hospital_details,6,0)</f>
        <v>tier - 2</v>
      </c>
      <c r="Q1730" s="5" t="str">
        <f t="shared" ref="Q1730:Q1793" si="10369">VLOOKUP($A1730,hospital_details,7,0)</f>
        <v>tier - 2</v>
      </c>
      <c r="R1730" s="5" t="str">
        <f t="shared" ref="R1730:R1793" si="10370">VLOOKUP($A1730,hospital_details,8,0)</f>
        <v>R1012</v>
      </c>
    </row>
    <row r="1731" spans="1:18" ht="14.4" customHeight="1" x14ac:dyDescent="0.3">
      <c r="A1731" s="7" t="s">
        <v>1751</v>
      </c>
      <c r="B1731" s="7" t="str">
        <f>VLOOKUP($A1731,[1]!Customer_Names[#Data],3,0)</f>
        <v xml:space="preserve">  Robert J</v>
      </c>
      <c r="C1731" s="7">
        <v>30.8</v>
      </c>
      <c r="D1731" s="7" t="str" cm="1">
        <f t="array" ref="D1731">_xlfn.IFS(Healthcare!$C1731&lt;18.5,"under weight",Healthcare!$C1731&lt;=24.9,"Normal Weight",Healthcare!$C1731&gt;=25,"overweight",Healthcare!$C1731&gt;=30,"obese")</f>
        <v>overweight</v>
      </c>
      <c r="E1731" s="7">
        <v>5.07</v>
      </c>
      <c r="F1731" s="7" t="str" cm="1">
        <f t="array" ref="F1731">_xlfn.IFS(Healthcare!$E1731&lt;5.7,"normal",Healthcare!$E1731&lt;=6.4,"prediabetes",Healthcare!$E1731&gt;=6.5,"diabetes")</f>
        <v>normal</v>
      </c>
      <c r="G1731" s="7" t="s">
        <v>19</v>
      </c>
      <c r="H1731" s="7" t="s">
        <v>19</v>
      </c>
      <c r="I1731" s="7" t="s">
        <v>19</v>
      </c>
      <c r="J1731" s="7">
        <v>0</v>
      </c>
      <c r="K1731" s="7" t="s">
        <v>19</v>
      </c>
      <c r="L1731" s="7" t="str">
        <f>VLOOKUP(Healthcare!$A1731,hospital_details,2,0)</f>
        <v>6-Jul-1990</v>
      </c>
      <c r="M1731" s="7">
        <f t="shared" ref="M1731:M1794" ca="1" si="10371">VLOOKUP(A1731,hospital_details,3,0)</f>
        <v>36</v>
      </c>
      <c r="N1731" s="7">
        <f t="shared" ref="N1731:N1794" si="10372">VLOOKUP($A1731,hospital_details,4,0)</f>
        <v>3</v>
      </c>
      <c r="O1731" s="8">
        <f t="shared" ref="O1731:O1794" si="10373">VLOOKUP($A1731,hospital_details,5,0)</f>
        <v>5253.52</v>
      </c>
      <c r="P1731" s="7" t="str">
        <f t="shared" ref="P1731:P1794" si="10374">VLOOKUP($A1731,hospital_details,6,0)</f>
        <v>tier - 3</v>
      </c>
      <c r="Q1731" s="7" t="str">
        <f t="shared" ref="Q1731:Q1794" si="10375">VLOOKUP($A1731,hospital_details,7,0)</f>
        <v>tier - 3</v>
      </c>
      <c r="R1731" s="7" t="str">
        <f t="shared" ref="R1731:R1794" si="10376">VLOOKUP($A1731,hospital_details,8,0)</f>
        <v>R1011</v>
      </c>
    </row>
    <row r="1732" spans="1:18" ht="14.4" customHeight="1" x14ac:dyDescent="0.3">
      <c r="A1732" s="5" t="s">
        <v>1752</v>
      </c>
      <c r="B1732" s="5" t="str">
        <f>VLOOKUP($A1732,[1]!Customer_Names[#Data],3,0)</f>
        <v xml:space="preserve">  Steph</v>
      </c>
      <c r="C1732" s="5">
        <v>34.799999999999997</v>
      </c>
      <c r="D1732" s="5" t="str" cm="1">
        <f t="array" ref="D1732">_xlfn.IFS(Healthcare!$C1732&lt;18.5,"under weight",Healthcare!$C1732&lt;=24.9,"Normal Weight",Healthcare!$C1732&gt;=25,"overweight",Healthcare!$C1732&gt;=30,"obese")</f>
        <v>overweight</v>
      </c>
      <c r="E1732" s="5">
        <v>4.38</v>
      </c>
      <c r="F1732" s="5" t="str" cm="1">
        <f t="array" ref="F1732">_xlfn.IFS(Healthcare!$E1732&lt;5.7,"normal",Healthcare!$E1732&lt;=6.4,"prediabetes",Healthcare!$E1732&gt;=6.5,"diabetes")</f>
        <v>normal</v>
      </c>
      <c r="G1732" s="5" t="s">
        <v>19</v>
      </c>
      <c r="H1732" s="5" t="s">
        <v>19</v>
      </c>
      <c r="I1732" s="5" t="s">
        <v>19</v>
      </c>
      <c r="J1732" s="5">
        <v>1</v>
      </c>
      <c r="K1732" s="5" t="s">
        <v>19</v>
      </c>
      <c r="L1732" s="5" t="str">
        <f>VLOOKUP(Healthcare!$A1732,hospital_details,2,0)</f>
        <v>9-Sep-1987</v>
      </c>
      <c r="M1732" s="5">
        <f t="shared" ref="M1732:M1795" ca="1" si="10377">VLOOKUP(A1732,hospital_details,3,0)</f>
        <v>39</v>
      </c>
      <c r="N1732" s="5">
        <f t="shared" ref="N1732:N1795" si="10378">VLOOKUP($A1732,hospital_details,4,0)</f>
        <v>1</v>
      </c>
      <c r="O1732" s="6">
        <f t="shared" ref="O1732:O1795" si="10379">VLOOKUP($A1732,hospital_details,5,0)</f>
        <v>5246.05</v>
      </c>
      <c r="P1732" s="5" t="str">
        <f t="shared" ref="P1732:P1795" si="10380">VLOOKUP($A1732,hospital_details,6,0)</f>
        <v>tier - 2</v>
      </c>
      <c r="Q1732" s="5" t="str">
        <f t="shared" ref="Q1732:Q1795" si="10381">VLOOKUP($A1732,hospital_details,7,0)</f>
        <v>tier - 3</v>
      </c>
      <c r="R1732" s="5" t="str">
        <f t="shared" ref="R1732:R1795" si="10382">VLOOKUP($A1732,hospital_details,8,0)</f>
        <v>R1011</v>
      </c>
    </row>
    <row r="1733" spans="1:18" ht="14.4" customHeight="1" x14ac:dyDescent="0.3">
      <c r="A1733" s="7" t="s">
        <v>1753</v>
      </c>
      <c r="B1733" s="7" t="str">
        <f>VLOOKUP($A1733,[1]!Customer_Names[#Data],3,0)</f>
        <v xml:space="preserve">  Kate</v>
      </c>
      <c r="C1733" s="7">
        <v>34.21</v>
      </c>
      <c r="D1733" s="7" t="str" cm="1">
        <f t="array" ref="D1733">_xlfn.IFS(Healthcare!$C1733&lt;18.5,"under weight",Healthcare!$C1733&lt;=24.9,"Normal Weight",Healthcare!$C1733&gt;=25,"overweight",Healthcare!$C1733&gt;=30,"obese")</f>
        <v>overweight</v>
      </c>
      <c r="E1733" s="7">
        <v>4.54</v>
      </c>
      <c r="F1733" s="7" t="str" cm="1">
        <f t="array" ref="F1733">_xlfn.IFS(Healthcare!$E1733&lt;5.7,"normal",Healthcare!$E1733&lt;=6.4,"prediabetes",Healthcare!$E1733&gt;=6.5,"diabetes")</f>
        <v>normal</v>
      </c>
      <c r="G1733" s="7" t="s">
        <v>19</v>
      </c>
      <c r="H1733" s="7" t="s">
        <v>19</v>
      </c>
      <c r="I1733" s="7" t="s">
        <v>19</v>
      </c>
      <c r="J1733" s="7">
        <v>1</v>
      </c>
      <c r="K1733" s="7" t="s">
        <v>19</v>
      </c>
      <c r="L1733" s="7" t="str">
        <f>VLOOKUP(Healthcare!$A1733,hospital_details,2,0)</f>
        <v>5-Jul-1987</v>
      </c>
      <c r="M1733" s="7">
        <f t="shared" ref="M1733:M1796" ca="1" si="10383">VLOOKUP(A1733,hospital_details,3,0)</f>
        <v>39</v>
      </c>
      <c r="N1733" s="7">
        <f t="shared" ref="N1733:N1796" si="10384">VLOOKUP($A1733,hospital_details,4,0)</f>
        <v>1</v>
      </c>
      <c r="O1733" s="8">
        <f t="shared" ref="O1733:O1796" si="10385">VLOOKUP($A1733,hospital_details,5,0)</f>
        <v>5245.23</v>
      </c>
      <c r="P1733" s="7" t="str">
        <f t="shared" ref="P1733:P1796" si="10386">VLOOKUP($A1733,hospital_details,6,0)</f>
        <v>tier - 2</v>
      </c>
      <c r="Q1733" s="7" t="str">
        <f t="shared" ref="Q1733:Q1796" si="10387">VLOOKUP($A1733,hospital_details,7,0)</f>
        <v>tier - 2</v>
      </c>
      <c r="R1733" s="7" t="str">
        <f t="shared" ref="R1733:R1796" si="10388">VLOOKUP($A1733,hospital_details,8,0)</f>
        <v>R1013</v>
      </c>
    </row>
    <row r="1734" spans="1:18" ht="14.4" customHeight="1" x14ac:dyDescent="0.3">
      <c r="A1734" s="5" t="s">
        <v>1754</v>
      </c>
      <c r="B1734" s="5" t="str">
        <f>VLOOKUP($A1734,[1]!Customer_Names[#Data],3,0)</f>
        <v xml:space="preserve">  Kristina</v>
      </c>
      <c r="C1734" s="5">
        <v>31</v>
      </c>
      <c r="D1734" s="5" t="str" cm="1">
        <f t="array" ref="D1734">_xlfn.IFS(Healthcare!$C1734&lt;18.5,"under weight",Healthcare!$C1734&lt;=24.9,"Normal Weight",Healthcare!$C1734&gt;=25,"overweight",Healthcare!$C1734&gt;=30,"obese")</f>
        <v>overweight</v>
      </c>
      <c r="E1734" s="5">
        <v>5.38</v>
      </c>
      <c r="F1734" s="5" t="str" cm="1">
        <f t="array" ref="F1734">_xlfn.IFS(Healthcare!$E1734&lt;5.7,"normal",Healthcare!$E1734&lt;=6.4,"prediabetes",Healthcare!$E1734&gt;=6.5,"diabetes")</f>
        <v>normal</v>
      </c>
      <c r="G1734" s="5" t="s">
        <v>19</v>
      </c>
      <c r="H1734" s="5" t="s">
        <v>19</v>
      </c>
      <c r="I1734" s="5" t="s">
        <v>19</v>
      </c>
      <c r="J1734" s="5">
        <v>1</v>
      </c>
      <c r="K1734" s="5" t="s">
        <v>19</v>
      </c>
      <c r="L1734" s="5" t="str">
        <f>VLOOKUP(Healthcare!$A1734,hospital_details,2,0)</f>
        <v>26-Dec-1987</v>
      </c>
      <c r="M1734" s="5">
        <f t="shared" ref="M1734:M1797" ca="1" si="10389">VLOOKUP(A1734,hospital_details,3,0)</f>
        <v>38</v>
      </c>
      <c r="N1734" s="5">
        <f t="shared" ref="N1734:N1797" si="10390">VLOOKUP($A1734,hospital_details,4,0)</f>
        <v>1</v>
      </c>
      <c r="O1734" s="6">
        <f t="shared" ref="O1734:O1797" si="10391">VLOOKUP($A1734,hospital_details,5,0)</f>
        <v>5240.7700000000004</v>
      </c>
      <c r="P1734" s="5" t="str">
        <f t="shared" ref="P1734:P1797" si="10392">VLOOKUP($A1734,hospital_details,6,0)</f>
        <v>tier - 2</v>
      </c>
      <c r="Q1734" s="5" t="str">
        <f t="shared" ref="Q1734:Q1797" si="10393">VLOOKUP($A1734,hospital_details,7,0)</f>
        <v>tier - 2</v>
      </c>
      <c r="R1734" s="5" t="str">
        <f t="shared" ref="R1734:R1797" si="10394">VLOOKUP($A1734,hospital_details,8,0)</f>
        <v>R1011</v>
      </c>
    </row>
    <row r="1735" spans="1:18" ht="14.4" customHeight="1" x14ac:dyDescent="0.3">
      <c r="A1735" s="7" t="s">
        <v>1755</v>
      </c>
      <c r="B1735" s="7" t="str">
        <f>VLOOKUP($A1735,[1]!Customer_Names[#Data],3,0)</f>
        <v xml:space="preserve">  Flo</v>
      </c>
      <c r="C1735" s="7">
        <v>26.125</v>
      </c>
      <c r="D1735" s="7" t="str" cm="1">
        <f t="array" ref="D1735">_xlfn.IFS(Healthcare!$C1735&lt;18.5,"under weight",Healthcare!$C1735&lt;=24.9,"Normal Weight",Healthcare!$C1735&gt;=25,"overweight",Healthcare!$C1735&gt;=30,"obese")</f>
        <v>overweight</v>
      </c>
      <c r="E1735" s="7">
        <v>5.55</v>
      </c>
      <c r="F1735" s="7" t="str" cm="1">
        <f t="array" ref="F1735">_xlfn.IFS(Healthcare!$E1735&lt;5.7,"normal",Healthcare!$E1735&lt;=6.4,"prediabetes",Healthcare!$E1735&gt;=6.5,"diabetes")</f>
        <v>normal</v>
      </c>
      <c r="G1735" s="7" t="s">
        <v>19</v>
      </c>
      <c r="H1735" s="7" t="s">
        <v>19</v>
      </c>
      <c r="I1735" s="7" t="s">
        <v>19</v>
      </c>
      <c r="J1735" s="7">
        <v>1</v>
      </c>
      <c r="K1735" s="7" t="s">
        <v>19</v>
      </c>
      <c r="L1735" s="7" t="str">
        <f>VLOOKUP(Healthcare!$A1735,hospital_details,2,0)</f>
        <v>29-Jun-1987</v>
      </c>
      <c r="M1735" s="7">
        <f t="shared" ref="M1735:M1798" ca="1" si="10395">VLOOKUP(A1735,hospital_details,3,0)</f>
        <v>39</v>
      </c>
      <c r="N1735" s="7">
        <f t="shared" ref="N1735:N1798" si="10396">VLOOKUP($A1735,hospital_details,4,0)</f>
        <v>0</v>
      </c>
      <c r="O1735" s="8">
        <f t="shared" ref="O1735:O1798" si="10397">VLOOKUP($A1735,hospital_details,5,0)</f>
        <v>5227.99</v>
      </c>
      <c r="P1735" s="7" t="str">
        <f t="shared" ref="P1735:P1798" si="10398">VLOOKUP($A1735,hospital_details,6,0)</f>
        <v>tier - 2</v>
      </c>
      <c r="Q1735" s="7" t="str">
        <f t="shared" ref="Q1735:Q1798" si="10399">VLOOKUP($A1735,hospital_details,7,0)</f>
        <v>tier - 1</v>
      </c>
      <c r="R1735" s="7" t="str">
        <f t="shared" ref="R1735:R1798" si="10400">VLOOKUP($A1735,hospital_details,8,0)</f>
        <v>R1024</v>
      </c>
    </row>
    <row r="1736" spans="1:18" ht="14.4" customHeight="1" x14ac:dyDescent="0.3">
      <c r="A1736" s="5" t="s">
        <v>1756</v>
      </c>
      <c r="B1736" s="5" t="str">
        <f>VLOOKUP($A1736,[1]!Customer_Names[#Data],3,0)</f>
        <v xml:space="preserve">  Sarah P</v>
      </c>
      <c r="C1736" s="5">
        <v>30.13</v>
      </c>
      <c r="D1736" s="5" t="str" cm="1">
        <f t="array" ref="D1736">_xlfn.IFS(Healthcare!$C1736&lt;18.5,"under weight",Healthcare!$C1736&lt;=24.9,"Normal Weight",Healthcare!$C1736&gt;=25,"overweight",Healthcare!$C1736&gt;=30,"obese")</f>
        <v>overweight</v>
      </c>
      <c r="E1736" s="5">
        <v>4.03</v>
      </c>
      <c r="F1736" s="5" t="str" cm="1">
        <f t="array" ref="F1736">_xlfn.IFS(Healthcare!$E1736&lt;5.7,"normal",Healthcare!$E1736&lt;=6.4,"prediabetes",Healthcare!$E1736&gt;=6.5,"diabetes")</f>
        <v>normal</v>
      </c>
      <c r="G1736" s="5" t="s">
        <v>20</v>
      </c>
      <c r="H1736" s="5" t="s">
        <v>19</v>
      </c>
      <c r="I1736" s="5" t="s">
        <v>19</v>
      </c>
      <c r="J1736" s="5">
        <v>1</v>
      </c>
      <c r="K1736" s="5" t="s">
        <v>19</v>
      </c>
      <c r="L1736" s="5" t="str">
        <f>VLOOKUP(Healthcare!$A1736,hospital_details,2,0)</f>
        <v>6-Jun-1995</v>
      </c>
      <c r="M1736" s="5">
        <f t="shared" ref="M1736:M1799" ca="1" si="10401">VLOOKUP(A1736,hospital_details,3,0)</f>
        <v>31</v>
      </c>
      <c r="N1736" s="5">
        <f t="shared" ref="N1736:N1799" si="10402">VLOOKUP($A1736,hospital_details,4,0)</f>
        <v>0</v>
      </c>
      <c r="O1736" s="6">
        <f t="shared" ref="O1736:O1799" si="10403">VLOOKUP($A1736,hospital_details,5,0)</f>
        <v>5216.4799999999996</v>
      </c>
      <c r="P1736" s="5" t="str">
        <f t="shared" ref="P1736:P1799" si="10404">VLOOKUP($A1736,hospital_details,6,0)</f>
        <v>tier - 2</v>
      </c>
      <c r="Q1736" s="5" t="str">
        <f t="shared" ref="Q1736:Q1799" si="10405">VLOOKUP($A1736,hospital_details,7,0)</f>
        <v>tier - 2</v>
      </c>
      <c r="R1736" s="5" t="str">
        <f t="shared" ref="R1736:R1799" si="10406">VLOOKUP($A1736,hospital_details,8,0)</f>
        <v>R1025</v>
      </c>
    </row>
    <row r="1737" spans="1:18" ht="14.4" customHeight="1" x14ac:dyDescent="0.3">
      <c r="A1737" s="7" t="s">
        <v>1757</v>
      </c>
      <c r="B1737" s="7" t="str">
        <f>VLOOKUP($A1737,[1]!Customer_Names[#Data],3,0)</f>
        <v xml:space="preserve">  Anabel</v>
      </c>
      <c r="C1737" s="7">
        <v>34.19</v>
      </c>
      <c r="D1737" s="7" t="str" cm="1">
        <f t="array" ref="D1737">_xlfn.IFS(Healthcare!$C1737&lt;18.5,"under weight",Healthcare!$C1737&lt;=24.9,"Normal Weight",Healthcare!$C1737&gt;=25,"overweight",Healthcare!$C1737&gt;=30,"obese")</f>
        <v>overweight</v>
      </c>
      <c r="E1737" s="7">
        <v>4.1900000000000004</v>
      </c>
      <c r="F1737" s="7" t="str" cm="1">
        <f t="array" ref="F1737">_xlfn.IFS(Healthcare!$E1737&lt;5.7,"normal",Healthcare!$E1737&lt;=6.4,"prediabetes",Healthcare!$E1737&gt;=6.5,"diabetes")</f>
        <v>normal</v>
      </c>
      <c r="G1737" s="7" t="s">
        <v>19</v>
      </c>
      <c r="H1737" s="7" t="s">
        <v>19</v>
      </c>
      <c r="I1737" s="7" t="s">
        <v>19</v>
      </c>
      <c r="J1737" s="7">
        <v>0</v>
      </c>
      <c r="K1737" s="7" t="s">
        <v>19</v>
      </c>
      <c r="L1737" s="7" t="str">
        <f>VLOOKUP(Healthcare!$A1737,hospital_details,2,0)</f>
        <v>1-Dec-1999</v>
      </c>
      <c r="M1737" s="7">
        <f t="shared" ref="M1737:M1800" ca="1" si="10407">VLOOKUP(A1737,hospital_details,3,0)</f>
        <v>26</v>
      </c>
      <c r="N1737" s="7">
        <f t="shared" ref="N1737:N1800" si="10408">VLOOKUP($A1737,hospital_details,4,0)</f>
        <v>0</v>
      </c>
      <c r="O1737" s="8">
        <f t="shared" ref="O1737:O1800" si="10409">VLOOKUP($A1737,hospital_details,5,0)</f>
        <v>5213.22</v>
      </c>
      <c r="P1737" s="7" t="str">
        <f t="shared" ref="P1737:P1800" si="10410">VLOOKUP($A1737,hospital_details,6,0)</f>
        <v>tier - 2</v>
      </c>
      <c r="Q1737" s="7" t="str">
        <f t="shared" ref="Q1737:Q1800" si="10411">VLOOKUP($A1737,hospital_details,7,0)</f>
        <v>tier - 1</v>
      </c>
      <c r="R1737" s="7" t="str">
        <f t="shared" ref="R1737:R1800" si="10412">VLOOKUP($A1737,hospital_details,8,0)</f>
        <v>R1012</v>
      </c>
    </row>
    <row r="1738" spans="1:18" ht="14.4" customHeight="1" x14ac:dyDescent="0.3">
      <c r="A1738" s="5" t="s">
        <v>1758</v>
      </c>
      <c r="B1738" s="5" t="str">
        <f>VLOOKUP($A1738,[1]!Customer_Names[#Data],3,0)</f>
        <v xml:space="preserve">  Ian</v>
      </c>
      <c r="C1738" s="5">
        <v>22.515000000000001</v>
      </c>
      <c r="D1738" s="5" t="str" cm="1">
        <f t="array" ref="D1738">_xlfn.IFS(Healthcare!$C1738&lt;18.5,"under weight",Healthcare!$C1738&lt;=24.9,"Normal Weight",Healthcare!$C1738&gt;=25,"overweight",Healthcare!$C1738&gt;=30,"obese")</f>
        <v>Normal Weight</v>
      </c>
      <c r="E1738" s="5">
        <v>4.37</v>
      </c>
      <c r="F1738" s="5" t="str" cm="1">
        <f t="array" ref="F1738">_xlfn.IFS(Healthcare!$E1738&lt;5.7,"normal",Healthcare!$E1738&lt;=6.4,"prediabetes",Healthcare!$E1738&gt;=6.5,"diabetes")</f>
        <v>normal</v>
      </c>
      <c r="G1738" s="5" t="s">
        <v>19</v>
      </c>
      <c r="H1738" s="5" t="s">
        <v>19</v>
      </c>
      <c r="I1738" s="5" t="s">
        <v>29</v>
      </c>
      <c r="J1738" s="5">
        <v>1</v>
      </c>
      <c r="K1738" s="5" t="s">
        <v>19</v>
      </c>
      <c r="L1738" s="5" t="str">
        <f>VLOOKUP(Healthcare!$A1738,hospital_details,2,0)</f>
        <v>17-Jun-1993</v>
      </c>
      <c r="M1738" s="5">
        <f t="shared" ref="M1738:M1801" ca="1" si="10413">VLOOKUP(A1738,hospital_details,3,0)</f>
        <v>33</v>
      </c>
      <c r="N1738" s="5">
        <f t="shared" ref="N1738:N1801" si="10414">VLOOKUP($A1738,hospital_details,4,0)</f>
        <v>3</v>
      </c>
      <c r="O1738" s="6">
        <f t="shared" ref="O1738:O1801" si="10415">VLOOKUP($A1738,hospital_details,5,0)</f>
        <v>5209.58</v>
      </c>
      <c r="P1738" s="5" t="str">
        <f t="shared" ref="P1738:P1801" si="10416">VLOOKUP($A1738,hospital_details,6,0)</f>
        <v>tier - 3</v>
      </c>
      <c r="Q1738" s="5" t="str">
        <f t="shared" ref="Q1738:Q1801" si="10417">VLOOKUP($A1738,hospital_details,7,0)</f>
        <v>tier - 3</v>
      </c>
      <c r="R1738" s="5" t="str">
        <f t="shared" ref="R1738:R1801" si="10418">VLOOKUP($A1738,hospital_details,8,0)</f>
        <v>R1017</v>
      </c>
    </row>
    <row r="1739" spans="1:18" ht="14.4" customHeight="1" x14ac:dyDescent="0.3">
      <c r="A1739" s="7" t="s">
        <v>1759</v>
      </c>
      <c r="B1739" s="7" t="str">
        <f>VLOOKUP($A1739,[1]!Customer_Names[#Data],3,0)</f>
        <v xml:space="preserve">  Alex</v>
      </c>
      <c r="C1739" s="7">
        <v>18.239999999999998</v>
      </c>
      <c r="D1739" s="7" t="str" cm="1">
        <f t="array" ref="D1739">_xlfn.IFS(Healthcare!$C1739&lt;18.5,"under weight",Healthcare!$C1739&lt;=24.9,"Normal Weight",Healthcare!$C1739&gt;=25,"overweight",Healthcare!$C1739&gt;=30,"obese")</f>
        <v>under weight</v>
      </c>
      <c r="E1739" s="7">
        <v>5.31</v>
      </c>
      <c r="F1739" s="7" t="str" cm="1">
        <f t="array" ref="F1739">_xlfn.IFS(Healthcare!$E1739&lt;5.7,"normal",Healthcare!$E1739&lt;=6.4,"prediabetes",Healthcare!$E1739&gt;=6.5,"diabetes")</f>
        <v>normal</v>
      </c>
      <c r="G1739" s="7" t="s">
        <v>20</v>
      </c>
      <c r="H1739" s="7" t="s">
        <v>19</v>
      </c>
      <c r="I1739" s="7" t="s">
        <v>29</v>
      </c>
      <c r="J1739" s="7">
        <v>1</v>
      </c>
      <c r="K1739" s="7" t="s">
        <v>19</v>
      </c>
      <c r="L1739" s="7" t="str">
        <f>VLOOKUP(Healthcare!$A1739,hospital_details,2,0)</f>
        <v>24-Oct-1983</v>
      </c>
      <c r="M1739" s="7">
        <f t="shared" ref="M1739:M1802" ca="1" si="10419">VLOOKUP(A1739,hospital_details,3,0)</f>
        <v>42</v>
      </c>
      <c r="N1739" s="7">
        <f t="shared" ref="N1739:N1802" si="10420">VLOOKUP($A1739,hospital_details,4,0)</f>
        <v>3</v>
      </c>
      <c r="O1739" s="8">
        <f t="shared" ref="O1739:O1802" si="10421">VLOOKUP($A1739,hospital_details,5,0)</f>
        <v>5207.97</v>
      </c>
      <c r="P1739" s="7" t="str">
        <f t="shared" ref="P1739:P1802" si="10422">VLOOKUP($A1739,hospital_details,6,0)</f>
        <v>tier - 2</v>
      </c>
      <c r="Q1739" s="7" t="str">
        <f t="shared" ref="Q1739:Q1802" si="10423">VLOOKUP($A1739,hospital_details,7,0)</f>
        <v>tier - 2</v>
      </c>
      <c r="R1739" s="7" t="str">
        <f t="shared" ref="R1739:R1802" si="10424">VLOOKUP($A1739,hospital_details,8,0)</f>
        <v>R1012</v>
      </c>
    </row>
    <row r="1740" spans="1:18" ht="14.4" customHeight="1" x14ac:dyDescent="0.3">
      <c r="A1740" s="5" t="s">
        <v>1760</v>
      </c>
      <c r="B1740" s="5" t="str">
        <f>VLOOKUP($A1740,[1]!Customer_Names[#Data],3,0)</f>
        <v xml:space="preserve">  Richard J</v>
      </c>
      <c r="C1740" s="5">
        <v>37.28</v>
      </c>
      <c r="D1740" s="5" t="str" cm="1">
        <f t="array" ref="D1740">_xlfn.IFS(Healthcare!$C1740&lt;18.5,"under weight",Healthcare!$C1740&lt;=24.9,"Normal Weight",Healthcare!$C1740&gt;=25,"overweight",Healthcare!$C1740&gt;=30,"obese")</f>
        <v>overweight</v>
      </c>
      <c r="E1740" s="5">
        <v>4.66</v>
      </c>
      <c r="F1740" s="5" t="str" cm="1">
        <f t="array" ref="F1740">_xlfn.IFS(Healthcare!$E1740&lt;5.7,"normal",Healthcare!$E1740&lt;=6.4,"prediabetes",Healthcare!$E1740&gt;=6.5,"diabetes")</f>
        <v>normal</v>
      </c>
      <c r="G1740" s="5" t="s">
        <v>19</v>
      </c>
      <c r="H1740" s="5" t="s">
        <v>20</v>
      </c>
      <c r="I1740" s="5" t="s">
        <v>19</v>
      </c>
      <c r="J1740" s="5">
        <v>1</v>
      </c>
      <c r="K1740" s="5" t="s">
        <v>19</v>
      </c>
      <c r="L1740" s="5" t="str">
        <f>VLOOKUP(Healthcare!$A1740,hospital_details,2,0)</f>
        <v>6-Jun-2004</v>
      </c>
      <c r="M1740" s="5">
        <f t="shared" ref="M1740:M1803" ca="1" si="10425">VLOOKUP(A1740,hospital_details,3,0)</f>
        <v>22</v>
      </c>
      <c r="N1740" s="5">
        <f t="shared" ref="N1740:N1803" si="10426">VLOOKUP($A1740,hospital_details,4,0)</f>
        <v>0</v>
      </c>
      <c r="O1740" s="6">
        <f t="shared" ref="O1740:O1803" si="10427">VLOOKUP($A1740,hospital_details,5,0)</f>
        <v>5198.6899999999996</v>
      </c>
      <c r="P1740" s="5" t="str">
        <f t="shared" ref="P1740:P1803" si="10428">VLOOKUP($A1740,hospital_details,6,0)</f>
        <v>tier - 2</v>
      </c>
      <c r="Q1740" s="5" t="str">
        <f t="shared" ref="Q1740:Q1803" si="10429">VLOOKUP($A1740,hospital_details,7,0)</f>
        <v>tier - 2</v>
      </c>
      <c r="R1740" s="5" t="str">
        <f t="shared" ref="R1740:R1803" si="10430">VLOOKUP($A1740,hospital_details,8,0)</f>
        <v>R1022</v>
      </c>
    </row>
    <row r="1741" spans="1:18" ht="14.4" customHeight="1" x14ac:dyDescent="0.3">
      <c r="A1741" s="7" t="s">
        <v>1761</v>
      </c>
      <c r="B1741" s="7" t="str">
        <f>VLOOKUP($A1741,[1]!Customer_Names[#Data],3,0)</f>
        <v xml:space="preserve">  Jacqueline N</v>
      </c>
      <c r="C1741" s="7">
        <v>18.2</v>
      </c>
      <c r="D1741" s="7" t="str" cm="1">
        <f t="array" ref="D1741">_xlfn.IFS(Healthcare!$C1741&lt;18.5,"under weight",Healthcare!$C1741&lt;=24.9,"Normal Weight",Healthcare!$C1741&gt;=25,"overweight",Healthcare!$C1741&gt;=30,"obese")</f>
        <v>under weight</v>
      </c>
      <c r="E1741" s="7">
        <v>6.19</v>
      </c>
      <c r="F1741" s="7" t="str" cm="1">
        <f t="array" ref="F1741">_xlfn.IFS(Healthcare!$E1741&lt;5.7,"normal",Healthcare!$E1741&lt;=6.4,"prediabetes",Healthcare!$E1741&gt;=6.5,"diabetes")</f>
        <v>prediabetes</v>
      </c>
      <c r="G1741" s="7" t="s">
        <v>19</v>
      </c>
      <c r="H1741" s="7" t="s">
        <v>19</v>
      </c>
      <c r="I1741" s="7" t="s">
        <v>29</v>
      </c>
      <c r="J1741" s="7">
        <v>1</v>
      </c>
      <c r="K1741" s="7" t="s">
        <v>19</v>
      </c>
      <c r="L1741" s="7" t="str">
        <f>VLOOKUP(Healthcare!$A1741,hospital_details,2,0)</f>
        <v>12-Sep-1979</v>
      </c>
      <c r="M1741" s="7">
        <f t="shared" ref="M1741:M1804" ca="1" si="10431">VLOOKUP(A1741,hospital_details,3,0)</f>
        <v>47</v>
      </c>
      <c r="N1741" s="7">
        <f t="shared" ref="N1741:N1804" si="10432">VLOOKUP($A1741,hospital_details,4,0)</f>
        <v>2</v>
      </c>
      <c r="O1741" s="8">
        <f t="shared" ref="O1741:O1804" si="10433">VLOOKUP($A1741,hospital_details,5,0)</f>
        <v>5195.58</v>
      </c>
      <c r="P1741" s="7" t="str">
        <f t="shared" ref="P1741:P1804" si="10434">VLOOKUP($A1741,hospital_details,6,0)</f>
        <v>tier - 2</v>
      </c>
      <c r="Q1741" s="7" t="str">
        <f t="shared" ref="Q1741:Q1804" si="10435">VLOOKUP($A1741,hospital_details,7,0)</f>
        <v>tier - 2</v>
      </c>
      <c r="R1741" s="7" t="str">
        <f t="shared" ref="R1741:R1804" si="10436">VLOOKUP($A1741,hospital_details,8,0)</f>
        <v>R1013</v>
      </c>
    </row>
    <row r="1742" spans="1:18" ht="14.4" customHeight="1" x14ac:dyDescent="0.3">
      <c r="A1742" s="5" t="s">
        <v>1762</v>
      </c>
      <c r="B1742" s="5" t="str">
        <f>VLOOKUP($A1742,[1]!Customer_Names[#Data],3,0)</f>
        <v xml:space="preserve">  Cindy</v>
      </c>
      <c r="C1742" s="5">
        <v>20.53</v>
      </c>
      <c r="D1742" s="5" t="str" cm="1">
        <f t="array" ref="D1742">_xlfn.IFS(Healthcare!$C1742&lt;18.5,"under weight",Healthcare!$C1742&lt;=24.9,"Normal Weight",Healthcare!$C1742&gt;=25,"overweight",Healthcare!$C1742&gt;=30,"obese")</f>
        <v>Normal Weight</v>
      </c>
      <c r="E1742" s="5">
        <v>4.8600000000000003</v>
      </c>
      <c r="F1742" s="5" t="str" cm="1">
        <f t="array" ref="F1742">_xlfn.IFS(Healthcare!$E1742&lt;5.7,"normal",Healthcare!$E1742&lt;=6.4,"prediabetes",Healthcare!$E1742&gt;=6.5,"diabetes")</f>
        <v>normal</v>
      </c>
      <c r="G1742" s="5" t="s">
        <v>19</v>
      </c>
      <c r="H1742" s="5" t="s">
        <v>19</v>
      </c>
      <c r="I1742" s="5" t="s">
        <v>19</v>
      </c>
      <c r="J1742" s="5">
        <v>1</v>
      </c>
      <c r="K1742" s="5" t="s">
        <v>19</v>
      </c>
      <c r="L1742" s="5" t="str">
        <f>VLOOKUP(Healthcare!$A1742,hospital_details,2,0)</f>
        <v>16-Oct-1984</v>
      </c>
      <c r="M1742" s="5">
        <f t="shared" ref="M1742:M1805" ca="1" si="10437">VLOOKUP(A1742,hospital_details,3,0)</f>
        <v>42</v>
      </c>
      <c r="N1742" s="5">
        <f t="shared" ref="N1742:N1805" si="10438">VLOOKUP($A1742,hospital_details,4,0)</f>
        <v>3</v>
      </c>
      <c r="O1742" s="6">
        <f t="shared" ref="O1742:O1805" si="10439">VLOOKUP($A1742,hospital_details,5,0)</f>
        <v>5177.12</v>
      </c>
      <c r="P1742" s="5" t="str">
        <f t="shared" ref="P1742:P1805" si="10440">VLOOKUP($A1742,hospital_details,6,0)</f>
        <v>tier - 2</v>
      </c>
      <c r="Q1742" s="5" t="str">
        <f t="shared" ref="Q1742:Q1805" si="10441">VLOOKUP($A1742,hospital_details,7,0)</f>
        <v>tier - 1</v>
      </c>
      <c r="R1742" s="5" t="str">
        <f t="shared" ref="R1742:R1805" si="10442">VLOOKUP($A1742,hospital_details,8,0)</f>
        <v>R1013</v>
      </c>
    </row>
    <row r="1743" spans="1:18" ht="14.4" customHeight="1" x14ac:dyDescent="0.3">
      <c r="A1743" s="7" t="s">
        <v>1763</v>
      </c>
      <c r="B1743" s="7" t="str">
        <f>VLOOKUP($A1743,[1]!Customer_Names[#Data],3,0)</f>
        <v xml:space="preserve">  Marcia</v>
      </c>
      <c r="C1743" s="7">
        <v>23.79</v>
      </c>
      <c r="D1743" s="7" t="str" cm="1">
        <f t="array" ref="D1743">_xlfn.IFS(Healthcare!$C1743&lt;18.5,"under weight",Healthcare!$C1743&lt;=24.9,"Normal Weight",Healthcare!$C1743&gt;=25,"overweight",Healthcare!$C1743&gt;=30,"obese")</f>
        <v>Normal Weight</v>
      </c>
      <c r="E1743" s="7">
        <v>4.74</v>
      </c>
      <c r="F1743" s="7" t="str" cm="1">
        <f t="array" ref="F1743">_xlfn.IFS(Healthcare!$E1743&lt;5.7,"normal",Healthcare!$E1743&lt;=6.4,"prediabetes",Healthcare!$E1743&gt;=6.5,"diabetes")</f>
        <v>normal</v>
      </c>
      <c r="G1743" s="7" t="s">
        <v>19</v>
      </c>
      <c r="H1743" s="7" t="s">
        <v>19</v>
      </c>
      <c r="I1743" s="7" t="s">
        <v>19</v>
      </c>
      <c r="J1743" s="7">
        <v>0</v>
      </c>
      <c r="K1743" s="7" t="s">
        <v>19</v>
      </c>
      <c r="L1743" s="7" t="str">
        <f>VLOOKUP(Healthcare!$A1743,hospital_details,2,0)</f>
        <v>29-Aug-1991</v>
      </c>
      <c r="M1743" s="7">
        <f t="shared" ref="M1743:M1806" ca="1" si="10443">VLOOKUP(A1743,hospital_details,3,0)</f>
        <v>35</v>
      </c>
      <c r="N1743" s="7">
        <f t="shared" ref="N1743:N1806" si="10444">VLOOKUP($A1743,hospital_details,4,0)</f>
        <v>3</v>
      </c>
      <c r="O1743" s="8">
        <f t="shared" ref="O1743:O1806" si="10445">VLOOKUP($A1743,hospital_details,5,0)</f>
        <v>5166.96</v>
      </c>
      <c r="P1743" s="7" t="str">
        <f t="shared" ref="P1743:P1806" si="10446">VLOOKUP($A1743,hospital_details,6,0)</f>
        <v>tier - 2</v>
      </c>
      <c r="Q1743" s="7" t="str">
        <f t="shared" ref="Q1743:Q1806" si="10447">VLOOKUP($A1743,hospital_details,7,0)</f>
        <v>tier - 2</v>
      </c>
      <c r="R1743" s="7" t="str">
        <f t="shared" ref="R1743:R1806" si="10448">VLOOKUP($A1743,hospital_details,8,0)</f>
        <v>R1012</v>
      </c>
    </row>
    <row r="1744" spans="1:18" ht="14.4" customHeight="1" x14ac:dyDescent="0.3">
      <c r="A1744" s="5" t="s">
        <v>1764</v>
      </c>
      <c r="B1744" s="5" t="str">
        <f>VLOOKUP($A1744,[1]!Customer_Names[#Data],3,0)</f>
        <v xml:space="preserve">  Samantha R</v>
      </c>
      <c r="C1744" s="5">
        <v>29.8</v>
      </c>
      <c r="D1744" s="5" t="str" cm="1">
        <f t="array" ref="D1744">_xlfn.IFS(Healthcare!$C1744&lt;18.5,"under weight",Healthcare!$C1744&lt;=24.9,"Normal Weight",Healthcare!$C1744&gt;=25,"overweight",Healthcare!$C1744&gt;=30,"obese")</f>
        <v>overweight</v>
      </c>
      <c r="E1744" s="5">
        <v>6.03</v>
      </c>
      <c r="F1744" s="5" t="str" cm="1">
        <f t="array" ref="F1744">_xlfn.IFS(Healthcare!$E1744&lt;5.7,"normal",Healthcare!$E1744&lt;=6.4,"prediabetes",Healthcare!$E1744&gt;=6.5,"diabetes")</f>
        <v>prediabetes</v>
      </c>
      <c r="G1744" s="5" t="s">
        <v>19</v>
      </c>
      <c r="H1744" s="5" t="s">
        <v>19</v>
      </c>
      <c r="I1744" s="5" t="s">
        <v>19</v>
      </c>
      <c r="J1744" s="5">
        <v>0</v>
      </c>
      <c r="K1744" s="5" t="s">
        <v>19</v>
      </c>
      <c r="L1744" s="5" t="str">
        <f>VLOOKUP(Healthcare!$A1744,hospital_details,2,0)</f>
        <v>9-Oct-1990</v>
      </c>
      <c r="M1744" s="5">
        <f t="shared" ref="M1744:M1807" ca="1" si="10449">VLOOKUP(A1744,hospital_details,3,0)</f>
        <v>36</v>
      </c>
      <c r="N1744" s="5">
        <f t="shared" ref="N1744:N1807" si="10450">VLOOKUP($A1744,hospital_details,4,0)</f>
        <v>2</v>
      </c>
      <c r="O1744" s="6">
        <f t="shared" ref="O1744:O1807" si="10451">VLOOKUP($A1744,hospital_details,5,0)</f>
        <v>5152.13</v>
      </c>
      <c r="P1744" s="5" t="str">
        <f t="shared" ref="P1744:P1807" si="10452">VLOOKUP($A1744,hospital_details,6,0)</f>
        <v>tier - 2</v>
      </c>
      <c r="Q1744" s="5" t="str">
        <f t="shared" ref="Q1744:Q1807" si="10453">VLOOKUP($A1744,hospital_details,7,0)</f>
        <v>tier - 2</v>
      </c>
      <c r="R1744" s="5" t="str">
        <f t="shared" ref="R1744:R1807" si="10454">VLOOKUP($A1744,hospital_details,8,0)</f>
        <v>R1011</v>
      </c>
    </row>
    <row r="1745" spans="1:18" ht="14.4" customHeight="1" x14ac:dyDescent="0.3">
      <c r="A1745" s="7" t="s">
        <v>1765</v>
      </c>
      <c r="B1745" s="7" t="str">
        <f>VLOOKUP($A1745,[1]!Customer_Names[#Data],3,0)</f>
        <v xml:space="preserve">  Katie</v>
      </c>
      <c r="C1745" s="7">
        <v>31.54</v>
      </c>
      <c r="D1745" s="7" t="str" cm="1">
        <f t="array" ref="D1745">_xlfn.IFS(Healthcare!$C1745&lt;18.5,"under weight",Healthcare!$C1745&lt;=24.9,"Normal Weight",Healthcare!$C1745&gt;=25,"overweight",Healthcare!$C1745&gt;=30,"obese")</f>
        <v>overweight</v>
      </c>
      <c r="E1745" s="7">
        <v>4.71</v>
      </c>
      <c r="F1745" s="7" t="str" cm="1">
        <f t="array" ref="F1745">_xlfn.IFS(Healthcare!$E1745&lt;5.7,"normal",Healthcare!$E1745&lt;=6.4,"prediabetes",Healthcare!$E1745&gt;=6.5,"diabetes")</f>
        <v>normal</v>
      </c>
      <c r="G1745" s="7" t="s">
        <v>19</v>
      </c>
      <c r="H1745" s="7" t="s">
        <v>19</v>
      </c>
      <c r="I1745" s="7" t="s">
        <v>19</v>
      </c>
      <c r="J1745" s="7">
        <v>0</v>
      </c>
      <c r="K1745" s="7" t="s">
        <v>19</v>
      </c>
      <c r="L1745" s="7" t="str">
        <f>VLOOKUP(Healthcare!$A1745,hospital_details,2,0)</f>
        <v>22-Aug-1990</v>
      </c>
      <c r="M1745" s="7">
        <f t="shared" ref="M1745:M1808" ca="1" si="10455">VLOOKUP(A1745,hospital_details,3,0)</f>
        <v>36</v>
      </c>
      <c r="N1745" s="7">
        <f t="shared" ref="N1745:N1808" si="10456">VLOOKUP($A1745,hospital_details,4,0)</f>
        <v>1</v>
      </c>
      <c r="O1745" s="8">
        <f t="shared" ref="O1745:O1808" si="10457">VLOOKUP($A1745,hospital_details,5,0)</f>
        <v>5148.55</v>
      </c>
      <c r="P1745" s="7" t="str">
        <f t="shared" ref="P1745:P1808" si="10458">VLOOKUP($A1745,hospital_details,6,0)</f>
        <v>tier - 2</v>
      </c>
      <c r="Q1745" s="7" t="str">
        <f t="shared" ref="Q1745:Q1808" si="10459">VLOOKUP($A1745,hospital_details,7,0)</f>
        <v>tier - 2</v>
      </c>
      <c r="R1745" s="7" t="str">
        <f t="shared" ref="R1745:R1808" si="10460">VLOOKUP($A1745,hospital_details,8,0)</f>
        <v>R1024</v>
      </c>
    </row>
    <row r="1746" spans="1:18" ht="14.4" customHeight="1" x14ac:dyDescent="0.3">
      <c r="A1746" s="5" t="s">
        <v>1766</v>
      </c>
      <c r="B1746" s="5" t="str">
        <f>VLOOKUP($A1746,[1]!Customer_Names[#Data],3,0)</f>
        <v xml:space="preserve">  John P</v>
      </c>
      <c r="C1746" s="5">
        <v>20.82</v>
      </c>
      <c r="D1746" s="5" t="str" cm="1">
        <f t="array" ref="D1746">_xlfn.IFS(Healthcare!$C1746&lt;18.5,"under weight",Healthcare!$C1746&lt;=24.9,"Normal Weight",Healthcare!$C1746&gt;=25,"overweight",Healthcare!$C1746&gt;=30,"obese")</f>
        <v>Normal Weight</v>
      </c>
      <c r="E1746" s="5">
        <v>5.55</v>
      </c>
      <c r="F1746" s="5" t="str" cm="1">
        <f t="array" ref="F1746">_xlfn.IFS(Healthcare!$E1746&lt;5.7,"normal",Healthcare!$E1746&lt;=6.4,"prediabetes",Healthcare!$E1746&gt;=6.5,"diabetes")</f>
        <v>normal</v>
      </c>
      <c r="G1746" s="5" t="s">
        <v>19</v>
      </c>
      <c r="H1746" s="5" t="s">
        <v>19</v>
      </c>
      <c r="I1746" s="5" t="s">
        <v>19</v>
      </c>
      <c r="J1746" s="5">
        <v>1</v>
      </c>
      <c r="K1746" s="5" t="s">
        <v>19</v>
      </c>
      <c r="L1746" s="5" t="str">
        <f>VLOOKUP(Healthcare!$A1746,hospital_details,2,0)</f>
        <v>22-Aug-1984</v>
      </c>
      <c r="M1746" s="5">
        <f t="shared" ref="M1746:M1809" ca="1" si="10461">VLOOKUP(A1746,hospital_details,3,0)</f>
        <v>42</v>
      </c>
      <c r="N1746" s="5">
        <f t="shared" ref="N1746:N1809" si="10462">VLOOKUP($A1746,hospital_details,4,0)</f>
        <v>3</v>
      </c>
      <c r="O1746" s="6">
        <f t="shared" ref="O1746:O1809" si="10463">VLOOKUP($A1746,hospital_details,5,0)</f>
        <v>5144.18</v>
      </c>
      <c r="P1746" s="5" t="str">
        <f t="shared" ref="P1746:P1809" si="10464">VLOOKUP($A1746,hospital_details,6,0)</f>
        <v>tier - 2</v>
      </c>
      <c r="Q1746" s="5" t="str">
        <f t="shared" ref="Q1746:Q1809" si="10465">VLOOKUP($A1746,hospital_details,7,0)</f>
        <v>tier - 1</v>
      </c>
      <c r="R1746" s="5" t="str">
        <f t="shared" ref="R1746:R1809" si="10466">VLOOKUP($A1746,hospital_details,8,0)</f>
        <v>R1013</v>
      </c>
    </row>
    <row r="1747" spans="1:18" ht="14.4" customHeight="1" x14ac:dyDescent="0.3">
      <c r="A1747" s="7" t="s">
        <v>1767</v>
      </c>
      <c r="B1747" s="7" t="str">
        <f>VLOOKUP($A1747,[1]!Customer_Names[#Data],3,0)</f>
        <v xml:space="preserve">  Rachel</v>
      </c>
      <c r="C1747" s="7">
        <v>38.83</v>
      </c>
      <c r="D1747" s="7" t="str" cm="1">
        <f t="array" ref="D1747">_xlfn.IFS(Healthcare!$C1747&lt;18.5,"under weight",Healthcare!$C1747&lt;=24.9,"Normal Weight",Healthcare!$C1747&gt;=25,"overweight",Healthcare!$C1747&gt;=30,"obese")</f>
        <v>overweight</v>
      </c>
      <c r="E1747" s="7">
        <v>4.78</v>
      </c>
      <c r="F1747" s="7" t="str" cm="1">
        <f t="array" ref="F1747">_xlfn.IFS(Healthcare!$E1747&lt;5.7,"normal",Healthcare!$E1747&lt;=6.4,"prediabetes",Healthcare!$E1747&gt;=6.5,"diabetes")</f>
        <v>normal</v>
      </c>
      <c r="G1747" s="7" t="s">
        <v>19</v>
      </c>
      <c r="H1747" s="7" t="s">
        <v>19</v>
      </c>
      <c r="I1747" s="7" t="s">
        <v>29</v>
      </c>
      <c r="J1747" s="7">
        <v>1</v>
      </c>
      <c r="K1747" s="7" t="s">
        <v>19</v>
      </c>
      <c r="L1747" s="7" t="str">
        <f>VLOOKUP(Healthcare!$A1747,hospital_details,2,0)</f>
        <v>10-Dec-1993</v>
      </c>
      <c r="M1747" s="7">
        <f t="shared" ref="M1747:M1810" ca="1" si="10467">VLOOKUP(A1747,hospital_details,3,0)</f>
        <v>32</v>
      </c>
      <c r="N1747" s="7">
        <f t="shared" ref="N1747:N1810" si="10468">VLOOKUP($A1747,hospital_details,4,0)</f>
        <v>3</v>
      </c>
      <c r="O1747" s="8">
        <f t="shared" ref="O1747:O1810" si="10469">VLOOKUP($A1747,hospital_details,5,0)</f>
        <v>5138.26</v>
      </c>
      <c r="P1747" s="7" t="str">
        <f t="shared" ref="P1747:P1810" si="10470">VLOOKUP($A1747,hospital_details,6,0)</f>
        <v>tier - 2</v>
      </c>
      <c r="Q1747" s="7" t="str">
        <f t="shared" ref="Q1747:Q1810" si="10471">VLOOKUP($A1747,hospital_details,7,0)</f>
        <v>tier - 2</v>
      </c>
      <c r="R1747" s="7" t="str">
        <f t="shared" ref="R1747:R1810" si="10472">VLOOKUP($A1747,hospital_details,8,0)</f>
        <v>R1013</v>
      </c>
    </row>
    <row r="1748" spans="1:18" ht="14.4" customHeight="1" x14ac:dyDescent="0.3">
      <c r="A1748" s="5" t="s">
        <v>1768</v>
      </c>
      <c r="B1748" s="5" t="str">
        <f>VLOOKUP($A1748,[1]!Customer_Names[#Data],3,0)</f>
        <v xml:space="preserve">  Isabelle</v>
      </c>
      <c r="C1748" s="5">
        <v>23.44</v>
      </c>
      <c r="D1748" s="5" t="str" cm="1">
        <f t="array" ref="D1748">_xlfn.IFS(Healthcare!$C1748&lt;18.5,"under weight",Healthcare!$C1748&lt;=24.9,"Normal Weight",Healthcare!$C1748&gt;=25,"overweight",Healthcare!$C1748&gt;=30,"obese")</f>
        <v>Normal Weight</v>
      </c>
      <c r="E1748" s="5">
        <v>4.6500000000000004</v>
      </c>
      <c r="F1748" s="5" t="str" cm="1">
        <f t="array" ref="F1748">_xlfn.IFS(Healthcare!$E1748&lt;5.7,"normal",Healthcare!$E1748&lt;=6.4,"prediabetes",Healthcare!$E1748&gt;=6.5,"diabetes")</f>
        <v>normal</v>
      </c>
      <c r="G1748" s="5" t="s">
        <v>20</v>
      </c>
      <c r="H1748" s="5" t="s">
        <v>19</v>
      </c>
      <c r="I1748" s="5" t="s">
        <v>19</v>
      </c>
      <c r="J1748" s="5">
        <v>1</v>
      </c>
      <c r="K1748" s="5" t="s">
        <v>19</v>
      </c>
      <c r="L1748" s="5" t="str">
        <f>VLOOKUP(Healthcare!$A1748,hospital_details,2,0)</f>
        <v>15-Sep-1988</v>
      </c>
      <c r="M1748" s="5">
        <f t="shared" ref="M1748:M1811" ca="1" si="10473">VLOOKUP(A1748,hospital_details,3,0)</f>
        <v>38</v>
      </c>
      <c r="N1748" s="5">
        <f t="shared" ref="N1748:N1811" si="10474">VLOOKUP($A1748,hospital_details,4,0)</f>
        <v>3</v>
      </c>
      <c r="O1748" s="6">
        <f t="shared" ref="O1748:O1811" si="10475">VLOOKUP($A1748,hospital_details,5,0)</f>
        <v>5136.75</v>
      </c>
      <c r="P1748" s="5" t="str">
        <f t="shared" ref="P1748:P1811" si="10476">VLOOKUP($A1748,hospital_details,6,0)</f>
        <v>tier - 2</v>
      </c>
      <c r="Q1748" s="5" t="str">
        <f t="shared" ref="Q1748:Q1811" si="10477">VLOOKUP($A1748,hospital_details,7,0)</f>
        <v>tier - 1</v>
      </c>
      <c r="R1748" s="5" t="str">
        <f t="shared" ref="R1748:R1811" si="10478">VLOOKUP($A1748,hospital_details,8,0)</f>
        <v>R1013</v>
      </c>
    </row>
    <row r="1749" spans="1:18" ht="14.4" customHeight="1" x14ac:dyDescent="0.3">
      <c r="A1749" s="7" t="s">
        <v>1769</v>
      </c>
      <c r="B1749" s="7" t="str">
        <f>VLOOKUP($A1749,[1]!Customer_Names[#Data],3,0)</f>
        <v xml:space="preserve">  Neil</v>
      </c>
      <c r="C1749" s="7">
        <v>24.13</v>
      </c>
      <c r="D1749" s="7" t="str" cm="1">
        <f t="array" ref="D1749">_xlfn.IFS(Healthcare!$C1749&lt;18.5,"under weight",Healthcare!$C1749&lt;=24.9,"Normal Weight",Healthcare!$C1749&gt;=25,"overweight",Healthcare!$C1749&gt;=30,"obese")</f>
        <v>Normal Weight</v>
      </c>
      <c r="E1749" s="7">
        <v>5.2</v>
      </c>
      <c r="F1749" s="7" t="str" cm="1">
        <f t="array" ref="F1749">_xlfn.IFS(Healthcare!$E1749&lt;5.7,"normal",Healthcare!$E1749&lt;=6.4,"prediabetes",Healthcare!$E1749&gt;=6.5,"diabetes")</f>
        <v>normal</v>
      </c>
      <c r="G1749" s="7" t="s">
        <v>19</v>
      </c>
      <c r="H1749" s="7" t="s">
        <v>19</v>
      </c>
      <c r="I1749" s="7" t="s">
        <v>19</v>
      </c>
      <c r="J1749" s="7">
        <v>1</v>
      </c>
      <c r="K1749" s="7" t="s">
        <v>19</v>
      </c>
      <c r="L1749" s="7" t="str">
        <f>VLOOKUP(Healthcare!$A1749,hospital_details,2,0)</f>
        <v>13-Sep-1987</v>
      </c>
      <c r="M1749" s="7">
        <f t="shared" ref="M1749:M1812" ca="1" si="10479">VLOOKUP(A1749,hospital_details,3,0)</f>
        <v>39</v>
      </c>
      <c r="N1749" s="7">
        <f t="shared" ref="N1749:N1812" si="10480">VLOOKUP($A1749,hospital_details,4,0)</f>
        <v>1</v>
      </c>
      <c r="O1749" s="8">
        <f t="shared" ref="O1749:O1812" si="10481">VLOOKUP($A1749,hospital_details,5,0)</f>
        <v>5125.22</v>
      </c>
      <c r="P1749" s="7" t="str">
        <f t="shared" ref="P1749:P1812" si="10482">VLOOKUP($A1749,hospital_details,6,0)</f>
        <v>tier - 1</v>
      </c>
      <c r="Q1749" s="7" t="str">
        <f t="shared" ref="Q1749:Q1812" si="10483">VLOOKUP($A1749,hospital_details,7,0)</f>
        <v>tier - 2</v>
      </c>
      <c r="R1749" s="7" t="str">
        <f t="shared" ref="R1749:R1812" si="10484">VLOOKUP($A1749,hospital_details,8,0)</f>
        <v>R1012</v>
      </c>
    </row>
    <row r="1750" spans="1:18" ht="14.4" customHeight="1" x14ac:dyDescent="0.3">
      <c r="A1750" s="5" t="s">
        <v>1770</v>
      </c>
      <c r="B1750" s="5" t="str">
        <f>VLOOKUP($A1750,[1]!Customer_Names[#Data],3,0)</f>
        <v xml:space="preserve">  Tom</v>
      </c>
      <c r="C1750" s="5">
        <v>42.13</v>
      </c>
      <c r="D1750" s="5" t="str" cm="1">
        <f t="array" ref="D1750">_xlfn.IFS(Healthcare!$C1750&lt;18.5,"under weight",Healthcare!$C1750&lt;=24.9,"Normal Weight",Healthcare!$C1750&gt;=25,"overweight",Healthcare!$C1750&gt;=30,"obese")</f>
        <v>overweight</v>
      </c>
      <c r="E1750" s="5">
        <v>4.54</v>
      </c>
      <c r="F1750" s="5" t="str" cm="1">
        <f t="array" ref="F1750">_xlfn.IFS(Healthcare!$E1750&lt;5.7,"normal",Healthcare!$E1750&lt;=6.4,"prediabetes",Healthcare!$E1750&gt;=6.5,"diabetes")</f>
        <v>normal</v>
      </c>
      <c r="G1750" s="5" t="s">
        <v>20</v>
      </c>
      <c r="H1750" s="5" t="s">
        <v>19</v>
      </c>
      <c r="I1750" s="5" t="s">
        <v>19</v>
      </c>
      <c r="J1750" s="5">
        <v>1</v>
      </c>
      <c r="K1750" s="5" t="s">
        <v>19</v>
      </c>
      <c r="L1750" s="5" t="str">
        <f>VLOOKUP(Healthcare!$A1750,hospital_details,2,0)</f>
        <v>1-Nov-1988</v>
      </c>
      <c r="M1750" s="5">
        <f t="shared" ref="M1750:M1813" ca="1" si="10485">VLOOKUP(A1750,hospital_details,3,0)</f>
        <v>37</v>
      </c>
      <c r="N1750" s="5">
        <f t="shared" ref="N1750:N1813" si="10486">VLOOKUP($A1750,hospital_details,4,0)</f>
        <v>2</v>
      </c>
      <c r="O1750" s="6">
        <f t="shared" ref="O1750:O1813" si="10487">VLOOKUP($A1750,hospital_details,5,0)</f>
        <v>5124.1899999999996</v>
      </c>
      <c r="P1750" s="5" t="str">
        <f t="shared" ref="P1750:P1813" si="10488">VLOOKUP($A1750,hospital_details,6,0)</f>
        <v>tier - 2</v>
      </c>
      <c r="Q1750" s="5" t="str">
        <f t="shared" ref="Q1750:Q1813" si="10489">VLOOKUP($A1750,hospital_details,7,0)</f>
        <v>tier - 3</v>
      </c>
      <c r="R1750" s="5" t="str">
        <f t="shared" ref="R1750:R1813" si="10490">VLOOKUP($A1750,hospital_details,8,0)</f>
        <v>R1013</v>
      </c>
    </row>
    <row r="1751" spans="1:18" ht="14.4" customHeight="1" x14ac:dyDescent="0.3">
      <c r="A1751" s="7" t="s">
        <v>1771</v>
      </c>
      <c r="B1751" s="7" t="str">
        <f>VLOOKUP($A1751,[1]!Customer_Names[#Data],3,0)</f>
        <v xml:space="preserve">  Nathan</v>
      </c>
      <c r="C1751" s="7">
        <v>17.86</v>
      </c>
      <c r="D1751" s="7" t="str" cm="1">
        <f t="array" ref="D1751">_xlfn.IFS(Healthcare!$C1751&lt;18.5,"under weight",Healthcare!$C1751&lt;=24.9,"Normal Weight",Healthcare!$C1751&gt;=25,"overweight",Healthcare!$C1751&gt;=30,"obese")</f>
        <v>under weight</v>
      </c>
      <c r="E1751" s="7">
        <v>4.1100000000000003</v>
      </c>
      <c r="F1751" s="7" t="str" cm="1">
        <f t="array" ref="F1751">_xlfn.IFS(Healthcare!$E1751&lt;5.7,"normal",Healthcare!$E1751&lt;=6.4,"prediabetes",Healthcare!$E1751&gt;=6.5,"diabetes")</f>
        <v>normal</v>
      </c>
      <c r="G1751" s="7" t="s">
        <v>19</v>
      </c>
      <c r="H1751" s="7" t="s">
        <v>19</v>
      </c>
      <c r="I1751" s="7" t="s">
        <v>19</v>
      </c>
      <c r="J1751" s="7">
        <v>1</v>
      </c>
      <c r="K1751" s="7" t="s">
        <v>19</v>
      </c>
      <c r="L1751" s="7" t="str">
        <f>VLOOKUP(Healthcare!$A1751,hospital_details,2,0)</f>
        <v>18-Nov-1987</v>
      </c>
      <c r="M1751" s="7">
        <f t="shared" ref="M1751:M1814" ca="1" si="10491">VLOOKUP(A1751,hospital_details,3,0)</f>
        <v>38</v>
      </c>
      <c r="N1751" s="7">
        <f t="shared" ref="N1751:N1814" si="10492">VLOOKUP($A1751,hospital_details,4,0)</f>
        <v>1</v>
      </c>
      <c r="O1751" s="8">
        <f t="shared" ref="O1751:O1814" si="10493">VLOOKUP($A1751,hospital_details,5,0)</f>
        <v>5116.5</v>
      </c>
      <c r="P1751" s="7" t="str">
        <f t="shared" ref="P1751:P1814" si="10494">VLOOKUP($A1751,hospital_details,6,0)</f>
        <v>tier - 2</v>
      </c>
      <c r="Q1751" s="7" t="str">
        <f t="shared" ref="Q1751:Q1814" si="10495">VLOOKUP($A1751,hospital_details,7,0)</f>
        <v>tier - 2</v>
      </c>
      <c r="R1751" s="7" t="str">
        <f t="shared" ref="R1751:R1814" si="10496">VLOOKUP($A1751,hospital_details,8,0)</f>
        <v>R1012</v>
      </c>
    </row>
    <row r="1752" spans="1:18" ht="14.4" customHeight="1" x14ac:dyDescent="0.3">
      <c r="A1752" s="5" t="s">
        <v>1772</v>
      </c>
      <c r="B1752" s="5" t="str">
        <f>VLOOKUP($A1752,[1]!Customer_Names[#Data],3,0)</f>
        <v xml:space="preserve">  Kelli N</v>
      </c>
      <c r="C1752" s="5">
        <v>32.78</v>
      </c>
      <c r="D1752" s="5" t="str" cm="1">
        <f t="array" ref="D1752">_xlfn.IFS(Healthcare!$C1752&lt;18.5,"under weight",Healthcare!$C1752&lt;=24.9,"Normal Weight",Healthcare!$C1752&gt;=25,"overweight",Healthcare!$C1752&gt;=30,"obese")</f>
        <v>overweight</v>
      </c>
      <c r="E1752" s="5">
        <v>4.63</v>
      </c>
      <c r="F1752" s="5" t="str" cm="1">
        <f t="array" ref="F1752">_xlfn.IFS(Healthcare!$E1752&lt;5.7,"normal",Healthcare!$E1752&lt;=6.4,"prediabetes",Healthcare!$E1752&gt;=6.5,"diabetes")</f>
        <v>normal</v>
      </c>
      <c r="G1752" s="5" t="s">
        <v>19</v>
      </c>
      <c r="H1752" s="5" t="s">
        <v>19</v>
      </c>
      <c r="I1752" s="5" t="s">
        <v>19</v>
      </c>
      <c r="J1752" s="5">
        <v>0</v>
      </c>
      <c r="K1752" s="5" t="s">
        <v>19</v>
      </c>
      <c r="L1752" s="5" t="str">
        <f>VLOOKUP(Healthcare!$A1752,hospital_details,2,0)</f>
        <v>19-Jun-1999</v>
      </c>
      <c r="M1752" s="5">
        <f t="shared" ref="M1752:M1815" ca="1" si="10497">VLOOKUP(A1752,hospital_details,3,0)</f>
        <v>27</v>
      </c>
      <c r="N1752" s="5">
        <f t="shared" ref="N1752:N1815" si="10498">VLOOKUP($A1752,hospital_details,4,0)</f>
        <v>0</v>
      </c>
      <c r="O1752" s="6">
        <f t="shared" ref="O1752:O1815" si="10499">VLOOKUP($A1752,hospital_details,5,0)</f>
        <v>5087.92</v>
      </c>
      <c r="P1752" s="5" t="str">
        <f t="shared" ref="P1752:P1815" si="10500">VLOOKUP($A1752,hospital_details,6,0)</f>
        <v>tier - 2</v>
      </c>
      <c r="Q1752" s="5" t="str">
        <f t="shared" ref="Q1752:Q1815" si="10501">VLOOKUP($A1752,hospital_details,7,0)</f>
        <v>tier - 2</v>
      </c>
      <c r="R1752" s="5" t="str">
        <f t="shared" ref="R1752:R1815" si="10502">VLOOKUP($A1752,hospital_details,8,0)</f>
        <v>R1026</v>
      </c>
    </row>
    <row r="1753" spans="1:18" ht="14.4" customHeight="1" x14ac:dyDescent="0.3">
      <c r="A1753" s="7" t="s">
        <v>1773</v>
      </c>
      <c r="B1753" s="7" t="str">
        <f>VLOOKUP($A1753,[1]!Customer_Names[#Data],3,0)</f>
        <v xml:space="preserve">  Scott M</v>
      </c>
      <c r="C1753" s="7">
        <v>23.9</v>
      </c>
      <c r="D1753" s="7" t="str" cm="1">
        <f t="array" ref="D1753">_xlfn.IFS(Healthcare!$C1753&lt;18.5,"under weight",Healthcare!$C1753&lt;=24.9,"Normal Weight",Healthcare!$C1753&gt;=25,"overweight",Healthcare!$C1753&gt;=30,"obese")</f>
        <v>Normal Weight</v>
      </c>
      <c r="E1753" s="7">
        <v>6.06</v>
      </c>
      <c r="F1753" s="7" t="str" cm="1">
        <f t="array" ref="F1753">_xlfn.IFS(Healthcare!$E1753&lt;5.7,"normal",Healthcare!$E1753&lt;=6.4,"prediabetes",Healthcare!$E1753&gt;=6.5,"diabetes")</f>
        <v>prediabetes</v>
      </c>
      <c r="G1753" s="7" t="s">
        <v>20</v>
      </c>
      <c r="H1753" s="7" t="s">
        <v>19</v>
      </c>
      <c r="I1753" s="7" t="s">
        <v>29</v>
      </c>
      <c r="J1753" s="7">
        <v>1</v>
      </c>
      <c r="K1753" s="7" t="s">
        <v>19</v>
      </c>
      <c r="L1753" s="7" t="str">
        <f>VLOOKUP(Healthcare!$A1753,hospital_details,2,0)</f>
        <v>14-Jul-1997</v>
      </c>
      <c r="M1753" s="7">
        <f t="shared" ref="M1753:M1816" ca="1" si="10503">VLOOKUP(A1753,hospital_details,3,0)</f>
        <v>29</v>
      </c>
      <c r="N1753" s="7">
        <f t="shared" ref="N1753:N1816" si="10504">VLOOKUP($A1753,hospital_details,4,0)</f>
        <v>5</v>
      </c>
      <c r="O1753" s="8">
        <f t="shared" ref="O1753:O1816" si="10505">VLOOKUP($A1753,hospital_details,5,0)</f>
        <v>5080.1000000000004</v>
      </c>
      <c r="P1753" s="7" t="str">
        <f t="shared" ref="P1753:P1816" si="10506">VLOOKUP($A1753,hospital_details,6,0)</f>
        <v>tier - 3</v>
      </c>
      <c r="Q1753" s="7" t="str">
        <f t="shared" ref="Q1753:Q1816" si="10507">VLOOKUP($A1753,hospital_details,7,0)</f>
        <v>tier - 2</v>
      </c>
      <c r="R1753" s="7" t="str">
        <f t="shared" ref="R1753:R1816" si="10508">VLOOKUP($A1753,hospital_details,8,0)</f>
        <v>R1011</v>
      </c>
    </row>
    <row r="1754" spans="1:18" ht="14.4" customHeight="1" x14ac:dyDescent="0.3">
      <c r="A1754" s="5" t="s">
        <v>1774</v>
      </c>
      <c r="B1754" s="5" t="str">
        <f>VLOOKUP($A1754,[1]!Customer_Names[#Data],3,0)</f>
        <v xml:space="preserve">  Grant A</v>
      </c>
      <c r="C1754" s="5">
        <v>15.47</v>
      </c>
      <c r="D1754" s="5" t="str" cm="1">
        <f t="array" ref="D1754">_xlfn.IFS(Healthcare!$C1754&lt;18.5,"under weight",Healthcare!$C1754&lt;=24.9,"Normal Weight",Healthcare!$C1754&gt;=25,"overweight",Healthcare!$C1754&gt;=30,"obese")</f>
        <v>under weight</v>
      </c>
      <c r="E1754" s="5">
        <v>8.43</v>
      </c>
      <c r="F1754" s="5" t="str" cm="1">
        <f t="array" ref="F1754">_xlfn.IFS(Healthcare!$E1754&lt;5.7,"normal",Healthcare!$E1754&lt;=6.4,"prediabetes",Healthcare!$E1754&gt;=6.5,"diabetes")</f>
        <v>diabetes</v>
      </c>
      <c r="G1754" s="5" t="s">
        <v>19</v>
      </c>
      <c r="H1754" s="5" t="s">
        <v>19</v>
      </c>
      <c r="I1754" s="5" t="s">
        <v>19</v>
      </c>
      <c r="J1754" s="5">
        <v>0</v>
      </c>
      <c r="K1754" s="5" t="s">
        <v>19</v>
      </c>
      <c r="L1754" s="5" t="str">
        <f>VLOOKUP(Healthcare!$A1754,hospital_details,2,0)</f>
        <v>22-Nov-1978</v>
      </c>
      <c r="M1754" s="5">
        <f t="shared" ref="M1754:M1817" ca="1" si="10509">VLOOKUP(A1754,hospital_details,3,0)</f>
        <v>47</v>
      </c>
      <c r="N1754" s="5">
        <f t="shared" ref="N1754:N1817" si="10510">VLOOKUP($A1754,hospital_details,4,0)</f>
        <v>2</v>
      </c>
      <c r="O1754" s="6">
        <f t="shared" ref="O1754:O1817" si="10511">VLOOKUP($A1754,hospital_details,5,0)</f>
        <v>5077.1899999999996</v>
      </c>
      <c r="P1754" s="5" t="str">
        <f t="shared" ref="P1754:P1817" si="10512">VLOOKUP($A1754,hospital_details,6,0)</f>
        <v>tier - 2</v>
      </c>
      <c r="Q1754" s="5" t="str">
        <f t="shared" ref="Q1754:Q1817" si="10513">VLOOKUP($A1754,hospital_details,7,0)</f>
        <v>tier - 3</v>
      </c>
      <c r="R1754" s="5" t="str">
        <f t="shared" ref="R1754:R1817" si="10514">VLOOKUP($A1754,hospital_details,8,0)</f>
        <v>R1012</v>
      </c>
    </row>
    <row r="1755" spans="1:18" ht="14.4" customHeight="1" x14ac:dyDescent="0.3">
      <c r="A1755" s="7" t="s">
        <v>1775</v>
      </c>
      <c r="B1755" s="7" t="str">
        <f>VLOOKUP($A1755,[1]!Customer_Names[#Data],3,0)</f>
        <v xml:space="preserve">  Jonathan C</v>
      </c>
      <c r="C1755" s="7">
        <v>28.54</v>
      </c>
      <c r="D1755" s="7" t="str" cm="1">
        <f t="array" ref="D1755">_xlfn.IFS(Healthcare!$C1755&lt;18.5,"under weight",Healthcare!$C1755&lt;=24.9,"Normal Weight",Healthcare!$C1755&gt;=25,"overweight",Healthcare!$C1755&gt;=30,"obese")</f>
        <v>overweight</v>
      </c>
      <c r="E1755" s="7">
        <v>5.51</v>
      </c>
      <c r="F1755" s="7" t="str" cm="1">
        <f t="array" ref="F1755">_xlfn.IFS(Healthcare!$E1755&lt;5.7,"normal",Healthcare!$E1755&lt;=6.4,"prediabetes",Healthcare!$E1755&gt;=6.5,"diabetes")</f>
        <v>normal</v>
      </c>
      <c r="G1755" s="7" t="s">
        <v>19</v>
      </c>
      <c r="H1755" s="7" t="s">
        <v>19</v>
      </c>
      <c r="I1755" s="7" t="s">
        <v>29</v>
      </c>
      <c r="J1755" s="7">
        <v>1</v>
      </c>
      <c r="K1755" s="7" t="s">
        <v>19</v>
      </c>
      <c r="L1755" s="7" t="str">
        <f>VLOOKUP(Healthcare!$A1755,hospital_details,2,0)</f>
        <v>11-Jun-1993</v>
      </c>
      <c r="M1755" s="7">
        <f t="shared" ref="M1755:M1818" ca="1" si="10515">VLOOKUP(A1755,hospital_details,3,0)</f>
        <v>33</v>
      </c>
      <c r="N1755" s="7">
        <f t="shared" ref="N1755:N1818" si="10516">VLOOKUP($A1755,hospital_details,4,0)</f>
        <v>0</v>
      </c>
      <c r="O1755" s="8">
        <f t="shared" ref="O1755:O1818" si="10517">VLOOKUP($A1755,hospital_details,5,0)</f>
        <v>5059.5600000000004</v>
      </c>
      <c r="P1755" s="7" t="str">
        <f t="shared" ref="P1755:P1818" si="10518">VLOOKUP($A1755,hospital_details,6,0)</f>
        <v>tier - 2</v>
      </c>
      <c r="Q1755" s="7" t="str">
        <f t="shared" ref="Q1755:Q1818" si="10519">VLOOKUP($A1755,hospital_details,7,0)</f>
        <v>tier - 1</v>
      </c>
      <c r="R1755" s="7" t="str">
        <f t="shared" ref="R1755:R1818" si="10520">VLOOKUP($A1755,hospital_details,8,0)</f>
        <v>R1021</v>
      </c>
    </row>
    <row r="1756" spans="1:18" ht="14.4" customHeight="1" x14ac:dyDescent="0.3">
      <c r="A1756" s="5" t="s">
        <v>1776</v>
      </c>
      <c r="B1756" s="5" t="str">
        <f>VLOOKUP($A1756,[1]!Customer_Names[#Data],3,0)</f>
        <v xml:space="preserve">  Rachael M</v>
      </c>
      <c r="C1756" s="5">
        <v>18.54</v>
      </c>
      <c r="D1756" s="5" t="str" cm="1">
        <f t="array" ref="D1756">_xlfn.IFS(Healthcare!$C1756&lt;18.5,"under weight",Healthcare!$C1756&lt;=24.9,"Normal Weight",Healthcare!$C1756&gt;=25,"overweight",Healthcare!$C1756&gt;=30,"obese")</f>
        <v>Normal Weight</v>
      </c>
      <c r="E1756" s="5">
        <v>4.95</v>
      </c>
      <c r="F1756" s="5" t="str" cm="1">
        <f t="array" ref="F1756">_xlfn.IFS(Healthcare!$E1756&lt;5.7,"normal",Healthcare!$E1756&lt;=6.4,"prediabetes",Healthcare!$E1756&gt;=6.5,"diabetes")</f>
        <v>normal</v>
      </c>
      <c r="G1756" s="5" t="s">
        <v>19</v>
      </c>
      <c r="H1756" s="5" t="s">
        <v>19</v>
      </c>
      <c r="I1756" s="5" t="s">
        <v>19</v>
      </c>
      <c r="J1756" s="5">
        <v>0</v>
      </c>
      <c r="K1756" s="5" t="s">
        <v>19</v>
      </c>
      <c r="L1756" s="5" t="str">
        <f>VLOOKUP(Healthcare!$A1756,hospital_details,2,0)</f>
        <v>7-Sep-1980</v>
      </c>
      <c r="M1756" s="5">
        <f t="shared" ref="M1756:M1819" ca="1" si="10521">VLOOKUP(A1756,hospital_details,3,0)</f>
        <v>46</v>
      </c>
      <c r="N1756" s="5">
        <f t="shared" ref="N1756:N1819" si="10522">VLOOKUP($A1756,hospital_details,4,0)</f>
        <v>2</v>
      </c>
      <c r="O1756" s="6">
        <f t="shared" ref="O1756:O1819" si="10523">VLOOKUP($A1756,hospital_details,5,0)</f>
        <v>5054.05</v>
      </c>
      <c r="P1756" s="5" t="str">
        <f t="shared" ref="P1756:P1819" si="10524">VLOOKUP($A1756,hospital_details,6,0)</f>
        <v>tier - 2</v>
      </c>
      <c r="Q1756" s="5" t="str">
        <f t="shared" ref="Q1756:Q1819" si="10525">VLOOKUP($A1756,hospital_details,7,0)</f>
        <v>tier - 2</v>
      </c>
      <c r="R1756" s="5" t="str">
        <f t="shared" ref="R1756:R1819" si="10526">VLOOKUP($A1756,hospital_details,8,0)</f>
        <v>R1013</v>
      </c>
    </row>
    <row r="1757" spans="1:18" ht="14.4" customHeight="1" x14ac:dyDescent="0.3">
      <c r="A1757" s="7" t="s">
        <v>1777</v>
      </c>
      <c r="B1757" s="7" t="str">
        <f>VLOOKUP($A1757,[1]!Customer_Names[#Data],3,0)</f>
        <v xml:space="preserve">  Pilar</v>
      </c>
      <c r="C1757" s="7">
        <v>32.18</v>
      </c>
      <c r="D1757" s="7" t="str" cm="1">
        <f t="array" ref="D1757">_xlfn.IFS(Healthcare!$C1757&lt;18.5,"under weight",Healthcare!$C1757&lt;=24.9,"Normal Weight",Healthcare!$C1757&gt;=25,"overweight",Healthcare!$C1757&gt;=30,"obese")</f>
        <v>overweight</v>
      </c>
      <c r="E1757" s="7">
        <v>6.44</v>
      </c>
      <c r="F1757" s="5" t="str" cm="1">
        <f t="array" ref="F1757">_xlfn.IFS(Healthcare!$E1226&lt;5.7,"normal",Healthcare!$E1226&lt;=6.4,"prediabetes",Healthcare!$E1226&gt;=6.5,"diabetes")</f>
        <v>diabetes</v>
      </c>
      <c r="G1757" s="7" t="s">
        <v>20</v>
      </c>
      <c r="H1757" s="7" t="s">
        <v>19</v>
      </c>
      <c r="I1757" s="7" t="s">
        <v>29</v>
      </c>
      <c r="J1757" s="7">
        <v>1</v>
      </c>
      <c r="K1757" s="7" t="s">
        <v>19</v>
      </c>
      <c r="L1757" s="7" t="str">
        <f>VLOOKUP(Healthcare!$A1757,hospital_details,2,0)</f>
        <v>29-Jul-1997</v>
      </c>
      <c r="M1757" s="7">
        <f t="shared" ref="M1757:M1820" ca="1" si="10527">VLOOKUP(A1757,hospital_details,3,0)</f>
        <v>29</v>
      </c>
      <c r="N1757" s="7">
        <f t="shared" ref="N1757:N1820" si="10528">VLOOKUP($A1757,hospital_details,4,0)</f>
        <v>0</v>
      </c>
      <c r="O1757" s="8">
        <f t="shared" ref="O1757:O1820" si="10529">VLOOKUP($A1757,hospital_details,5,0)</f>
        <v>5045.1499999999996</v>
      </c>
      <c r="P1757" s="7" t="str">
        <f t="shared" ref="P1757:P1820" si="10530">VLOOKUP($A1757,hospital_details,6,0)</f>
        <v>tier - 2</v>
      </c>
      <c r="Q1757" s="7" t="str">
        <f t="shared" ref="Q1757:Q1820" si="10531">VLOOKUP($A1757,hospital_details,7,0)</f>
        <v>tier - 2</v>
      </c>
      <c r="R1757" s="7" t="str">
        <f t="shared" ref="R1757:R1820" si="10532">VLOOKUP($A1757,hospital_details,8,0)</f>
        <v>R1012</v>
      </c>
    </row>
    <row r="1758" spans="1:18" ht="14.4" customHeight="1" x14ac:dyDescent="0.3">
      <c r="A1758" s="5" t="s">
        <v>1778</v>
      </c>
      <c r="B1758" s="5" t="str">
        <f>VLOOKUP($A1758,[1]!Customer_Names[#Data],3,0)</f>
        <v xml:space="preserve">  Kyle M</v>
      </c>
      <c r="C1758" s="5">
        <v>37.380000000000003</v>
      </c>
      <c r="D1758" s="5" t="str" cm="1">
        <f t="array" ref="D1758">_xlfn.IFS(Healthcare!$C1758&lt;18.5,"under weight",Healthcare!$C1758&lt;=24.9,"Normal Weight",Healthcare!$C1758&gt;=25,"overweight",Healthcare!$C1758&gt;=30,"obese")</f>
        <v>overweight</v>
      </c>
      <c r="E1758" s="5">
        <v>6.05</v>
      </c>
      <c r="F1758" s="5" t="str" cm="1">
        <f t="array" ref="F1758">_xlfn.IFS(Healthcare!$E1758&lt;5.7,"normal",Healthcare!$E1758&lt;=6.4,"prediabetes",Healthcare!$E1758&gt;=6.5,"diabetes")</f>
        <v>prediabetes</v>
      </c>
      <c r="G1758" s="5" t="s">
        <v>20</v>
      </c>
      <c r="H1758" s="5" t="s">
        <v>19</v>
      </c>
      <c r="I1758" s="5" t="s">
        <v>19</v>
      </c>
      <c r="J1758" s="5">
        <v>0</v>
      </c>
      <c r="K1758" s="5" t="s">
        <v>19</v>
      </c>
      <c r="L1758" s="5" t="str">
        <f>VLOOKUP(Healthcare!$A1758,hospital_details,2,0)</f>
        <v>16-Oct-2001</v>
      </c>
      <c r="M1758" s="5">
        <f t="shared" ref="M1758:M1821" ca="1" si="10533">VLOOKUP(A1758,hospital_details,3,0)</f>
        <v>25</v>
      </c>
      <c r="N1758" s="5">
        <f t="shared" ref="N1758:N1821" si="10534">VLOOKUP($A1758,hospital_details,4,0)</f>
        <v>0</v>
      </c>
      <c r="O1758" s="6">
        <f t="shared" ref="O1758:O1821" si="10535">VLOOKUP($A1758,hospital_details,5,0)</f>
        <v>5043.13</v>
      </c>
      <c r="P1758" s="5" t="str">
        <f t="shared" ref="P1758:P1821" si="10536">VLOOKUP($A1758,hospital_details,6,0)</f>
        <v>tier - 2</v>
      </c>
      <c r="Q1758" s="5" t="str">
        <f t="shared" ref="Q1758:Q1821" si="10537">VLOOKUP($A1758,hospital_details,7,0)</f>
        <v>tier - 3</v>
      </c>
      <c r="R1758" s="5" t="str">
        <f t="shared" ref="R1758:R1821" si="10538">VLOOKUP($A1758,hospital_details,8,0)</f>
        <v>R1011</v>
      </c>
    </row>
    <row r="1759" spans="1:18" ht="14.4" customHeight="1" x14ac:dyDescent="0.3">
      <c r="A1759" s="7" t="s">
        <v>1779</v>
      </c>
      <c r="B1759" s="7" t="str">
        <f>VLOOKUP($A1759,[1]!Customer_Names[#Data],3,0)</f>
        <v xml:space="preserve">  Christie</v>
      </c>
      <c r="C1759" s="7">
        <v>31.12</v>
      </c>
      <c r="D1759" s="7" t="str" cm="1">
        <f t="array" ref="D1759">_xlfn.IFS(Healthcare!$C1759&lt;18.5,"under weight",Healthcare!$C1759&lt;=24.9,"Normal Weight",Healthcare!$C1759&gt;=25,"overweight",Healthcare!$C1759&gt;=30,"obese")</f>
        <v>overweight</v>
      </c>
      <c r="E1759" s="7">
        <v>4.76</v>
      </c>
      <c r="F1759" s="7" t="str" cm="1">
        <f t="array" ref="F1759">_xlfn.IFS(Healthcare!$E1759&lt;5.7,"normal",Healthcare!$E1759&lt;=6.4,"prediabetes",Healthcare!$E1759&gt;=6.5,"diabetes")</f>
        <v>normal</v>
      </c>
      <c r="G1759" s="7" t="s">
        <v>20</v>
      </c>
      <c r="H1759" s="7" t="s">
        <v>19</v>
      </c>
      <c r="I1759" s="7" t="s">
        <v>29</v>
      </c>
      <c r="J1759" s="7">
        <v>1</v>
      </c>
      <c r="K1759" s="7" t="s">
        <v>19</v>
      </c>
      <c r="L1759" s="7" t="str">
        <f>VLOOKUP(Healthcare!$A1759,hospital_details,2,0)</f>
        <v>4-Dec-1997</v>
      </c>
      <c r="M1759" s="7">
        <f t="shared" ref="M1759:M1822" ca="1" si="10539">VLOOKUP(A1759,hospital_details,3,0)</f>
        <v>28</v>
      </c>
      <c r="N1759" s="7">
        <f t="shared" ref="N1759:N1822" si="10540">VLOOKUP($A1759,hospital_details,4,0)</f>
        <v>0</v>
      </c>
      <c r="O1759" s="8">
        <f t="shared" ref="O1759:O1822" si="10541">VLOOKUP($A1759,hospital_details,5,0)</f>
        <v>5038.57</v>
      </c>
      <c r="P1759" s="7" t="str">
        <f t="shared" ref="P1759:P1822" si="10542">VLOOKUP($A1759,hospital_details,6,0)</f>
        <v>tier - 2</v>
      </c>
      <c r="Q1759" s="7" t="str">
        <f t="shared" ref="Q1759:Q1822" si="10543">VLOOKUP($A1759,hospital_details,7,0)</f>
        <v>tier - 2</v>
      </c>
      <c r="R1759" s="7" t="str">
        <f t="shared" ref="R1759:R1822" si="10544">VLOOKUP($A1759,hospital_details,8,0)</f>
        <v>R1025</v>
      </c>
    </row>
    <row r="1760" spans="1:18" ht="14.4" customHeight="1" x14ac:dyDescent="0.3">
      <c r="A1760" s="5" t="s">
        <v>1780</v>
      </c>
      <c r="B1760" s="5" t="str">
        <f>VLOOKUP($A1760,[1]!Customer_Names[#Data],3,0)</f>
        <v xml:space="preserve">  David A</v>
      </c>
      <c r="C1760" s="5">
        <v>22.01</v>
      </c>
      <c r="D1760" s="5" t="str" cm="1">
        <f t="array" ref="D1760">_xlfn.IFS(Healthcare!$C1760&lt;18.5,"under weight",Healthcare!$C1760&lt;=24.9,"Normal Weight",Healthcare!$C1760&gt;=25,"overweight",Healthcare!$C1760&gt;=30,"obese")</f>
        <v>Normal Weight</v>
      </c>
      <c r="E1760" s="5">
        <v>6.72</v>
      </c>
      <c r="F1760" s="5" t="str" cm="1">
        <f t="array" ref="F1760">_xlfn.IFS(Healthcare!$E1760&lt;5.7,"normal",Healthcare!$E1760&lt;=6.4,"prediabetes",Healthcare!$E1760&gt;=6.5,"diabetes")</f>
        <v>diabetes</v>
      </c>
      <c r="G1760" s="5" t="s">
        <v>20</v>
      </c>
      <c r="H1760" s="5" t="s">
        <v>19</v>
      </c>
      <c r="I1760" s="5" t="s">
        <v>19</v>
      </c>
      <c r="J1760" s="5">
        <v>1</v>
      </c>
      <c r="K1760" s="5" t="s">
        <v>19</v>
      </c>
      <c r="L1760" s="5" t="str">
        <f>VLOOKUP(Healthcare!$A1760,hospital_details,2,0)</f>
        <v>29-Jun-1986</v>
      </c>
      <c r="M1760" s="5">
        <f t="shared" ref="M1760:M1823" ca="1" si="10545">VLOOKUP(A1760,hospital_details,3,0)</f>
        <v>40</v>
      </c>
      <c r="N1760" s="5">
        <f t="shared" ref="N1760:N1823" si="10546">VLOOKUP($A1760,hospital_details,4,0)</f>
        <v>3</v>
      </c>
      <c r="O1760" s="6">
        <f t="shared" ref="O1760:O1823" si="10547">VLOOKUP($A1760,hospital_details,5,0)</f>
        <v>5034.1000000000004</v>
      </c>
      <c r="P1760" s="5" t="str">
        <f t="shared" ref="P1760:P1823" si="10548">VLOOKUP($A1760,hospital_details,6,0)</f>
        <v>tier - 2</v>
      </c>
      <c r="Q1760" s="5" t="str">
        <f t="shared" ref="Q1760:Q1823" si="10549">VLOOKUP($A1760,hospital_details,7,0)</f>
        <v>tier - 2</v>
      </c>
      <c r="R1760" s="5" t="str">
        <f t="shared" ref="R1760:R1823" si="10550">VLOOKUP($A1760,hospital_details,8,0)</f>
        <v>R1013</v>
      </c>
    </row>
    <row r="1761" spans="1:18" ht="14.4" customHeight="1" x14ac:dyDescent="0.3">
      <c r="A1761" s="7" t="s">
        <v>1781</v>
      </c>
      <c r="B1761" s="7" t="str">
        <f>VLOOKUP($A1761,[1]!Customer_Names[#Data],3,0)</f>
        <v xml:space="preserve">  Masahiro</v>
      </c>
      <c r="C1761" s="7">
        <v>27.645</v>
      </c>
      <c r="D1761" s="7" t="str" cm="1">
        <f t="array" ref="D1761">_xlfn.IFS(Healthcare!$C1761&lt;18.5,"under weight",Healthcare!$C1761&lt;=24.9,"Normal Weight",Healthcare!$C1761&gt;=25,"overweight",Healthcare!$C1761&gt;=30,"obese")</f>
        <v>overweight</v>
      </c>
      <c r="E1761" s="7">
        <v>5.7</v>
      </c>
      <c r="F1761" s="7" t="str" cm="1">
        <f t="array" ref="F1761">_xlfn.IFS(Healthcare!$E1761&lt;5.7,"normal",Healthcare!$E1761&lt;=6.4,"prediabetes",Healthcare!$E1761&gt;=6.5,"diabetes")</f>
        <v>prediabetes</v>
      </c>
      <c r="G1761" s="7" t="s">
        <v>19</v>
      </c>
      <c r="H1761" s="7" t="s">
        <v>19</v>
      </c>
      <c r="I1761" s="7" t="s">
        <v>19</v>
      </c>
      <c r="J1761" s="7">
        <v>0</v>
      </c>
      <c r="K1761" s="7" t="s">
        <v>19</v>
      </c>
      <c r="L1761" s="7" t="str">
        <f>VLOOKUP(Healthcare!$A1761,hospital_details,2,0)</f>
        <v>10-Sep-1991</v>
      </c>
      <c r="M1761" s="7">
        <f t="shared" ref="M1761:M1824" ca="1" si="10551">VLOOKUP(A1761,hospital_details,3,0)</f>
        <v>35</v>
      </c>
      <c r="N1761" s="7">
        <f t="shared" ref="N1761:N1824" si="10552">VLOOKUP($A1761,hospital_details,4,0)</f>
        <v>2</v>
      </c>
      <c r="O1761" s="8">
        <f t="shared" ref="O1761:O1824" si="10553">VLOOKUP($A1761,hospital_details,5,0)</f>
        <v>5031.2700000000004</v>
      </c>
      <c r="P1761" s="7" t="str">
        <f t="shared" ref="P1761:P1824" si="10554">VLOOKUP($A1761,hospital_details,6,0)</f>
        <v>tier - 3</v>
      </c>
      <c r="Q1761" s="7" t="str">
        <f t="shared" ref="Q1761:Q1824" si="10555">VLOOKUP($A1761,hospital_details,7,0)</f>
        <v>tier - 1</v>
      </c>
      <c r="R1761" s="7" t="str">
        <f t="shared" ref="R1761:R1824" si="10556">VLOOKUP($A1761,hospital_details,8,0)</f>
        <v>R1016</v>
      </c>
    </row>
    <row r="1762" spans="1:18" ht="14.4" customHeight="1" x14ac:dyDescent="0.3">
      <c r="A1762" s="5" t="s">
        <v>1782</v>
      </c>
      <c r="B1762" s="5" t="str">
        <f>VLOOKUP($A1762,[1]!Customer_Names[#Data],3,0)</f>
        <v xml:space="preserve">  Logan B</v>
      </c>
      <c r="C1762" s="5">
        <v>29.64</v>
      </c>
      <c r="D1762" s="5" t="str" cm="1">
        <f t="array" ref="D1762">_xlfn.IFS(Healthcare!$C1762&lt;18.5,"under weight",Healthcare!$C1762&lt;=24.9,"Normal Weight",Healthcare!$C1762&gt;=25,"overweight",Healthcare!$C1762&gt;=30,"obese")</f>
        <v>overweight</v>
      </c>
      <c r="E1762" s="5">
        <v>5.31</v>
      </c>
      <c r="F1762" s="5" t="str" cm="1">
        <f t="array" ref="F1762">_xlfn.IFS(Healthcare!$E1762&lt;5.7,"normal",Healthcare!$E1762&lt;=6.4,"prediabetes",Healthcare!$E1762&gt;=6.5,"diabetes")</f>
        <v>normal</v>
      </c>
      <c r="G1762" s="5" t="s">
        <v>20</v>
      </c>
      <c r="H1762" s="5" t="s">
        <v>19</v>
      </c>
      <c r="I1762" s="5" t="s">
        <v>19</v>
      </c>
      <c r="J1762" s="5">
        <v>0</v>
      </c>
      <c r="K1762" s="5" t="s">
        <v>19</v>
      </c>
      <c r="L1762" s="5" t="str">
        <f>VLOOKUP(Healthcare!$A1762,hospital_details,2,0)</f>
        <v>28-Dec-1985</v>
      </c>
      <c r="M1762" s="5">
        <f t="shared" ref="M1762:M1825" ca="1" si="10557">VLOOKUP(A1762,hospital_details,3,0)</f>
        <v>40</v>
      </c>
      <c r="N1762" s="5">
        <f t="shared" ref="N1762:N1825" si="10558">VLOOKUP($A1762,hospital_details,4,0)</f>
        <v>0</v>
      </c>
      <c r="O1762" s="6">
        <f t="shared" ref="O1762:O1825" si="10559">VLOOKUP($A1762,hospital_details,5,0)</f>
        <v>5028.1499999999996</v>
      </c>
      <c r="P1762" s="5" t="str">
        <f t="shared" ref="P1762:P1825" si="10560">VLOOKUP($A1762,hospital_details,6,0)</f>
        <v>tier - 1</v>
      </c>
      <c r="Q1762" s="5" t="str">
        <f t="shared" ref="Q1762:Q1825" si="10561">VLOOKUP($A1762,hospital_details,7,0)</f>
        <v>tier - 2</v>
      </c>
      <c r="R1762" s="5" t="str">
        <f t="shared" ref="R1762:R1825" si="10562">VLOOKUP($A1762,hospital_details,8,0)</f>
        <v>R1012</v>
      </c>
    </row>
    <row r="1763" spans="1:18" ht="14.4" customHeight="1" x14ac:dyDescent="0.3">
      <c r="A1763" s="7" t="s">
        <v>1783</v>
      </c>
      <c r="B1763" s="7" t="str">
        <f>VLOOKUP($A1763,[1]!Customer_Names[#Data],3,0)</f>
        <v xml:space="preserve">  Stephanie L</v>
      </c>
      <c r="C1763" s="7">
        <v>33.700000000000003</v>
      </c>
      <c r="D1763" s="7" t="str" cm="1">
        <f t="array" ref="D1763">_xlfn.IFS(Healthcare!$C1763&lt;18.5,"under weight",Healthcare!$C1763&lt;=24.9,"Normal Weight",Healthcare!$C1763&gt;=25,"overweight",Healthcare!$C1763&gt;=30,"obese")</f>
        <v>overweight</v>
      </c>
      <c r="E1763" s="7">
        <v>4.32</v>
      </c>
      <c r="F1763" s="7" t="str" cm="1">
        <f t="array" ref="F1763">_xlfn.IFS(Healthcare!$E1763&lt;5.7,"normal",Healthcare!$E1763&lt;=6.4,"prediabetes",Healthcare!$E1763&gt;=6.5,"diabetes")</f>
        <v>normal</v>
      </c>
      <c r="G1763" s="7" t="s">
        <v>20</v>
      </c>
      <c r="H1763" s="7" t="s">
        <v>19</v>
      </c>
      <c r="I1763" s="7" t="s">
        <v>19</v>
      </c>
      <c r="J1763" s="7">
        <v>1</v>
      </c>
      <c r="K1763" s="7" t="s">
        <v>19</v>
      </c>
      <c r="L1763" s="7" t="str">
        <f>VLOOKUP(Healthcare!$A1763,hospital_details,2,0)</f>
        <v>9-Nov-1988</v>
      </c>
      <c r="M1763" s="7">
        <f t="shared" ref="M1763:M1826" ca="1" si="10563">VLOOKUP(A1763,hospital_details,3,0)</f>
        <v>37</v>
      </c>
      <c r="N1763" s="7">
        <f t="shared" ref="N1763:N1826" si="10564">VLOOKUP($A1763,hospital_details,4,0)</f>
        <v>1</v>
      </c>
      <c r="O1763" s="8">
        <f t="shared" ref="O1763:O1826" si="10565">VLOOKUP($A1763,hospital_details,5,0)</f>
        <v>5012.47</v>
      </c>
      <c r="P1763" s="7" t="str">
        <f t="shared" ref="P1763:P1826" si="10566">VLOOKUP($A1763,hospital_details,6,0)</f>
        <v>tier - 2</v>
      </c>
      <c r="Q1763" s="7" t="str">
        <f t="shared" ref="Q1763:Q1826" si="10567">VLOOKUP($A1763,hospital_details,7,0)</f>
        <v>tier - 3</v>
      </c>
      <c r="R1763" s="7" t="str">
        <f t="shared" ref="R1763:R1826" si="10568">VLOOKUP($A1763,hospital_details,8,0)</f>
        <v>R1011</v>
      </c>
    </row>
    <row r="1764" spans="1:18" ht="14.4" customHeight="1" x14ac:dyDescent="0.3">
      <c r="A1764" s="5" t="s">
        <v>1784</v>
      </c>
      <c r="B1764" s="5" t="str">
        <f>VLOOKUP($A1764,[1]!Customer_Names[#Data],3,0)</f>
        <v xml:space="preserve">  Angela H</v>
      </c>
      <c r="C1764" s="5">
        <v>27.5</v>
      </c>
      <c r="D1764" s="5" t="str" cm="1">
        <f t="array" ref="D1764">_xlfn.IFS(Healthcare!$C1764&lt;18.5,"under weight",Healthcare!$C1764&lt;=24.9,"Normal Weight",Healthcare!$C1764&gt;=25,"overweight",Healthcare!$C1764&gt;=30,"obese")</f>
        <v>overweight</v>
      </c>
      <c r="E1764" s="5">
        <v>4.2300000000000004</v>
      </c>
      <c r="F1764" s="5" t="str" cm="1">
        <f t="array" ref="F1764">_xlfn.IFS(Healthcare!$E1764&lt;5.7,"normal",Healthcare!$E1764&lt;=6.4,"prediabetes",Healthcare!$E1764&gt;=6.5,"diabetes")</f>
        <v>normal</v>
      </c>
      <c r="G1764" s="5" t="s">
        <v>20</v>
      </c>
      <c r="H1764" s="5" t="s">
        <v>19</v>
      </c>
      <c r="I1764" s="5" t="s">
        <v>19</v>
      </c>
      <c r="J1764" s="5">
        <v>1</v>
      </c>
      <c r="K1764" s="5" t="s">
        <v>19</v>
      </c>
      <c r="L1764" s="5" t="str">
        <f>VLOOKUP(Healthcare!$A1764,hospital_details,2,0)</f>
        <v>8-Jul-1988</v>
      </c>
      <c r="M1764" s="5">
        <f t="shared" ref="M1764:M1827" ca="1" si="10569">VLOOKUP(A1764,hospital_details,3,0)</f>
        <v>38</v>
      </c>
      <c r="N1764" s="5">
        <f t="shared" ref="N1764:N1827" si="10570">VLOOKUP($A1764,hospital_details,4,0)</f>
        <v>1</v>
      </c>
      <c r="O1764" s="6">
        <f t="shared" ref="O1764:O1827" si="10571">VLOOKUP($A1764,hospital_details,5,0)</f>
        <v>5003.8500000000004</v>
      </c>
      <c r="P1764" s="5" t="str">
        <f t="shared" ref="P1764:P1827" si="10572">VLOOKUP($A1764,hospital_details,6,0)</f>
        <v>tier - 2</v>
      </c>
      <c r="Q1764" s="5" t="str">
        <f t="shared" ref="Q1764:Q1827" si="10573">VLOOKUP($A1764,hospital_details,7,0)</f>
        <v>tier - 3</v>
      </c>
      <c r="R1764" s="5" t="str">
        <f t="shared" ref="R1764:R1827" si="10574">VLOOKUP($A1764,hospital_details,8,0)</f>
        <v>R1011</v>
      </c>
    </row>
    <row r="1765" spans="1:18" ht="14.4" customHeight="1" x14ac:dyDescent="0.3">
      <c r="A1765" s="7" t="s">
        <v>1785</v>
      </c>
      <c r="B1765" s="7" t="str">
        <f>VLOOKUP($A1765,[1]!Customer_Names[#Data],3,0)</f>
        <v xml:space="preserve">  Britt K</v>
      </c>
      <c r="C1765" s="7">
        <v>16.12</v>
      </c>
      <c r="D1765" s="7" t="str" cm="1">
        <f t="array" ref="D1765">_xlfn.IFS(Healthcare!$C1765&lt;18.5,"under weight",Healthcare!$C1765&lt;=24.9,"Normal Weight",Healthcare!$C1765&gt;=25,"overweight",Healthcare!$C1765&gt;=30,"obese")</f>
        <v>under weight</v>
      </c>
      <c r="E1765" s="7">
        <v>6.09</v>
      </c>
      <c r="F1765" s="7" t="str" cm="1">
        <f t="array" ref="F1765">_xlfn.IFS(Healthcare!$E1765&lt;5.7,"normal",Healthcare!$E1765&lt;=6.4,"prediabetes",Healthcare!$E1765&gt;=6.5,"diabetes")</f>
        <v>prediabetes</v>
      </c>
      <c r="G1765" s="7" t="s">
        <v>19</v>
      </c>
      <c r="H1765" s="7" t="s">
        <v>19</v>
      </c>
      <c r="I1765" s="7" t="s">
        <v>19</v>
      </c>
      <c r="J1765" s="7">
        <v>0</v>
      </c>
      <c r="K1765" s="7" t="s">
        <v>19</v>
      </c>
      <c r="L1765" s="7" t="str">
        <f>VLOOKUP(Healthcare!$A1765,hospital_details,2,0)</f>
        <v>9-Jun-1977</v>
      </c>
      <c r="M1765" s="7">
        <f t="shared" ref="M1765:M1828" ca="1" si="10575">VLOOKUP(A1765,hospital_details,3,0)</f>
        <v>49</v>
      </c>
      <c r="N1765" s="7">
        <f t="shared" ref="N1765:N1828" si="10576">VLOOKUP($A1765,hospital_details,4,0)</f>
        <v>2</v>
      </c>
      <c r="O1765" s="8">
        <f t="shared" ref="O1765:O1828" si="10577">VLOOKUP($A1765,hospital_details,5,0)</f>
        <v>5003.7700000000004</v>
      </c>
      <c r="P1765" s="7" t="str">
        <f t="shared" ref="P1765:P1828" si="10578">VLOOKUP($A1765,hospital_details,6,0)</f>
        <v>tier - 2</v>
      </c>
      <c r="Q1765" s="7" t="str">
        <f t="shared" ref="Q1765:Q1828" si="10579">VLOOKUP($A1765,hospital_details,7,0)</f>
        <v>tier - 3</v>
      </c>
      <c r="R1765" s="7" t="str">
        <f t="shared" ref="R1765:R1828" si="10580">VLOOKUP($A1765,hospital_details,8,0)</f>
        <v>R1013</v>
      </c>
    </row>
    <row r="1766" spans="1:18" ht="14.4" customHeight="1" x14ac:dyDescent="0.3">
      <c r="A1766" s="5" t="s">
        <v>1786</v>
      </c>
      <c r="B1766" s="5" t="str">
        <f>VLOOKUP($A1766,[1]!Customer_Names[#Data],3,0)</f>
        <v xml:space="preserve">  Joyce R</v>
      </c>
      <c r="C1766" s="5">
        <v>26.73</v>
      </c>
      <c r="D1766" s="5" t="str" cm="1">
        <f t="array" ref="D1766">_xlfn.IFS(Healthcare!$C1766&lt;18.5,"under weight",Healthcare!$C1766&lt;=24.9,"Normal Weight",Healthcare!$C1766&gt;=25,"overweight",Healthcare!$C1766&gt;=30,"obese")</f>
        <v>overweight</v>
      </c>
      <c r="E1766" s="5">
        <v>4.74</v>
      </c>
      <c r="F1766" s="5" t="str" cm="1">
        <f t="array" ref="F1766">_xlfn.IFS(Healthcare!$E1766&lt;5.7,"normal",Healthcare!$E1766&lt;=6.4,"prediabetes",Healthcare!$E1766&gt;=6.5,"diabetes")</f>
        <v>normal</v>
      </c>
      <c r="G1766" s="5" t="s">
        <v>20</v>
      </c>
      <c r="H1766" s="5" t="s">
        <v>19</v>
      </c>
      <c r="I1766" s="5" t="s">
        <v>19</v>
      </c>
      <c r="J1766" s="5">
        <v>1</v>
      </c>
      <c r="K1766" s="5" t="s">
        <v>19</v>
      </c>
      <c r="L1766" s="5" t="str">
        <f>VLOOKUP(Healthcare!$A1766,hospital_details,2,0)</f>
        <v>4-Sep-1988</v>
      </c>
      <c r="M1766" s="5">
        <f t="shared" ref="M1766:M1829" ca="1" si="10581">VLOOKUP(A1766,hospital_details,3,0)</f>
        <v>38</v>
      </c>
      <c r="N1766" s="5">
        <f t="shared" ref="N1766:N1829" si="10582">VLOOKUP($A1766,hospital_details,4,0)</f>
        <v>1</v>
      </c>
      <c r="O1766" s="6">
        <f t="shared" ref="O1766:O1829" si="10583">VLOOKUP($A1766,hospital_details,5,0)</f>
        <v>5002.78</v>
      </c>
      <c r="P1766" s="5" t="str">
        <f t="shared" ref="P1766:P1829" si="10584">VLOOKUP($A1766,hospital_details,6,0)</f>
        <v>tier - 2</v>
      </c>
      <c r="Q1766" s="5" t="str">
        <f t="shared" ref="Q1766:Q1829" si="10585">VLOOKUP($A1766,hospital_details,7,0)</f>
        <v>tier - 2</v>
      </c>
      <c r="R1766" s="5" t="str">
        <f t="shared" ref="R1766:R1829" si="10586">VLOOKUP($A1766,hospital_details,8,0)</f>
        <v>R1013</v>
      </c>
    </row>
    <row r="1767" spans="1:18" ht="14.4" customHeight="1" x14ac:dyDescent="0.3">
      <c r="A1767" s="7" t="s">
        <v>1787</v>
      </c>
      <c r="B1767" s="7" t="str">
        <f>VLOOKUP($A1767,[1]!Customer_Names[#Data],3,0)</f>
        <v xml:space="preserve">  Ben</v>
      </c>
      <c r="C1767" s="7">
        <v>37.25</v>
      </c>
      <c r="D1767" s="7" t="str" cm="1">
        <f t="array" ref="D1767">_xlfn.IFS(Healthcare!$C1767&lt;18.5,"under weight",Healthcare!$C1767&lt;=24.9,"Normal Weight",Healthcare!$C1767&gt;=25,"overweight",Healthcare!$C1767&gt;=30,"obese")</f>
        <v>overweight</v>
      </c>
      <c r="E1767" s="7">
        <v>6.23</v>
      </c>
      <c r="F1767" s="7" t="str" cm="1">
        <f t="array" ref="F1767">_xlfn.IFS(Healthcare!$E1767&lt;5.7,"normal",Healthcare!$E1767&lt;=6.4,"prediabetes",Healthcare!$E1767&gt;=6.5,"diabetes")</f>
        <v>prediabetes</v>
      </c>
      <c r="G1767" s="7" t="s">
        <v>20</v>
      </c>
      <c r="H1767" s="7" t="s">
        <v>19</v>
      </c>
      <c r="I1767" s="7" t="s">
        <v>19</v>
      </c>
      <c r="J1767" s="7">
        <v>0</v>
      </c>
      <c r="K1767" s="7" t="s">
        <v>19</v>
      </c>
      <c r="L1767" s="7" t="str">
        <f>VLOOKUP(Healthcare!$A1767,hospital_details,2,0)</f>
        <v>5-Oct-2001</v>
      </c>
      <c r="M1767" s="7">
        <f t="shared" ref="M1767:M1830" ca="1" si="10587">VLOOKUP(A1767,hospital_details,3,0)</f>
        <v>25</v>
      </c>
      <c r="N1767" s="7">
        <f t="shared" ref="N1767:N1830" si="10588">VLOOKUP($A1767,hospital_details,4,0)</f>
        <v>0</v>
      </c>
      <c r="O1767" s="8">
        <f t="shared" ref="O1767:O1830" si="10589">VLOOKUP($A1767,hospital_details,5,0)</f>
        <v>4999.04</v>
      </c>
      <c r="P1767" s="7" t="str">
        <f t="shared" ref="P1767:P1830" si="10590">VLOOKUP($A1767,hospital_details,6,0)</f>
        <v>tier - 2</v>
      </c>
      <c r="Q1767" s="7" t="str">
        <f t="shared" ref="Q1767:Q1830" si="10591">VLOOKUP($A1767,hospital_details,7,0)</f>
        <v>tier - 2</v>
      </c>
      <c r="R1767" s="7" t="str">
        <f t="shared" ref="R1767:R1830" si="10592">VLOOKUP($A1767,hospital_details,8,0)</f>
        <v>R1011</v>
      </c>
    </row>
    <row r="1768" spans="1:18" ht="14.4" customHeight="1" x14ac:dyDescent="0.3">
      <c r="A1768" s="5" t="s">
        <v>1788</v>
      </c>
      <c r="B1768" s="5" t="str">
        <f>VLOOKUP($A1768,[1]!Customer_Names[#Data],3,0)</f>
        <v xml:space="preserve">  Sarah M</v>
      </c>
      <c r="C1768" s="5">
        <v>23.56</v>
      </c>
      <c r="D1768" s="5" t="str" cm="1">
        <f t="array" ref="D1768">_xlfn.IFS(Healthcare!$C1768&lt;18.5,"under weight",Healthcare!$C1768&lt;=24.9,"Normal Weight",Healthcare!$C1768&gt;=25,"overweight",Healthcare!$C1768&gt;=30,"obese")</f>
        <v>Normal Weight</v>
      </c>
      <c r="E1768" s="5">
        <v>5.45</v>
      </c>
      <c r="F1768" s="5" t="str" cm="1">
        <f t="array" ref="F1768">_xlfn.IFS(Healthcare!$E1768&lt;5.7,"normal",Healthcare!$E1768&lt;=6.4,"prediabetes",Healthcare!$E1768&gt;=6.5,"diabetes")</f>
        <v>normal</v>
      </c>
      <c r="G1768" s="5" t="s">
        <v>20</v>
      </c>
      <c r="H1768" s="5" t="s">
        <v>19</v>
      </c>
      <c r="I1768" s="5" t="s">
        <v>19</v>
      </c>
      <c r="J1768" s="5">
        <v>1</v>
      </c>
      <c r="K1768" s="5" t="s">
        <v>19</v>
      </c>
      <c r="L1768" s="5" t="str">
        <f>VLOOKUP(Healthcare!$A1768,hospital_details,2,0)</f>
        <v>24-Jun-1988</v>
      </c>
      <c r="M1768" s="5">
        <f t="shared" ref="M1768:M1831" ca="1" si="10593">VLOOKUP(A1768,hospital_details,3,0)</f>
        <v>38</v>
      </c>
      <c r="N1768" s="5">
        <f t="shared" ref="N1768:N1831" si="10594">VLOOKUP($A1768,hospital_details,4,0)</f>
        <v>0</v>
      </c>
      <c r="O1768" s="6">
        <f t="shared" ref="O1768:O1831" si="10595">VLOOKUP($A1768,hospital_details,5,0)</f>
        <v>4992.38</v>
      </c>
      <c r="P1768" s="5" t="str">
        <f t="shared" ref="P1768:P1831" si="10596">VLOOKUP($A1768,hospital_details,6,0)</f>
        <v>tier - 2</v>
      </c>
      <c r="Q1768" s="5" t="str">
        <f t="shared" ref="Q1768:Q1831" si="10597">VLOOKUP($A1768,hospital_details,7,0)</f>
        <v>tier - 3</v>
      </c>
      <c r="R1768" s="5" t="str">
        <f t="shared" ref="R1768:R1831" si="10598">VLOOKUP($A1768,hospital_details,8,0)</f>
        <v>R1024</v>
      </c>
    </row>
    <row r="1769" spans="1:18" ht="14.4" customHeight="1" x14ac:dyDescent="0.3">
      <c r="A1769" s="7" t="s">
        <v>1789</v>
      </c>
      <c r="B1769" s="7" t="str">
        <f>VLOOKUP($A1769,[1]!Customer_Names[#Data],3,0)</f>
        <v xml:space="preserve">  Sarah</v>
      </c>
      <c r="C1769" s="7">
        <v>15.84</v>
      </c>
      <c r="D1769" s="7" t="str" cm="1">
        <f t="array" ref="D1769">_xlfn.IFS(Healthcare!$C1769&lt;18.5,"under weight",Healthcare!$C1769&lt;=24.9,"Normal Weight",Healthcare!$C1769&gt;=25,"overweight",Healthcare!$C1769&gt;=30,"obese")</f>
        <v>under weight</v>
      </c>
      <c r="E1769" s="7">
        <v>10.34</v>
      </c>
      <c r="F1769" s="7" t="str" cm="1">
        <f t="array" ref="F1769">_xlfn.IFS(Healthcare!$E1769&lt;5.7,"normal",Healthcare!$E1769&lt;=6.4,"prediabetes",Healthcare!$E1769&gt;=6.5,"diabetes")</f>
        <v>diabetes</v>
      </c>
      <c r="G1769" s="7" t="s">
        <v>19</v>
      </c>
      <c r="H1769" s="7" t="s">
        <v>19</v>
      </c>
      <c r="I1769" s="7" t="s">
        <v>19</v>
      </c>
      <c r="J1769" s="7">
        <v>2</v>
      </c>
      <c r="K1769" s="7" t="s">
        <v>19</v>
      </c>
      <c r="L1769" s="7" t="str">
        <f>VLOOKUP(Healthcare!$A1769,hospital_details,2,0)</f>
        <v>7-Nov-1973</v>
      </c>
      <c r="M1769" s="7">
        <f t="shared" ref="M1769:M1832" ca="1" si="10599">VLOOKUP(A1769,hospital_details,3,0)</f>
        <v>52</v>
      </c>
      <c r="N1769" s="7">
        <f t="shared" ref="N1769:N1832" si="10600">VLOOKUP($A1769,hospital_details,4,0)</f>
        <v>0</v>
      </c>
      <c r="O1769" s="8">
        <f t="shared" ref="O1769:O1832" si="10601">VLOOKUP($A1769,hospital_details,5,0)</f>
        <v>4985.22</v>
      </c>
      <c r="P1769" s="7" t="str">
        <f t="shared" ref="P1769:P1832" si="10602">VLOOKUP($A1769,hospital_details,6,0)</f>
        <v>tier - 2</v>
      </c>
      <c r="Q1769" s="7" t="str">
        <f t="shared" ref="Q1769:Q1832" si="10603">VLOOKUP($A1769,hospital_details,7,0)</f>
        <v>tier - 3</v>
      </c>
      <c r="R1769" s="7" t="str">
        <f t="shared" ref="R1769:R1832" si="10604">VLOOKUP($A1769,hospital_details,8,0)</f>
        <v>R1013</v>
      </c>
    </row>
    <row r="1770" spans="1:18" ht="14.4" customHeight="1" x14ac:dyDescent="0.3">
      <c r="A1770" s="5" t="s">
        <v>1790</v>
      </c>
      <c r="B1770" s="5" t="str">
        <f>VLOOKUP($A1770,[1]!Customer_Names[#Data],3,0)</f>
        <v xml:space="preserve">  Katie</v>
      </c>
      <c r="C1770" s="5">
        <v>36.630000000000003</v>
      </c>
      <c r="D1770" s="5" t="str" cm="1">
        <f t="array" ref="D1770">_xlfn.IFS(Healthcare!$C1770&lt;18.5,"under weight",Healthcare!$C1770&lt;=24.9,"Normal Weight",Healthcare!$C1770&gt;=25,"overweight",Healthcare!$C1770&gt;=30,"obese")</f>
        <v>overweight</v>
      </c>
      <c r="E1770" s="5">
        <v>5.15</v>
      </c>
      <c r="F1770" s="5" t="str" cm="1">
        <f t="array" ref="F1770">_xlfn.IFS(Healthcare!$E1770&lt;5.7,"normal",Healthcare!$E1770&lt;=6.4,"prediabetes",Healthcare!$E1770&gt;=6.5,"diabetes")</f>
        <v>normal</v>
      </c>
      <c r="G1770" s="5" t="s">
        <v>19</v>
      </c>
      <c r="H1770" s="5" t="s">
        <v>19</v>
      </c>
      <c r="I1770" s="5" t="s">
        <v>19</v>
      </c>
      <c r="J1770" s="5">
        <v>0</v>
      </c>
      <c r="K1770" s="5" t="s">
        <v>19</v>
      </c>
      <c r="L1770" s="5" t="str">
        <f>VLOOKUP(Healthcare!$A1770,hospital_details,2,0)</f>
        <v>30-Aug-1991</v>
      </c>
      <c r="M1770" s="5">
        <f t="shared" ref="M1770:M1833" ca="1" si="10605">VLOOKUP(A1770,hospital_details,3,0)</f>
        <v>35</v>
      </c>
      <c r="N1770" s="5">
        <f t="shared" ref="N1770:N1833" si="10606">VLOOKUP($A1770,hospital_details,4,0)</f>
        <v>2</v>
      </c>
      <c r="O1770" s="6">
        <f t="shared" ref="O1770:O1833" si="10607">VLOOKUP($A1770,hospital_details,5,0)</f>
        <v>4949.76</v>
      </c>
      <c r="P1770" s="5" t="str">
        <f t="shared" ref="P1770:P1833" si="10608">VLOOKUP($A1770,hospital_details,6,0)</f>
        <v>tier - 2</v>
      </c>
      <c r="Q1770" s="5" t="str">
        <f t="shared" ref="Q1770:Q1833" si="10609">VLOOKUP($A1770,hospital_details,7,0)</f>
        <v>tier - 1</v>
      </c>
      <c r="R1770" s="5" t="str">
        <f t="shared" ref="R1770:R1833" si="10610">VLOOKUP($A1770,hospital_details,8,0)</f>
        <v>R1013</v>
      </c>
    </row>
    <row r="1771" spans="1:18" ht="14.4" customHeight="1" x14ac:dyDescent="0.3">
      <c r="A1771" s="7" t="s">
        <v>1791</v>
      </c>
      <c r="B1771" s="7" t="str">
        <f>VLOOKUP($A1771,[1]!Customer_Names[#Data],3,0)</f>
        <v xml:space="preserve">  Michaela L</v>
      </c>
      <c r="C1771" s="7">
        <v>16.47</v>
      </c>
      <c r="D1771" s="7" t="str" cm="1">
        <f t="array" ref="D1771">_xlfn.IFS(Healthcare!$C1771&lt;18.5,"under weight",Healthcare!$C1771&lt;=24.9,"Normal Weight",Healthcare!$C1771&gt;=25,"overweight",Healthcare!$C1771&gt;=30,"obese")</f>
        <v>under weight</v>
      </c>
      <c r="E1771" s="7">
        <v>11.72</v>
      </c>
      <c r="F1771" s="7" t="str" cm="1">
        <f t="array" ref="F1771">_xlfn.IFS(Healthcare!$E1771&lt;5.7,"normal",Healthcare!$E1771&lt;=6.4,"prediabetes",Healthcare!$E1771&gt;=6.5,"diabetes")</f>
        <v>diabetes</v>
      </c>
      <c r="G1771" s="7" t="s">
        <v>19</v>
      </c>
      <c r="H1771" s="7" t="s">
        <v>19</v>
      </c>
      <c r="I1771" s="7" t="s">
        <v>19</v>
      </c>
      <c r="J1771" s="7">
        <v>0</v>
      </c>
      <c r="K1771" s="7" t="s">
        <v>19</v>
      </c>
      <c r="L1771" s="7" t="str">
        <f>VLOOKUP(Healthcare!$A1771,hospital_details,2,0)</f>
        <v>26-Jun-1974</v>
      </c>
      <c r="M1771" s="7">
        <f t="shared" ref="M1771:M1834" ca="1" si="10611">VLOOKUP(A1771,hospital_details,3,0)</f>
        <v>52</v>
      </c>
      <c r="N1771" s="7">
        <f t="shared" ref="N1771:N1834" si="10612">VLOOKUP($A1771,hospital_details,4,0)</f>
        <v>0</v>
      </c>
      <c r="O1771" s="8">
        <f t="shared" ref="O1771:O1834" si="10613">VLOOKUP($A1771,hospital_details,5,0)</f>
        <v>4942.0600000000004</v>
      </c>
      <c r="P1771" s="7" t="str">
        <f t="shared" ref="P1771:P1834" si="10614">VLOOKUP($A1771,hospital_details,6,0)</f>
        <v>tier - 2</v>
      </c>
      <c r="Q1771" s="7" t="str">
        <f t="shared" ref="Q1771:Q1834" si="10615">VLOOKUP($A1771,hospital_details,7,0)</f>
        <v>tier - 2</v>
      </c>
      <c r="R1771" s="7" t="str">
        <f t="shared" ref="R1771:R1834" si="10616">VLOOKUP($A1771,hospital_details,8,0)</f>
        <v>R1013</v>
      </c>
    </row>
    <row r="1772" spans="1:18" ht="14.4" customHeight="1" x14ac:dyDescent="0.3">
      <c r="A1772" s="5" t="s">
        <v>1792</v>
      </c>
      <c r="B1772" s="5" t="str">
        <f>VLOOKUP($A1772,[1]!Customer_Names[#Data],3,0)</f>
        <v xml:space="preserve">  Shalaleh</v>
      </c>
      <c r="C1772" s="5">
        <v>25.8</v>
      </c>
      <c r="D1772" s="5" t="str" cm="1">
        <f t="array" ref="D1772">_xlfn.IFS(Healthcare!$C1772&lt;18.5,"under weight",Healthcare!$C1772&lt;=24.9,"Normal Weight",Healthcare!$C1772&gt;=25,"overweight",Healthcare!$C1772&gt;=30,"obese")</f>
        <v>overweight</v>
      </c>
      <c r="E1772" s="5">
        <v>5.29</v>
      </c>
      <c r="F1772" s="5" t="str" cm="1">
        <f t="array" ref="F1772">_xlfn.IFS(Healthcare!$E1772&lt;5.7,"normal",Healthcare!$E1772&lt;=6.4,"prediabetes",Healthcare!$E1772&gt;=6.5,"diabetes")</f>
        <v>normal</v>
      </c>
      <c r="G1772" s="5" t="s">
        <v>19</v>
      </c>
      <c r="H1772" s="5" t="s">
        <v>19</v>
      </c>
      <c r="I1772" s="5" t="s">
        <v>19</v>
      </c>
      <c r="J1772" s="5">
        <v>0</v>
      </c>
      <c r="K1772" s="5" t="s">
        <v>19</v>
      </c>
      <c r="L1772" s="5" t="str">
        <f>VLOOKUP(Healthcare!$A1772,hospital_details,2,0)</f>
        <v>27-Nov-1991</v>
      </c>
      <c r="M1772" s="5">
        <f t="shared" ref="M1772:M1835" ca="1" si="10617">VLOOKUP(A1772,hospital_details,3,0)</f>
        <v>34</v>
      </c>
      <c r="N1772" s="5">
        <f t="shared" ref="N1772:N1835" si="10618">VLOOKUP($A1772,hospital_details,4,0)</f>
        <v>2</v>
      </c>
      <c r="O1772" s="6">
        <f t="shared" ref="O1772:O1835" si="10619">VLOOKUP($A1772,hospital_details,5,0)</f>
        <v>4934.71</v>
      </c>
      <c r="P1772" s="5" t="str">
        <f t="shared" ref="P1772:P1835" si="10620">VLOOKUP($A1772,hospital_details,6,0)</f>
        <v>tier - 2</v>
      </c>
      <c r="Q1772" s="5" t="str">
        <f t="shared" ref="Q1772:Q1835" si="10621">VLOOKUP($A1772,hospital_details,7,0)</f>
        <v>tier - 3</v>
      </c>
      <c r="R1772" s="5" t="str">
        <f t="shared" ref="R1772:R1835" si="10622">VLOOKUP($A1772,hospital_details,8,0)</f>
        <v>R1011</v>
      </c>
    </row>
    <row r="1773" spans="1:18" ht="14.4" customHeight="1" x14ac:dyDescent="0.3">
      <c r="A1773" s="7" t="s">
        <v>1793</v>
      </c>
      <c r="B1773" s="7" t="str">
        <f>VLOOKUP($A1773,[1]!Customer_Names[#Data],3,0)</f>
        <v xml:space="preserve">  Karen</v>
      </c>
      <c r="C1773" s="7">
        <v>23.6</v>
      </c>
      <c r="D1773" s="7" t="str" cm="1">
        <f t="array" ref="D1773">_xlfn.IFS(Healthcare!$C1773&lt;18.5,"under weight",Healthcare!$C1773&lt;=24.9,"Normal Weight",Healthcare!$C1773&gt;=25,"overweight",Healthcare!$C1773&gt;=30,"obese")</f>
        <v>Normal Weight</v>
      </c>
      <c r="E1773" s="7">
        <v>4.33</v>
      </c>
      <c r="F1773" s="7" t="str" cm="1">
        <f t="array" ref="F1773">_xlfn.IFS(Healthcare!$E1773&lt;5.7,"normal",Healthcare!$E1773&lt;=6.4,"prediabetes",Healthcare!$E1773&gt;=6.5,"diabetes")</f>
        <v>normal</v>
      </c>
      <c r="G1773" s="7" t="s">
        <v>19</v>
      </c>
      <c r="H1773" s="7" t="s">
        <v>19</v>
      </c>
      <c r="I1773" s="7" t="s">
        <v>19</v>
      </c>
      <c r="J1773" s="7">
        <v>0</v>
      </c>
      <c r="K1773" s="7" t="s">
        <v>19</v>
      </c>
      <c r="L1773" s="7" t="str">
        <f>VLOOKUP(Healthcare!$A1773,hospital_details,2,0)</f>
        <v>23-Aug-1991</v>
      </c>
      <c r="M1773" s="7">
        <f t="shared" ref="M1773:M1836" ca="1" si="10623">VLOOKUP(A1773,hospital_details,3,0)</f>
        <v>35</v>
      </c>
      <c r="N1773" s="7">
        <f t="shared" ref="N1773:N1836" si="10624">VLOOKUP($A1773,hospital_details,4,0)</f>
        <v>2</v>
      </c>
      <c r="O1773" s="8">
        <f t="shared" ref="O1773:O1836" si="10625">VLOOKUP($A1773,hospital_details,5,0)</f>
        <v>4931.6499999999996</v>
      </c>
      <c r="P1773" s="7" t="str">
        <f t="shared" ref="P1773:P1836" si="10626">VLOOKUP($A1773,hospital_details,6,0)</f>
        <v>tier - 2</v>
      </c>
      <c r="Q1773" s="7" t="str">
        <f t="shared" ref="Q1773:Q1836" si="10627">VLOOKUP($A1773,hospital_details,7,0)</f>
        <v>tier - 3</v>
      </c>
      <c r="R1773" s="7" t="str">
        <f t="shared" ref="R1773:R1836" si="10628">VLOOKUP($A1773,hospital_details,8,0)</f>
        <v>R1011</v>
      </c>
    </row>
    <row r="1774" spans="1:18" ht="14.4" customHeight="1" x14ac:dyDescent="0.3">
      <c r="A1774" s="5" t="s">
        <v>1794</v>
      </c>
      <c r="B1774" s="5" t="str">
        <f>VLOOKUP($A1774,[1]!Customer_Names[#Data],3,0)</f>
        <v xml:space="preserve">  Zuzana</v>
      </c>
      <c r="C1774" s="5">
        <v>32.11</v>
      </c>
      <c r="D1774" s="5" t="str" cm="1">
        <f t="array" ref="D1774">_xlfn.IFS(Healthcare!$C1774&lt;18.5,"under weight",Healthcare!$C1774&lt;=24.9,"Normal Weight",Healthcare!$C1774&gt;=25,"overweight",Healthcare!$C1774&gt;=30,"obese")</f>
        <v>overweight</v>
      </c>
      <c r="E1774" s="5">
        <v>6.24</v>
      </c>
      <c r="F1774" s="5" t="str" cm="1">
        <f t="array" ref="F1774">_xlfn.IFS(Healthcare!$E1774&lt;5.7,"normal",Healthcare!$E1774&lt;=6.4,"prediabetes",Healthcare!$E1774&gt;=6.5,"diabetes")</f>
        <v>prediabetes</v>
      </c>
      <c r="G1774" s="5" t="s">
        <v>19</v>
      </c>
      <c r="H1774" s="5" t="s">
        <v>19</v>
      </c>
      <c r="I1774" s="5" t="s">
        <v>29</v>
      </c>
      <c r="J1774" s="5">
        <v>1</v>
      </c>
      <c r="K1774" s="5" t="s">
        <v>19</v>
      </c>
      <c r="L1774" s="5" t="str">
        <f>VLOOKUP(Healthcare!$A1774,hospital_details,2,0)</f>
        <v>10-Aug-1993</v>
      </c>
      <c r="M1774" s="5">
        <f t="shared" ref="M1774:M1837" ca="1" si="10629">VLOOKUP(A1774,hospital_details,3,0)</f>
        <v>33</v>
      </c>
      <c r="N1774" s="5">
        <f t="shared" ref="N1774:N1837" si="10630">VLOOKUP($A1774,hospital_details,4,0)</f>
        <v>2</v>
      </c>
      <c r="O1774" s="6">
        <f t="shared" ref="O1774:O1837" si="10631">VLOOKUP($A1774,hospital_details,5,0)</f>
        <v>4922.92</v>
      </c>
      <c r="P1774" s="5" t="str">
        <f t="shared" ref="P1774:P1837" si="10632">VLOOKUP($A1774,hospital_details,6,0)</f>
        <v>tier - 2</v>
      </c>
      <c r="Q1774" s="5" t="str">
        <f t="shared" ref="Q1774:Q1837" si="10633">VLOOKUP($A1774,hospital_details,7,0)</f>
        <v>tier - 2</v>
      </c>
      <c r="R1774" s="5" t="str">
        <f t="shared" ref="R1774:R1837" si="10634">VLOOKUP($A1774,hospital_details,8,0)</f>
        <v>R1012</v>
      </c>
    </row>
    <row r="1775" spans="1:18" ht="14.4" customHeight="1" x14ac:dyDescent="0.3">
      <c r="A1775" s="7" t="s">
        <v>1795</v>
      </c>
      <c r="B1775" s="7" t="str">
        <f>VLOOKUP($A1775,[1]!Customer_Names[#Data],3,0)</f>
        <v xml:space="preserve">  Daniel J</v>
      </c>
      <c r="C1775" s="7">
        <v>30.114999999999998</v>
      </c>
      <c r="D1775" s="7" t="str" cm="1">
        <f t="array" ref="D1775">_xlfn.IFS(Healthcare!$C1775&lt;18.5,"under weight",Healthcare!$C1775&lt;=24.9,"Normal Weight",Healthcare!$C1775&gt;=25,"overweight",Healthcare!$C1775&gt;=30,"obese")</f>
        <v>overweight</v>
      </c>
      <c r="E1775" s="7">
        <v>11.61</v>
      </c>
      <c r="F1775" s="7" t="str" cm="1">
        <f t="array" ref="F1775">_xlfn.IFS(Healthcare!$E1775&lt;5.7,"normal",Healthcare!$E1775&lt;=6.4,"prediabetes",Healthcare!$E1775&gt;=6.5,"diabetes")</f>
        <v>diabetes</v>
      </c>
      <c r="G1775" s="7" t="s">
        <v>19</v>
      </c>
      <c r="H1775" s="7" t="s">
        <v>19</v>
      </c>
      <c r="I1775" s="7" t="s">
        <v>19</v>
      </c>
      <c r="J1775" s="7">
        <v>0</v>
      </c>
      <c r="K1775" s="7" t="s">
        <v>19</v>
      </c>
      <c r="L1775" s="7" t="str">
        <f>VLOOKUP(Healthcare!$A1775,hospital_details,2,0)</f>
        <v>21-Aug-2002</v>
      </c>
      <c r="M1775" s="7">
        <f t="shared" ref="M1775:M1838" ca="1" si="10635">VLOOKUP(A1775,hospital_details,3,0)</f>
        <v>24</v>
      </c>
      <c r="N1775" s="7">
        <f t="shared" ref="N1775:N1838" si="10636">VLOOKUP($A1775,hospital_details,4,0)</f>
        <v>5</v>
      </c>
      <c r="O1775" s="8">
        <f t="shared" ref="O1775:O1838" si="10637">VLOOKUP($A1775,hospital_details,5,0)</f>
        <v>4915.0600000000004</v>
      </c>
      <c r="P1775" s="7" t="str">
        <f t="shared" ref="P1775:P1838" si="10638">VLOOKUP($A1775,hospital_details,6,0)</f>
        <v>tier - 2</v>
      </c>
      <c r="Q1775" s="7" t="str">
        <f t="shared" ref="Q1775:Q1838" si="10639">VLOOKUP($A1775,hospital_details,7,0)</f>
        <v>tier - 1</v>
      </c>
      <c r="R1775" s="7" t="str">
        <f t="shared" ref="R1775:R1838" si="10640">VLOOKUP($A1775,hospital_details,8,0)</f>
        <v>R1017</v>
      </c>
    </row>
    <row r="1776" spans="1:18" ht="14.4" customHeight="1" x14ac:dyDescent="0.3">
      <c r="A1776" s="5" t="s">
        <v>1796</v>
      </c>
      <c r="B1776" s="5" t="str">
        <f>VLOOKUP($A1776,[1]!Customer_Names[#Data],3,0)</f>
        <v xml:space="preserve">  Alexandra</v>
      </c>
      <c r="C1776" s="5">
        <v>20.28</v>
      </c>
      <c r="D1776" s="5" t="str" cm="1">
        <f t="array" ref="D1776">_xlfn.IFS(Healthcare!$C1776&lt;18.5,"under weight",Healthcare!$C1776&lt;=24.9,"Normal Weight",Healthcare!$C1776&gt;=25,"overweight",Healthcare!$C1776&gt;=30,"obese")</f>
        <v>Normal Weight</v>
      </c>
      <c r="E1776" s="5">
        <v>11.07</v>
      </c>
      <c r="F1776" s="5" t="str" cm="1">
        <f t="array" ref="F1776">_xlfn.IFS(Healthcare!$E1776&lt;5.7,"normal",Healthcare!$E1776&lt;=6.4,"prediabetes",Healthcare!$E1776&gt;=6.5,"diabetes")</f>
        <v>diabetes</v>
      </c>
      <c r="G1776" s="5" t="s">
        <v>20</v>
      </c>
      <c r="H1776" s="5" t="s">
        <v>19</v>
      </c>
      <c r="I1776" s="5" t="s">
        <v>19</v>
      </c>
      <c r="J1776" s="5">
        <v>0</v>
      </c>
      <c r="K1776" s="5" t="s">
        <v>19</v>
      </c>
      <c r="L1776" s="5" t="str">
        <f>VLOOKUP(Healthcare!$A1776,hospital_details,2,0)</f>
        <v>18-Oct-1981</v>
      </c>
      <c r="M1776" s="5">
        <f t="shared" ref="M1776:M1839" ca="1" si="10641">VLOOKUP(A1776,hospital_details,3,0)</f>
        <v>45</v>
      </c>
      <c r="N1776" s="5">
        <f t="shared" ref="N1776:N1839" si="10642">VLOOKUP($A1776,hospital_details,4,0)</f>
        <v>1</v>
      </c>
      <c r="O1776" s="6">
        <f t="shared" ref="O1776:O1839" si="10643">VLOOKUP($A1776,hospital_details,5,0)</f>
        <v>4911.8900000000003</v>
      </c>
      <c r="P1776" s="5" t="str">
        <f t="shared" ref="P1776:P1839" si="10644">VLOOKUP($A1776,hospital_details,6,0)</f>
        <v>tier - 2</v>
      </c>
      <c r="Q1776" s="5" t="str">
        <f t="shared" ref="Q1776:Q1839" si="10645">VLOOKUP($A1776,hospital_details,7,0)</f>
        <v>tier - 3</v>
      </c>
      <c r="R1776" s="5" t="str">
        <f t="shared" ref="R1776:R1839" si="10646">VLOOKUP($A1776,hospital_details,8,0)</f>
        <v>R1013</v>
      </c>
    </row>
    <row r="1777" spans="1:18" ht="14.4" customHeight="1" x14ac:dyDescent="0.3">
      <c r="A1777" s="7" t="s">
        <v>1797</v>
      </c>
      <c r="B1777" s="7" t="str">
        <f>VLOOKUP($A1777,[1]!Customer_Names[#Data],3,0)</f>
        <v xml:space="preserve">  Jessica</v>
      </c>
      <c r="C1777" s="7">
        <v>20.234999999999999</v>
      </c>
      <c r="D1777" s="7" t="str" cm="1">
        <f t="array" ref="D1777">_xlfn.IFS(Healthcare!$C1777&lt;18.5,"under weight",Healthcare!$C1777&lt;=24.9,"Normal Weight",Healthcare!$C1777&gt;=25,"overweight",Healthcare!$C1777&gt;=30,"obese")</f>
        <v>Normal Weight</v>
      </c>
      <c r="E1777" s="7">
        <v>5.19</v>
      </c>
      <c r="F1777" s="7" t="str" cm="1">
        <f t="array" ref="F1777">_xlfn.IFS(Healthcare!$E1777&lt;5.7,"normal",Healthcare!$E1777&lt;=6.4,"prediabetes",Healthcare!$E1777&gt;=6.5,"diabetes")</f>
        <v>normal</v>
      </c>
      <c r="G1777" s="7" t="s">
        <v>19</v>
      </c>
      <c r="H1777" s="7" t="s">
        <v>19</v>
      </c>
      <c r="I1777" s="7" t="s">
        <v>29</v>
      </c>
      <c r="J1777" s="7">
        <v>1</v>
      </c>
      <c r="K1777" s="7" t="s">
        <v>19</v>
      </c>
      <c r="L1777" s="7" t="str">
        <f>VLOOKUP(Healthcare!$A1777,hospital_details,2,0)</f>
        <v>10-Jul-1993</v>
      </c>
      <c r="M1777" s="7">
        <f t="shared" ref="M1777:M1840" ca="1" si="10647">VLOOKUP(A1777,hospital_details,3,0)</f>
        <v>33</v>
      </c>
      <c r="N1777" s="7">
        <f t="shared" ref="N1777:N1840" si="10648">VLOOKUP($A1777,hospital_details,4,0)</f>
        <v>2</v>
      </c>
      <c r="O1777" s="8">
        <f t="shared" ref="O1777:O1840" si="10649">VLOOKUP($A1777,hospital_details,5,0)</f>
        <v>4906.41</v>
      </c>
      <c r="P1777" s="7" t="str">
        <f t="shared" ref="P1777:P1840" si="10650">VLOOKUP($A1777,hospital_details,6,0)</f>
        <v>tier - 2</v>
      </c>
      <c r="Q1777" s="7" t="str">
        <f t="shared" ref="Q1777:Q1840" si="10651">VLOOKUP($A1777,hospital_details,7,0)</f>
        <v>tier - 1</v>
      </c>
      <c r="R1777" s="7" t="str">
        <f t="shared" ref="R1777:R1840" si="10652">VLOOKUP($A1777,hospital_details,8,0)</f>
        <v>R1012</v>
      </c>
    </row>
    <row r="1778" spans="1:18" ht="14.4" customHeight="1" x14ac:dyDescent="0.3">
      <c r="A1778" s="5" t="s">
        <v>1798</v>
      </c>
      <c r="B1778" s="5" t="str">
        <f>VLOOKUP($A1778,[1]!Customer_Names[#Data],3,0)</f>
        <v xml:space="preserve">  Matthew M</v>
      </c>
      <c r="C1778" s="5">
        <v>25.27</v>
      </c>
      <c r="D1778" s="5" t="str" cm="1">
        <f t="array" ref="D1778">_xlfn.IFS(Healthcare!$C1778&lt;18.5,"under weight",Healthcare!$C1778&lt;=24.9,"Normal Weight",Healthcare!$C1778&gt;=25,"overweight",Healthcare!$C1778&gt;=30,"obese")</f>
        <v>overweight</v>
      </c>
      <c r="E1778" s="5">
        <v>5.7</v>
      </c>
      <c r="F1778" s="5" t="str" cm="1">
        <f t="array" ref="F1778">_xlfn.IFS(Healthcare!$E1778&lt;5.7,"normal",Healthcare!$E1778&lt;=6.4,"prediabetes",Healthcare!$E1778&gt;=6.5,"diabetes")</f>
        <v>prediabetes</v>
      </c>
      <c r="G1778" s="5" t="s">
        <v>20</v>
      </c>
      <c r="H1778" s="5" t="s">
        <v>19</v>
      </c>
      <c r="I1778" s="5" t="s">
        <v>19</v>
      </c>
      <c r="J1778" s="5">
        <v>1</v>
      </c>
      <c r="K1778" s="5" t="s">
        <v>19</v>
      </c>
      <c r="L1778" s="5" t="str">
        <f>VLOOKUP(Healthcare!$A1778,hospital_details,2,0)</f>
        <v>23-Sep-1988</v>
      </c>
      <c r="M1778" s="5">
        <f t="shared" ref="M1778:M1841" ca="1" si="10653">VLOOKUP(A1778,hospital_details,3,0)</f>
        <v>38</v>
      </c>
      <c r="N1778" s="5">
        <f t="shared" ref="N1778:N1841" si="10654">VLOOKUP($A1778,hospital_details,4,0)</f>
        <v>1</v>
      </c>
      <c r="O1778" s="6">
        <f t="shared" ref="O1778:O1841" si="10655">VLOOKUP($A1778,hospital_details,5,0)</f>
        <v>4894.75</v>
      </c>
      <c r="P1778" s="5" t="str">
        <f t="shared" ref="P1778:P1841" si="10656">VLOOKUP($A1778,hospital_details,6,0)</f>
        <v>tier - 3</v>
      </c>
      <c r="Q1778" s="5" t="str">
        <f t="shared" ref="Q1778:Q1841" si="10657">VLOOKUP($A1778,hospital_details,7,0)</f>
        <v>tier - 3</v>
      </c>
      <c r="R1778" s="5" t="str">
        <f t="shared" ref="R1778:R1841" si="10658">VLOOKUP($A1778,hospital_details,8,0)</f>
        <v>R1012</v>
      </c>
    </row>
    <row r="1779" spans="1:18" ht="14.4" customHeight="1" x14ac:dyDescent="0.3">
      <c r="A1779" s="7" t="s">
        <v>1799</v>
      </c>
      <c r="B1779" s="7" t="str">
        <f>VLOOKUP($A1779,[1]!Customer_Names[#Data],3,0)</f>
        <v xml:space="preserve">  Nadine A</v>
      </c>
      <c r="C1779" s="7">
        <v>24.24</v>
      </c>
      <c r="D1779" s="7" t="str" cm="1">
        <f t="array" ref="D1779">_xlfn.IFS(Healthcare!$C1779&lt;18.5,"under weight",Healthcare!$C1779&lt;=24.9,"Normal Weight",Healthcare!$C1779&gt;=25,"overweight",Healthcare!$C1779&gt;=30,"obese")</f>
        <v>Normal Weight</v>
      </c>
      <c r="E1779" s="7">
        <v>6.15</v>
      </c>
      <c r="F1779" s="7" t="str" cm="1">
        <f t="array" ref="F1779">_xlfn.IFS(Healthcare!$E1779&lt;5.7,"normal",Healthcare!$E1779&lt;=6.4,"prediabetes",Healthcare!$E1779&gt;=6.5,"diabetes")</f>
        <v>prediabetes</v>
      </c>
      <c r="G1779" s="7" t="s">
        <v>19</v>
      </c>
      <c r="H1779" s="7" t="s">
        <v>19</v>
      </c>
      <c r="I1779" s="7" t="s">
        <v>19</v>
      </c>
      <c r="J1779" s="7">
        <v>0</v>
      </c>
      <c r="K1779" s="7" t="s">
        <v>19</v>
      </c>
      <c r="L1779" s="7" t="str">
        <f>VLOOKUP(Healthcare!$A1779,hospital_details,2,0)</f>
        <v>28-Nov-1990</v>
      </c>
      <c r="M1779" s="7">
        <f t="shared" ref="M1779:M1842" ca="1" si="10659">VLOOKUP(A1779,hospital_details,3,0)</f>
        <v>35</v>
      </c>
      <c r="N1779" s="7">
        <f t="shared" ref="N1779:N1842" si="10660">VLOOKUP($A1779,hospital_details,4,0)</f>
        <v>3</v>
      </c>
      <c r="O1779" s="8">
        <f t="shared" ref="O1779:O1842" si="10661">VLOOKUP($A1779,hospital_details,5,0)</f>
        <v>4894.3900000000003</v>
      </c>
      <c r="P1779" s="7" t="str">
        <f t="shared" ref="P1779:P1842" si="10662">VLOOKUP($A1779,hospital_details,6,0)</f>
        <v>tier - 2</v>
      </c>
      <c r="Q1779" s="7" t="str">
        <f t="shared" ref="Q1779:Q1842" si="10663">VLOOKUP($A1779,hospital_details,7,0)</f>
        <v>tier - 3</v>
      </c>
      <c r="R1779" s="7" t="str">
        <f t="shared" ref="R1779:R1842" si="10664">VLOOKUP($A1779,hospital_details,8,0)</f>
        <v>R1013</v>
      </c>
    </row>
    <row r="1780" spans="1:18" ht="14.4" customHeight="1" x14ac:dyDescent="0.3">
      <c r="A1780" s="5" t="s">
        <v>1800</v>
      </c>
      <c r="B1780" s="5" t="str">
        <f>VLOOKUP($A1780,[1]!Customer_Names[#Data],3,0)</f>
        <v xml:space="preserve">  Peter J</v>
      </c>
      <c r="C1780" s="5">
        <v>35.75</v>
      </c>
      <c r="D1780" s="5" t="str" cm="1">
        <f t="array" ref="D1780">_xlfn.IFS(Healthcare!$C1780&lt;18.5,"under weight",Healthcare!$C1780&lt;=24.9,"Normal Weight",Healthcare!$C1780&gt;=25,"overweight",Healthcare!$C1780&gt;=30,"obese")</f>
        <v>overweight</v>
      </c>
      <c r="E1780" s="5">
        <v>5.07</v>
      </c>
      <c r="F1780" s="5" t="str" cm="1">
        <f t="array" ref="F1780">_xlfn.IFS(Healthcare!$E1780&lt;5.7,"normal",Healthcare!$E1780&lt;=6.4,"prediabetes",Healthcare!$E1780&gt;=6.5,"diabetes")</f>
        <v>normal</v>
      </c>
      <c r="G1780" s="5" t="s">
        <v>19</v>
      </c>
      <c r="H1780" s="5" t="s">
        <v>19</v>
      </c>
      <c r="I1780" s="5" t="s">
        <v>19</v>
      </c>
      <c r="J1780" s="5">
        <v>0</v>
      </c>
      <c r="K1780" s="5" t="s">
        <v>19</v>
      </c>
      <c r="L1780" s="5" t="str">
        <f>VLOOKUP(Healthcare!$A1780,hospital_details,2,0)</f>
        <v>10-Jul-1989</v>
      </c>
      <c r="M1780" s="5">
        <f t="shared" ref="M1780:M1843" ca="1" si="10665">VLOOKUP(A1780,hospital_details,3,0)</f>
        <v>37</v>
      </c>
      <c r="N1780" s="5">
        <f t="shared" ref="N1780:N1843" si="10666">VLOOKUP($A1780,hospital_details,4,0)</f>
        <v>2</v>
      </c>
      <c r="O1780" s="6">
        <f t="shared" ref="O1780:O1843" si="10667">VLOOKUP($A1780,hospital_details,5,0)</f>
        <v>4890</v>
      </c>
      <c r="P1780" s="5" t="str">
        <f t="shared" ref="P1780:P1843" si="10668">VLOOKUP($A1780,hospital_details,6,0)</f>
        <v>tier - 3</v>
      </c>
      <c r="Q1780" s="5" t="str">
        <f t="shared" ref="Q1780:Q1843" si="10669">VLOOKUP($A1780,hospital_details,7,0)</f>
        <v>tier - 2</v>
      </c>
      <c r="R1780" s="5" t="str">
        <f t="shared" ref="R1780:R1843" si="10670">VLOOKUP($A1780,hospital_details,8,0)</f>
        <v>R1013</v>
      </c>
    </row>
    <row r="1781" spans="1:18" ht="14.4" customHeight="1" x14ac:dyDescent="0.3">
      <c r="A1781" s="7" t="s">
        <v>1801</v>
      </c>
      <c r="B1781" s="7" t="str">
        <f>VLOOKUP($A1781,[1]!Customer_Names[#Data],3,0)</f>
        <v xml:space="preserve">  Colleen M</v>
      </c>
      <c r="C1781" s="7">
        <v>29.92</v>
      </c>
      <c r="D1781" s="7" t="str" cm="1">
        <f t="array" ref="D1781">_xlfn.IFS(Healthcare!$C1781&lt;18.5,"under weight",Healthcare!$C1781&lt;=24.9,"Normal Weight",Healthcare!$C1781&gt;=25,"overweight",Healthcare!$C1781&gt;=30,"obese")</f>
        <v>overweight</v>
      </c>
      <c r="E1781" s="7">
        <v>10.97</v>
      </c>
      <c r="F1781" s="7" t="str" cm="1">
        <f t="array" ref="F1781">_xlfn.IFS(Healthcare!$E1781&lt;5.7,"normal",Healthcare!$E1781&lt;=6.4,"prediabetes",Healthcare!$E1781&gt;=6.5,"diabetes")</f>
        <v>diabetes</v>
      </c>
      <c r="G1781" s="7" t="s">
        <v>20</v>
      </c>
      <c r="H1781" s="7" t="s">
        <v>19</v>
      </c>
      <c r="I1781" s="7" t="s">
        <v>19</v>
      </c>
      <c r="J1781" s="7">
        <v>1</v>
      </c>
      <c r="K1781" s="7" t="s">
        <v>19</v>
      </c>
      <c r="L1781" s="7" t="str">
        <f>VLOOKUP(Healthcare!$A1781,hospital_details,2,0)</f>
        <v>27-Oct-1986</v>
      </c>
      <c r="M1781" s="7">
        <f t="shared" ref="M1781:M1844" ca="1" si="10671">VLOOKUP(A1781,hospital_details,3,0)</f>
        <v>39</v>
      </c>
      <c r="N1781" s="7">
        <f t="shared" ref="N1781:N1844" si="10672">VLOOKUP($A1781,hospital_details,4,0)</f>
        <v>0</v>
      </c>
      <c r="O1781" s="8">
        <f t="shared" ref="O1781:O1844" si="10673">VLOOKUP($A1781,hospital_details,5,0)</f>
        <v>4889.04</v>
      </c>
      <c r="P1781" s="7" t="str">
        <f t="shared" ref="P1781:P1844" si="10674">VLOOKUP($A1781,hospital_details,6,0)</f>
        <v>tier - 2</v>
      </c>
      <c r="Q1781" s="7" t="str">
        <f t="shared" ref="Q1781:Q1844" si="10675">VLOOKUP($A1781,hospital_details,7,0)</f>
        <v>tier - 1</v>
      </c>
      <c r="R1781" s="7" t="str">
        <f t="shared" ref="R1781:R1844" si="10676">VLOOKUP($A1781,hospital_details,8,0)</f>
        <v>R1013</v>
      </c>
    </row>
    <row r="1782" spans="1:18" ht="14.4" customHeight="1" x14ac:dyDescent="0.3">
      <c r="A1782" s="5" t="s">
        <v>1802</v>
      </c>
      <c r="B1782" s="5" t="str">
        <f>VLOOKUP($A1782,[1]!Customer_Names[#Data],3,0)</f>
        <v xml:space="preserve">  Julie A</v>
      </c>
      <c r="C1782" s="5">
        <v>26.2</v>
      </c>
      <c r="D1782" s="5" t="str" cm="1">
        <f t="array" ref="D1782">_xlfn.IFS(Healthcare!$C1782&lt;18.5,"under weight",Healthcare!$C1782&lt;=24.9,"Normal Weight",Healthcare!$C1782&gt;=25,"overweight",Healthcare!$C1782&gt;=30,"obese")</f>
        <v>overweight</v>
      </c>
      <c r="E1782" s="5">
        <v>10.93</v>
      </c>
      <c r="F1782" s="5" t="str" cm="1">
        <f t="array" ref="F1782">_xlfn.IFS(Healthcare!$E1782&lt;5.7,"normal",Healthcare!$E1782&lt;=6.4,"prediabetes",Healthcare!$E1782&gt;=6.5,"diabetes")</f>
        <v>diabetes</v>
      </c>
      <c r="G1782" s="5" t="s">
        <v>20</v>
      </c>
      <c r="H1782" s="5" t="s">
        <v>19</v>
      </c>
      <c r="I1782" s="5" t="s">
        <v>19</v>
      </c>
      <c r="J1782" s="5">
        <v>1</v>
      </c>
      <c r="K1782" s="5" t="s">
        <v>19</v>
      </c>
      <c r="L1782" s="5" t="str">
        <f>VLOOKUP(Healthcare!$A1782,hospital_details,2,0)</f>
        <v>23-Dec-1986</v>
      </c>
      <c r="M1782" s="5">
        <f t="shared" ref="M1782:M1845" ca="1" si="10677">VLOOKUP(A1782,hospital_details,3,0)</f>
        <v>39</v>
      </c>
      <c r="N1782" s="5">
        <f t="shared" ref="N1782:N1845" si="10678">VLOOKUP($A1782,hospital_details,4,0)</f>
        <v>0</v>
      </c>
      <c r="O1782" s="6">
        <f t="shared" ref="O1782:O1845" si="10679">VLOOKUP($A1782,hospital_details,5,0)</f>
        <v>4883.87</v>
      </c>
      <c r="P1782" s="5" t="str">
        <f t="shared" ref="P1782:P1845" si="10680">VLOOKUP($A1782,hospital_details,6,0)</f>
        <v>tier - 2</v>
      </c>
      <c r="Q1782" s="5" t="str">
        <f t="shared" ref="Q1782:Q1845" si="10681">VLOOKUP($A1782,hospital_details,7,0)</f>
        <v>tier - 1</v>
      </c>
      <c r="R1782" s="5" t="str">
        <f t="shared" ref="R1782:R1845" si="10682">VLOOKUP($A1782,hospital_details,8,0)</f>
        <v>R1011</v>
      </c>
    </row>
    <row r="1783" spans="1:18" ht="14.4" customHeight="1" x14ac:dyDescent="0.3">
      <c r="A1783" s="7" t="s">
        <v>1803</v>
      </c>
      <c r="B1783" s="7" t="str">
        <f>VLOOKUP($A1783,[1]!Customer_Names[#Data],3,0)</f>
        <v xml:space="preserve">  Douglas W</v>
      </c>
      <c r="C1783" s="7">
        <v>26.695</v>
      </c>
      <c r="D1783" s="7" t="str" cm="1">
        <f t="array" ref="D1783">_xlfn.IFS(Healthcare!$C1783&lt;18.5,"under weight",Healthcare!$C1783&lt;=24.9,"Normal Weight",Healthcare!$C1783&gt;=25,"overweight",Healthcare!$C1783&gt;=30,"obese")</f>
        <v>overweight</v>
      </c>
      <c r="E1783" s="7">
        <v>4.21</v>
      </c>
      <c r="F1783" s="7" t="str" cm="1">
        <f t="array" ref="F1783">_xlfn.IFS(Healthcare!$E1783&lt;5.7,"normal",Healthcare!$E1783&lt;=6.4,"prediabetes",Healthcare!$E1783&gt;=6.5,"diabetes")</f>
        <v>normal</v>
      </c>
      <c r="G1783" s="7" t="s">
        <v>20</v>
      </c>
      <c r="H1783" s="7" t="s">
        <v>19</v>
      </c>
      <c r="I1783" s="7" t="s">
        <v>29</v>
      </c>
      <c r="J1783" s="7">
        <v>1</v>
      </c>
      <c r="K1783" s="7" t="s">
        <v>19</v>
      </c>
      <c r="L1783" s="7" t="str">
        <f>VLOOKUP(Healthcare!$A1783,hospital_details,2,0)</f>
        <v>29-Sep-1997</v>
      </c>
      <c r="M1783" s="7">
        <f t="shared" ref="M1783:M1846" ca="1" si="10683">VLOOKUP(A1783,hospital_details,3,0)</f>
        <v>29</v>
      </c>
      <c r="N1783" s="7">
        <f t="shared" ref="N1783:N1846" si="10684">VLOOKUP($A1783,hospital_details,4,0)</f>
        <v>4</v>
      </c>
      <c r="O1783" s="8">
        <f t="shared" ref="O1783:O1846" si="10685">VLOOKUP($A1783,hospital_details,5,0)</f>
        <v>4877.9799999999996</v>
      </c>
      <c r="P1783" s="7" t="str">
        <f t="shared" ref="P1783:P1846" si="10686">VLOOKUP($A1783,hospital_details,6,0)</f>
        <v>tier - 2</v>
      </c>
      <c r="Q1783" s="7" t="str">
        <f t="shared" ref="Q1783:Q1846" si="10687">VLOOKUP($A1783,hospital_details,7,0)</f>
        <v>tier - 3</v>
      </c>
      <c r="R1783" s="7" t="str">
        <f t="shared" ref="R1783:R1846" si="10688">VLOOKUP($A1783,hospital_details,8,0)</f>
        <v>R1012</v>
      </c>
    </row>
    <row r="1784" spans="1:18" ht="14.4" customHeight="1" x14ac:dyDescent="0.3">
      <c r="A1784" s="5" t="s">
        <v>1804</v>
      </c>
      <c r="B1784" s="5" t="str">
        <f>VLOOKUP($A1784,[1]!Customer_Names[#Data],3,0)</f>
        <v xml:space="preserve">  Catherine</v>
      </c>
      <c r="C1784" s="5">
        <v>23.16</v>
      </c>
      <c r="D1784" s="5" t="str" cm="1">
        <f t="array" ref="D1784">_xlfn.IFS(Healthcare!$C1784&lt;18.5,"under weight",Healthcare!$C1784&lt;=24.9,"Normal Weight",Healthcare!$C1784&gt;=25,"overweight",Healthcare!$C1784&gt;=30,"obese")</f>
        <v>Normal Weight</v>
      </c>
      <c r="E1784" s="5">
        <v>5.5</v>
      </c>
      <c r="F1784" s="5" t="str" cm="1">
        <f t="array" ref="F1784">_xlfn.IFS(Healthcare!$E1784&lt;5.7,"normal",Healthcare!$E1784&lt;=6.4,"prediabetes",Healthcare!$E1784&gt;=6.5,"diabetes")</f>
        <v>normal</v>
      </c>
      <c r="G1784" s="5" t="s">
        <v>19</v>
      </c>
      <c r="H1784" s="5" t="s">
        <v>19</v>
      </c>
      <c r="I1784" s="5" t="s">
        <v>19</v>
      </c>
      <c r="J1784" s="5">
        <v>0</v>
      </c>
      <c r="K1784" s="5" t="s">
        <v>19</v>
      </c>
      <c r="L1784" s="5" t="str">
        <f>VLOOKUP(Healthcare!$A1784,hospital_details,2,0)</f>
        <v>1-Sep-1989</v>
      </c>
      <c r="M1784" s="5">
        <f t="shared" ref="M1784:M1847" ca="1" si="10689">VLOOKUP(A1784,hospital_details,3,0)</f>
        <v>37</v>
      </c>
      <c r="N1784" s="5">
        <f t="shared" ref="N1784:N1847" si="10690">VLOOKUP($A1784,hospital_details,4,0)</f>
        <v>3</v>
      </c>
      <c r="O1784" s="6">
        <f t="shared" ref="O1784:O1847" si="10691">VLOOKUP($A1784,hospital_details,5,0)</f>
        <v>4859.8900000000003</v>
      </c>
      <c r="P1784" s="5" t="str">
        <f t="shared" ref="P1784:P1847" si="10692">VLOOKUP($A1784,hospital_details,6,0)</f>
        <v>tier - 2</v>
      </c>
      <c r="Q1784" s="5" t="str">
        <f t="shared" ref="Q1784:Q1847" si="10693">VLOOKUP($A1784,hospital_details,7,0)</f>
        <v>tier - 3</v>
      </c>
      <c r="R1784" s="5" t="str">
        <f t="shared" ref="R1784:R1847" si="10694">VLOOKUP($A1784,hospital_details,8,0)</f>
        <v>R1011</v>
      </c>
    </row>
    <row r="1785" spans="1:18" ht="14.4" customHeight="1" x14ac:dyDescent="0.3">
      <c r="A1785" s="7" t="s">
        <v>1805</v>
      </c>
      <c r="B1785" s="7" t="str">
        <f>VLOOKUP($A1785,[1]!Customer_Names[#Data],3,0)</f>
        <v xml:space="preserve">  James A</v>
      </c>
      <c r="C1785" s="7">
        <v>32.585000000000001</v>
      </c>
      <c r="D1785" s="7" t="str" cm="1">
        <f t="array" ref="D1785">_xlfn.IFS(Healthcare!$C1785&lt;18.5,"under weight",Healthcare!$C1785&lt;=24.9,"Normal Weight",Healthcare!$C1785&gt;=25,"overweight",Healthcare!$C1785&gt;=30,"obese")</f>
        <v>overweight</v>
      </c>
      <c r="E1785" s="7">
        <v>4.93</v>
      </c>
      <c r="F1785" s="7" t="str" cm="1">
        <f t="array" ref="F1785">_xlfn.IFS(Healthcare!$E1785&lt;5.7,"normal",Healthcare!$E1785&lt;=6.4,"prediabetes",Healthcare!$E1785&gt;=6.5,"diabetes")</f>
        <v>normal</v>
      </c>
      <c r="G1785" s="7" t="s">
        <v>20</v>
      </c>
      <c r="H1785" s="7" t="s">
        <v>19</v>
      </c>
      <c r="I1785" s="7" t="s">
        <v>19</v>
      </c>
      <c r="J1785" s="7">
        <v>1</v>
      </c>
      <c r="K1785" s="7" t="s">
        <v>19</v>
      </c>
      <c r="L1785" s="7" t="str">
        <f>VLOOKUP(Healthcare!$A1785,hospital_details,2,0)</f>
        <v>27-Dec-1995</v>
      </c>
      <c r="M1785" s="7">
        <f t="shared" ref="M1785:M1848" ca="1" si="10695">VLOOKUP(A1785,hospital_details,3,0)</f>
        <v>30</v>
      </c>
      <c r="N1785" s="7">
        <f t="shared" ref="N1785:N1848" si="10696">VLOOKUP($A1785,hospital_details,4,0)</f>
        <v>3</v>
      </c>
      <c r="O1785" s="8">
        <f t="shared" ref="O1785:O1848" si="10697">VLOOKUP($A1785,hospital_details,5,0)</f>
        <v>4846.92</v>
      </c>
      <c r="P1785" s="7" t="str">
        <f t="shared" ref="P1785:P1848" si="10698">VLOOKUP($A1785,hospital_details,6,0)</f>
        <v>tier - 2</v>
      </c>
      <c r="Q1785" s="7" t="str">
        <f t="shared" ref="Q1785:Q1848" si="10699">VLOOKUP($A1785,hospital_details,7,0)</f>
        <v>tier - 3</v>
      </c>
      <c r="R1785" s="7" t="str">
        <f t="shared" ref="R1785:R1848" si="10700">VLOOKUP($A1785,hospital_details,8,0)</f>
        <v>R1017</v>
      </c>
    </row>
    <row r="1786" spans="1:18" ht="14.4" customHeight="1" x14ac:dyDescent="0.3">
      <c r="A1786" s="5" t="s">
        <v>1806</v>
      </c>
      <c r="B1786" s="5" t="str">
        <f>VLOOKUP($A1786,[1]!Customer_Names[#Data],3,0)</f>
        <v xml:space="preserve">  Youngseong</v>
      </c>
      <c r="C1786" s="5">
        <v>33.97</v>
      </c>
      <c r="D1786" s="5" t="str" cm="1">
        <f t="array" ref="D1786">_xlfn.IFS(Healthcare!$C1786&lt;18.5,"under weight",Healthcare!$C1786&lt;=24.9,"Normal Weight",Healthcare!$C1786&gt;=25,"overweight",Healthcare!$C1786&gt;=30,"obese")</f>
        <v>overweight</v>
      </c>
      <c r="E1786" s="5">
        <v>5.6</v>
      </c>
      <c r="F1786" s="5" t="str" cm="1">
        <f t="array" ref="F1786">_xlfn.IFS(Healthcare!$E1786&lt;5.7,"normal",Healthcare!$E1786&lt;=6.4,"prediabetes",Healthcare!$E1786&gt;=6.5,"diabetes")</f>
        <v>normal</v>
      </c>
      <c r="G1786" s="5" t="s">
        <v>20</v>
      </c>
      <c r="H1786" s="5" t="s">
        <v>19</v>
      </c>
      <c r="I1786" s="5" t="s">
        <v>19</v>
      </c>
      <c r="J1786" s="5">
        <v>0</v>
      </c>
      <c r="K1786" s="5" t="s">
        <v>19</v>
      </c>
      <c r="L1786" s="5" t="str">
        <f>VLOOKUP(Healthcare!$A1786,hospital_details,2,0)</f>
        <v>7-Jun-2001</v>
      </c>
      <c r="M1786" s="5">
        <f t="shared" ref="M1786:M1849" ca="1" si="10701">VLOOKUP(A1786,hospital_details,3,0)</f>
        <v>25</v>
      </c>
      <c r="N1786" s="5">
        <f t="shared" ref="N1786:N1849" si="10702">VLOOKUP($A1786,hospital_details,4,0)</f>
        <v>0</v>
      </c>
      <c r="O1786" s="6">
        <f t="shared" ref="O1786:O1849" si="10703">VLOOKUP($A1786,hospital_details,5,0)</f>
        <v>4846.53</v>
      </c>
      <c r="P1786" s="5" t="str">
        <f t="shared" ref="P1786:P1849" si="10704">VLOOKUP($A1786,hospital_details,6,0)</f>
        <v>tier - 2</v>
      </c>
      <c r="Q1786" s="5" t="str">
        <f t="shared" ref="Q1786:Q1849" si="10705">VLOOKUP($A1786,hospital_details,7,0)</f>
        <v>tier - 3</v>
      </c>
      <c r="R1786" s="5" t="str">
        <f t="shared" ref="R1786:R1849" si="10706">VLOOKUP($A1786,hospital_details,8,0)</f>
        <v>R1021</v>
      </c>
    </row>
    <row r="1787" spans="1:18" ht="14.4" customHeight="1" x14ac:dyDescent="0.3">
      <c r="A1787" s="7" t="s">
        <v>1807</v>
      </c>
      <c r="B1787" s="7" t="str">
        <f>VLOOKUP($A1787,[1]!Customer_Names[#Data],3,0)</f>
        <v xml:space="preserve">  John</v>
      </c>
      <c r="C1787" s="7">
        <v>16.57</v>
      </c>
      <c r="D1787" s="7" t="str" cm="1">
        <f t="array" ref="D1787">_xlfn.IFS(Healthcare!$C1787&lt;18.5,"under weight",Healthcare!$C1787&lt;=24.9,"Normal Weight",Healthcare!$C1787&gt;=25,"overweight",Healthcare!$C1787&gt;=30,"obese")</f>
        <v>under weight</v>
      </c>
      <c r="E1787" s="7">
        <v>9.99</v>
      </c>
      <c r="F1787" s="7" t="str" cm="1">
        <f t="array" ref="F1787">_xlfn.IFS(Healthcare!$E1787&lt;5.7,"normal",Healthcare!$E1787&lt;=6.4,"prediabetes",Healthcare!$E1787&gt;=6.5,"diabetes")</f>
        <v>diabetes</v>
      </c>
      <c r="G1787" s="7" t="s">
        <v>19</v>
      </c>
      <c r="H1787" s="7" t="s">
        <v>19</v>
      </c>
      <c r="I1787" s="7" t="s">
        <v>19</v>
      </c>
      <c r="J1787" s="7">
        <v>0</v>
      </c>
      <c r="K1787" s="7" t="s">
        <v>19</v>
      </c>
      <c r="L1787" s="7" t="str">
        <f>VLOOKUP(Healthcare!$A1787,hospital_details,2,0)</f>
        <v>11-Sep-1974</v>
      </c>
      <c r="M1787" s="7">
        <f t="shared" ref="M1787:M1850" ca="1" si="10707">VLOOKUP(A1787,hospital_details,3,0)</f>
        <v>52</v>
      </c>
      <c r="N1787" s="7">
        <f t="shared" ref="N1787:N1850" si="10708">VLOOKUP($A1787,hospital_details,4,0)</f>
        <v>0</v>
      </c>
      <c r="O1787" s="8">
        <f t="shared" ref="O1787:O1850" si="10709">VLOOKUP($A1787,hospital_details,5,0)</f>
        <v>4844.67</v>
      </c>
      <c r="P1787" s="7" t="str">
        <f t="shared" ref="P1787:P1850" si="10710">VLOOKUP($A1787,hospital_details,6,0)</f>
        <v>tier - 2</v>
      </c>
      <c r="Q1787" s="7" t="str">
        <f t="shared" ref="Q1787:Q1850" si="10711">VLOOKUP($A1787,hospital_details,7,0)</f>
        <v>tier - 2</v>
      </c>
      <c r="R1787" s="7" t="str">
        <f t="shared" ref="R1787:R1850" si="10712">VLOOKUP($A1787,hospital_details,8,0)</f>
        <v>R1013</v>
      </c>
    </row>
    <row r="1788" spans="1:18" ht="14.4" customHeight="1" x14ac:dyDescent="0.3">
      <c r="A1788" s="5" t="s">
        <v>1808</v>
      </c>
      <c r="B1788" s="5" t="str">
        <f>VLOOKUP($A1788,[1]!Customer_Names[#Data],3,0)</f>
        <v xml:space="preserve">  Brandon S</v>
      </c>
      <c r="C1788" s="5">
        <v>17.55</v>
      </c>
      <c r="D1788" s="5" t="str" cm="1">
        <f t="array" ref="D1788">_xlfn.IFS(Healthcare!$C1788&lt;18.5,"under weight",Healthcare!$C1788&lt;=24.9,"Normal Weight",Healthcare!$C1788&gt;=25,"overweight",Healthcare!$C1788&gt;=30,"obese")</f>
        <v>under weight</v>
      </c>
      <c r="E1788" s="5">
        <v>5.93</v>
      </c>
      <c r="F1788" s="5" t="str" cm="1">
        <f t="array" ref="F1788">_xlfn.IFS(Healthcare!$E1788&lt;5.7,"normal",Healthcare!$E1788&lt;=6.4,"prediabetes",Healthcare!$E1788&gt;=6.5,"diabetes")</f>
        <v>prediabetes</v>
      </c>
      <c r="G1788" s="5" t="s">
        <v>19</v>
      </c>
      <c r="H1788" s="5" t="s">
        <v>19</v>
      </c>
      <c r="I1788" s="5" t="s">
        <v>29</v>
      </c>
      <c r="J1788" s="5">
        <v>1</v>
      </c>
      <c r="K1788" s="5" t="s">
        <v>19</v>
      </c>
      <c r="L1788" s="5" t="str">
        <f>VLOOKUP(Healthcare!$A1788,hospital_details,2,0)</f>
        <v>13-Dec-1979</v>
      </c>
      <c r="M1788" s="5">
        <f t="shared" ref="M1788:M1851" ca="1" si="10713">VLOOKUP(A1788,hospital_details,3,0)</f>
        <v>46</v>
      </c>
      <c r="N1788" s="5">
        <f t="shared" ref="N1788:N1851" si="10714">VLOOKUP($A1788,hospital_details,4,0)</f>
        <v>2</v>
      </c>
      <c r="O1788" s="6">
        <f t="shared" ref="O1788:O1851" si="10715">VLOOKUP($A1788,hospital_details,5,0)</f>
        <v>4843.79</v>
      </c>
      <c r="P1788" s="5" t="str">
        <f t="shared" ref="P1788:P1851" si="10716">VLOOKUP($A1788,hospital_details,6,0)</f>
        <v>tier - 2</v>
      </c>
      <c r="Q1788" s="5" t="str">
        <f t="shared" ref="Q1788:Q1851" si="10717">VLOOKUP($A1788,hospital_details,7,0)</f>
        <v>tier - 3</v>
      </c>
      <c r="R1788" s="5" t="str">
        <f t="shared" ref="R1788:R1851" si="10718">VLOOKUP($A1788,hospital_details,8,0)</f>
        <v>R1013</v>
      </c>
    </row>
    <row r="1789" spans="1:18" ht="14.4" customHeight="1" x14ac:dyDescent="0.3">
      <c r="A1789" s="7" t="s">
        <v>1809</v>
      </c>
      <c r="B1789" s="7" t="str">
        <f>VLOOKUP($A1789,[1]!Customer_Names[#Data],3,0)</f>
        <v xml:space="preserve">  Sean P</v>
      </c>
      <c r="C1789" s="7">
        <v>29.41</v>
      </c>
      <c r="D1789" s="7" t="str" cm="1">
        <f t="array" ref="D1789">_xlfn.IFS(Healthcare!$C1789&lt;18.5,"under weight",Healthcare!$C1789&lt;=24.9,"Normal Weight",Healthcare!$C1789&gt;=25,"overweight",Healthcare!$C1789&gt;=30,"obese")</f>
        <v>overweight</v>
      </c>
      <c r="E1789" s="7">
        <v>6.29</v>
      </c>
      <c r="F1789" s="7" t="str" cm="1">
        <f t="array" ref="F1789">_xlfn.IFS(Healthcare!$E1789&lt;5.7,"normal",Healthcare!$E1789&lt;=6.4,"prediabetes",Healthcare!$E1789&gt;=6.5,"diabetes")</f>
        <v>prediabetes</v>
      </c>
      <c r="G1789" s="7" t="s">
        <v>20</v>
      </c>
      <c r="H1789" s="7" t="s">
        <v>19</v>
      </c>
      <c r="I1789" s="7" t="s">
        <v>19</v>
      </c>
      <c r="J1789" s="7">
        <v>1</v>
      </c>
      <c r="K1789" s="7" t="s">
        <v>19</v>
      </c>
      <c r="L1789" s="7" t="str">
        <f>VLOOKUP(Healthcare!$A1789,hospital_details,2,0)</f>
        <v>29-Sep-1995</v>
      </c>
      <c r="M1789" s="7">
        <f t="shared" ref="M1789:M1852" ca="1" si="10719">VLOOKUP(A1789,hospital_details,3,0)</f>
        <v>31</v>
      </c>
      <c r="N1789" s="7">
        <f t="shared" ref="N1789:N1852" si="10720">VLOOKUP($A1789,hospital_details,4,0)</f>
        <v>0</v>
      </c>
      <c r="O1789" s="8">
        <f t="shared" ref="O1789:O1852" si="10721">VLOOKUP($A1789,hospital_details,5,0)</f>
        <v>4840.95</v>
      </c>
      <c r="P1789" s="7" t="str">
        <f t="shared" ref="P1789:P1852" si="10722">VLOOKUP($A1789,hospital_details,6,0)</f>
        <v>tier - 2</v>
      </c>
      <c r="Q1789" s="7" t="str">
        <f t="shared" ref="Q1789:Q1852" si="10723">VLOOKUP($A1789,hospital_details,7,0)</f>
        <v>tier - 1</v>
      </c>
      <c r="R1789" s="7" t="str">
        <f t="shared" ref="R1789:R1852" si="10724">VLOOKUP($A1789,hospital_details,8,0)</f>
        <v>R1021</v>
      </c>
    </row>
    <row r="1790" spans="1:18" ht="14.4" customHeight="1" x14ac:dyDescent="0.3">
      <c r="A1790" s="5" t="s">
        <v>1810</v>
      </c>
      <c r="B1790" s="5" t="str">
        <f>VLOOKUP($A1790,[1]!Customer_Names[#Data],3,0)</f>
        <v xml:space="preserve">  Scott</v>
      </c>
      <c r="C1790" s="5">
        <v>17.91</v>
      </c>
      <c r="D1790" s="5" t="str" cm="1">
        <f t="array" ref="D1790">_xlfn.IFS(Healthcare!$C1790&lt;18.5,"under weight",Healthcare!$C1790&lt;=24.9,"Normal Weight",Healthcare!$C1790&gt;=25,"overweight",Healthcare!$C1790&gt;=30,"obese")</f>
        <v>under weight</v>
      </c>
      <c r="E1790" s="5">
        <v>5.65</v>
      </c>
      <c r="F1790" s="5" t="str" cm="1">
        <f t="array" ref="F1790">_xlfn.IFS(Healthcare!$E1790&lt;5.7,"normal",Healthcare!$E1790&lt;=6.4,"prediabetes",Healthcare!$E1790&gt;=6.5,"diabetes")</f>
        <v>normal</v>
      </c>
      <c r="G1790" s="5" t="s">
        <v>19</v>
      </c>
      <c r="H1790" s="5" t="s">
        <v>19</v>
      </c>
      <c r="I1790" s="5" t="s">
        <v>19</v>
      </c>
      <c r="J1790" s="5">
        <v>1</v>
      </c>
      <c r="K1790" s="5" t="s">
        <v>19</v>
      </c>
      <c r="L1790" s="5" t="str">
        <f>VLOOKUP(Healthcare!$A1790,hospital_details,2,0)</f>
        <v>15-Oct-1984</v>
      </c>
      <c r="M1790" s="5">
        <f t="shared" ref="M1790:M1853" ca="1" si="10725">VLOOKUP(A1790,hospital_details,3,0)</f>
        <v>42</v>
      </c>
      <c r="N1790" s="5">
        <f t="shared" ref="N1790:N1853" si="10726">VLOOKUP($A1790,hospital_details,4,0)</f>
        <v>3</v>
      </c>
      <c r="O1790" s="6">
        <f t="shared" ref="O1790:O1853" si="10727">VLOOKUP($A1790,hospital_details,5,0)</f>
        <v>4839.18</v>
      </c>
      <c r="P1790" s="5" t="str">
        <f t="shared" ref="P1790:P1853" si="10728">VLOOKUP($A1790,hospital_details,6,0)</f>
        <v>tier - 2</v>
      </c>
      <c r="Q1790" s="5" t="str">
        <f t="shared" ref="Q1790:Q1853" si="10729">VLOOKUP($A1790,hospital_details,7,0)</f>
        <v>tier - 1</v>
      </c>
      <c r="R1790" s="5" t="str">
        <f t="shared" ref="R1790:R1853" si="10730">VLOOKUP($A1790,hospital_details,8,0)</f>
        <v>R1012</v>
      </c>
    </row>
    <row r="1791" spans="1:18" ht="14.4" customHeight="1" x14ac:dyDescent="0.3">
      <c r="A1791" s="7" t="s">
        <v>1811</v>
      </c>
      <c r="B1791" s="7" t="str">
        <f>VLOOKUP($A1791,[1]!Customer_Names[#Data],3,0)</f>
        <v xml:space="preserve">  Janez</v>
      </c>
      <c r="C1791" s="7">
        <v>31.57</v>
      </c>
      <c r="D1791" s="7" t="str" cm="1">
        <f t="array" ref="D1791">_xlfn.IFS(Healthcare!$C1791&lt;18.5,"under weight",Healthcare!$C1791&lt;=24.9,"Normal Weight",Healthcare!$C1791&gt;=25,"overweight",Healthcare!$C1791&gt;=30,"obese")</f>
        <v>overweight</v>
      </c>
      <c r="E1791" s="7">
        <v>6.15</v>
      </c>
      <c r="F1791" s="7" t="str" cm="1">
        <f t="array" ref="F1791">_xlfn.IFS(Healthcare!$E1791&lt;5.7,"normal",Healthcare!$E1791&lt;=6.4,"prediabetes",Healthcare!$E1791&gt;=6.5,"diabetes")</f>
        <v>prediabetes</v>
      </c>
      <c r="G1791" s="7" t="s">
        <v>19</v>
      </c>
      <c r="H1791" s="7" t="s">
        <v>19</v>
      </c>
      <c r="I1791" s="7" t="s">
        <v>19</v>
      </c>
      <c r="J1791" s="7">
        <v>1</v>
      </c>
      <c r="K1791" s="7" t="s">
        <v>19</v>
      </c>
      <c r="L1791" s="7" t="str">
        <f>VLOOKUP(Healthcare!$A1791,hospital_details,2,0)</f>
        <v>10-Sep-1992</v>
      </c>
      <c r="M1791" s="7">
        <f t="shared" ref="M1791:M1854" ca="1" si="10731">VLOOKUP(A1791,hospital_details,3,0)</f>
        <v>34</v>
      </c>
      <c r="N1791" s="7">
        <f t="shared" ref="N1791:N1854" si="10732">VLOOKUP($A1791,hospital_details,4,0)</f>
        <v>3</v>
      </c>
      <c r="O1791" s="8">
        <f t="shared" ref="O1791:O1854" si="10733">VLOOKUP($A1791,hospital_details,5,0)</f>
        <v>4837.58</v>
      </c>
      <c r="P1791" s="7" t="str">
        <f t="shared" ref="P1791:P1854" si="10734">VLOOKUP($A1791,hospital_details,6,0)</f>
        <v>tier - 3</v>
      </c>
      <c r="Q1791" s="7" t="str">
        <f t="shared" ref="Q1791:Q1854" si="10735">VLOOKUP($A1791,hospital_details,7,0)</f>
        <v>tier - 2</v>
      </c>
      <c r="R1791" s="7" t="str">
        <f t="shared" ref="R1791:R1854" si="10736">VLOOKUP($A1791,hospital_details,8,0)</f>
        <v>R1013</v>
      </c>
    </row>
    <row r="1792" spans="1:18" ht="14.4" customHeight="1" x14ac:dyDescent="0.3">
      <c r="A1792" s="5" t="s">
        <v>1812</v>
      </c>
      <c r="B1792" s="5" t="str">
        <f>VLOOKUP($A1792,[1]!Customer_Names[#Data],3,0)</f>
        <v xml:space="preserve">  John I</v>
      </c>
      <c r="C1792" s="5">
        <v>33.18</v>
      </c>
      <c r="D1792" s="5" t="str" cm="1">
        <f t="array" ref="D1792">_xlfn.IFS(Healthcare!$C1792&lt;18.5,"under weight",Healthcare!$C1792&lt;=24.9,"Normal Weight",Healthcare!$C1792&gt;=25,"overweight",Healthcare!$C1792&gt;=30,"obese")</f>
        <v>overweight</v>
      </c>
      <c r="E1792" s="5">
        <v>5.22</v>
      </c>
      <c r="F1792" s="5" t="str" cm="1">
        <f t="array" ref="F1792">_xlfn.IFS(Healthcare!$E1792&lt;5.7,"normal",Healthcare!$E1792&lt;=6.4,"prediabetes",Healthcare!$E1792&gt;=6.5,"diabetes")</f>
        <v>normal</v>
      </c>
      <c r="G1792" s="5" t="s">
        <v>19</v>
      </c>
      <c r="H1792" s="5" t="s">
        <v>20</v>
      </c>
      <c r="I1792" s="5" t="s">
        <v>19</v>
      </c>
      <c r="J1792" s="5">
        <v>1</v>
      </c>
      <c r="K1792" s="5" t="s">
        <v>19</v>
      </c>
      <c r="L1792" s="5" t="str">
        <f>VLOOKUP(Healthcare!$A1792,hospital_details,2,0)</f>
        <v>11-Dec-2000</v>
      </c>
      <c r="M1792" s="5">
        <f t="shared" ref="M1792:M1855" ca="1" si="10737">VLOOKUP(A1792,hospital_details,3,0)</f>
        <v>25</v>
      </c>
      <c r="N1792" s="5">
        <f t="shared" ref="N1792:N1855" si="10738">VLOOKUP($A1792,hospital_details,4,0)</f>
        <v>0</v>
      </c>
      <c r="O1792" s="6">
        <f t="shared" ref="O1792:O1855" si="10739">VLOOKUP($A1792,hospital_details,5,0)</f>
        <v>4835.43</v>
      </c>
      <c r="P1792" s="5" t="str">
        <f t="shared" ref="P1792:P1855" si="10740">VLOOKUP($A1792,hospital_details,6,0)</f>
        <v>tier - 2</v>
      </c>
      <c r="Q1792" s="5" t="str">
        <f t="shared" ref="Q1792:Q1855" si="10741">VLOOKUP($A1792,hospital_details,7,0)</f>
        <v>tier - 2</v>
      </c>
      <c r="R1792" s="5" t="str">
        <f t="shared" ref="R1792:R1855" si="10742">VLOOKUP($A1792,hospital_details,8,0)</f>
        <v>R1021</v>
      </c>
    </row>
    <row r="1793" spans="1:18" ht="14.4" customHeight="1" x14ac:dyDescent="0.3">
      <c r="A1793" s="7" t="s">
        <v>1813</v>
      </c>
      <c r="B1793" s="7" t="str">
        <f>VLOOKUP($A1793,[1]!Customer_Names[#Data],3,0)</f>
        <v xml:space="preserve">  Heather</v>
      </c>
      <c r="C1793" s="7">
        <v>37</v>
      </c>
      <c r="D1793" s="7" t="str" cm="1">
        <f t="array" ref="D1793">_xlfn.IFS(Healthcare!$C1793&lt;18.5,"under weight",Healthcare!$C1793&lt;=24.9,"Normal Weight",Healthcare!$C1793&gt;=25,"overweight",Healthcare!$C1793&gt;=30,"obese")</f>
        <v>overweight</v>
      </c>
      <c r="E1793" s="7">
        <v>11.66</v>
      </c>
      <c r="F1793" s="7" t="str" cm="1">
        <f t="array" ref="F1793">_xlfn.IFS(Healthcare!$E1793&lt;5.7,"normal",Healthcare!$E1793&lt;=6.4,"prediabetes",Healthcare!$E1793&gt;=6.5,"diabetes")</f>
        <v>diabetes</v>
      </c>
      <c r="G1793" s="7" t="s">
        <v>19</v>
      </c>
      <c r="H1793" s="7" t="s">
        <v>19</v>
      </c>
      <c r="I1793" s="7" t="s">
        <v>19</v>
      </c>
      <c r="J1793" s="7">
        <v>0</v>
      </c>
      <c r="K1793" s="7" t="s">
        <v>19</v>
      </c>
      <c r="L1793" s="7" t="str">
        <f>VLOOKUP(Healthcare!$A1793,hospital_details,2,0)</f>
        <v>27-Jun-2002</v>
      </c>
      <c r="M1793" s="7">
        <f t="shared" ref="M1793:M1856" ca="1" si="10743">VLOOKUP(A1793,hospital_details,3,0)</f>
        <v>24</v>
      </c>
      <c r="N1793" s="7">
        <f t="shared" ref="N1793:N1856" si="10744">VLOOKUP($A1793,hospital_details,4,0)</f>
        <v>5</v>
      </c>
      <c r="O1793" s="8">
        <f t="shared" ref="O1793:O1856" si="10745">VLOOKUP($A1793,hospital_details,5,0)</f>
        <v>4830.63</v>
      </c>
      <c r="P1793" s="7" t="str">
        <f t="shared" ref="P1793:P1856" si="10746">VLOOKUP($A1793,hospital_details,6,0)</f>
        <v>tier - 2</v>
      </c>
      <c r="Q1793" s="7" t="str">
        <f t="shared" ref="Q1793:Q1856" si="10747">VLOOKUP($A1793,hospital_details,7,0)</f>
        <v>tier - 1</v>
      </c>
      <c r="R1793" s="7" t="str">
        <f t="shared" ref="R1793:R1856" si="10748">VLOOKUP($A1793,hospital_details,8,0)</f>
        <v>R1011</v>
      </c>
    </row>
    <row r="1794" spans="1:18" ht="14.4" customHeight="1" x14ac:dyDescent="0.3">
      <c r="A1794" s="5" t="s">
        <v>1814</v>
      </c>
      <c r="B1794" s="5" t="str">
        <f>VLOOKUP($A1794,[1]!Customer_Names[#Data],3,0)</f>
        <v xml:space="preserve">  Michael</v>
      </c>
      <c r="C1794" s="5">
        <v>18.905000000000001</v>
      </c>
      <c r="D1794" s="5" t="str" cm="1">
        <f t="array" ref="D1794">_xlfn.IFS(Healthcare!$C1794&lt;18.5,"under weight",Healthcare!$C1794&lt;=24.9,"Normal Weight",Healthcare!$C1794&gt;=25,"overweight",Healthcare!$C1794&gt;=30,"obese")</f>
        <v>Normal Weight</v>
      </c>
      <c r="E1794" s="5">
        <v>4.91</v>
      </c>
      <c r="F1794" s="5" t="str" cm="1">
        <f t="array" ref="F1794">_xlfn.IFS(Healthcare!$E1794&lt;5.7,"normal",Healthcare!$E1794&lt;=6.4,"prediabetes",Healthcare!$E1794&gt;=6.5,"diabetes")</f>
        <v>normal</v>
      </c>
      <c r="G1794" s="5" t="s">
        <v>20</v>
      </c>
      <c r="H1794" s="5" t="s">
        <v>19</v>
      </c>
      <c r="I1794" s="5" t="s">
        <v>19</v>
      </c>
      <c r="J1794" s="5">
        <v>1</v>
      </c>
      <c r="K1794" s="5" t="s">
        <v>19</v>
      </c>
      <c r="L1794" s="5" t="str">
        <f>VLOOKUP(Healthcare!$A1794,hospital_details,2,0)</f>
        <v>1-Dec-1995</v>
      </c>
      <c r="M1794" s="5">
        <f t="shared" ref="M1794:M1857" ca="1" si="10749">VLOOKUP(A1794,hospital_details,3,0)</f>
        <v>30</v>
      </c>
      <c r="N1794" s="5">
        <f t="shared" ref="N1794:N1857" si="10750">VLOOKUP($A1794,hospital_details,4,0)</f>
        <v>3</v>
      </c>
      <c r="O1794" s="6">
        <f t="shared" ref="O1794:O1857" si="10751">VLOOKUP($A1794,hospital_details,5,0)</f>
        <v>4827.8999999999996</v>
      </c>
      <c r="P1794" s="5" t="str">
        <f t="shared" ref="P1794:P1857" si="10752">VLOOKUP($A1794,hospital_details,6,0)</f>
        <v>tier - 1</v>
      </c>
      <c r="Q1794" s="5" t="str">
        <f t="shared" ref="Q1794:Q1857" si="10753">VLOOKUP($A1794,hospital_details,7,0)</f>
        <v>tier - 2</v>
      </c>
      <c r="R1794" s="5" t="str">
        <f t="shared" ref="R1794:R1857" si="10754">VLOOKUP($A1794,hospital_details,8,0)</f>
        <v>unknown</v>
      </c>
    </row>
    <row r="1795" spans="1:18" ht="14.4" customHeight="1" x14ac:dyDescent="0.3">
      <c r="A1795" s="7" t="s">
        <v>1815</v>
      </c>
      <c r="B1795" s="7" t="str">
        <f>VLOOKUP($A1795,[1]!Customer_Names[#Data],3,0)</f>
        <v xml:space="preserve">  Kathleen</v>
      </c>
      <c r="C1795" s="7">
        <v>20.03</v>
      </c>
      <c r="D1795" s="7" t="str" cm="1">
        <f t="array" ref="D1795">_xlfn.IFS(Healthcare!$C1795&lt;18.5,"under weight",Healthcare!$C1795&lt;=24.9,"Normal Weight",Healthcare!$C1795&gt;=25,"overweight",Healthcare!$C1795&gt;=30,"obese")</f>
        <v>Normal Weight</v>
      </c>
      <c r="E1795" s="7">
        <v>9.25</v>
      </c>
      <c r="F1795" s="7" t="str" cm="1">
        <f t="array" ref="F1795">_xlfn.IFS(Healthcare!$E1795&lt;5.7,"normal",Healthcare!$E1795&lt;=6.4,"prediabetes",Healthcare!$E1795&gt;=6.5,"diabetes")</f>
        <v>diabetes</v>
      </c>
      <c r="G1795" s="7" t="s">
        <v>20</v>
      </c>
      <c r="H1795" s="7" t="s">
        <v>19</v>
      </c>
      <c r="I1795" s="7" t="s">
        <v>19</v>
      </c>
      <c r="J1795" s="7">
        <v>0</v>
      </c>
      <c r="K1795" s="7" t="s">
        <v>19</v>
      </c>
      <c r="L1795" s="7" t="str">
        <f>VLOOKUP(Healthcare!$A1795,hospital_details,2,0)</f>
        <v>3-Jul-1981</v>
      </c>
      <c r="M1795" s="7">
        <f t="shared" ref="M1795:M1858" ca="1" si="10755">VLOOKUP(A1795,hospital_details,3,0)</f>
        <v>45</v>
      </c>
      <c r="N1795" s="7">
        <f t="shared" ref="N1795:N1858" si="10756">VLOOKUP($A1795,hospital_details,4,0)</f>
        <v>1</v>
      </c>
      <c r="O1795" s="8">
        <f t="shared" ref="O1795:O1858" si="10757">VLOOKUP($A1795,hospital_details,5,0)</f>
        <v>4827.1000000000004</v>
      </c>
      <c r="P1795" s="7" t="str">
        <f t="shared" ref="P1795:P1858" si="10758">VLOOKUP($A1795,hospital_details,6,0)</f>
        <v>tier - 2</v>
      </c>
      <c r="Q1795" s="7" t="str">
        <f t="shared" ref="Q1795:Q1858" si="10759">VLOOKUP($A1795,hospital_details,7,0)</f>
        <v>tier - 1</v>
      </c>
      <c r="R1795" s="7" t="str">
        <f t="shared" ref="R1795:R1858" si="10760">VLOOKUP($A1795,hospital_details,8,0)</f>
        <v>R1013</v>
      </c>
    </row>
    <row r="1796" spans="1:18" ht="14.4" customHeight="1" x14ac:dyDescent="0.3">
      <c r="A1796" s="5" t="s">
        <v>1816</v>
      </c>
      <c r="B1796" s="5" t="str">
        <f>VLOOKUP($A1796,[1]!Customer_Names[#Data],3,0)</f>
        <v xml:space="preserve">  Ryan M</v>
      </c>
      <c r="C1796" s="5">
        <v>16.7</v>
      </c>
      <c r="D1796" s="5" t="str" cm="1">
        <f t="array" ref="D1796">_xlfn.IFS(Healthcare!$C1796&lt;18.5,"under weight",Healthcare!$C1796&lt;=24.9,"Normal Weight",Healthcare!$C1796&gt;=25,"overweight",Healthcare!$C1796&gt;=30,"obese")</f>
        <v>under weight</v>
      </c>
      <c r="E1796" s="5">
        <v>11.48</v>
      </c>
      <c r="F1796" s="5" t="str" cm="1">
        <f t="array" ref="F1796">_xlfn.IFS(Healthcare!$E1796&lt;5.7,"normal",Healthcare!$E1796&lt;=6.4,"prediabetes",Healthcare!$E1796&gt;=6.5,"diabetes")</f>
        <v>diabetes</v>
      </c>
      <c r="G1796" s="5" t="s">
        <v>19</v>
      </c>
      <c r="H1796" s="5" t="s">
        <v>19</v>
      </c>
      <c r="I1796" s="5" t="s">
        <v>19</v>
      </c>
      <c r="J1796" s="5">
        <v>0</v>
      </c>
      <c r="K1796" s="5" t="s">
        <v>19</v>
      </c>
      <c r="L1796" s="5" t="str">
        <f>VLOOKUP(Healthcare!$A1796,hospital_details,2,0)</f>
        <v>3-Oct-1978</v>
      </c>
      <c r="M1796" s="5">
        <f t="shared" ref="M1796:M1859" ca="1" si="10761">VLOOKUP(A1796,hospital_details,3,0)</f>
        <v>48</v>
      </c>
      <c r="N1796" s="5">
        <f t="shared" ref="N1796:N1859" si="10762">VLOOKUP($A1796,hospital_details,4,0)</f>
        <v>2</v>
      </c>
      <c r="O1796" s="6">
        <f t="shared" ref="O1796:O1859" si="10763">VLOOKUP($A1796,hospital_details,5,0)</f>
        <v>4812.34</v>
      </c>
      <c r="P1796" s="5" t="str">
        <f t="shared" ref="P1796:P1859" si="10764">VLOOKUP($A1796,hospital_details,6,0)</f>
        <v>tier - 2</v>
      </c>
      <c r="Q1796" s="5" t="str">
        <f t="shared" ref="Q1796:Q1859" si="10765">VLOOKUP($A1796,hospital_details,7,0)</f>
        <v>tier - 3</v>
      </c>
      <c r="R1796" s="5" t="str">
        <f t="shared" ref="R1796:R1859" si="10766">VLOOKUP($A1796,hospital_details,8,0)</f>
        <v>R1013</v>
      </c>
    </row>
    <row r="1797" spans="1:18" ht="14.4" customHeight="1" x14ac:dyDescent="0.3">
      <c r="A1797" s="7" t="s">
        <v>1817</v>
      </c>
      <c r="B1797" s="7" t="str">
        <f>VLOOKUP($A1797,[1]!Customer_Names[#Data],3,0)</f>
        <v xml:space="preserve">  Sara</v>
      </c>
      <c r="C1797" s="7">
        <v>39.82</v>
      </c>
      <c r="D1797" s="7" t="str" cm="1">
        <f t="array" ref="D1797">_xlfn.IFS(Healthcare!$C1797&lt;18.5,"under weight",Healthcare!$C1797&lt;=24.9,"Normal Weight",Healthcare!$C1797&gt;=25,"overweight",Healthcare!$C1797&gt;=30,"obese")</f>
        <v>overweight</v>
      </c>
      <c r="E1797" s="7">
        <v>6.06</v>
      </c>
      <c r="F1797" s="7" t="str" cm="1">
        <f t="array" ref="F1797">_xlfn.IFS(Healthcare!$E1797&lt;5.7,"normal",Healthcare!$E1797&lt;=6.4,"prediabetes",Healthcare!$E1797&gt;=6.5,"diabetes")</f>
        <v>prediabetes</v>
      </c>
      <c r="G1797" s="7" t="s">
        <v>19</v>
      </c>
      <c r="H1797" s="7" t="s">
        <v>19</v>
      </c>
      <c r="I1797" s="7" t="s">
        <v>19</v>
      </c>
      <c r="J1797" s="7">
        <v>0</v>
      </c>
      <c r="K1797" s="7" t="s">
        <v>19</v>
      </c>
      <c r="L1797" s="7" t="str">
        <f>VLOOKUP(Healthcare!$A1797,hospital_details,2,0)</f>
        <v>16-Dec-1989</v>
      </c>
      <c r="M1797" s="7">
        <f t="shared" ref="M1797:M1860" ca="1" si="10767">VLOOKUP(A1797,hospital_details,3,0)</f>
        <v>36</v>
      </c>
      <c r="N1797" s="7">
        <f t="shared" ref="N1797:N1860" si="10768">VLOOKUP($A1797,hospital_details,4,0)</f>
        <v>1</v>
      </c>
      <c r="O1797" s="8">
        <f t="shared" ref="O1797:O1860" si="10769">VLOOKUP($A1797,hospital_details,5,0)</f>
        <v>4795.66</v>
      </c>
      <c r="P1797" s="7" t="str">
        <f t="shared" ref="P1797:P1860" si="10770">VLOOKUP($A1797,hospital_details,6,0)</f>
        <v>tier - 2</v>
      </c>
      <c r="Q1797" s="7" t="str">
        <f t="shared" ref="Q1797:Q1860" si="10771">VLOOKUP($A1797,hospital_details,7,0)</f>
        <v>tier - 1</v>
      </c>
      <c r="R1797" s="7" t="str">
        <f t="shared" ref="R1797:R1860" si="10772">VLOOKUP($A1797,hospital_details,8,0)</f>
        <v>R1013</v>
      </c>
    </row>
    <row r="1798" spans="1:18" ht="14.4" customHeight="1" x14ac:dyDescent="0.3">
      <c r="A1798" s="5" t="s">
        <v>1818</v>
      </c>
      <c r="B1798" s="5" t="str">
        <f>VLOOKUP($A1798,[1]!Customer_Names[#Data],3,0)</f>
        <v xml:space="preserve">  Deniz</v>
      </c>
      <c r="C1798" s="5">
        <v>22.04</v>
      </c>
      <c r="D1798" s="5" t="str" cm="1">
        <f t="array" ref="D1798">_xlfn.IFS(Healthcare!$C1798&lt;18.5,"under weight",Healthcare!$C1798&lt;=24.9,"Normal Weight",Healthcare!$C1798&gt;=25,"overweight",Healthcare!$C1798&gt;=30,"obese")</f>
        <v>Normal Weight</v>
      </c>
      <c r="E1798" s="5">
        <v>5.86</v>
      </c>
      <c r="F1798" s="5" t="str" cm="1">
        <f t="array" ref="F1798">_xlfn.IFS(Healthcare!$E1798&lt;5.7,"normal",Healthcare!$E1798&lt;=6.4,"prediabetes",Healthcare!$E1798&gt;=6.5,"diabetes")</f>
        <v>prediabetes</v>
      </c>
      <c r="G1798" s="5" t="s">
        <v>19</v>
      </c>
      <c r="H1798" s="5" t="s">
        <v>19</v>
      </c>
      <c r="I1798" s="5" t="s">
        <v>19</v>
      </c>
      <c r="J1798" s="5">
        <v>1</v>
      </c>
      <c r="K1798" s="5" t="s">
        <v>19</v>
      </c>
      <c r="L1798" s="5" t="str">
        <f>VLOOKUP(Healthcare!$A1798,hospital_details,2,0)</f>
        <v>22-Jun-1987</v>
      </c>
      <c r="M1798" s="5">
        <f t="shared" ref="M1798:M1861" ca="1" si="10773">VLOOKUP(A1798,hospital_details,3,0)</f>
        <v>39</v>
      </c>
      <c r="N1798" s="5">
        <f t="shared" ref="N1798:N1861" si="10774">VLOOKUP($A1798,hospital_details,4,0)</f>
        <v>3</v>
      </c>
      <c r="O1798" s="6">
        <f t="shared" ref="O1798:O1861" si="10775">VLOOKUP($A1798,hospital_details,5,0)</f>
        <v>4787.42</v>
      </c>
      <c r="P1798" s="5" t="str">
        <f t="shared" ref="P1798:P1861" si="10776">VLOOKUP($A1798,hospital_details,6,0)</f>
        <v>tier - 2</v>
      </c>
      <c r="Q1798" s="5" t="str">
        <f t="shared" ref="Q1798:Q1861" si="10777">VLOOKUP($A1798,hospital_details,7,0)</f>
        <v>tier - 3</v>
      </c>
      <c r="R1798" s="5" t="str">
        <f t="shared" ref="R1798:R1861" si="10778">VLOOKUP($A1798,hospital_details,8,0)</f>
        <v>R1013</v>
      </c>
    </row>
    <row r="1799" spans="1:18" ht="14.4" customHeight="1" x14ac:dyDescent="0.3">
      <c r="A1799" s="7" t="s">
        <v>1819</v>
      </c>
      <c r="B1799" s="7" t="str">
        <f>VLOOKUP($A1799,[1]!Customer_Names[#Data],3,0)</f>
        <v xml:space="preserve">  Shannon L</v>
      </c>
      <c r="C1799" s="7">
        <v>28.27</v>
      </c>
      <c r="D1799" s="7" t="str" cm="1">
        <f t="array" ref="D1799">_xlfn.IFS(Healthcare!$C1799&lt;18.5,"under weight",Healthcare!$C1799&lt;=24.9,"Normal Weight",Healthcare!$C1799&gt;=25,"overweight",Healthcare!$C1799&gt;=30,"obese")</f>
        <v>overweight</v>
      </c>
      <c r="E1799" s="7">
        <v>5.33</v>
      </c>
      <c r="F1799" s="7" t="str" cm="1">
        <f t="array" ref="F1799">_xlfn.IFS(Healthcare!$E1799&lt;5.7,"normal",Healthcare!$E1799&lt;=6.4,"prediabetes",Healthcare!$E1799&gt;=6.5,"diabetes")</f>
        <v>normal</v>
      </c>
      <c r="G1799" s="7" t="s">
        <v>19</v>
      </c>
      <c r="H1799" s="7" t="s">
        <v>19</v>
      </c>
      <c r="I1799" s="7" t="s">
        <v>19</v>
      </c>
      <c r="J1799" s="7">
        <v>0</v>
      </c>
      <c r="K1799" s="7" t="s">
        <v>19</v>
      </c>
      <c r="L1799" s="7" t="str">
        <f>VLOOKUP(Healthcare!$A1799,hospital_details,2,0)</f>
        <v>9-Dec-1989</v>
      </c>
      <c r="M1799" s="7">
        <f t="shared" ref="M1799:M1862" ca="1" si="10779">VLOOKUP(A1799,hospital_details,3,0)</f>
        <v>36</v>
      </c>
      <c r="N1799" s="7">
        <f t="shared" ref="N1799:N1862" si="10780">VLOOKUP($A1799,hospital_details,4,0)</f>
        <v>1</v>
      </c>
      <c r="O1799" s="8">
        <f t="shared" ref="O1799:O1862" si="10781">VLOOKUP($A1799,hospital_details,5,0)</f>
        <v>4779.6000000000004</v>
      </c>
      <c r="P1799" s="7" t="str">
        <f t="shared" ref="P1799:P1862" si="10782">VLOOKUP($A1799,hospital_details,6,0)</f>
        <v>tier - 2</v>
      </c>
      <c r="Q1799" s="7" t="str">
        <f t="shared" ref="Q1799:Q1862" si="10783">VLOOKUP($A1799,hospital_details,7,0)</f>
        <v>tier - 3</v>
      </c>
      <c r="R1799" s="7" t="str">
        <f t="shared" ref="R1799:R1862" si="10784">VLOOKUP($A1799,hospital_details,8,0)</f>
        <v>R1013</v>
      </c>
    </row>
    <row r="1800" spans="1:18" ht="14.4" customHeight="1" x14ac:dyDescent="0.3">
      <c r="A1800" s="5" t="s">
        <v>1820</v>
      </c>
      <c r="B1800" s="5" t="str">
        <f>VLOOKUP($A1800,[1]!Customer_Names[#Data],3,0)</f>
        <v xml:space="preserve">  Kaitlin M</v>
      </c>
      <c r="C1800" s="5">
        <v>18.5</v>
      </c>
      <c r="D1800" s="5" t="str" cm="1">
        <f t="array" ref="D1800">_xlfn.IFS(Healthcare!$C1800&lt;18.5,"under weight",Healthcare!$C1800&lt;=24.9,"Normal Weight",Healthcare!$C1800&gt;=25,"overweight",Healthcare!$C1800&gt;=30,"obese")</f>
        <v>Normal Weight</v>
      </c>
      <c r="E1800" s="5">
        <v>5.33</v>
      </c>
      <c r="F1800" s="5" t="str" cm="1">
        <f t="array" ref="F1800">_xlfn.IFS(Healthcare!$E1800&lt;5.7,"normal",Healthcare!$E1800&lt;=6.4,"prediabetes",Healthcare!$E1800&gt;=6.5,"diabetes")</f>
        <v>normal</v>
      </c>
      <c r="G1800" s="5" t="s">
        <v>19</v>
      </c>
      <c r="H1800" s="5" t="s">
        <v>19</v>
      </c>
      <c r="I1800" s="5" t="s">
        <v>19</v>
      </c>
      <c r="J1800" s="5">
        <v>0</v>
      </c>
      <c r="K1800" s="5" t="s">
        <v>19</v>
      </c>
      <c r="L1800" s="5" t="str">
        <f>VLOOKUP(Healthcare!$A1800,hospital_details,2,0)</f>
        <v>1-Aug-1989</v>
      </c>
      <c r="M1800" s="5">
        <f t="shared" ref="M1800:M1863" ca="1" si="10785">VLOOKUP(A1800,hospital_details,3,0)</f>
        <v>37</v>
      </c>
      <c r="N1800" s="5">
        <f t="shared" ref="N1800:N1863" si="10786">VLOOKUP($A1800,hospital_details,4,0)</f>
        <v>1</v>
      </c>
      <c r="O1800" s="6">
        <f t="shared" ref="O1800:O1863" si="10787">VLOOKUP($A1800,hospital_details,5,0)</f>
        <v>4766.0200000000004</v>
      </c>
      <c r="P1800" s="5" t="str">
        <f t="shared" ref="P1800:P1863" si="10788">VLOOKUP($A1800,hospital_details,6,0)</f>
        <v>tier - 2</v>
      </c>
      <c r="Q1800" s="5" t="str">
        <f t="shared" ref="Q1800:Q1863" si="10789">VLOOKUP($A1800,hospital_details,7,0)</f>
        <v>tier - 3</v>
      </c>
      <c r="R1800" s="5" t="str">
        <f t="shared" ref="R1800:R1863" si="10790">VLOOKUP($A1800,hospital_details,8,0)</f>
        <v>R1011</v>
      </c>
    </row>
    <row r="1801" spans="1:18" ht="14.4" customHeight="1" x14ac:dyDescent="0.3">
      <c r="A1801" s="7" t="s">
        <v>1821</v>
      </c>
      <c r="B1801" s="7" t="str">
        <f>VLOOKUP($A1801,[1]!Customer_Names[#Data],3,0)</f>
        <v xml:space="preserve">  Alfredo</v>
      </c>
      <c r="C1801" s="7">
        <v>38.6</v>
      </c>
      <c r="D1801" s="7" t="str" cm="1">
        <f t="array" ref="D1801">_xlfn.IFS(Healthcare!$C1801&lt;18.5,"under weight",Healthcare!$C1801&lt;=24.9,"Normal Weight",Healthcare!$C1801&gt;=25,"overweight",Healthcare!$C1801&gt;=30,"obese")</f>
        <v>overweight</v>
      </c>
      <c r="E1801" s="7">
        <v>6.02</v>
      </c>
      <c r="F1801" s="7" t="str" cm="1">
        <f t="array" ref="F1801">_xlfn.IFS(Healthcare!$E1801&lt;5.7,"normal",Healthcare!$E1801&lt;=6.4,"prediabetes",Healthcare!$E1801&gt;=6.5,"diabetes")</f>
        <v>prediabetes</v>
      </c>
      <c r="G1801" s="7" t="s">
        <v>19</v>
      </c>
      <c r="H1801" s="7" t="s">
        <v>19</v>
      </c>
      <c r="I1801" s="7" t="s">
        <v>19</v>
      </c>
      <c r="J1801" s="7">
        <v>1</v>
      </c>
      <c r="K1801" s="7" t="s">
        <v>19</v>
      </c>
      <c r="L1801" s="7" t="str">
        <f>VLOOKUP(Healthcare!$A1801,hospital_details,2,0)</f>
        <v>27-Sep-1987</v>
      </c>
      <c r="M1801" s="7">
        <f t="shared" ref="M1801:M1864" ca="1" si="10791">VLOOKUP(A1801,hospital_details,3,0)</f>
        <v>39</v>
      </c>
      <c r="N1801" s="7">
        <f t="shared" ref="N1801:N1864" si="10792">VLOOKUP($A1801,hospital_details,4,0)</f>
        <v>1</v>
      </c>
      <c r="O1801" s="8">
        <f t="shared" ref="O1801:O1864" si="10793">VLOOKUP($A1801,hospital_details,5,0)</f>
        <v>4762.33</v>
      </c>
      <c r="P1801" s="7" t="str">
        <f t="shared" ref="P1801:P1864" si="10794">VLOOKUP($A1801,hospital_details,6,0)</f>
        <v>tier - 3</v>
      </c>
      <c r="Q1801" s="7" t="str">
        <f t="shared" ref="Q1801:Q1864" si="10795">VLOOKUP($A1801,hospital_details,7,0)</f>
        <v>tier - 3</v>
      </c>
      <c r="R1801" s="7" t="str">
        <f t="shared" ref="R1801:R1864" si="10796">VLOOKUP($A1801,hospital_details,8,0)</f>
        <v>R1011</v>
      </c>
    </row>
    <row r="1802" spans="1:18" ht="14.4" customHeight="1" x14ac:dyDescent="0.3">
      <c r="A1802" s="5" t="s">
        <v>1822</v>
      </c>
      <c r="B1802" s="5" t="str">
        <f>VLOOKUP($A1802,[1]!Customer_Names[#Data],3,0)</f>
        <v xml:space="preserve">  Kristen</v>
      </c>
      <c r="C1802" s="5">
        <v>43.12</v>
      </c>
      <c r="D1802" s="5" t="str" cm="1">
        <f t="array" ref="D1802">_xlfn.IFS(Healthcare!$C1802&lt;18.5,"under weight",Healthcare!$C1802&lt;=24.9,"Normal Weight",Healthcare!$C1802&gt;=25,"overweight",Healthcare!$C1802&gt;=30,"obese")</f>
        <v>overweight</v>
      </c>
      <c r="E1802" s="5">
        <v>6.25</v>
      </c>
      <c r="F1802" s="5" t="str" cm="1">
        <f t="array" ref="F1802">_xlfn.IFS(Healthcare!$E1802&lt;5.7,"normal",Healthcare!$E1802&lt;=6.4,"prediabetes",Healthcare!$E1802&gt;=6.5,"diabetes")</f>
        <v>prediabetes</v>
      </c>
      <c r="G1802" s="5" t="s">
        <v>19</v>
      </c>
      <c r="H1802" s="5" t="s">
        <v>19</v>
      </c>
      <c r="I1802" s="5" t="s">
        <v>19</v>
      </c>
      <c r="J1802" s="5">
        <v>1</v>
      </c>
      <c r="K1802" s="5" t="s">
        <v>19</v>
      </c>
      <c r="L1802" s="5" t="str">
        <f>VLOOKUP(Healthcare!$A1802,hospital_details,2,0)</f>
        <v>16-Aug-1992</v>
      </c>
      <c r="M1802" s="5">
        <f t="shared" ref="M1802:M1865" ca="1" si="10797">VLOOKUP(A1802,hospital_details,3,0)</f>
        <v>34</v>
      </c>
      <c r="N1802" s="5">
        <f t="shared" ref="N1802:N1865" si="10798">VLOOKUP($A1802,hospital_details,4,0)</f>
        <v>2</v>
      </c>
      <c r="O1802" s="6">
        <f t="shared" ref="O1802:O1865" si="10799">VLOOKUP($A1802,hospital_details,5,0)</f>
        <v>4753.6400000000003</v>
      </c>
      <c r="P1802" s="5" t="str">
        <f t="shared" ref="P1802:P1865" si="10800">VLOOKUP($A1802,hospital_details,6,0)</f>
        <v>tier - 2</v>
      </c>
      <c r="Q1802" s="5" t="str">
        <f t="shared" ref="Q1802:Q1865" si="10801">VLOOKUP($A1802,hospital_details,7,0)</f>
        <v>tier - 3</v>
      </c>
      <c r="R1802" s="5" t="str">
        <f t="shared" ref="R1802:R1865" si="10802">VLOOKUP($A1802,hospital_details,8,0)</f>
        <v>R1013</v>
      </c>
    </row>
    <row r="1803" spans="1:18" ht="14.4" customHeight="1" x14ac:dyDescent="0.3">
      <c r="A1803" s="7" t="s">
        <v>1823</v>
      </c>
      <c r="B1803" s="7" t="str">
        <f>VLOOKUP($A1803,[1]!Customer_Names[#Data],3,0)</f>
        <v xml:space="preserve">  Daniel</v>
      </c>
      <c r="C1803" s="7">
        <v>30.5</v>
      </c>
      <c r="D1803" s="7" t="str" cm="1">
        <f t="array" ref="D1803">_xlfn.IFS(Healthcare!$C1803&lt;18.5,"under weight",Healthcare!$C1803&lt;=24.9,"Normal Weight",Healthcare!$C1803&gt;=25,"overweight",Healthcare!$C1803&gt;=30,"obese")</f>
        <v>overweight</v>
      </c>
      <c r="E1803" s="7">
        <v>4.8099999999999996</v>
      </c>
      <c r="F1803" s="7" t="str" cm="1">
        <f t="array" ref="F1803">_xlfn.IFS(Healthcare!$E1803&lt;5.7,"normal",Healthcare!$E1803&lt;=6.4,"prediabetes",Healthcare!$E1803&gt;=6.5,"diabetes")</f>
        <v>normal</v>
      </c>
      <c r="G1803" s="7" t="s">
        <v>19</v>
      </c>
      <c r="H1803" s="7" t="s">
        <v>19</v>
      </c>
      <c r="I1803" s="7" t="s">
        <v>19</v>
      </c>
      <c r="J1803" s="7">
        <v>1</v>
      </c>
      <c r="K1803" s="7" t="s">
        <v>19</v>
      </c>
      <c r="L1803" s="7" t="str">
        <f>VLOOKUP(Healthcare!$A1803,hospital_details,2,0)</f>
        <v>22-Nov-1987</v>
      </c>
      <c r="M1803" s="7">
        <f t="shared" ref="M1803:M1866" ca="1" si="10803">VLOOKUP(A1803,hospital_details,3,0)</f>
        <v>38</v>
      </c>
      <c r="N1803" s="7">
        <f t="shared" ref="N1803:N1866" si="10804">VLOOKUP($A1803,hospital_details,4,0)</f>
        <v>1</v>
      </c>
      <c r="O1803" s="8">
        <f t="shared" ref="O1803:O1866" si="10805">VLOOKUP($A1803,hospital_details,5,0)</f>
        <v>4751.07</v>
      </c>
      <c r="P1803" s="7" t="str">
        <f t="shared" ref="P1803:P1866" si="10806">VLOOKUP($A1803,hospital_details,6,0)</f>
        <v>tier - 3</v>
      </c>
      <c r="Q1803" s="7" t="str">
        <f t="shared" ref="Q1803:Q1866" si="10807">VLOOKUP($A1803,hospital_details,7,0)</f>
        <v>tier - 1</v>
      </c>
      <c r="R1803" s="7" t="str">
        <f t="shared" ref="R1803:R1866" si="10808">VLOOKUP($A1803,hospital_details,8,0)</f>
        <v>R1011</v>
      </c>
    </row>
    <row r="1804" spans="1:18" ht="14.4" customHeight="1" x14ac:dyDescent="0.3">
      <c r="A1804" s="5" t="s">
        <v>1824</v>
      </c>
      <c r="B1804" s="5" t="str">
        <f>VLOOKUP($A1804,[1]!Customer_Names[#Data],3,0)</f>
        <v xml:space="preserve">  Jonathan</v>
      </c>
      <c r="C1804" s="5">
        <v>27.61</v>
      </c>
      <c r="D1804" s="5" t="str" cm="1">
        <f t="array" ref="D1804">_xlfn.IFS(Healthcare!$C1804&lt;18.5,"under weight",Healthcare!$C1804&lt;=24.9,"Normal Weight",Healthcare!$C1804&gt;=25,"overweight",Healthcare!$C1804&gt;=30,"obese")</f>
        <v>overweight</v>
      </c>
      <c r="E1804" s="5">
        <v>4.5999999999999996</v>
      </c>
      <c r="F1804" s="5" t="str" cm="1">
        <f t="array" ref="F1804">_xlfn.IFS(Healthcare!$E1804&lt;5.7,"normal",Healthcare!$E1804&lt;=6.4,"prediabetes",Healthcare!$E1804&gt;=6.5,"diabetes")</f>
        <v>normal</v>
      </c>
      <c r="G1804" s="5" t="s">
        <v>19</v>
      </c>
      <c r="H1804" s="5" t="s">
        <v>19</v>
      </c>
      <c r="I1804" s="5" t="s">
        <v>19</v>
      </c>
      <c r="J1804" s="5">
        <v>1</v>
      </c>
      <c r="K1804" s="5" t="s">
        <v>19</v>
      </c>
      <c r="L1804" s="5" t="str">
        <f>VLOOKUP(Healthcare!$A1804,hospital_details,2,0)</f>
        <v>2-Sep-1987</v>
      </c>
      <c r="M1804" s="5">
        <f t="shared" ref="M1804:M1867" ca="1" si="10809">VLOOKUP(A1804,hospital_details,3,0)</f>
        <v>39</v>
      </c>
      <c r="N1804" s="5">
        <f t="shared" ref="N1804:N1867" si="10810">VLOOKUP($A1804,hospital_details,4,0)</f>
        <v>1</v>
      </c>
      <c r="O1804" s="6">
        <f t="shared" ref="O1804:O1867" si="10811">VLOOKUP($A1804,hospital_details,5,0)</f>
        <v>4747.05</v>
      </c>
      <c r="P1804" s="5" t="str">
        <f t="shared" ref="P1804:P1867" si="10812">VLOOKUP($A1804,hospital_details,6,0)</f>
        <v>tier - 2</v>
      </c>
      <c r="Q1804" s="5" t="str">
        <f t="shared" ref="Q1804:Q1867" si="10813">VLOOKUP($A1804,hospital_details,7,0)</f>
        <v>tier - 2</v>
      </c>
      <c r="R1804" s="5" t="str">
        <f t="shared" ref="R1804:R1867" si="10814">VLOOKUP($A1804,hospital_details,8,0)</f>
        <v>R1013</v>
      </c>
    </row>
    <row r="1805" spans="1:18" ht="14.4" customHeight="1" x14ac:dyDescent="0.3">
      <c r="A1805" s="7" t="s">
        <v>1825</v>
      </c>
      <c r="B1805" s="7" t="str">
        <f>VLOOKUP($A1805,[1]!Customer_Names[#Data],3,0)</f>
        <v xml:space="preserve">  Troy</v>
      </c>
      <c r="C1805" s="7">
        <v>27.1</v>
      </c>
      <c r="D1805" s="7" t="str" cm="1">
        <f t="array" ref="D1805">_xlfn.IFS(Healthcare!$C1805&lt;18.5,"under weight",Healthcare!$C1805&lt;=24.9,"Normal Weight",Healthcare!$C1805&gt;=25,"overweight",Healthcare!$C1805&gt;=30,"obese")</f>
        <v>overweight</v>
      </c>
      <c r="E1805" s="7">
        <v>5.08</v>
      </c>
      <c r="F1805" s="7" t="str" cm="1">
        <f t="array" ref="F1805">_xlfn.IFS(Healthcare!$E1805&lt;5.7,"normal",Healthcare!$E1805&lt;=6.4,"prediabetes",Healthcare!$E1805&gt;=6.5,"diabetes")</f>
        <v>normal</v>
      </c>
      <c r="G1805" s="7" t="s">
        <v>19</v>
      </c>
      <c r="H1805" s="7" t="s">
        <v>19</v>
      </c>
      <c r="I1805" s="7" t="s">
        <v>19</v>
      </c>
      <c r="J1805" s="7">
        <v>1</v>
      </c>
      <c r="K1805" s="7" t="s">
        <v>19</v>
      </c>
      <c r="L1805" s="7" t="str">
        <f>VLOOKUP(Healthcare!$A1805,hospital_details,2,0)</f>
        <v>5-Jun-1987</v>
      </c>
      <c r="M1805" s="7">
        <f t="shared" ref="M1805:M1868" ca="1" si="10815">VLOOKUP(A1805,hospital_details,3,0)</f>
        <v>39</v>
      </c>
      <c r="N1805" s="7">
        <f t="shared" ref="N1805:N1868" si="10816">VLOOKUP($A1805,hospital_details,4,0)</f>
        <v>1</v>
      </c>
      <c r="O1805" s="8">
        <f t="shared" ref="O1805:O1868" si="10817">VLOOKUP($A1805,hospital_details,5,0)</f>
        <v>4746.34</v>
      </c>
      <c r="P1805" s="7" t="str">
        <f t="shared" ref="P1805:P1868" si="10818">VLOOKUP($A1805,hospital_details,6,0)</f>
        <v>tier - 2</v>
      </c>
      <c r="Q1805" s="7" t="str">
        <f t="shared" ref="Q1805:Q1868" si="10819">VLOOKUP($A1805,hospital_details,7,0)</f>
        <v>tier - 2</v>
      </c>
      <c r="R1805" s="7" t="str">
        <f t="shared" ref="R1805:R1868" si="10820">VLOOKUP($A1805,hospital_details,8,0)</f>
        <v>R1011</v>
      </c>
    </row>
    <row r="1806" spans="1:18" ht="14.4" customHeight="1" x14ac:dyDescent="0.3">
      <c r="A1806" s="5" t="s">
        <v>1826</v>
      </c>
      <c r="B1806" s="5" t="str">
        <f>VLOOKUP($A1806,[1]!Customer_Names[#Data],3,0)</f>
        <v xml:space="preserve">  Daniel C</v>
      </c>
      <c r="C1806" s="5">
        <v>35.93</v>
      </c>
      <c r="D1806" s="5" t="str" cm="1">
        <f t="array" ref="D1806">_xlfn.IFS(Healthcare!$C1806&lt;18.5,"under weight",Healthcare!$C1806&lt;=24.9,"Normal Weight",Healthcare!$C1806&gt;=25,"overweight",Healthcare!$C1806&gt;=30,"obese")</f>
        <v>overweight</v>
      </c>
      <c r="E1806" s="5">
        <v>5.43</v>
      </c>
      <c r="F1806" s="5" t="str" cm="1">
        <f t="array" ref="F1806">_xlfn.IFS(Healthcare!$E1806&lt;5.7,"normal",Healthcare!$E1806&lt;=6.4,"prediabetes",Healthcare!$E1806&gt;=6.5,"diabetes")</f>
        <v>normal</v>
      </c>
      <c r="G1806" s="5" t="s">
        <v>19</v>
      </c>
      <c r="H1806" s="5" t="s">
        <v>20</v>
      </c>
      <c r="I1806" s="5" t="s">
        <v>19</v>
      </c>
      <c r="J1806" s="5">
        <v>1</v>
      </c>
      <c r="K1806" s="5" t="s">
        <v>19</v>
      </c>
      <c r="L1806" s="5" t="str">
        <f>VLOOKUP(Healthcare!$A1806,hospital_details,2,0)</f>
        <v>24-Nov-2004</v>
      </c>
      <c r="M1806" s="5">
        <f t="shared" ref="M1806:M1869" ca="1" si="10821">VLOOKUP(A1806,hospital_details,3,0)</f>
        <v>21</v>
      </c>
      <c r="N1806" s="5">
        <f t="shared" ref="N1806:N1869" si="10822">VLOOKUP($A1806,hospital_details,4,0)</f>
        <v>0</v>
      </c>
      <c r="O1806" s="6">
        <f t="shared" ref="O1806:O1869" si="10823">VLOOKUP($A1806,hospital_details,5,0)</f>
        <v>4740.78</v>
      </c>
      <c r="P1806" s="5" t="str">
        <f t="shared" ref="P1806:P1869" si="10824">VLOOKUP($A1806,hospital_details,6,0)</f>
        <v>tier - 2</v>
      </c>
      <c r="Q1806" s="5" t="str">
        <f t="shared" ref="Q1806:Q1869" si="10825">VLOOKUP($A1806,hospital_details,7,0)</f>
        <v>tier - 3</v>
      </c>
      <c r="R1806" s="5" t="str">
        <f t="shared" ref="R1806:R1869" si="10826">VLOOKUP($A1806,hospital_details,8,0)</f>
        <v>R1021</v>
      </c>
    </row>
    <row r="1807" spans="1:18" ht="14.4" customHeight="1" x14ac:dyDescent="0.3">
      <c r="A1807" s="7" t="s">
        <v>1827</v>
      </c>
      <c r="B1807" s="7" t="str">
        <f>VLOOKUP($A1807,[1]!Customer_Names[#Data],3,0)</f>
        <v xml:space="preserve">  Lauren</v>
      </c>
      <c r="C1807" s="7">
        <v>32.68</v>
      </c>
      <c r="D1807" s="7" t="str" cm="1">
        <f t="array" ref="D1807">_xlfn.IFS(Healthcare!$C1807&lt;18.5,"under weight",Healthcare!$C1807&lt;=24.9,"Normal Weight",Healthcare!$C1807&gt;=25,"overweight",Healthcare!$C1807&gt;=30,"obese")</f>
        <v>overweight</v>
      </c>
      <c r="E1807" s="7">
        <v>5.44</v>
      </c>
      <c r="F1807" s="7" t="str" cm="1">
        <f t="array" ref="F1807">_xlfn.IFS(Healthcare!$E1807&lt;5.7,"normal",Healthcare!$E1807&lt;=6.4,"prediabetes",Healthcare!$E1807&gt;=6.5,"diabetes")</f>
        <v>normal</v>
      </c>
      <c r="G1807" s="7" t="s">
        <v>19</v>
      </c>
      <c r="H1807" s="7" t="s">
        <v>19</v>
      </c>
      <c r="I1807" s="7" t="s">
        <v>19</v>
      </c>
      <c r="J1807" s="7">
        <v>0</v>
      </c>
      <c r="K1807" s="7" t="s">
        <v>19</v>
      </c>
      <c r="L1807" s="7" t="str">
        <f>VLOOKUP(Healthcare!$A1807,hospital_details,2,0)</f>
        <v>12-Oct-1991</v>
      </c>
      <c r="M1807" s="7">
        <f t="shared" ref="M1807:M1870" ca="1" si="10827">VLOOKUP(A1807,hospital_details,3,0)</f>
        <v>35</v>
      </c>
      <c r="N1807" s="7">
        <f t="shared" ref="N1807:N1870" si="10828">VLOOKUP($A1807,hospital_details,4,0)</f>
        <v>1</v>
      </c>
      <c r="O1807" s="8">
        <f t="shared" ref="O1807:O1870" si="10829">VLOOKUP($A1807,hospital_details,5,0)</f>
        <v>4738.2700000000004</v>
      </c>
      <c r="P1807" s="7" t="str">
        <f t="shared" ref="P1807:P1870" si="10830">VLOOKUP($A1807,hospital_details,6,0)</f>
        <v>tier - 2</v>
      </c>
      <c r="Q1807" s="7" t="str">
        <f t="shared" ref="Q1807:Q1870" si="10831">VLOOKUP($A1807,hospital_details,7,0)</f>
        <v>tier - 3</v>
      </c>
      <c r="R1807" s="7" t="str">
        <f t="shared" ref="R1807:R1870" si="10832">VLOOKUP($A1807,hospital_details,8,0)</f>
        <v>R1012</v>
      </c>
    </row>
    <row r="1808" spans="1:18" ht="14.4" customHeight="1" x14ac:dyDescent="0.3">
      <c r="A1808" s="5" t="s">
        <v>1828</v>
      </c>
      <c r="B1808" s="5" t="str">
        <f>VLOOKUP($A1808,[1]!Customer_Names[#Data],3,0)</f>
        <v xml:space="preserve">  Jennefer</v>
      </c>
      <c r="C1808" s="5">
        <v>20.74</v>
      </c>
      <c r="D1808" s="5" t="str" cm="1">
        <f t="array" ref="D1808">_xlfn.IFS(Healthcare!$C1808&lt;18.5,"under weight",Healthcare!$C1808&lt;=24.9,"Normal Weight",Healthcare!$C1808&gt;=25,"overweight",Healthcare!$C1808&gt;=30,"obese")</f>
        <v>Normal Weight</v>
      </c>
      <c r="E1808" s="5">
        <v>11.69</v>
      </c>
      <c r="F1808" s="5" t="str" cm="1">
        <f t="array" ref="F1808">_xlfn.IFS(Healthcare!$E1808&lt;5.7,"normal",Healthcare!$E1808&lt;=6.4,"prediabetes",Healthcare!$E1808&gt;=6.5,"diabetes")</f>
        <v>diabetes</v>
      </c>
      <c r="G1808" s="5" t="s">
        <v>20</v>
      </c>
      <c r="H1808" s="5" t="s">
        <v>19</v>
      </c>
      <c r="I1808" s="5" t="s">
        <v>19</v>
      </c>
      <c r="J1808" s="5">
        <v>1</v>
      </c>
      <c r="K1808" s="5" t="s">
        <v>19</v>
      </c>
      <c r="L1808" s="5" t="str">
        <f>VLOOKUP(Healthcare!$A1808,hospital_details,2,0)</f>
        <v>5-Sep-1986</v>
      </c>
      <c r="M1808" s="5">
        <f t="shared" ref="M1808:M1871" ca="1" si="10833">VLOOKUP(A1808,hospital_details,3,0)</f>
        <v>40</v>
      </c>
      <c r="N1808" s="5">
        <f t="shared" ref="N1808:N1871" si="10834">VLOOKUP($A1808,hospital_details,4,0)</f>
        <v>3</v>
      </c>
      <c r="O1808" s="6">
        <f t="shared" ref="O1808:O1871" si="10835">VLOOKUP($A1808,hospital_details,5,0)</f>
        <v>4734.6400000000003</v>
      </c>
      <c r="P1808" s="5" t="str">
        <f t="shared" ref="P1808:P1871" si="10836">VLOOKUP($A1808,hospital_details,6,0)</f>
        <v>tier - 2</v>
      </c>
      <c r="Q1808" s="5" t="str">
        <f t="shared" ref="Q1808:Q1871" si="10837">VLOOKUP($A1808,hospital_details,7,0)</f>
        <v>tier - 1</v>
      </c>
      <c r="R1808" s="5" t="str">
        <f t="shared" ref="R1808:R1871" si="10838">VLOOKUP($A1808,hospital_details,8,0)</f>
        <v>R1013</v>
      </c>
    </row>
    <row r="1809" spans="1:18" ht="14.4" customHeight="1" x14ac:dyDescent="0.3">
      <c r="A1809" s="7" t="s">
        <v>1829</v>
      </c>
      <c r="B1809" s="7" t="str">
        <f>VLOOKUP($A1809,[1]!Customer_Names[#Data],3,0)</f>
        <v xml:space="preserve">  Tracey L</v>
      </c>
      <c r="C1809" s="7">
        <v>15.57</v>
      </c>
      <c r="D1809" s="7" t="str" cm="1">
        <f t="array" ref="D1809">_xlfn.IFS(Healthcare!$C1809&lt;18.5,"under weight",Healthcare!$C1809&lt;=24.9,"Normal Weight",Healthcare!$C1809&gt;=25,"overweight",Healthcare!$C1809&gt;=30,"obese")</f>
        <v>under weight</v>
      </c>
      <c r="E1809" s="7">
        <v>6.07</v>
      </c>
      <c r="F1809" s="7" t="str" cm="1">
        <f t="array" ref="F1809">_xlfn.IFS(Healthcare!$E1809&lt;5.7,"normal",Healthcare!$E1809&lt;=6.4,"prediabetes",Healthcare!$E1809&gt;=6.5,"diabetes")</f>
        <v>prediabetes</v>
      </c>
      <c r="G1809" s="7" t="s">
        <v>19</v>
      </c>
      <c r="H1809" s="7" t="s">
        <v>19</v>
      </c>
      <c r="I1809" s="7" t="s">
        <v>19</v>
      </c>
      <c r="J1809" s="7">
        <v>0</v>
      </c>
      <c r="K1809" s="7" t="s">
        <v>19</v>
      </c>
      <c r="L1809" s="7" t="str">
        <f>VLOOKUP(Healthcare!$A1809,hospital_details,2,0)</f>
        <v>2-Jul-1980</v>
      </c>
      <c r="M1809" s="7">
        <f t="shared" ref="M1809:M1872" ca="1" si="10839">VLOOKUP(A1809,hospital_details,3,0)</f>
        <v>46</v>
      </c>
      <c r="N1809" s="7">
        <f t="shared" ref="N1809:N1872" si="10840">VLOOKUP($A1809,hospital_details,4,0)</f>
        <v>2</v>
      </c>
      <c r="O1809" s="8">
        <f t="shared" ref="O1809:O1872" si="10841">VLOOKUP($A1809,hospital_details,5,0)</f>
        <v>4728.71</v>
      </c>
      <c r="P1809" s="7" t="str">
        <f t="shared" ref="P1809:P1872" si="10842">VLOOKUP($A1809,hospital_details,6,0)</f>
        <v>tier - 2</v>
      </c>
      <c r="Q1809" s="7" t="str">
        <f t="shared" ref="Q1809:Q1872" si="10843">VLOOKUP($A1809,hospital_details,7,0)</f>
        <v>tier - 3</v>
      </c>
      <c r="R1809" s="7" t="str">
        <f t="shared" ref="R1809:R1872" si="10844">VLOOKUP($A1809,hospital_details,8,0)</f>
        <v>R1012</v>
      </c>
    </row>
    <row r="1810" spans="1:18" ht="14.4" customHeight="1" x14ac:dyDescent="0.3">
      <c r="A1810" s="5" t="s">
        <v>1830</v>
      </c>
      <c r="B1810" s="5" t="str">
        <f>VLOOKUP($A1810,[1]!Customer_Names[#Data],3,0)</f>
        <v xml:space="preserve">  Ashley</v>
      </c>
      <c r="C1810" s="5">
        <v>23.844999999999999</v>
      </c>
      <c r="D1810" s="5" t="str" cm="1">
        <f t="array" ref="D1810">_xlfn.IFS(Healthcare!$C1810&lt;18.5,"under weight",Healthcare!$C1810&lt;=24.9,"Normal Weight",Healthcare!$C1810&gt;=25,"overweight",Healthcare!$C1810&gt;=30,"obese")</f>
        <v>Normal Weight</v>
      </c>
      <c r="E1810" s="5">
        <v>4.3600000000000003</v>
      </c>
      <c r="F1810" s="5" t="str" cm="1">
        <f t="array" ref="F1810">_xlfn.IFS(Healthcare!$E1810&lt;5.7,"normal",Healthcare!$E1810&lt;=6.4,"prediabetes",Healthcare!$E1810&gt;=6.5,"diabetes")</f>
        <v>normal</v>
      </c>
      <c r="G1810" s="5" t="s">
        <v>19</v>
      </c>
      <c r="H1810" s="5" t="s">
        <v>19</v>
      </c>
      <c r="I1810" s="5" t="s">
        <v>19</v>
      </c>
      <c r="J1810" s="5">
        <v>0</v>
      </c>
      <c r="K1810" s="5" t="s">
        <v>19</v>
      </c>
      <c r="L1810" s="5" t="str">
        <f>VLOOKUP(Healthcare!$A1810,hospital_details,2,0)</f>
        <v>12-Aug-1994</v>
      </c>
      <c r="M1810" s="5">
        <f t="shared" ref="M1810:M1873" ca="1" si="10845">VLOOKUP(A1810,hospital_details,3,0)</f>
        <v>32</v>
      </c>
      <c r="N1810" s="5">
        <f t="shared" ref="N1810:N1873" si="10846">VLOOKUP($A1810,hospital_details,4,0)</f>
        <v>2</v>
      </c>
      <c r="O1810" s="6">
        <f t="shared" ref="O1810:O1873" si="10847">VLOOKUP($A1810,hospital_details,5,0)</f>
        <v>4719.74</v>
      </c>
      <c r="P1810" s="5" t="str">
        <f t="shared" ref="P1810:P1873" si="10848">VLOOKUP($A1810,hospital_details,6,0)</f>
        <v>tier - 2</v>
      </c>
      <c r="Q1810" s="5" t="str">
        <f t="shared" ref="Q1810:Q1873" si="10849">VLOOKUP($A1810,hospital_details,7,0)</f>
        <v>tier - 1</v>
      </c>
      <c r="R1810" s="5" t="str">
        <f t="shared" ref="R1810:R1873" si="10850">VLOOKUP($A1810,hospital_details,8,0)</f>
        <v>R1012</v>
      </c>
    </row>
    <row r="1811" spans="1:18" ht="14.4" customHeight="1" x14ac:dyDescent="0.3">
      <c r="A1811" s="7" t="s">
        <v>1831</v>
      </c>
      <c r="B1811" s="7" t="str">
        <f>VLOOKUP($A1811,[1]!Customer_Names[#Data],3,0)</f>
        <v xml:space="preserve">  Cindy</v>
      </c>
      <c r="C1811" s="7">
        <v>22.895</v>
      </c>
      <c r="D1811" s="7" t="str" cm="1">
        <f t="array" ref="D1811">_xlfn.IFS(Healthcare!$C1811&lt;18.5,"under weight",Healthcare!$C1811&lt;=24.9,"Normal Weight",Healthcare!$C1811&gt;=25,"overweight",Healthcare!$C1811&gt;=30,"obese")</f>
        <v>Normal Weight</v>
      </c>
      <c r="E1811" s="7">
        <v>5.24</v>
      </c>
      <c r="F1811" s="7" t="str" cm="1">
        <f t="array" ref="F1811">_xlfn.IFS(Healthcare!$E1811&lt;5.7,"normal",Healthcare!$E1811&lt;=6.4,"prediabetes",Healthcare!$E1811&gt;=6.5,"diabetes")</f>
        <v>normal</v>
      </c>
      <c r="G1811" s="7" t="s">
        <v>19</v>
      </c>
      <c r="H1811" s="7" t="s">
        <v>19</v>
      </c>
      <c r="I1811" s="7" t="s">
        <v>19</v>
      </c>
      <c r="J1811" s="7">
        <v>1</v>
      </c>
      <c r="K1811" s="7" t="s">
        <v>19</v>
      </c>
      <c r="L1811" s="7" t="str">
        <f>VLOOKUP(Healthcare!$A1811,hospital_details,2,0)</f>
        <v>28-Sep-1992</v>
      </c>
      <c r="M1811" s="7">
        <f t="shared" ref="M1811:M1874" ca="1" si="10851">VLOOKUP(A1811,hospital_details,3,0)</f>
        <v>34</v>
      </c>
      <c r="N1811" s="7">
        <f t="shared" ref="N1811:N1874" si="10852">VLOOKUP($A1811,hospital_details,4,0)</f>
        <v>1</v>
      </c>
      <c r="O1811" s="8">
        <f t="shared" ref="O1811:O1874" si="10853">VLOOKUP($A1811,hospital_details,5,0)</f>
        <v>4719.5200000000004</v>
      </c>
      <c r="P1811" s="7" t="str">
        <f t="shared" ref="P1811:P1874" si="10854">VLOOKUP($A1811,hospital_details,6,0)</f>
        <v>tier - 2</v>
      </c>
      <c r="Q1811" s="7" t="str">
        <f t="shared" ref="Q1811:Q1874" si="10855">VLOOKUP($A1811,hospital_details,7,0)</f>
        <v>tier - 2</v>
      </c>
      <c r="R1811" s="7" t="str">
        <f t="shared" ref="R1811:R1874" si="10856">VLOOKUP($A1811,hospital_details,8,0)</f>
        <v>R1024</v>
      </c>
    </row>
    <row r="1812" spans="1:18" ht="14.4" customHeight="1" x14ac:dyDescent="0.3">
      <c r="A1812" s="5" t="s">
        <v>1832</v>
      </c>
      <c r="B1812" s="5" t="str">
        <f>VLOOKUP($A1812,[1]!Customer_Names[#Data],3,0)</f>
        <v xml:space="preserve">  Esther</v>
      </c>
      <c r="C1812" s="5">
        <v>21.945</v>
      </c>
      <c r="D1812" s="5" t="str" cm="1">
        <f t="array" ref="D1812">_xlfn.IFS(Healthcare!$C1812&lt;18.5,"under weight",Healthcare!$C1812&lt;=24.9,"Normal Weight",Healthcare!$C1812&gt;=25,"overweight",Healthcare!$C1812&gt;=30,"obese")</f>
        <v>Normal Weight</v>
      </c>
      <c r="E1812" s="5">
        <v>5.37</v>
      </c>
      <c r="F1812" s="5" t="str" cm="1">
        <f t="array" ref="F1812">_xlfn.IFS(Healthcare!$E1812&lt;5.7,"normal",Healthcare!$E1812&lt;=6.4,"prediabetes",Healthcare!$E1812&gt;=6.5,"diabetes")</f>
        <v>normal</v>
      </c>
      <c r="G1812" s="5" t="s">
        <v>19</v>
      </c>
      <c r="H1812" s="5" t="s">
        <v>19</v>
      </c>
      <c r="I1812" s="5" t="s">
        <v>19</v>
      </c>
      <c r="J1812" s="5">
        <v>1</v>
      </c>
      <c r="K1812" s="5" t="s">
        <v>19</v>
      </c>
      <c r="L1812" s="5" t="str">
        <f>VLOOKUP(Healthcare!$A1812,hospital_details,2,0)</f>
        <v>9-Oct-1992</v>
      </c>
      <c r="M1812" s="5">
        <f t="shared" ref="M1812:M1875" ca="1" si="10857">VLOOKUP(A1812,hospital_details,3,0)</f>
        <v>34</v>
      </c>
      <c r="N1812" s="5">
        <f t="shared" ref="N1812:N1875" si="10858">VLOOKUP($A1812,hospital_details,4,0)</f>
        <v>1</v>
      </c>
      <c r="O1812" s="6">
        <f t="shared" ref="O1812:O1875" si="10859">VLOOKUP($A1812,hospital_details,5,0)</f>
        <v>4718.2</v>
      </c>
      <c r="P1812" s="5" t="str">
        <f t="shared" ref="P1812:P1875" si="10860">VLOOKUP($A1812,hospital_details,6,0)</f>
        <v>tier - 2</v>
      </c>
      <c r="Q1812" s="5" t="str">
        <f t="shared" ref="Q1812:Q1875" si="10861">VLOOKUP($A1812,hospital_details,7,0)</f>
        <v>tier - 3</v>
      </c>
      <c r="R1812" s="5" t="str">
        <f t="shared" ref="R1812:R1875" si="10862">VLOOKUP($A1812,hospital_details,8,0)</f>
        <v>R1024</v>
      </c>
    </row>
    <row r="1813" spans="1:18" ht="14.4" customHeight="1" x14ac:dyDescent="0.3">
      <c r="A1813" s="7" t="s">
        <v>1833</v>
      </c>
      <c r="B1813" s="7" t="str">
        <f>VLOOKUP($A1813,[1]!Customer_Names[#Data],3,0)</f>
        <v xml:space="preserve">  Jackie</v>
      </c>
      <c r="C1813" s="7">
        <v>19.47</v>
      </c>
      <c r="D1813" s="7" t="str" cm="1">
        <f t="array" ref="D1813">_xlfn.IFS(Healthcare!$C1813&lt;18.5,"under weight",Healthcare!$C1813&lt;=24.9,"Normal Weight",Healthcare!$C1813&gt;=25,"overweight",Healthcare!$C1813&gt;=30,"obese")</f>
        <v>Normal Weight</v>
      </c>
      <c r="E1813" s="7">
        <v>6.6</v>
      </c>
      <c r="F1813" s="7" t="str" cm="1">
        <f t="array" ref="F1813">_xlfn.IFS(Healthcare!$E1813&lt;5.7,"normal",Healthcare!$E1813&lt;=6.4,"prediabetes",Healthcare!$E1813&gt;=6.5,"diabetes")</f>
        <v>diabetes</v>
      </c>
      <c r="G1813" s="7" t="s">
        <v>20</v>
      </c>
      <c r="H1813" s="7" t="s">
        <v>19</v>
      </c>
      <c r="I1813" s="7" t="s">
        <v>19</v>
      </c>
      <c r="J1813" s="7">
        <v>0</v>
      </c>
      <c r="K1813" s="7" t="s">
        <v>19</v>
      </c>
      <c r="L1813" s="7" t="str">
        <f>VLOOKUP(Healthcare!$A1813,hospital_details,2,0)</f>
        <v>12-Aug-1981</v>
      </c>
      <c r="M1813" s="7">
        <f t="shared" ref="M1813:M1876" ca="1" si="10863">VLOOKUP(A1813,hospital_details,3,0)</f>
        <v>45</v>
      </c>
      <c r="N1813" s="7">
        <f t="shared" ref="N1813:N1876" si="10864">VLOOKUP($A1813,hospital_details,4,0)</f>
        <v>1</v>
      </c>
      <c r="O1813" s="8">
        <f t="shared" ref="O1813:O1876" si="10865">VLOOKUP($A1813,hospital_details,5,0)</f>
        <v>4712.12</v>
      </c>
      <c r="P1813" s="7" t="str">
        <f t="shared" ref="P1813:P1876" si="10866">VLOOKUP($A1813,hospital_details,6,0)</f>
        <v>tier - 2</v>
      </c>
      <c r="Q1813" s="7" t="str">
        <f t="shared" ref="Q1813:Q1876" si="10867">VLOOKUP($A1813,hospital_details,7,0)</f>
        <v>tier - 3</v>
      </c>
      <c r="R1813" s="7" t="str">
        <f t="shared" ref="R1813:R1876" si="10868">VLOOKUP($A1813,hospital_details,8,0)</f>
        <v>R1011</v>
      </c>
    </row>
    <row r="1814" spans="1:18" ht="14.4" customHeight="1" x14ac:dyDescent="0.3">
      <c r="A1814" s="5" t="s">
        <v>1834</v>
      </c>
      <c r="B1814" s="5" t="str">
        <f>VLOOKUP($A1814,[1]!Customer_Names[#Data],3,0)</f>
        <v xml:space="preserve">  Timothy P</v>
      </c>
      <c r="C1814" s="5">
        <v>15.61</v>
      </c>
      <c r="D1814" s="5" t="str" cm="1">
        <f t="array" ref="D1814">_xlfn.IFS(Healthcare!$C1814&lt;18.5,"under weight",Healthcare!$C1814&lt;=24.9,"Normal Weight",Healthcare!$C1814&gt;=25,"overweight",Healthcare!$C1814&gt;=30,"obese")</f>
        <v>under weight</v>
      </c>
      <c r="E1814" s="5">
        <v>5.77</v>
      </c>
      <c r="F1814" s="5" t="str" cm="1">
        <f t="array" ref="F1814">_xlfn.IFS(Healthcare!$E1814&lt;5.7,"normal",Healthcare!$E1814&lt;=6.4,"prediabetes",Healthcare!$E1814&gt;=6.5,"diabetes")</f>
        <v>prediabetes</v>
      </c>
      <c r="G1814" s="5" t="s">
        <v>19</v>
      </c>
      <c r="H1814" s="5" t="s">
        <v>19</v>
      </c>
      <c r="I1814" s="5" t="s">
        <v>19</v>
      </c>
      <c r="J1814" s="5">
        <v>0</v>
      </c>
      <c r="K1814" s="5" t="s">
        <v>19</v>
      </c>
      <c r="L1814" s="5" t="str">
        <f>VLOOKUP(Healthcare!$A1814,hospital_details,2,0)</f>
        <v>4-Dec-1977</v>
      </c>
      <c r="M1814" s="5">
        <f t="shared" ref="M1814:M1877" ca="1" si="10869">VLOOKUP(A1814,hospital_details,3,0)</f>
        <v>48</v>
      </c>
      <c r="N1814" s="5">
        <f t="shared" ref="N1814:N1877" si="10870">VLOOKUP($A1814,hospital_details,4,0)</f>
        <v>2</v>
      </c>
      <c r="O1814" s="6">
        <f t="shared" ref="O1814:O1877" si="10871">VLOOKUP($A1814,hospital_details,5,0)</f>
        <v>4699.47</v>
      </c>
      <c r="P1814" s="5" t="str">
        <f t="shared" ref="P1814:P1877" si="10872">VLOOKUP($A1814,hospital_details,6,0)</f>
        <v>tier - 2</v>
      </c>
      <c r="Q1814" s="5" t="str">
        <f t="shared" ref="Q1814:Q1877" si="10873">VLOOKUP($A1814,hospital_details,7,0)</f>
        <v>tier - 3</v>
      </c>
      <c r="R1814" s="5" t="str">
        <f t="shared" ref="R1814:R1877" si="10874">VLOOKUP($A1814,hospital_details,8,0)</f>
        <v>R1013</v>
      </c>
    </row>
    <row r="1815" spans="1:18" ht="14.4" customHeight="1" x14ac:dyDescent="0.3">
      <c r="A1815" s="7" t="s">
        <v>1835</v>
      </c>
      <c r="B1815" s="7" t="str">
        <f>VLOOKUP($A1815,[1]!Customer_Names[#Data],3,0)</f>
        <v xml:space="preserve">  Lauren</v>
      </c>
      <c r="C1815" s="7">
        <v>28.6</v>
      </c>
      <c r="D1815" s="7" t="str" cm="1">
        <f t="array" ref="D1815">_xlfn.IFS(Healthcare!$C1815&lt;18.5,"under weight",Healthcare!$C1815&lt;=24.9,"Normal Weight",Healthcare!$C1815&gt;=25,"overweight",Healthcare!$C1815&gt;=30,"obese")</f>
        <v>overweight</v>
      </c>
      <c r="E1815" s="7">
        <v>6.08</v>
      </c>
      <c r="F1815" s="7" t="str" cm="1">
        <f t="array" ref="F1815">_xlfn.IFS(Healthcare!$E1815&lt;5.7,"normal",Healthcare!$E1815&lt;=6.4,"prediabetes",Healthcare!$E1815&gt;=6.5,"diabetes")</f>
        <v>prediabetes</v>
      </c>
      <c r="G1815" s="7" t="s">
        <v>19</v>
      </c>
      <c r="H1815" s="7" t="s">
        <v>19</v>
      </c>
      <c r="I1815" s="7" t="s">
        <v>29</v>
      </c>
      <c r="J1815" s="7">
        <v>1</v>
      </c>
      <c r="K1815" s="7" t="s">
        <v>19</v>
      </c>
      <c r="L1815" s="7" t="str">
        <f>VLOOKUP(Healthcare!$A1815,hospital_details,2,0)</f>
        <v>22-Jun-2003</v>
      </c>
      <c r="M1815" s="7">
        <f t="shared" ref="M1815:M1878" ca="1" si="10875">VLOOKUP(A1815,hospital_details,3,0)</f>
        <v>23</v>
      </c>
      <c r="N1815" s="7">
        <f t="shared" ref="N1815:N1878" si="10876">VLOOKUP($A1815,hospital_details,4,0)</f>
        <v>5</v>
      </c>
      <c r="O1815" s="8">
        <f t="shared" ref="O1815:O1878" si="10877">VLOOKUP($A1815,hospital_details,5,0)</f>
        <v>4687.8</v>
      </c>
      <c r="P1815" s="7" t="str">
        <f t="shared" ref="P1815:P1878" si="10878">VLOOKUP($A1815,hospital_details,6,0)</f>
        <v>tier - 2</v>
      </c>
      <c r="Q1815" s="7" t="str">
        <f t="shared" ref="Q1815:Q1878" si="10879">VLOOKUP($A1815,hospital_details,7,0)</f>
        <v>tier - 3</v>
      </c>
      <c r="R1815" s="7" t="str">
        <f t="shared" ref="R1815:R1878" si="10880">VLOOKUP($A1815,hospital_details,8,0)</f>
        <v>R1011</v>
      </c>
    </row>
    <row r="1816" spans="1:18" ht="14.4" customHeight="1" x14ac:dyDescent="0.3">
      <c r="A1816" s="5" t="s">
        <v>1836</v>
      </c>
      <c r="B1816" s="5" t="str">
        <f>VLOOKUP($A1816,[1]!Customer_Names[#Data],3,0)</f>
        <v xml:space="preserve">  Benjamin</v>
      </c>
      <c r="C1816" s="5">
        <v>46.53</v>
      </c>
      <c r="D1816" s="5" t="str" cm="1">
        <f t="array" ref="D1816">_xlfn.IFS(Healthcare!$C1816&lt;18.5,"under weight",Healthcare!$C1816&lt;=24.9,"Normal Weight",Healthcare!$C1816&gt;=25,"overweight",Healthcare!$C1816&gt;=30,"obese")</f>
        <v>overweight</v>
      </c>
      <c r="E1816" s="5">
        <v>4.16</v>
      </c>
      <c r="F1816" s="5" t="str" cm="1">
        <f t="array" ref="F1816">_xlfn.IFS(Healthcare!$E1816&lt;5.7,"normal",Healthcare!$E1816&lt;=6.4,"prediabetes",Healthcare!$E1816&gt;=6.5,"diabetes")</f>
        <v>normal</v>
      </c>
      <c r="G1816" s="5" t="s">
        <v>19</v>
      </c>
      <c r="H1816" s="5" t="s">
        <v>19</v>
      </c>
      <c r="I1816" s="5" t="s">
        <v>19</v>
      </c>
      <c r="J1816" s="5">
        <v>0</v>
      </c>
      <c r="K1816" s="5" t="s">
        <v>19</v>
      </c>
      <c r="L1816" s="5" t="str">
        <f>VLOOKUP(Healthcare!$A1816,hospital_details,2,0)</f>
        <v>4-Sep-1990</v>
      </c>
      <c r="M1816" s="5">
        <f t="shared" ref="M1816:M1879" ca="1" si="10881">VLOOKUP(A1816,hospital_details,3,0)</f>
        <v>36</v>
      </c>
      <c r="N1816" s="5">
        <f t="shared" ref="N1816:N1879" si="10882">VLOOKUP($A1816,hospital_details,4,0)</f>
        <v>2</v>
      </c>
      <c r="O1816" s="6">
        <f t="shared" ref="O1816:O1879" si="10883">VLOOKUP($A1816,hospital_details,5,0)</f>
        <v>4686.3900000000003</v>
      </c>
      <c r="P1816" s="5" t="str">
        <f t="shared" ref="P1816:P1879" si="10884">VLOOKUP($A1816,hospital_details,6,0)</f>
        <v>tier - 3</v>
      </c>
      <c r="Q1816" s="5" t="str">
        <f t="shared" ref="Q1816:Q1879" si="10885">VLOOKUP($A1816,hospital_details,7,0)</f>
        <v>tier - 3</v>
      </c>
      <c r="R1816" s="5" t="str">
        <f t="shared" ref="R1816:R1879" si="10886">VLOOKUP($A1816,hospital_details,8,0)</f>
        <v>R1013</v>
      </c>
    </row>
    <row r="1817" spans="1:18" ht="14.4" customHeight="1" x14ac:dyDescent="0.3">
      <c r="A1817" s="7" t="s">
        <v>1837</v>
      </c>
      <c r="B1817" s="7" t="str">
        <f>VLOOKUP($A1817,[1]!Customer_Names[#Data],3,0)</f>
        <v xml:space="preserve">  Hugo M</v>
      </c>
      <c r="C1817" s="7">
        <v>34.99</v>
      </c>
      <c r="D1817" s="7" t="str" cm="1">
        <f t="array" ref="D1817">_xlfn.IFS(Healthcare!$C1817&lt;18.5,"under weight",Healthcare!$C1817&lt;=24.9,"Normal Weight",Healthcare!$C1817&gt;=25,"overweight",Healthcare!$C1817&gt;=30,"obese")</f>
        <v>overweight</v>
      </c>
      <c r="E1817" s="7">
        <v>5.0999999999999996</v>
      </c>
      <c r="F1817" s="7" t="str" cm="1">
        <f t="array" ref="F1817">_xlfn.IFS(Healthcare!$E1817&lt;5.7,"normal",Healthcare!$E1817&lt;=6.4,"prediabetes",Healthcare!$E1817&gt;=6.5,"diabetes")</f>
        <v>normal</v>
      </c>
      <c r="G1817" s="7" t="s">
        <v>19</v>
      </c>
      <c r="H1817" s="7" t="s">
        <v>19</v>
      </c>
      <c r="I1817" s="7" t="s">
        <v>29</v>
      </c>
      <c r="J1817" s="7">
        <v>1</v>
      </c>
      <c r="K1817" s="7" t="s">
        <v>19</v>
      </c>
      <c r="L1817" s="7" t="str">
        <f>VLOOKUP(Healthcare!$A1817,hospital_details,2,0)</f>
        <v>4-Oct-2003</v>
      </c>
      <c r="M1817" s="7">
        <f t="shared" ref="M1817:M1880" ca="1" si="10887">VLOOKUP(A1817,hospital_details,3,0)</f>
        <v>23</v>
      </c>
      <c r="N1817" s="7">
        <f t="shared" ref="N1817:N1880" si="10888">VLOOKUP($A1817,hospital_details,4,0)</f>
        <v>0</v>
      </c>
      <c r="O1817" s="8">
        <f t="shared" ref="O1817:O1880" si="10889">VLOOKUP($A1817,hospital_details,5,0)</f>
        <v>4678.8</v>
      </c>
      <c r="P1817" s="7" t="str">
        <f t="shared" ref="P1817:P1880" si="10890">VLOOKUP($A1817,hospital_details,6,0)</f>
        <v>tier - 2</v>
      </c>
      <c r="Q1817" s="7" t="str">
        <f t="shared" ref="Q1817:Q1880" si="10891">VLOOKUP($A1817,hospital_details,7,0)</f>
        <v>tier - 1</v>
      </c>
      <c r="R1817" s="7" t="str">
        <f t="shared" ref="R1817:R1880" si="10892">VLOOKUP($A1817,hospital_details,8,0)</f>
        <v>R1021</v>
      </c>
    </row>
    <row r="1818" spans="1:18" ht="14.4" customHeight="1" x14ac:dyDescent="0.3">
      <c r="A1818" s="5" t="s">
        <v>1838</v>
      </c>
      <c r="B1818" s="5" t="str">
        <f>VLOOKUP($A1818,[1]!Customer_Names[#Data],3,0)</f>
        <v xml:space="preserve">  Daniel J</v>
      </c>
      <c r="C1818" s="5">
        <v>17.05</v>
      </c>
      <c r="D1818" s="5" t="str" cm="1">
        <f t="array" ref="D1818">_xlfn.IFS(Healthcare!$C1818&lt;18.5,"under weight",Healthcare!$C1818&lt;=24.9,"Normal Weight",Healthcare!$C1818&gt;=25,"overweight",Healthcare!$C1818&gt;=30,"obese")</f>
        <v>under weight</v>
      </c>
      <c r="E1818" s="5">
        <v>5.3</v>
      </c>
      <c r="F1818" s="5" t="str" cm="1">
        <f t="array" ref="F1818">_xlfn.IFS(Healthcare!$E1818&lt;5.7,"normal",Healthcare!$E1818&lt;=6.4,"prediabetes",Healthcare!$E1818&gt;=6.5,"diabetes")</f>
        <v>normal</v>
      </c>
      <c r="G1818" s="5" t="s">
        <v>19</v>
      </c>
      <c r="H1818" s="5" t="s">
        <v>19</v>
      </c>
      <c r="I1818" s="5" t="s">
        <v>29</v>
      </c>
      <c r="J1818" s="5">
        <v>1</v>
      </c>
      <c r="K1818" s="5" t="s">
        <v>19</v>
      </c>
      <c r="L1818" s="5" t="str">
        <f>VLOOKUP(Healthcare!$A1818,hospital_details,2,0)</f>
        <v>18-Oct-1979</v>
      </c>
      <c r="M1818" s="5">
        <f t="shared" ref="M1818:M1881" ca="1" si="10893">VLOOKUP(A1818,hospital_details,3,0)</f>
        <v>47</v>
      </c>
      <c r="N1818" s="5">
        <f t="shared" ref="N1818:N1881" si="10894">VLOOKUP($A1818,hospital_details,4,0)</f>
        <v>2</v>
      </c>
      <c r="O1818" s="6">
        <f t="shared" ref="O1818:O1881" si="10895">VLOOKUP($A1818,hospital_details,5,0)</f>
        <v>4674.2</v>
      </c>
      <c r="P1818" s="5" t="str">
        <f t="shared" ref="P1818:P1881" si="10896">VLOOKUP($A1818,hospital_details,6,0)</f>
        <v>tier - 2</v>
      </c>
      <c r="Q1818" s="5" t="str">
        <f t="shared" ref="Q1818:Q1881" si="10897">VLOOKUP($A1818,hospital_details,7,0)</f>
        <v>tier - 1</v>
      </c>
      <c r="R1818" s="5" t="str">
        <f t="shared" ref="R1818:R1881" si="10898">VLOOKUP($A1818,hospital_details,8,0)</f>
        <v>R1013</v>
      </c>
    </row>
    <row r="1819" spans="1:18" ht="14.4" customHeight="1" x14ac:dyDescent="0.3">
      <c r="A1819" s="7" t="s">
        <v>1839</v>
      </c>
      <c r="B1819" s="7" t="str">
        <f>VLOOKUP($A1819,[1]!Customer_Names[#Data],3,0)</f>
        <v xml:space="preserve">  Justin R</v>
      </c>
      <c r="C1819" s="7">
        <v>37.18</v>
      </c>
      <c r="D1819" s="7" t="str" cm="1">
        <f t="array" ref="D1819">_xlfn.IFS(Healthcare!$C1819&lt;18.5,"under weight",Healthcare!$C1819&lt;=24.9,"Normal Weight",Healthcare!$C1819&gt;=25,"overweight",Healthcare!$C1819&gt;=30,"obese")</f>
        <v>overweight</v>
      </c>
      <c r="E1819" s="7">
        <v>4.9000000000000004</v>
      </c>
      <c r="F1819" s="7" t="str" cm="1">
        <f t="array" ref="F1819">_xlfn.IFS(Healthcare!$E1819&lt;5.7,"normal",Healthcare!$E1819&lt;=6.4,"prediabetes",Healthcare!$E1819&gt;=6.5,"diabetes")</f>
        <v>normal</v>
      </c>
      <c r="G1819" s="7" t="s">
        <v>19</v>
      </c>
      <c r="H1819" s="7" t="s">
        <v>19</v>
      </c>
      <c r="I1819" s="7" t="s">
        <v>19</v>
      </c>
      <c r="J1819" s="7">
        <v>0</v>
      </c>
      <c r="K1819" s="7" t="s">
        <v>19</v>
      </c>
      <c r="L1819" s="7" t="str">
        <f>VLOOKUP(Healthcare!$A1819,hospital_details,2,0)</f>
        <v>13-Jul-1990</v>
      </c>
      <c r="M1819" s="7">
        <f t="shared" ref="M1819:M1882" ca="1" si="10899">VLOOKUP(A1819,hospital_details,3,0)</f>
        <v>36</v>
      </c>
      <c r="N1819" s="7">
        <f t="shared" ref="N1819:N1882" si="10900">VLOOKUP($A1819,hospital_details,4,0)</f>
        <v>2</v>
      </c>
      <c r="O1819" s="8">
        <f t="shared" ref="O1819:O1882" si="10901">VLOOKUP($A1819,hospital_details,5,0)</f>
        <v>4673.3900000000003</v>
      </c>
      <c r="P1819" s="7" t="str">
        <f t="shared" ref="P1819:P1882" si="10902">VLOOKUP($A1819,hospital_details,6,0)</f>
        <v>tier - 2</v>
      </c>
      <c r="Q1819" s="7" t="str">
        <f t="shared" ref="Q1819:Q1882" si="10903">VLOOKUP($A1819,hospital_details,7,0)</f>
        <v>tier - 1</v>
      </c>
      <c r="R1819" s="7" t="str">
        <f t="shared" ref="R1819:R1882" si="10904">VLOOKUP($A1819,hospital_details,8,0)</f>
        <v>R1013</v>
      </c>
    </row>
    <row r="1820" spans="1:18" ht="14.4" customHeight="1" x14ac:dyDescent="0.3">
      <c r="A1820" s="5" t="s">
        <v>1840</v>
      </c>
      <c r="B1820" s="5" t="str">
        <f>VLOOKUP($A1820,[1]!Customer_Names[#Data],3,0)</f>
        <v xml:space="preserve">  Colin</v>
      </c>
      <c r="C1820" s="5">
        <v>35.200000000000003</v>
      </c>
      <c r="D1820" s="5" t="str" cm="1">
        <f t="array" ref="D1820">_xlfn.IFS(Healthcare!$C1820&lt;18.5,"under weight",Healthcare!$C1820&lt;=24.9,"Normal Weight",Healthcare!$C1820&gt;=25,"overweight",Healthcare!$C1820&gt;=30,"obese")</f>
        <v>overweight</v>
      </c>
      <c r="E1820" s="5">
        <v>5.55</v>
      </c>
      <c r="F1820" s="5" t="str" cm="1">
        <f t="array" ref="F1820">_xlfn.IFS(Healthcare!$E1820&lt;5.7,"normal",Healthcare!$E1820&lt;=6.4,"prediabetes",Healthcare!$E1820&gt;=6.5,"diabetes")</f>
        <v>normal</v>
      </c>
      <c r="G1820" s="5" t="s">
        <v>19</v>
      </c>
      <c r="H1820" s="5" t="s">
        <v>19</v>
      </c>
      <c r="I1820" s="5" t="s">
        <v>19</v>
      </c>
      <c r="J1820" s="5">
        <v>0</v>
      </c>
      <c r="K1820" s="5" t="s">
        <v>19</v>
      </c>
      <c r="L1820" s="5" t="str">
        <f>VLOOKUP(Healthcare!$A1820,hospital_details,2,0)</f>
        <v>26-Sep-1990</v>
      </c>
      <c r="M1820" s="5">
        <f t="shared" ref="M1820:M1883" ca="1" si="10905">VLOOKUP(A1820,hospital_details,3,0)</f>
        <v>36</v>
      </c>
      <c r="N1820" s="5">
        <f t="shared" ref="N1820:N1883" si="10906">VLOOKUP($A1820,hospital_details,4,0)</f>
        <v>2</v>
      </c>
      <c r="O1820" s="6">
        <f t="shared" ref="O1820:O1883" si="10907">VLOOKUP($A1820,hospital_details,5,0)</f>
        <v>4670.6400000000003</v>
      </c>
      <c r="P1820" s="5" t="str">
        <f t="shared" ref="P1820:P1883" si="10908">VLOOKUP($A1820,hospital_details,6,0)</f>
        <v>tier - 2</v>
      </c>
      <c r="Q1820" s="5" t="str">
        <f t="shared" ref="Q1820:Q1883" si="10909">VLOOKUP($A1820,hospital_details,7,0)</f>
        <v>tier - 2</v>
      </c>
      <c r="R1820" s="5" t="str">
        <f t="shared" ref="R1820:R1883" si="10910">VLOOKUP($A1820,hospital_details,8,0)</f>
        <v>R1011</v>
      </c>
    </row>
    <row r="1821" spans="1:18" ht="14.4" customHeight="1" x14ac:dyDescent="0.3">
      <c r="A1821" s="7" t="s">
        <v>1841</v>
      </c>
      <c r="B1821" s="7" t="str">
        <f>VLOOKUP($A1821,[1]!Customer_Names[#Data],3,0)</f>
        <v xml:space="preserve">  Rob</v>
      </c>
      <c r="C1821" s="7">
        <v>37.335000000000001</v>
      </c>
      <c r="D1821" s="7" t="str" cm="1">
        <f t="array" ref="D1821">_xlfn.IFS(Healthcare!$C1821&lt;18.5,"under weight",Healthcare!$C1821&lt;=24.9,"Normal Weight",Healthcare!$C1821&gt;=25,"overweight",Healthcare!$C1821&gt;=30,"obese")</f>
        <v>overweight</v>
      </c>
      <c r="E1821" s="7">
        <v>4.95</v>
      </c>
      <c r="F1821" s="7" t="str" cm="1">
        <f t="array" ref="F1821">_xlfn.IFS(Healthcare!$E1821&lt;5.7,"normal",Healthcare!$E1821&lt;=6.4,"prediabetes",Healthcare!$E1821&gt;=6.5,"diabetes")</f>
        <v>normal</v>
      </c>
      <c r="G1821" s="7" t="s">
        <v>19</v>
      </c>
      <c r="H1821" s="7" t="s">
        <v>19</v>
      </c>
      <c r="I1821" s="7" t="s">
        <v>19</v>
      </c>
      <c r="J1821" s="7">
        <v>0</v>
      </c>
      <c r="K1821" s="7" t="s">
        <v>19</v>
      </c>
      <c r="L1821" s="7" t="str">
        <f>VLOOKUP(Healthcare!$A1821,hospital_details,2,0)</f>
        <v>5-Aug-1990</v>
      </c>
      <c r="M1821" s="7">
        <f t="shared" ref="M1821:M1884" ca="1" si="10911">VLOOKUP(A1821,hospital_details,3,0)</f>
        <v>36</v>
      </c>
      <c r="N1821" s="7">
        <f t="shared" ref="N1821:N1884" si="10912">VLOOKUP($A1821,hospital_details,4,0)</f>
        <v>1</v>
      </c>
      <c r="O1821" s="8">
        <f t="shared" ref="O1821:O1884" si="10913">VLOOKUP($A1821,hospital_details,5,0)</f>
        <v>4667.6099999999997</v>
      </c>
      <c r="P1821" s="7" t="str">
        <f t="shared" ref="P1821:P1884" si="10914">VLOOKUP($A1821,hospital_details,6,0)</f>
        <v>tier - 3</v>
      </c>
      <c r="Q1821" s="7" t="str">
        <f t="shared" ref="Q1821:Q1884" si="10915">VLOOKUP($A1821,hospital_details,7,0)</f>
        <v>tier - 3</v>
      </c>
      <c r="R1821" s="7" t="str">
        <f t="shared" ref="R1821:R1884" si="10916">VLOOKUP($A1821,hospital_details,8,0)</f>
        <v>R1016</v>
      </c>
    </row>
    <row r="1822" spans="1:18" ht="14.4" customHeight="1" x14ac:dyDescent="0.3">
      <c r="A1822" s="5" t="s">
        <v>1842</v>
      </c>
      <c r="B1822" s="5" t="str">
        <f>VLOOKUP($A1822,[1]!Customer_Names[#Data],3,0)</f>
        <v xml:space="preserve">  Patrick</v>
      </c>
      <c r="C1822" s="5">
        <v>27.265000000000001</v>
      </c>
      <c r="D1822" s="5" t="str" cm="1">
        <f t="array" ref="D1822">_xlfn.IFS(Healthcare!$C1822&lt;18.5,"under weight",Healthcare!$C1822&lt;=24.9,"Normal Weight",Healthcare!$C1822&gt;=25,"overweight",Healthcare!$C1822&gt;=30,"obese")</f>
        <v>overweight</v>
      </c>
      <c r="E1822" s="5">
        <v>6.46</v>
      </c>
      <c r="F1822" s="5" t="str" cm="1">
        <f t="array" ref="F1822">_xlfn.IFS(Healthcare!$E1291&lt;5.7,"normal",Healthcare!$E1291&lt;=6.4,"prediabetes",Healthcare!$E1291&gt;=6.5,"diabetes")</f>
        <v>normal</v>
      </c>
      <c r="G1822" s="5" t="s">
        <v>20</v>
      </c>
      <c r="H1822" s="5" t="s">
        <v>19</v>
      </c>
      <c r="I1822" s="5" t="s">
        <v>19</v>
      </c>
      <c r="J1822" s="5">
        <v>0</v>
      </c>
      <c r="K1822" s="5" t="s">
        <v>19</v>
      </c>
      <c r="L1822" s="5" t="str">
        <f>VLOOKUP(Healthcare!$A1822,hospital_details,2,0)</f>
        <v>25-Oct-1996</v>
      </c>
      <c r="M1822" s="5">
        <f t="shared" ref="M1822:M1885" ca="1" si="10917">VLOOKUP(A1822,hospital_details,3,0)</f>
        <v>29</v>
      </c>
      <c r="N1822" s="5">
        <f t="shared" ref="N1822:N1885" si="10918">VLOOKUP($A1822,hospital_details,4,0)</f>
        <v>3</v>
      </c>
      <c r="O1822" s="6">
        <f t="shared" ref="O1822:O1885" si="10919">VLOOKUP($A1822,hospital_details,5,0)</f>
        <v>4661.29</v>
      </c>
      <c r="P1822" s="5" t="str">
        <f t="shared" ref="P1822:P1885" si="10920">VLOOKUP($A1822,hospital_details,6,0)</f>
        <v>tier - 2</v>
      </c>
      <c r="Q1822" s="5" t="str">
        <f t="shared" ref="Q1822:Q1885" si="10921">VLOOKUP($A1822,hospital_details,7,0)</f>
        <v>tier - 1</v>
      </c>
      <c r="R1822" s="5" t="str">
        <f t="shared" ref="R1822:R1885" si="10922">VLOOKUP($A1822,hospital_details,8,0)</f>
        <v>R1017</v>
      </c>
    </row>
    <row r="1823" spans="1:18" ht="14.4" customHeight="1" x14ac:dyDescent="0.3">
      <c r="A1823" s="7" t="s">
        <v>1843</v>
      </c>
      <c r="B1823" s="7" t="str">
        <f>VLOOKUP($A1823,[1]!Customer_Names[#Data],3,0)</f>
        <v xml:space="preserve">  Austin D</v>
      </c>
      <c r="C1823" s="7">
        <v>30.8</v>
      </c>
      <c r="D1823" s="7" t="str" cm="1">
        <f t="array" ref="D1823">_xlfn.IFS(Healthcare!$C1823&lt;18.5,"under weight",Healthcare!$C1823&lt;=24.9,"Normal Weight",Healthcare!$C1823&gt;=25,"overweight",Healthcare!$C1823&gt;=30,"obese")</f>
        <v>overweight</v>
      </c>
      <c r="E1823" s="7">
        <v>4.9000000000000004</v>
      </c>
      <c r="F1823" s="7" t="str" cm="1">
        <f t="array" ref="F1823">_xlfn.IFS(Healthcare!$E1823&lt;5.7,"normal",Healthcare!$E1823&lt;=6.4,"prediabetes",Healthcare!$E1823&gt;=6.5,"diabetes")</f>
        <v>normal</v>
      </c>
      <c r="G1823" s="7" t="s">
        <v>20</v>
      </c>
      <c r="H1823" s="7" t="s">
        <v>19</v>
      </c>
      <c r="I1823" s="7" t="s">
        <v>19</v>
      </c>
      <c r="J1823" s="7">
        <v>0</v>
      </c>
      <c r="K1823" s="7" t="s">
        <v>19</v>
      </c>
      <c r="L1823" s="7" t="str">
        <f>VLOOKUP(Healthcare!$A1823,hospital_details,2,0)</f>
        <v>22-Jun-1985</v>
      </c>
      <c r="M1823" s="7">
        <f t="shared" ref="M1823:M1886" ca="1" si="10923">VLOOKUP(A1823,hospital_details,3,0)</f>
        <v>41</v>
      </c>
      <c r="N1823" s="7">
        <f t="shared" ref="N1823:N1886" si="10924">VLOOKUP($A1823,hospital_details,4,0)</f>
        <v>0</v>
      </c>
      <c r="O1823" s="8">
        <f t="shared" ref="O1823:O1886" si="10925">VLOOKUP($A1823,hospital_details,5,0)</f>
        <v>4646.76</v>
      </c>
      <c r="P1823" s="7" t="str">
        <f t="shared" ref="P1823:P1886" si="10926">VLOOKUP($A1823,hospital_details,6,0)</f>
        <v>tier - 1</v>
      </c>
      <c r="Q1823" s="7" t="str">
        <f t="shared" ref="Q1823:Q1886" si="10927">VLOOKUP($A1823,hospital_details,7,0)</f>
        <v>tier - 1</v>
      </c>
      <c r="R1823" s="7" t="str">
        <f t="shared" ref="R1823:R1886" si="10928">VLOOKUP($A1823,hospital_details,8,0)</f>
        <v>R1011</v>
      </c>
    </row>
    <row r="1824" spans="1:18" ht="14.4" customHeight="1" x14ac:dyDescent="0.3">
      <c r="A1824" s="5" t="s">
        <v>1844</v>
      </c>
      <c r="B1824" s="5" t="str">
        <f>VLOOKUP($A1824,[1]!Customer_Names[#Data],3,0)</f>
        <v xml:space="preserve">  Brittany</v>
      </c>
      <c r="C1824" s="5">
        <v>30.21</v>
      </c>
      <c r="D1824" s="5" t="str" cm="1">
        <f t="array" ref="D1824">_xlfn.IFS(Healthcare!$C1824&lt;18.5,"under weight",Healthcare!$C1824&lt;=24.9,"Normal Weight",Healthcare!$C1824&gt;=25,"overweight",Healthcare!$C1824&gt;=30,"obese")</f>
        <v>overweight</v>
      </c>
      <c r="E1824" s="5">
        <v>5.21</v>
      </c>
      <c r="F1824" s="5" t="str" cm="1">
        <f t="array" ref="F1824">_xlfn.IFS(Healthcare!$E1824&lt;5.7,"normal",Healthcare!$E1824&lt;=6.4,"prediabetes",Healthcare!$E1824&gt;=6.5,"diabetes")</f>
        <v>normal</v>
      </c>
      <c r="G1824" s="5" t="s">
        <v>19</v>
      </c>
      <c r="H1824" s="5" t="s">
        <v>19</v>
      </c>
      <c r="I1824" s="5" t="s">
        <v>19</v>
      </c>
      <c r="J1824" s="5">
        <v>1</v>
      </c>
      <c r="K1824" s="5" t="s">
        <v>19</v>
      </c>
      <c r="L1824" s="5" t="str">
        <f>VLOOKUP(Healthcare!$A1824,hospital_details,2,0)</f>
        <v>29-Jun-1998</v>
      </c>
      <c r="M1824" s="5">
        <f t="shared" ref="M1824:M1887" ca="1" si="10929">VLOOKUP(A1824,hospital_details,3,0)</f>
        <v>28</v>
      </c>
      <c r="N1824" s="5">
        <f t="shared" ref="N1824:N1887" si="10930">VLOOKUP($A1824,hospital_details,4,0)</f>
        <v>3</v>
      </c>
      <c r="O1824" s="6">
        <f t="shared" ref="O1824:O1887" si="10931">VLOOKUP($A1824,hospital_details,5,0)</f>
        <v>4618.08</v>
      </c>
      <c r="P1824" s="5" t="str">
        <f t="shared" ref="P1824:P1887" si="10932">VLOOKUP($A1824,hospital_details,6,0)</f>
        <v>tier - 2</v>
      </c>
      <c r="Q1824" s="5" t="str">
        <f t="shared" ref="Q1824:Q1887" si="10933">VLOOKUP($A1824,hospital_details,7,0)</f>
        <v>tier - 1</v>
      </c>
      <c r="R1824" s="5" t="str">
        <f t="shared" ref="R1824:R1887" si="10934">VLOOKUP($A1824,hospital_details,8,0)</f>
        <v>R1012</v>
      </c>
    </row>
    <row r="1825" spans="1:18" ht="14.4" customHeight="1" x14ac:dyDescent="0.3">
      <c r="A1825" s="7" t="s">
        <v>1845</v>
      </c>
      <c r="B1825" s="7" t="str">
        <f>VLOOKUP($A1825,[1]!Customer_Names[#Data],3,0)</f>
        <v xml:space="preserve">  Matthew T</v>
      </c>
      <c r="C1825" s="7">
        <v>35.340000000000003</v>
      </c>
      <c r="D1825" s="7" t="str" cm="1">
        <f t="array" ref="D1825">_xlfn.IFS(Healthcare!$C1825&lt;18.5,"under weight",Healthcare!$C1825&lt;=24.9,"Normal Weight",Healthcare!$C1825&gt;=25,"overweight",Healthcare!$C1825&gt;=30,"obese")</f>
        <v>overweight</v>
      </c>
      <c r="E1825" s="7">
        <v>4.13</v>
      </c>
      <c r="F1825" s="7" t="str" cm="1">
        <f t="array" ref="F1825">_xlfn.IFS(Healthcare!$E1825&lt;5.7,"normal",Healthcare!$E1825&lt;=6.4,"prediabetes",Healthcare!$E1825&gt;=6.5,"diabetes")</f>
        <v>normal</v>
      </c>
      <c r="G1825" s="7" t="s">
        <v>19</v>
      </c>
      <c r="H1825" s="7" t="s">
        <v>20</v>
      </c>
      <c r="I1825" s="7" t="s">
        <v>19</v>
      </c>
      <c r="J1825" s="7">
        <v>1</v>
      </c>
      <c r="K1825" s="7" t="s">
        <v>19</v>
      </c>
      <c r="L1825" s="7" t="str">
        <f>VLOOKUP(Healthcare!$A1825,hospital_details,2,0)</f>
        <v>2-Jul-2000</v>
      </c>
      <c r="M1825" s="7">
        <f t="shared" ref="M1825:M1888" ca="1" si="10935">VLOOKUP(A1825,hospital_details,3,0)</f>
        <v>26</v>
      </c>
      <c r="N1825" s="7">
        <f t="shared" ref="N1825:N1888" si="10936">VLOOKUP($A1825,hospital_details,4,0)</f>
        <v>0</v>
      </c>
      <c r="O1825" s="8">
        <f t="shared" ref="O1825:O1888" si="10937">VLOOKUP($A1825,hospital_details,5,0)</f>
        <v>4608.03</v>
      </c>
      <c r="P1825" s="7" t="str">
        <f t="shared" ref="P1825:P1888" si="10938">VLOOKUP($A1825,hospital_details,6,0)</f>
        <v>tier - 2</v>
      </c>
      <c r="Q1825" s="7" t="str">
        <f t="shared" ref="Q1825:Q1888" si="10939">VLOOKUP($A1825,hospital_details,7,0)</f>
        <v>tier - 3</v>
      </c>
      <c r="R1825" s="7" t="str">
        <f t="shared" ref="R1825:R1888" si="10940">VLOOKUP($A1825,hospital_details,8,0)</f>
        <v>R1011</v>
      </c>
    </row>
    <row r="1826" spans="1:18" ht="14.4" customHeight="1" x14ac:dyDescent="0.3">
      <c r="A1826" s="5" t="s">
        <v>1846</v>
      </c>
      <c r="B1826" s="5" t="str">
        <f>VLOOKUP($A1826,[1]!Customer_Names[#Data],3,0)</f>
        <v xml:space="preserve">  Becky G</v>
      </c>
      <c r="C1826" s="5">
        <v>26.695</v>
      </c>
      <c r="D1826" s="5" t="str" cm="1">
        <f t="array" ref="D1826">_xlfn.IFS(Healthcare!$C1826&lt;18.5,"under weight",Healthcare!$C1826&lt;=24.9,"Normal Weight",Healthcare!$C1826&gt;=25,"overweight",Healthcare!$C1826&gt;=30,"obese")</f>
        <v>overweight</v>
      </c>
      <c r="E1826" s="5">
        <v>5.28</v>
      </c>
      <c r="F1826" s="5" t="str" cm="1">
        <f t="array" ref="F1826">_xlfn.IFS(Healthcare!$E1826&lt;5.7,"normal",Healthcare!$E1826&lt;=6.4,"prediabetes",Healthcare!$E1826&gt;=6.5,"diabetes")</f>
        <v>normal</v>
      </c>
      <c r="G1826" s="5" t="s">
        <v>19</v>
      </c>
      <c r="H1826" s="5" t="s">
        <v>19</v>
      </c>
      <c r="I1826" s="5" t="s">
        <v>19</v>
      </c>
      <c r="J1826" s="5">
        <v>0</v>
      </c>
      <c r="K1826" s="5" t="s">
        <v>19</v>
      </c>
      <c r="L1826" s="5" t="str">
        <f>VLOOKUP(Healthcare!$A1826,hospital_details,2,0)</f>
        <v>18-Sep-1989</v>
      </c>
      <c r="M1826" s="5">
        <f t="shared" ref="M1826:M1889" ca="1" si="10941">VLOOKUP(A1826,hospital_details,3,0)</f>
        <v>37</v>
      </c>
      <c r="N1826" s="5">
        <f t="shared" ref="N1826:N1889" si="10942">VLOOKUP($A1826,hospital_details,4,0)</f>
        <v>0</v>
      </c>
      <c r="O1826" s="6">
        <f t="shared" ref="O1826:O1889" si="10943">VLOOKUP($A1826,hospital_details,5,0)</f>
        <v>4571.41</v>
      </c>
      <c r="P1826" s="5" t="str">
        <f t="shared" ref="P1826:P1889" si="10944">VLOOKUP($A1826,hospital_details,6,0)</f>
        <v>tier - 2</v>
      </c>
      <c r="Q1826" s="5" t="str">
        <f t="shared" ref="Q1826:Q1889" si="10945">VLOOKUP($A1826,hospital_details,7,0)</f>
        <v>tier - 2</v>
      </c>
      <c r="R1826" s="5" t="str">
        <f t="shared" ref="R1826:R1889" si="10946">VLOOKUP($A1826,hospital_details,8,0)</f>
        <v>R1012</v>
      </c>
    </row>
    <row r="1827" spans="1:18" ht="14.4" customHeight="1" x14ac:dyDescent="0.3">
      <c r="A1827" s="7" t="s">
        <v>1847</v>
      </c>
      <c r="B1827" s="7" t="str">
        <f>VLOOKUP($A1827,[1]!Customer_Names[#Data],3,0)</f>
        <v xml:space="preserve">  Virginie</v>
      </c>
      <c r="C1827" s="7">
        <v>29.355</v>
      </c>
      <c r="D1827" s="7" t="str" cm="1">
        <f t="array" ref="D1827">_xlfn.IFS(Healthcare!$C1827&lt;18.5,"under weight",Healthcare!$C1827&lt;=24.9,"Normal Weight",Healthcare!$C1827&gt;=25,"overweight",Healthcare!$C1827&gt;=30,"obese")</f>
        <v>overweight</v>
      </c>
      <c r="E1827" s="7">
        <v>4.68</v>
      </c>
      <c r="F1827" s="7" t="str" cm="1">
        <f t="array" ref="F1827">_xlfn.IFS(Healthcare!$E1827&lt;5.7,"normal",Healthcare!$E1827&lt;=6.4,"prediabetes",Healthcare!$E1827&gt;=6.5,"diabetes")</f>
        <v>normal</v>
      </c>
      <c r="G1827" s="7" t="s">
        <v>20</v>
      </c>
      <c r="H1827" s="7" t="s">
        <v>19</v>
      </c>
      <c r="I1827" s="7" t="s">
        <v>19</v>
      </c>
      <c r="J1827" s="7">
        <v>0</v>
      </c>
      <c r="K1827" s="7" t="s">
        <v>19</v>
      </c>
      <c r="L1827" s="7" t="str">
        <f>VLOOKUP(Healthcare!$A1827,hospital_details,2,0)</f>
        <v>25-Dec-1996</v>
      </c>
      <c r="M1827" s="7">
        <f t="shared" ref="M1827:M1890" ca="1" si="10947">VLOOKUP(A1827,hospital_details,3,0)</f>
        <v>29</v>
      </c>
      <c r="N1827" s="7">
        <f t="shared" ref="N1827:N1890" si="10948">VLOOKUP($A1827,hospital_details,4,0)</f>
        <v>2</v>
      </c>
      <c r="O1827" s="8">
        <f t="shared" ref="O1827:O1890" si="10949">VLOOKUP($A1827,hospital_details,5,0)</f>
        <v>4564.1899999999996</v>
      </c>
      <c r="P1827" s="7" t="str">
        <f t="shared" ref="P1827:P1890" si="10950">VLOOKUP($A1827,hospital_details,6,0)</f>
        <v>tier - 2</v>
      </c>
      <c r="Q1827" s="7" t="str">
        <f t="shared" ref="Q1827:Q1890" si="10951">VLOOKUP($A1827,hospital_details,7,0)</f>
        <v>tier - 2</v>
      </c>
      <c r="R1827" s="7" t="str">
        <f t="shared" ref="R1827:R1890" si="10952">VLOOKUP($A1827,hospital_details,8,0)</f>
        <v>R1024</v>
      </c>
    </row>
    <row r="1828" spans="1:18" ht="14.4" customHeight="1" x14ac:dyDescent="0.3">
      <c r="A1828" s="5" t="s">
        <v>1848</v>
      </c>
      <c r="B1828" s="5" t="str">
        <f>VLOOKUP($A1828,[1]!Customer_Names[#Data],3,0)</f>
        <v xml:space="preserve">  Allison A</v>
      </c>
      <c r="C1828" s="5">
        <v>29.59</v>
      </c>
      <c r="D1828" s="5" t="str" cm="1">
        <f t="array" ref="D1828">_xlfn.IFS(Healthcare!$C1828&lt;18.5,"under weight",Healthcare!$C1828&lt;=24.9,"Normal Weight",Healthcare!$C1828&gt;=25,"overweight",Healthcare!$C1828&gt;=30,"obese")</f>
        <v>overweight</v>
      </c>
      <c r="E1828" s="5">
        <v>4.0599999999999996</v>
      </c>
      <c r="F1828" s="5" t="str" cm="1">
        <f t="array" ref="F1828">_xlfn.IFS(Healthcare!$E1828&lt;5.7,"normal",Healthcare!$E1828&lt;=6.4,"prediabetes",Healthcare!$E1828&gt;=6.5,"diabetes")</f>
        <v>normal</v>
      </c>
      <c r="G1828" s="5" t="s">
        <v>19</v>
      </c>
      <c r="H1828" s="5" t="s">
        <v>19</v>
      </c>
      <c r="I1828" s="5" t="s">
        <v>19</v>
      </c>
      <c r="J1828" s="5">
        <v>0</v>
      </c>
      <c r="K1828" s="5" t="s">
        <v>19</v>
      </c>
      <c r="L1828" s="5" t="str">
        <f>VLOOKUP(Healthcare!$A1828,hospital_details,2,0)</f>
        <v>20-Sep-1990</v>
      </c>
      <c r="M1828" s="5">
        <f t="shared" ref="M1828:M1891" ca="1" si="10953">VLOOKUP(A1828,hospital_details,3,0)</f>
        <v>36</v>
      </c>
      <c r="N1828" s="5">
        <f t="shared" ref="N1828:N1891" si="10954">VLOOKUP($A1828,hospital_details,4,0)</f>
        <v>1</v>
      </c>
      <c r="O1828" s="6">
        <f t="shared" ref="O1828:O1891" si="10955">VLOOKUP($A1828,hospital_details,5,0)</f>
        <v>4562.84</v>
      </c>
      <c r="P1828" s="5" t="str">
        <f t="shared" ref="P1828:P1891" si="10956">VLOOKUP($A1828,hospital_details,6,0)</f>
        <v>tier - 2</v>
      </c>
      <c r="Q1828" s="5" t="str">
        <f t="shared" ref="Q1828:Q1891" si="10957">VLOOKUP($A1828,hospital_details,7,0)</f>
        <v>tier - 2</v>
      </c>
      <c r="R1828" s="5" t="str">
        <f t="shared" ref="R1828:R1891" si="10958">VLOOKUP($A1828,hospital_details,8,0)</f>
        <v>R1013</v>
      </c>
    </row>
    <row r="1829" spans="1:18" ht="14.4" customHeight="1" x14ac:dyDescent="0.3">
      <c r="A1829" s="7" t="s">
        <v>1849</v>
      </c>
      <c r="B1829" s="7" t="str">
        <f>VLOOKUP($A1829,[1]!Customer_Names[#Data],3,0)</f>
        <v xml:space="preserve">  Julie</v>
      </c>
      <c r="C1829" s="7">
        <v>31.35</v>
      </c>
      <c r="D1829" s="7" t="str" cm="1">
        <f t="array" ref="D1829">_xlfn.IFS(Healthcare!$C1829&lt;18.5,"under weight",Healthcare!$C1829&lt;=24.9,"Normal Weight",Healthcare!$C1829&gt;=25,"overweight",Healthcare!$C1829&gt;=30,"obese")</f>
        <v>overweight</v>
      </c>
      <c r="E1829" s="7">
        <v>4.2</v>
      </c>
      <c r="F1829" s="7" t="str" cm="1">
        <f t="array" ref="F1829">_xlfn.IFS(Healthcare!$E1829&lt;5.7,"normal",Healthcare!$E1829&lt;=6.4,"prediabetes",Healthcare!$E1829&gt;=6.5,"diabetes")</f>
        <v>normal</v>
      </c>
      <c r="G1829" s="7" t="s">
        <v>19</v>
      </c>
      <c r="H1829" s="7" t="s">
        <v>20</v>
      </c>
      <c r="I1829" s="7" t="s">
        <v>19</v>
      </c>
      <c r="J1829" s="7">
        <v>1</v>
      </c>
      <c r="K1829" s="7" t="s">
        <v>19</v>
      </c>
      <c r="L1829" s="7" t="str">
        <f>VLOOKUP(Healthcare!$A1829,hospital_details,2,0)</f>
        <v>22-Dec-2004</v>
      </c>
      <c r="M1829" s="7">
        <f t="shared" ref="M1829:M1892" ca="1" si="10959">VLOOKUP(A1829,hospital_details,3,0)</f>
        <v>21</v>
      </c>
      <c r="N1829" s="7">
        <f t="shared" ref="N1829:N1892" si="10960">VLOOKUP($A1829,hospital_details,4,0)</f>
        <v>4</v>
      </c>
      <c r="O1829" s="8">
        <f t="shared" ref="O1829:O1892" si="10961">VLOOKUP($A1829,hospital_details,5,0)</f>
        <v>4561.1899999999996</v>
      </c>
      <c r="P1829" s="7" t="str">
        <f t="shared" ref="P1829:P1892" si="10962">VLOOKUP($A1829,hospital_details,6,0)</f>
        <v>tier - 2</v>
      </c>
      <c r="Q1829" s="7" t="str">
        <f t="shared" ref="Q1829:Q1892" si="10963">VLOOKUP($A1829,hospital_details,7,0)</f>
        <v>tier - 2</v>
      </c>
      <c r="R1829" s="7" t="str">
        <f t="shared" ref="R1829:R1892" si="10964">VLOOKUP($A1829,hospital_details,8,0)</f>
        <v>R1024</v>
      </c>
    </row>
    <row r="1830" spans="1:18" ht="14.4" customHeight="1" x14ac:dyDescent="0.3">
      <c r="A1830" s="5" t="s">
        <v>1850</v>
      </c>
      <c r="B1830" s="5" t="str">
        <f>VLOOKUP($A1830,[1]!Customer_Names[#Data],3,0)</f>
        <v xml:space="preserve">  Katherine</v>
      </c>
      <c r="C1830" s="5">
        <v>20.52</v>
      </c>
      <c r="D1830" s="5" t="str" cm="1">
        <f t="array" ref="D1830">_xlfn.IFS(Healthcare!$C1830&lt;18.5,"under weight",Healthcare!$C1830&lt;=24.9,"Normal Weight",Healthcare!$C1830&gt;=25,"overweight",Healthcare!$C1830&gt;=30,"obese")</f>
        <v>Normal Weight</v>
      </c>
      <c r="E1830" s="5">
        <v>4.83</v>
      </c>
      <c r="F1830" s="5" t="str" cm="1">
        <f t="array" ref="F1830">_xlfn.IFS(Healthcare!$E1830&lt;5.7,"normal",Healthcare!$E1830&lt;=6.4,"prediabetes",Healthcare!$E1830&gt;=6.5,"diabetes")</f>
        <v>normal</v>
      </c>
      <c r="G1830" s="5" t="s">
        <v>19</v>
      </c>
      <c r="H1830" s="5" t="s">
        <v>19</v>
      </c>
      <c r="I1830" s="5" t="s">
        <v>19</v>
      </c>
      <c r="J1830" s="5">
        <v>0</v>
      </c>
      <c r="K1830" s="5" t="s">
        <v>19</v>
      </c>
      <c r="L1830" s="5" t="str">
        <f>VLOOKUP(Healthcare!$A1830,hospital_details,2,0)</f>
        <v>17-Nov-1990</v>
      </c>
      <c r="M1830" s="5">
        <f t="shared" ref="M1830:M1893" ca="1" si="10965">VLOOKUP(A1830,hospital_details,3,0)</f>
        <v>35</v>
      </c>
      <c r="N1830" s="5">
        <f t="shared" ref="N1830:N1893" si="10966">VLOOKUP($A1830,hospital_details,4,0)</f>
        <v>0</v>
      </c>
      <c r="O1830" s="6">
        <f t="shared" ref="O1830:O1893" si="10967">VLOOKUP($A1830,hospital_details,5,0)</f>
        <v>4544.2299999999996</v>
      </c>
      <c r="P1830" s="5" t="str">
        <f t="shared" ref="P1830:P1893" si="10968">VLOOKUP($A1830,hospital_details,6,0)</f>
        <v>tier - 2</v>
      </c>
      <c r="Q1830" s="5" t="str">
        <f t="shared" ref="Q1830:Q1893" si="10969">VLOOKUP($A1830,hospital_details,7,0)</f>
        <v>tier - 1</v>
      </c>
      <c r="R1830" s="5" t="str">
        <f t="shared" ref="R1830:R1893" si="10970">VLOOKUP($A1830,hospital_details,8,0)</f>
        <v>R1024</v>
      </c>
    </row>
    <row r="1831" spans="1:18" ht="14.4" customHeight="1" x14ac:dyDescent="0.3">
      <c r="A1831" s="7" t="s">
        <v>1851</v>
      </c>
      <c r="B1831" s="7" t="str">
        <f>VLOOKUP($A1831,[1]!Customer_Names[#Data],3,0)</f>
        <v xml:space="preserve">  Caleb</v>
      </c>
      <c r="C1831" s="7">
        <v>42.9</v>
      </c>
      <c r="D1831" s="7" t="str" cm="1">
        <f t="array" ref="D1831">_xlfn.IFS(Healthcare!$C1831&lt;18.5,"under weight",Healthcare!$C1831&lt;=24.9,"Normal Weight",Healthcare!$C1831&gt;=25,"overweight",Healthcare!$C1831&gt;=30,"obese")</f>
        <v>overweight</v>
      </c>
      <c r="E1831" s="7">
        <v>4.87</v>
      </c>
      <c r="F1831" s="7" t="str" cm="1">
        <f t="array" ref="F1831">_xlfn.IFS(Healthcare!$E1831&lt;5.7,"normal",Healthcare!$E1831&lt;=6.4,"prediabetes",Healthcare!$E1831&gt;=6.5,"diabetes")</f>
        <v>normal</v>
      </c>
      <c r="G1831" s="7" t="s">
        <v>20</v>
      </c>
      <c r="H1831" s="7" t="s">
        <v>19</v>
      </c>
      <c r="I1831" s="7" t="s">
        <v>19</v>
      </c>
      <c r="J1831" s="7">
        <v>1</v>
      </c>
      <c r="K1831" s="7" t="s">
        <v>19</v>
      </c>
      <c r="L1831" s="7" t="str">
        <f>VLOOKUP(Healthcare!$A1831,hospital_details,2,0)</f>
        <v>13-Jun-1988</v>
      </c>
      <c r="M1831" s="7">
        <f t="shared" ref="M1831:M1894" ca="1" si="10971">VLOOKUP(A1831,hospital_details,3,0)</f>
        <v>38</v>
      </c>
      <c r="N1831" s="7">
        <f t="shared" ref="N1831:N1894" si="10972">VLOOKUP($A1831,hospital_details,4,0)</f>
        <v>1</v>
      </c>
      <c r="O1831" s="8">
        <f t="shared" ref="O1831:O1894" si="10973">VLOOKUP($A1831,hospital_details,5,0)</f>
        <v>4536.26</v>
      </c>
      <c r="P1831" s="7" t="str">
        <f t="shared" ref="P1831:P1894" si="10974">VLOOKUP($A1831,hospital_details,6,0)</f>
        <v>tier - 2</v>
      </c>
      <c r="Q1831" s="7" t="str">
        <f t="shared" ref="Q1831:Q1894" si="10975">VLOOKUP($A1831,hospital_details,7,0)</f>
        <v>tier - 2</v>
      </c>
      <c r="R1831" s="7" t="str">
        <f t="shared" ref="R1831:R1894" si="10976">VLOOKUP($A1831,hospital_details,8,0)</f>
        <v>R1011</v>
      </c>
    </row>
    <row r="1832" spans="1:18" ht="14.4" customHeight="1" x14ac:dyDescent="0.3">
      <c r="A1832" s="5" t="s">
        <v>1852</v>
      </c>
      <c r="B1832" s="5" t="str">
        <f>VLOOKUP($A1832,[1]!Customer_Names[#Data],3,0)</f>
        <v xml:space="preserve">  Jaime</v>
      </c>
      <c r="C1832" s="5">
        <v>24.6</v>
      </c>
      <c r="D1832" s="5" t="str" cm="1">
        <f t="array" ref="D1832">_xlfn.IFS(Healthcare!$C1832&lt;18.5,"under weight",Healthcare!$C1832&lt;=24.9,"Normal Weight",Healthcare!$C1832&gt;=25,"overweight",Healthcare!$C1832&gt;=30,"obese")</f>
        <v>Normal Weight</v>
      </c>
      <c r="E1832" s="5">
        <v>5.86</v>
      </c>
      <c r="F1832" s="5" t="str" cm="1">
        <f t="array" ref="F1832">_xlfn.IFS(Healthcare!$E1832&lt;5.7,"normal",Healthcare!$E1832&lt;=6.4,"prediabetes",Healthcare!$E1832&gt;=6.5,"diabetes")</f>
        <v>prediabetes</v>
      </c>
      <c r="G1832" s="5" t="s">
        <v>19</v>
      </c>
      <c r="H1832" s="5" t="s">
        <v>19</v>
      </c>
      <c r="I1832" s="5" t="s">
        <v>29</v>
      </c>
      <c r="J1832" s="5">
        <v>1</v>
      </c>
      <c r="K1832" s="5" t="s">
        <v>19</v>
      </c>
      <c r="L1832" s="5" t="str">
        <f>VLOOKUP(Healthcare!$A1832,hospital_details,2,0)</f>
        <v>29-Jun-1993</v>
      </c>
      <c r="M1832" s="5">
        <f t="shared" ref="M1832:M1895" ca="1" si="10977">VLOOKUP(A1832,hospital_details,3,0)</f>
        <v>33</v>
      </c>
      <c r="N1832" s="5">
        <f t="shared" ref="N1832:N1895" si="10978">VLOOKUP($A1832,hospital_details,4,0)</f>
        <v>2</v>
      </c>
      <c r="O1832" s="6">
        <f t="shared" ref="O1832:O1895" si="10979">VLOOKUP($A1832,hospital_details,5,0)</f>
        <v>4529.4799999999996</v>
      </c>
      <c r="P1832" s="5" t="str">
        <f t="shared" ref="P1832:P1895" si="10980">VLOOKUP($A1832,hospital_details,6,0)</f>
        <v>tier - 2</v>
      </c>
      <c r="Q1832" s="5" t="str">
        <f t="shared" ref="Q1832:Q1895" si="10981">VLOOKUP($A1832,hospital_details,7,0)</f>
        <v>tier - 1</v>
      </c>
      <c r="R1832" s="5" t="str">
        <f t="shared" ref="R1832:R1895" si="10982">VLOOKUP($A1832,hospital_details,8,0)</f>
        <v>R1011</v>
      </c>
    </row>
    <row r="1833" spans="1:18" ht="14.4" customHeight="1" x14ac:dyDescent="0.3">
      <c r="A1833" s="7" t="s">
        <v>1853</v>
      </c>
      <c r="B1833" s="7" t="str">
        <f>VLOOKUP($A1833,[1]!Customer_Names[#Data],3,0)</f>
        <v xml:space="preserve">  Hannah</v>
      </c>
      <c r="C1833" s="7">
        <v>28.405000000000001</v>
      </c>
      <c r="D1833" s="7" t="str" cm="1">
        <f t="array" ref="D1833">_xlfn.IFS(Healthcare!$C1833&lt;18.5,"under weight",Healthcare!$C1833&lt;=24.9,"Normal Weight",Healthcare!$C1833&gt;=25,"overweight",Healthcare!$C1833&gt;=30,"obese")</f>
        <v>overweight</v>
      </c>
      <c r="E1833" s="7">
        <v>4.12</v>
      </c>
      <c r="F1833" s="7" t="str" cm="1">
        <f t="array" ref="F1833">_xlfn.IFS(Healthcare!$E1833&lt;5.7,"normal",Healthcare!$E1833&lt;=6.4,"prediabetes",Healthcare!$E1833&gt;=6.5,"diabetes")</f>
        <v>normal</v>
      </c>
      <c r="G1833" s="7" t="s">
        <v>19</v>
      </c>
      <c r="H1833" s="7" t="s">
        <v>19</v>
      </c>
      <c r="I1833" s="7" t="s">
        <v>19</v>
      </c>
      <c r="J1833" s="7">
        <v>1</v>
      </c>
      <c r="K1833" s="7" t="s">
        <v>19</v>
      </c>
      <c r="L1833" s="7" t="str">
        <f>VLOOKUP(Healthcare!$A1833,hospital_details,2,0)</f>
        <v>13-Aug-1992</v>
      </c>
      <c r="M1833" s="7">
        <f t="shared" ref="M1833:M1896" ca="1" si="10983">VLOOKUP(A1833,hospital_details,3,0)</f>
        <v>34</v>
      </c>
      <c r="N1833" s="7">
        <f t="shared" ref="N1833:N1896" si="10984">VLOOKUP($A1833,hospital_details,4,0)</f>
        <v>1</v>
      </c>
      <c r="O1833" s="8">
        <f t="shared" ref="O1833:O1896" si="10985">VLOOKUP($A1833,hospital_details,5,0)</f>
        <v>4527.18</v>
      </c>
      <c r="P1833" s="7" t="str">
        <f t="shared" ref="P1833:P1896" si="10986">VLOOKUP($A1833,hospital_details,6,0)</f>
        <v>tier - 2</v>
      </c>
      <c r="Q1833" s="7" t="str">
        <f t="shared" ref="Q1833:Q1896" si="10987">VLOOKUP($A1833,hospital_details,7,0)</f>
        <v>tier - 2</v>
      </c>
      <c r="R1833" s="7" t="str">
        <f t="shared" ref="R1833:R1896" si="10988">VLOOKUP($A1833,hospital_details,8,0)</f>
        <v>R1012</v>
      </c>
    </row>
    <row r="1834" spans="1:18" ht="14.4" customHeight="1" x14ac:dyDescent="0.3">
      <c r="A1834" s="5" t="s">
        <v>1854</v>
      </c>
      <c r="B1834" s="5" t="str">
        <f>VLOOKUP($A1834,[1]!Customer_Names[#Data],3,0)</f>
        <v xml:space="preserve">  Zachariah</v>
      </c>
      <c r="C1834" s="5">
        <v>34.674999999999997</v>
      </c>
      <c r="D1834" s="5" t="str" cm="1">
        <f t="array" ref="D1834">_xlfn.IFS(Healthcare!$C1834&lt;18.5,"under weight",Healthcare!$C1834&lt;=24.9,"Normal Weight",Healthcare!$C1834&gt;=25,"overweight",Healthcare!$C1834&gt;=30,"obese")</f>
        <v>overweight</v>
      </c>
      <c r="E1834" s="5">
        <v>5.71</v>
      </c>
      <c r="F1834" s="5" t="str" cm="1">
        <f t="array" ref="F1834">_xlfn.IFS(Healthcare!$E1834&lt;5.7,"normal",Healthcare!$E1834&lt;=6.4,"prediabetes",Healthcare!$E1834&gt;=6.5,"diabetes")</f>
        <v>prediabetes</v>
      </c>
      <c r="G1834" s="5" t="s">
        <v>20</v>
      </c>
      <c r="H1834" s="5" t="s">
        <v>19</v>
      </c>
      <c r="I1834" s="5" t="s">
        <v>19</v>
      </c>
      <c r="J1834" s="5">
        <v>1</v>
      </c>
      <c r="K1834" s="5" t="s">
        <v>19</v>
      </c>
      <c r="L1834" s="5" t="str">
        <f>VLOOKUP(Healthcare!$A1834,hospital_details,2,0)</f>
        <v>21-Dec-1988</v>
      </c>
      <c r="M1834" s="5">
        <f t="shared" ref="M1834:M1897" ca="1" si="10989">VLOOKUP(A1834,hospital_details,3,0)</f>
        <v>37</v>
      </c>
      <c r="N1834" s="5">
        <f t="shared" ref="N1834:N1897" si="10990">VLOOKUP($A1834,hospital_details,4,0)</f>
        <v>0</v>
      </c>
      <c r="O1834" s="6">
        <f t="shared" ref="O1834:O1897" si="10991">VLOOKUP($A1834,hospital_details,5,0)</f>
        <v>4518.83</v>
      </c>
      <c r="P1834" s="5" t="str">
        <f t="shared" ref="P1834:P1897" si="10992">VLOOKUP($A1834,hospital_details,6,0)</f>
        <v>tier - 2</v>
      </c>
      <c r="Q1834" s="5" t="str">
        <f t="shared" ref="Q1834:Q1897" si="10993">VLOOKUP($A1834,hospital_details,7,0)</f>
        <v>tier - 2</v>
      </c>
      <c r="R1834" s="5" t="str">
        <f t="shared" ref="R1834:R1897" si="10994">VLOOKUP($A1834,hospital_details,8,0)</f>
        <v>R1017</v>
      </c>
    </row>
    <row r="1835" spans="1:18" ht="14.4" customHeight="1" x14ac:dyDescent="0.3">
      <c r="A1835" s="7" t="s">
        <v>1855</v>
      </c>
      <c r="B1835" s="7" t="str">
        <f>VLOOKUP($A1835,[1]!Customer_Names[#Data],3,0)</f>
        <v xml:space="preserve">  Patricia A</v>
      </c>
      <c r="C1835" s="7">
        <v>18.850000000000001</v>
      </c>
      <c r="D1835" s="7" t="str" cm="1">
        <f t="array" ref="D1835">_xlfn.IFS(Healthcare!$C1835&lt;18.5,"under weight",Healthcare!$C1835&lt;=24.9,"Normal Weight",Healthcare!$C1835&gt;=25,"overweight",Healthcare!$C1835&gt;=30,"obese")</f>
        <v>Normal Weight</v>
      </c>
      <c r="E1835" s="7">
        <v>6.03</v>
      </c>
      <c r="F1835" s="7" t="str" cm="1">
        <f t="array" ref="F1835">_xlfn.IFS(Healthcare!$E1835&lt;5.7,"normal",Healthcare!$E1835&lt;=6.4,"prediabetes",Healthcare!$E1835&gt;=6.5,"diabetes")</f>
        <v>prediabetes</v>
      </c>
      <c r="G1835" s="7" t="s">
        <v>19</v>
      </c>
      <c r="H1835" s="7" t="s">
        <v>19</v>
      </c>
      <c r="I1835" s="7" t="s">
        <v>19</v>
      </c>
      <c r="J1835" s="7">
        <v>1</v>
      </c>
      <c r="K1835" s="7" t="s">
        <v>19</v>
      </c>
      <c r="L1835" s="7" t="str">
        <f>VLOOKUP(Healthcare!$A1835,hospital_details,2,0)</f>
        <v>5-Dec-1987</v>
      </c>
      <c r="M1835" s="7">
        <f t="shared" ref="M1835:M1898" ca="1" si="10995">VLOOKUP(A1835,hospital_details,3,0)</f>
        <v>38</v>
      </c>
      <c r="N1835" s="7">
        <f t="shared" ref="N1835:N1898" si="10996">VLOOKUP($A1835,hospital_details,4,0)</f>
        <v>3</v>
      </c>
      <c r="O1835" s="8">
        <f t="shared" ref="O1835:O1898" si="10997">VLOOKUP($A1835,hospital_details,5,0)</f>
        <v>4518.7700000000004</v>
      </c>
      <c r="P1835" s="7" t="str">
        <f t="shared" ref="P1835:P1898" si="10998">VLOOKUP($A1835,hospital_details,6,0)</f>
        <v>tier - 2</v>
      </c>
      <c r="Q1835" s="7" t="str">
        <f t="shared" ref="Q1835:Q1898" si="10999">VLOOKUP($A1835,hospital_details,7,0)</f>
        <v>tier - 3</v>
      </c>
      <c r="R1835" s="7" t="str">
        <f t="shared" ref="R1835:R1898" si="11000">VLOOKUP($A1835,hospital_details,8,0)</f>
        <v>R1012</v>
      </c>
    </row>
    <row r="1836" spans="1:18" ht="14.4" customHeight="1" x14ac:dyDescent="0.3">
      <c r="A1836" s="5" t="s">
        <v>1856</v>
      </c>
      <c r="B1836" s="5" t="str">
        <f>VLOOKUP($A1836,[1]!Customer_Names[#Data],3,0)</f>
        <v xml:space="preserve">  Elizabeth A</v>
      </c>
      <c r="C1836" s="5">
        <v>34.130000000000003</v>
      </c>
      <c r="D1836" s="5" t="str" cm="1">
        <f t="array" ref="D1836">_xlfn.IFS(Healthcare!$C1836&lt;18.5,"under weight",Healthcare!$C1836&lt;=24.9,"Normal Weight",Healthcare!$C1836&gt;=25,"overweight",Healthcare!$C1836&gt;=30,"obese")</f>
        <v>overweight</v>
      </c>
      <c r="E1836" s="5">
        <v>5.65</v>
      </c>
      <c r="F1836" s="5" t="str" cm="1">
        <f t="array" ref="F1836">_xlfn.IFS(Healthcare!$E1836&lt;5.7,"normal",Healthcare!$E1836&lt;=6.4,"prediabetes",Healthcare!$E1836&gt;=6.5,"diabetes")</f>
        <v>normal</v>
      </c>
      <c r="G1836" s="5" t="s">
        <v>19</v>
      </c>
      <c r="H1836" s="5" t="s">
        <v>19</v>
      </c>
      <c r="I1836" s="5" t="s">
        <v>29</v>
      </c>
      <c r="J1836" s="5">
        <v>1</v>
      </c>
      <c r="K1836" s="5" t="s">
        <v>19</v>
      </c>
      <c r="L1836" s="5" t="str">
        <f>VLOOKUP(Healthcare!$A1836,hospital_details,2,0)</f>
        <v>2-Oct-2003</v>
      </c>
      <c r="M1836" s="5">
        <f t="shared" ref="M1836:M1899" ca="1" si="11001">VLOOKUP(A1836,hospital_details,3,0)</f>
        <v>23</v>
      </c>
      <c r="N1836" s="5">
        <f t="shared" ref="N1836:N1899" si="11002">VLOOKUP($A1836,hospital_details,4,0)</f>
        <v>0</v>
      </c>
      <c r="O1836" s="6">
        <f t="shared" ref="O1836:O1899" si="11003">VLOOKUP($A1836,hospital_details,5,0)</f>
        <v>4518.3999999999996</v>
      </c>
      <c r="P1836" s="5" t="str">
        <f t="shared" ref="P1836:P1899" si="11004">VLOOKUP($A1836,hospital_details,6,0)</f>
        <v>tier - 2</v>
      </c>
      <c r="Q1836" s="5" t="str">
        <f t="shared" ref="Q1836:Q1899" si="11005">VLOOKUP($A1836,hospital_details,7,0)</f>
        <v>tier - 3</v>
      </c>
      <c r="R1836" s="5" t="str">
        <f t="shared" ref="R1836:R1899" si="11006">VLOOKUP($A1836,hospital_details,8,0)</f>
        <v>R1026</v>
      </c>
    </row>
    <row r="1837" spans="1:18" ht="14.4" customHeight="1" x14ac:dyDescent="0.3">
      <c r="A1837" s="7" t="s">
        <v>1857</v>
      </c>
      <c r="B1837" s="7" t="str">
        <f>VLOOKUP($A1837,[1]!Customer_Names[#Data],3,0)</f>
        <v xml:space="preserve">  Benjamin</v>
      </c>
      <c r="C1837" s="7">
        <v>17.34</v>
      </c>
      <c r="D1837" s="7" t="str" cm="1">
        <f t="array" ref="D1837">_xlfn.IFS(Healthcare!$C1837&lt;18.5,"under weight",Healthcare!$C1837&lt;=24.9,"Normal Weight",Healthcare!$C1837&gt;=25,"overweight",Healthcare!$C1837&gt;=30,"obese")</f>
        <v>under weight</v>
      </c>
      <c r="E1837" s="7">
        <v>5.05</v>
      </c>
      <c r="F1837" s="7" t="str" cm="1">
        <f t="array" ref="F1837">_xlfn.IFS(Healthcare!$E1837&lt;5.7,"normal",Healthcare!$E1837&lt;=6.4,"prediabetes",Healthcare!$E1837&gt;=6.5,"diabetes")</f>
        <v>normal</v>
      </c>
      <c r="G1837" s="7" t="s">
        <v>19</v>
      </c>
      <c r="H1837" s="7" t="s">
        <v>19</v>
      </c>
      <c r="I1837" s="7" t="s">
        <v>19</v>
      </c>
      <c r="J1837" s="7">
        <v>0</v>
      </c>
      <c r="K1837" s="7" t="s">
        <v>19</v>
      </c>
      <c r="L1837" s="7" t="str">
        <f>VLOOKUP(Healthcare!$A1837,hospital_details,2,0)</f>
        <v>16-Jun-1980</v>
      </c>
      <c r="M1837" s="7">
        <f t="shared" ref="M1837:M1900" ca="1" si="11007">VLOOKUP(A1837,hospital_details,3,0)</f>
        <v>46</v>
      </c>
      <c r="N1837" s="7">
        <f t="shared" ref="N1837:N1900" si="11008">VLOOKUP($A1837,hospital_details,4,0)</f>
        <v>2</v>
      </c>
      <c r="O1837" s="8">
        <f t="shared" ref="O1837:O1900" si="11009">VLOOKUP($A1837,hospital_details,5,0)</f>
        <v>4515.71</v>
      </c>
      <c r="P1837" s="7" t="str">
        <f t="shared" ref="P1837:P1900" si="11010">VLOOKUP($A1837,hospital_details,6,0)</f>
        <v>tier - 2</v>
      </c>
      <c r="Q1837" s="7" t="str">
        <f t="shared" ref="Q1837:Q1900" si="11011">VLOOKUP($A1837,hospital_details,7,0)</f>
        <v>tier - 3</v>
      </c>
      <c r="R1837" s="7" t="str">
        <f t="shared" ref="R1837:R1900" si="11012">VLOOKUP($A1837,hospital_details,8,0)</f>
        <v>R1013</v>
      </c>
    </row>
    <row r="1838" spans="1:18" ht="14.4" customHeight="1" x14ac:dyDescent="0.3">
      <c r="A1838" s="5" t="s">
        <v>1858</v>
      </c>
      <c r="B1838" s="5" t="str">
        <f>VLOOKUP($A1838,[1]!Customer_Names[#Data],3,0)</f>
        <v xml:space="preserve">  Breno</v>
      </c>
      <c r="C1838" s="5">
        <v>17.440000000000001</v>
      </c>
      <c r="D1838" s="5" t="str" cm="1">
        <f t="array" ref="D1838">_xlfn.IFS(Healthcare!$C1838&lt;18.5,"under weight",Healthcare!$C1838&lt;=24.9,"Normal Weight",Healthcare!$C1838&gt;=25,"overweight",Healthcare!$C1838&gt;=30,"obese")</f>
        <v>under weight</v>
      </c>
      <c r="E1838" s="5">
        <v>6.26</v>
      </c>
      <c r="F1838" s="5" t="str" cm="1">
        <f t="array" ref="F1838">_xlfn.IFS(Healthcare!$E1838&lt;5.7,"normal",Healthcare!$E1838&lt;=6.4,"prediabetes",Healthcare!$E1838&gt;=6.5,"diabetes")</f>
        <v>prediabetes</v>
      </c>
      <c r="G1838" s="5" t="s">
        <v>19</v>
      </c>
      <c r="H1838" s="5" t="s">
        <v>19</v>
      </c>
      <c r="I1838" s="5" t="s">
        <v>19</v>
      </c>
      <c r="J1838" s="5">
        <v>0</v>
      </c>
      <c r="K1838" s="5" t="s">
        <v>19</v>
      </c>
      <c r="L1838" s="5" t="str">
        <f>VLOOKUP(Healthcare!$A1838,hospital_details,2,0)</f>
        <v>27-Sep-1982</v>
      </c>
      <c r="M1838" s="5">
        <f t="shared" ref="M1838:M1901" ca="1" si="11013">VLOOKUP(A1838,hospital_details,3,0)</f>
        <v>44</v>
      </c>
      <c r="N1838" s="5">
        <f t="shared" ref="N1838:N1901" si="11014">VLOOKUP($A1838,hospital_details,4,0)</f>
        <v>3</v>
      </c>
      <c r="O1838" s="6">
        <f t="shared" ref="O1838:O1901" si="11015">VLOOKUP($A1838,hospital_details,5,0)</f>
        <v>4511.41</v>
      </c>
      <c r="P1838" s="5" t="str">
        <f t="shared" ref="P1838:P1901" si="11016">VLOOKUP($A1838,hospital_details,6,0)</f>
        <v>tier - 2</v>
      </c>
      <c r="Q1838" s="5" t="str">
        <f t="shared" ref="Q1838:Q1901" si="11017">VLOOKUP($A1838,hospital_details,7,0)</f>
        <v>tier - 3</v>
      </c>
      <c r="R1838" s="5" t="str">
        <f t="shared" ref="R1838:R1901" si="11018">VLOOKUP($A1838,hospital_details,8,0)</f>
        <v>R1013</v>
      </c>
    </row>
    <row r="1839" spans="1:18" ht="14.4" customHeight="1" x14ac:dyDescent="0.3">
      <c r="A1839" s="7" t="s">
        <v>1859</v>
      </c>
      <c r="B1839" s="7" t="str">
        <f>VLOOKUP($A1839,[1]!Customer_Names[#Data],3,0)</f>
        <v xml:space="preserve">  Takaya</v>
      </c>
      <c r="C1839" s="7">
        <v>33.659999999999997</v>
      </c>
      <c r="D1839" s="7" t="str" cm="1">
        <f t="array" ref="D1839">_xlfn.IFS(Healthcare!$C1839&lt;18.5,"under weight",Healthcare!$C1839&lt;=24.9,"Normal Weight",Healthcare!$C1839&gt;=25,"overweight",Healthcare!$C1839&gt;=30,"obese")</f>
        <v>overweight</v>
      </c>
      <c r="E1839" s="7">
        <v>4.08</v>
      </c>
      <c r="F1839" s="7" t="str" cm="1">
        <f t="array" ref="F1839">_xlfn.IFS(Healthcare!$E1839&lt;5.7,"normal",Healthcare!$E1839&lt;=6.4,"prediabetes",Healthcare!$E1839&gt;=6.5,"diabetes")</f>
        <v>normal</v>
      </c>
      <c r="G1839" s="7" t="s">
        <v>20</v>
      </c>
      <c r="H1839" s="7" t="s">
        <v>19</v>
      </c>
      <c r="I1839" s="7" t="s">
        <v>29</v>
      </c>
      <c r="J1839" s="7">
        <v>1</v>
      </c>
      <c r="K1839" s="7" t="s">
        <v>19</v>
      </c>
      <c r="L1839" s="7" t="str">
        <f>VLOOKUP(Healthcare!$A1839,hospital_details,2,0)</f>
        <v>13-Oct-1997</v>
      </c>
      <c r="M1839" s="7">
        <f t="shared" ref="M1839:M1902" ca="1" si="11019">VLOOKUP(A1839,hospital_details,3,0)</f>
        <v>29</v>
      </c>
      <c r="N1839" s="7">
        <f t="shared" ref="N1839:N1902" si="11020">VLOOKUP($A1839,hospital_details,4,0)</f>
        <v>4</v>
      </c>
      <c r="O1839" s="8">
        <f t="shared" ref="O1839:O1902" si="11021">VLOOKUP($A1839,hospital_details,5,0)</f>
        <v>4504.66</v>
      </c>
      <c r="P1839" s="7" t="str">
        <f t="shared" ref="P1839:P1902" si="11022">VLOOKUP($A1839,hospital_details,6,0)</f>
        <v>tier - 1</v>
      </c>
      <c r="Q1839" s="7" t="str">
        <f t="shared" ref="Q1839:Q1902" si="11023">VLOOKUP($A1839,hospital_details,7,0)</f>
        <v>tier - 2</v>
      </c>
      <c r="R1839" s="7" t="str">
        <f t="shared" ref="R1839:R1902" si="11024">VLOOKUP($A1839,hospital_details,8,0)</f>
        <v>R1013</v>
      </c>
    </row>
    <row r="1840" spans="1:18" ht="14.4" customHeight="1" x14ac:dyDescent="0.3">
      <c r="A1840" s="5" t="s">
        <v>1860</v>
      </c>
      <c r="B1840" s="5" t="str">
        <f>VLOOKUP($A1840,[1]!Customer_Names[#Data],3,0)</f>
        <v xml:space="preserve">  Thomas IV</v>
      </c>
      <c r="C1840" s="5">
        <v>21.375</v>
      </c>
      <c r="D1840" s="5" t="str" cm="1">
        <f t="array" ref="D1840">_xlfn.IFS(Healthcare!$C1840&lt;18.5,"under weight",Healthcare!$C1840&lt;=24.9,"Normal Weight",Healthcare!$C1840&gt;=25,"overweight",Healthcare!$C1840&gt;=30,"obese")</f>
        <v>Normal Weight</v>
      </c>
      <c r="E1840" s="5">
        <v>6.19</v>
      </c>
      <c r="F1840" s="5" t="str" cm="1">
        <f t="array" ref="F1840">_xlfn.IFS(Healthcare!$E1840&lt;5.7,"normal",Healthcare!$E1840&lt;=6.4,"prediabetes",Healthcare!$E1840&gt;=6.5,"diabetes")</f>
        <v>prediabetes</v>
      </c>
      <c r="G1840" s="5" t="s">
        <v>20</v>
      </c>
      <c r="H1840" s="5" t="s">
        <v>19</v>
      </c>
      <c r="I1840" s="5" t="s">
        <v>19</v>
      </c>
      <c r="J1840" s="5">
        <v>1</v>
      </c>
      <c r="K1840" s="5" t="s">
        <v>19</v>
      </c>
      <c r="L1840" s="5" t="str">
        <f>VLOOKUP(Healthcare!$A1840,hospital_details,2,0)</f>
        <v>26-Jun-1988</v>
      </c>
      <c r="M1840" s="5">
        <f t="shared" ref="M1840:M1903" ca="1" si="11025">VLOOKUP(A1840,hospital_details,3,0)</f>
        <v>38</v>
      </c>
      <c r="N1840" s="5">
        <f t="shared" ref="N1840:N1903" si="11026">VLOOKUP($A1840,hospital_details,4,0)</f>
        <v>0</v>
      </c>
      <c r="O1840" s="6">
        <f t="shared" ref="O1840:O1903" si="11027">VLOOKUP($A1840,hospital_details,5,0)</f>
        <v>4500.34</v>
      </c>
      <c r="P1840" s="5" t="str">
        <f t="shared" ref="P1840:P1903" si="11028">VLOOKUP($A1840,hospital_details,6,0)</f>
        <v>tier - 2</v>
      </c>
      <c r="Q1840" s="5" t="str">
        <f t="shared" ref="Q1840:Q1903" si="11029">VLOOKUP($A1840,hospital_details,7,0)</f>
        <v>tier - 1</v>
      </c>
      <c r="R1840" s="5" t="str">
        <f t="shared" ref="R1840:R1903" si="11030">VLOOKUP($A1840,hospital_details,8,0)</f>
        <v>R1017</v>
      </c>
    </row>
    <row r="1841" spans="1:18" ht="14.4" customHeight="1" x14ac:dyDescent="0.3">
      <c r="A1841" s="7" t="s">
        <v>1861</v>
      </c>
      <c r="B1841" s="7" t="str">
        <f>VLOOKUP($A1841,[1]!Customer_Names[#Data],3,0)</f>
        <v xml:space="preserve">  Bradley E</v>
      </c>
      <c r="C1841" s="7">
        <v>27.14</v>
      </c>
      <c r="D1841" s="7" t="str" cm="1">
        <f t="array" ref="D1841">_xlfn.IFS(Healthcare!$C1841&lt;18.5,"under weight",Healthcare!$C1841&lt;=24.9,"Normal Weight",Healthcare!$C1841&gt;=25,"overweight",Healthcare!$C1841&gt;=30,"obese")</f>
        <v>overweight</v>
      </c>
      <c r="E1841" s="7">
        <v>6.01</v>
      </c>
      <c r="F1841" s="7" t="str" cm="1">
        <f t="array" ref="F1841">_xlfn.IFS(Healthcare!$E1841&lt;5.7,"normal",Healthcare!$E1841&lt;=6.4,"prediabetes",Healthcare!$E1841&gt;=6.5,"diabetes")</f>
        <v>prediabetes</v>
      </c>
      <c r="G1841" s="7" t="s">
        <v>19</v>
      </c>
      <c r="H1841" s="7" t="s">
        <v>19</v>
      </c>
      <c r="I1841" s="7" t="s">
        <v>19</v>
      </c>
      <c r="J1841" s="7">
        <v>1</v>
      </c>
      <c r="K1841" s="7" t="s">
        <v>19</v>
      </c>
      <c r="L1841" s="7" t="str">
        <f>VLOOKUP(Healthcare!$A1841,hospital_details,2,0)</f>
        <v>12-Jul-1992</v>
      </c>
      <c r="M1841" s="7">
        <f t="shared" ref="M1841:M1904" ca="1" si="11031">VLOOKUP(A1841,hospital_details,3,0)</f>
        <v>34</v>
      </c>
      <c r="N1841" s="7">
        <f t="shared" ref="N1841:N1904" si="11032">VLOOKUP($A1841,hospital_details,4,0)</f>
        <v>0</v>
      </c>
      <c r="O1841" s="8">
        <f t="shared" ref="O1841:O1904" si="11033">VLOOKUP($A1841,hospital_details,5,0)</f>
        <v>4488.58</v>
      </c>
      <c r="P1841" s="7" t="str">
        <f t="shared" ref="P1841:P1904" si="11034">VLOOKUP($A1841,hospital_details,6,0)</f>
        <v>tier - 2</v>
      </c>
      <c r="Q1841" s="7" t="str">
        <f t="shared" ref="Q1841:Q1904" si="11035">VLOOKUP($A1841,hospital_details,7,0)</f>
        <v>tier - 3</v>
      </c>
      <c r="R1841" s="7" t="str">
        <f t="shared" ref="R1841:R1904" si="11036">VLOOKUP($A1841,hospital_details,8,0)</f>
        <v>R1012</v>
      </c>
    </row>
    <row r="1842" spans="1:18" ht="14.4" customHeight="1" x14ac:dyDescent="0.3">
      <c r="A1842" s="5" t="s">
        <v>1862</v>
      </c>
      <c r="B1842" s="5" t="str">
        <f>VLOOKUP($A1842,[1]!Customer_Names[#Data],3,0)</f>
        <v xml:space="preserve">  Megan</v>
      </c>
      <c r="C1842" s="5">
        <v>35.78</v>
      </c>
      <c r="D1842" s="5" t="str" cm="1">
        <f t="array" ref="D1842">_xlfn.IFS(Healthcare!$C1842&lt;18.5,"under weight",Healthcare!$C1842&lt;=24.9,"Normal Weight",Healthcare!$C1842&gt;=25,"overweight",Healthcare!$C1842&gt;=30,"obese")</f>
        <v>overweight</v>
      </c>
      <c r="E1842" s="5">
        <v>6.07</v>
      </c>
      <c r="F1842" s="5" t="str" cm="1">
        <f t="array" ref="F1842">_xlfn.IFS(Healthcare!$E1842&lt;5.7,"normal",Healthcare!$E1842&lt;=6.4,"prediabetes",Healthcare!$E1842&gt;=6.5,"diabetes")</f>
        <v>prediabetes</v>
      </c>
      <c r="G1842" s="5" t="s">
        <v>19</v>
      </c>
      <c r="H1842" s="5" t="s">
        <v>20</v>
      </c>
      <c r="I1842" s="5" t="s">
        <v>19</v>
      </c>
      <c r="J1842" s="5">
        <v>1</v>
      </c>
      <c r="K1842" s="5" t="s">
        <v>19</v>
      </c>
      <c r="L1842" s="5" t="str">
        <f>VLOOKUP(Healthcare!$A1842,hospital_details,2,0)</f>
        <v>18-Jul-2004</v>
      </c>
      <c r="M1842" s="5">
        <f t="shared" ref="M1842:M1905" ca="1" si="11037">VLOOKUP(A1842,hospital_details,3,0)</f>
        <v>22</v>
      </c>
      <c r="N1842" s="5">
        <f t="shared" ref="N1842:N1905" si="11038">VLOOKUP($A1842,hospital_details,4,0)</f>
        <v>0</v>
      </c>
      <c r="O1842" s="6">
        <f t="shared" ref="O1842:O1905" si="11039">VLOOKUP($A1842,hospital_details,5,0)</f>
        <v>4468.25</v>
      </c>
      <c r="P1842" s="5" t="str">
        <f t="shared" ref="P1842:P1905" si="11040">VLOOKUP($A1842,hospital_details,6,0)</f>
        <v>tier - 2</v>
      </c>
      <c r="Q1842" s="5" t="str">
        <f t="shared" ref="Q1842:Q1905" si="11041">VLOOKUP($A1842,hospital_details,7,0)</f>
        <v>tier - 2</v>
      </c>
      <c r="R1842" s="5" t="str">
        <f t="shared" ref="R1842:R1905" si="11042">VLOOKUP($A1842,hospital_details,8,0)</f>
        <v>R1012</v>
      </c>
    </row>
    <row r="1843" spans="1:18" ht="14.4" customHeight="1" x14ac:dyDescent="0.3">
      <c r="A1843" s="7" t="s">
        <v>1863</v>
      </c>
      <c r="B1843" s="7" t="str">
        <f>VLOOKUP($A1843,[1]!Customer_Names[#Data],3,0)</f>
        <v xml:space="preserve">  Ruby J</v>
      </c>
      <c r="C1843" s="7">
        <v>34.96</v>
      </c>
      <c r="D1843" s="7" t="str" cm="1">
        <f t="array" ref="D1843">_xlfn.IFS(Healthcare!$C1843&lt;18.5,"under weight",Healthcare!$C1843&lt;=24.9,"Normal Weight",Healthcare!$C1843&gt;=25,"overweight",Healthcare!$C1843&gt;=30,"obese")</f>
        <v>overweight</v>
      </c>
      <c r="E1843" s="7">
        <v>5.63</v>
      </c>
      <c r="F1843" s="7" t="str" cm="1">
        <f t="array" ref="F1843">_xlfn.IFS(Healthcare!$E1843&lt;5.7,"normal",Healthcare!$E1843&lt;=6.4,"prediabetes",Healthcare!$E1843&gt;=6.5,"diabetes")</f>
        <v>normal</v>
      </c>
      <c r="G1843" s="7" t="s">
        <v>19</v>
      </c>
      <c r="H1843" s="7" t="s">
        <v>19</v>
      </c>
      <c r="I1843" s="7" t="s">
        <v>19</v>
      </c>
      <c r="J1843" s="7">
        <v>0</v>
      </c>
      <c r="K1843" s="7" t="s">
        <v>19</v>
      </c>
      <c r="L1843" s="7" t="str">
        <f>VLOOKUP(Healthcare!$A1843,hospital_details,2,0)</f>
        <v>20-Nov-1999</v>
      </c>
      <c r="M1843" s="7">
        <f t="shared" ref="M1843:M1906" ca="1" si="11043">VLOOKUP(A1843,hospital_details,3,0)</f>
        <v>26</v>
      </c>
      <c r="N1843" s="7">
        <f t="shared" ref="N1843:N1906" si="11044">VLOOKUP($A1843,hospital_details,4,0)</f>
        <v>3</v>
      </c>
      <c r="O1843" s="8">
        <f t="shared" ref="O1843:O1906" si="11045">VLOOKUP($A1843,hospital_details,5,0)</f>
        <v>4466.62</v>
      </c>
      <c r="P1843" s="7" t="str">
        <f t="shared" ref="P1843:P1906" si="11046">VLOOKUP($A1843,hospital_details,6,0)</f>
        <v>tier - 2</v>
      </c>
      <c r="Q1843" s="7" t="str">
        <f t="shared" ref="Q1843:Q1906" si="11047">VLOOKUP($A1843,hospital_details,7,0)</f>
        <v>tier - 2</v>
      </c>
      <c r="R1843" s="7" t="str">
        <f t="shared" ref="R1843:R1906" si="11048">VLOOKUP($A1843,hospital_details,8,0)</f>
        <v>R1012</v>
      </c>
    </row>
    <row r="1844" spans="1:18" ht="14.4" customHeight="1" x14ac:dyDescent="0.3">
      <c r="A1844" s="5" t="s">
        <v>1864</v>
      </c>
      <c r="B1844" s="5" t="str">
        <f>VLOOKUP($A1844,[1]!Customer_Names[#Data],3,0)</f>
        <v xml:space="preserve">  Bart</v>
      </c>
      <c r="C1844" s="5">
        <v>38.39</v>
      </c>
      <c r="D1844" s="5" t="str" cm="1">
        <f t="array" ref="D1844">_xlfn.IFS(Healthcare!$C1844&lt;18.5,"under weight",Healthcare!$C1844&lt;=24.9,"Normal Weight",Healthcare!$C1844&gt;=25,"overweight",Healthcare!$C1844&gt;=30,"obese")</f>
        <v>overweight</v>
      </c>
      <c r="E1844" s="5">
        <v>6.05</v>
      </c>
      <c r="F1844" s="5" t="str" cm="1">
        <f t="array" ref="F1844">_xlfn.IFS(Healthcare!$E1844&lt;5.7,"normal",Healthcare!$E1844&lt;=6.4,"prediabetes",Healthcare!$E1844&gt;=6.5,"diabetes")</f>
        <v>prediabetes</v>
      </c>
      <c r="G1844" s="5" t="s">
        <v>19</v>
      </c>
      <c r="H1844" s="5" t="s">
        <v>19</v>
      </c>
      <c r="I1844" s="5" t="s">
        <v>19</v>
      </c>
      <c r="J1844" s="5">
        <v>0</v>
      </c>
      <c r="K1844" s="5" t="s">
        <v>19</v>
      </c>
      <c r="L1844" s="5" t="str">
        <f>VLOOKUP(Healthcare!$A1844,hospital_details,2,0)</f>
        <v>4-Jul-1991</v>
      </c>
      <c r="M1844" s="5">
        <f t="shared" ref="M1844:M1907" ca="1" si="11049">VLOOKUP(A1844,hospital_details,3,0)</f>
        <v>35</v>
      </c>
      <c r="N1844" s="5">
        <f t="shared" ref="N1844:N1907" si="11050">VLOOKUP($A1844,hospital_details,4,0)</f>
        <v>2</v>
      </c>
      <c r="O1844" s="6">
        <f t="shared" ref="O1844:O1907" si="11051">VLOOKUP($A1844,hospital_details,5,0)</f>
        <v>4463.21</v>
      </c>
      <c r="P1844" s="5" t="str">
        <f t="shared" ref="P1844:P1907" si="11052">VLOOKUP($A1844,hospital_details,6,0)</f>
        <v>tier - 3</v>
      </c>
      <c r="Q1844" s="5" t="str">
        <f t="shared" ref="Q1844:Q1907" si="11053">VLOOKUP($A1844,hospital_details,7,0)</f>
        <v>tier - 3</v>
      </c>
      <c r="R1844" s="5" t="str">
        <f t="shared" ref="R1844:R1907" si="11054">VLOOKUP($A1844,hospital_details,8,0)</f>
        <v>R1013</v>
      </c>
    </row>
    <row r="1845" spans="1:18" ht="14.4" customHeight="1" x14ac:dyDescent="0.3">
      <c r="A1845" s="7" t="s">
        <v>1865</v>
      </c>
      <c r="B1845" s="7" t="str">
        <f>VLOOKUP($A1845,[1]!Customer_Names[#Data],3,0)</f>
        <v xml:space="preserve">  Robert A</v>
      </c>
      <c r="C1845" s="7">
        <v>33.82</v>
      </c>
      <c r="D1845" s="7" t="str" cm="1">
        <f t="array" ref="D1845">_xlfn.IFS(Healthcare!$C1845&lt;18.5,"under weight",Healthcare!$C1845&lt;=24.9,"Normal Weight",Healthcare!$C1845&gt;=25,"overweight",Healthcare!$C1845&gt;=30,"obese")</f>
        <v>overweight</v>
      </c>
      <c r="E1845" s="7">
        <v>4.6500000000000004</v>
      </c>
      <c r="F1845" s="7" t="str" cm="1">
        <f t="array" ref="F1845">_xlfn.IFS(Healthcare!$E1845&lt;5.7,"normal",Healthcare!$E1845&lt;=6.4,"prediabetes",Healthcare!$E1845&gt;=6.5,"diabetes")</f>
        <v>normal</v>
      </c>
      <c r="G1845" s="7" t="s">
        <v>19</v>
      </c>
      <c r="H1845" s="7" t="s">
        <v>19</v>
      </c>
      <c r="I1845" s="7" t="s">
        <v>19</v>
      </c>
      <c r="J1845" s="7">
        <v>0</v>
      </c>
      <c r="K1845" s="7" t="s">
        <v>19</v>
      </c>
      <c r="L1845" s="7" t="str">
        <f>VLOOKUP(Healthcare!$A1845,hospital_details,2,0)</f>
        <v>15-Jul-1990</v>
      </c>
      <c r="M1845" s="7">
        <f t="shared" ref="M1845:M1908" ca="1" si="11055">VLOOKUP(A1845,hospital_details,3,0)</f>
        <v>36</v>
      </c>
      <c r="N1845" s="7">
        <f t="shared" ref="N1845:N1908" si="11056">VLOOKUP($A1845,hospital_details,4,0)</f>
        <v>1</v>
      </c>
      <c r="O1845" s="8">
        <f t="shared" ref="O1845:O1908" si="11057">VLOOKUP($A1845,hospital_details,5,0)</f>
        <v>4462.72</v>
      </c>
      <c r="P1845" s="7" t="str">
        <f t="shared" ref="P1845:P1908" si="11058">VLOOKUP($A1845,hospital_details,6,0)</f>
        <v>tier - 2</v>
      </c>
      <c r="Q1845" s="7" t="str">
        <f t="shared" ref="Q1845:Q1908" si="11059">VLOOKUP($A1845,hospital_details,7,0)</f>
        <v>tier - 3</v>
      </c>
      <c r="R1845" s="7" t="str">
        <f t="shared" ref="R1845:R1908" si="11060">VLOOKUP($A1845,hospital_details,8,0)</f>
        <v>R1012</v>
      </c>
    </row>
    <row r="1846" spans="1:18" ht="14.4" customHeight="1" x14ac:dyDescent="0.3">
      <c r="A1846" s="5" t="s">
        <v>1866</v>
      </c>
      <c r="B1846" s="5" t="str">
        <f>VLOOKUP($A1846,[1]!Customer_Names[#Data],3,0)</f>
        <v xml:space="preserve">  Adam</v>
      </c>
      <c r="C1846" s="5">
        <v>27.835000000000001</v>
      </c>
      <c r="D1846" s="5" t="str" cm="1">
        <f t="array" ref="D1846">_xlfn.IFS(Healthcare!$C1846&lt;18.5,"under weight",Healthcare!$C1846&lt;=24.9,"Normal Weight",Healthcare!$C1846&gt;=25,"overweight",Healthcare!$C1846&gt;=30,"obese")</f>
        <v>overweight</v>
      </c>
      <c r="E1846" s="5">
        <v>5.37</v>
      </c>
      <c r="F1846" s="5" t="str" cm="1">
        <f t="array" ref="F1846">_xlfn.IFS(Healthcare!$E1846&lt;5.7,"normal",Healthcare!$E1846&lt;=6.4,"prediabetes",Healthcare!$E1846&gt;=6.5,"diabetes")</f>
        <v>normal</v>
      </c>
      <c r="G1846" s="5" t="s">
        <v>19</v>
      </c>
      <c r="H1846" s="5" t="s">
        <v>19</v>
      </c>
      <c r="I1846" s="5" t="s">
        <v>19</v>
      </c>
      <c r="J1846" s="5">
        <v>0</v>
      </c>
      <c r="K1846" s="5" t="s">
        <v>19</v>
      </c>
      <c r="L1846" s="5" t="str">
        <f>VLOOKUP(Healthcare!$A1846,hospital_details,2,0)</f>
        <v>8-Aug-1990</v>
      </c>
      <c r="M1846" s="5">
        <f t="shared" ref="M1846:M1909" ca="1" si="11061">VLOOKUP(A1846,hospital_details,3,0)</f>
        <v>36</v>
      </c>
      <c r="N1846" s="5">
        <f t="shared" ref="N1846:N1909" si="11062">VLOOKUP($A1846,hospital_details,4,0)</f>
        <v>1</v>
      </c>
      <c r="O1846" s="6">
        <f t="shared" ref="O1846:O1909" si="11063">VLOOKUP($A1846,hospital_details,5,0)</f>
        <v>4454.3999999999996</v>
      </c>
      <c r="P1846" s="5" t="str">
        <f t="shared" ref="P1846:P1909" si="11064">VLOOKUP($A1846,hospital_details,6,0)</f>
        <v>tier - 2</v>
      </c>
      <c r="Q1846" s="5" t="str">
        <f t="shared" ref="Q1846:Q1909" si="11065">VLOOKUP($A1846,hospital_details,7,0)</f>
        <v>tier - 3</v>
      </c>
      <c r="R1846" s="5" t="str">
        <f t="shared" ref="R1846:R1909" si="11066">VLOOKUP($A1846,hospital_details,8,0)</f>
        <v>R1012</v>
      </c>
    </row>
    <row r="1847" spans="1:18" ht="14.4" customHeight="1" x14ac:dyDescent="0.3">
      <c r="A1847" s="7" t="s">
        <v>1867</v>
      </c>
      <c r="B1847" s="7" t="str">
        <f>VLOOKUP($A1847,[1]!Customer_Names[#Data],3,0)</f>
        <v xml:space="preserve">  Yemane Adhane</v>
      </c>
      <c r="C1847" s="7">
        <v>33</v>
      </c>
      <c r="D1847" s="7" t="str" cm="1">
        <f t="array" ref="D1847">_xlfn.IFS(Healthcare!$C1847&lt;18.5,"under weight",Healthcare!$C1847&lt;=24.9,"Normal Weight",Healthcare!$C1847&gt;=25,"overweight",Healthcare!$C1847&gt;=30,"obese")</f>
        <v>overweight</v>
      </c>
      <c r="E1847" s="7">
        <v>5.39</v>
      </c>
      <c r="F1847" s="7" t="str" cm="1">
        <f t="array" ref="F1847">_xlfn.IFS(Healthcare!$E1847&lt;5.7,"normal",Healthcare!$E1847&lt;=6.4,"prediabetes",Healthcare!$E1847&gt;=6.5,"diabetes")</f>
        <v>normal</v>
      </c>
      <c r="G1847" s="7" t="s">
        <v>19</v>
      </c>
      <c r="H1847" s="7" t="s">
        <v>19</v>
      </c>
      <c r="I1847" s="7" t="s">
        <v>19</v>
      </c>
      <c r="J1847" s="7">
        <v>0</v>
      </c>
      <c r="K1847" s="7" t="s">
        <v>19</v>
      </c>
      <c r="L1847" s="7" t="str">
        <f>VLOOKUP(Healthcare!$A1847,hospital_details,2,0)</f>
        <v>28-Jun-1994</v>
      </c>
      <c r="M1847" s="7">
        <f t="shared" ref="M1847:M1910" ca="1" si="11067">VLOOKUP(A1847,hospital_details,3,0)</f>
        <v>32</v>
      </c>
      <c r="N1847" s="7">
        <f t="shared" ref="N1847:N1910" si="11068">VLOOKUP($A1847,hospital_details,4,0)</f>
        <v>3</v>
      </c>
      <c r="O1847" s="8">
        <f t="shared" ref="O1847:O1910" si="11069">VLOOKUP($A1847,hospital_details,5,0)</f>
        <v>4449.46</v>
      </c>
      <c r="P1847" s="7" t="str">
        <f t="shared" ref="P1847:P1910" si="11070">VLOOKUP($A1847,hospital_details,6,0)</f>
        <v>tier - 1</v>
      </c>
      <c r="Q1847" s="7" t="str">
        <f t="shared" ref="Q1847:Q1910" si="11071">VLOOKUP($A1847,hospital_details,7,0)</f>
        <v>tier - 2</v>
      </c>
      <c r="R1847" s="7" t="str">
        <f t="shared" ref="R1847:R1910" si="11072">VLOOKUP($A1847,hospital_details,8,0)</f>
        <v>R1013</v>
      </c>
    </row>
    <row r="1848" spans="1:18" ht="14.4" customHeight="1" x14ac:dyDescent="0.3">
      <c r="A1848" s="5" t="s">
        <v>1868</v>
      </c>
      <c r="B1848" s="5" t="str">
        <f>VLOOKUP($A1848,[1]!Customer_Names[#Data],3,0)</f>
        <v xml:space="preserve">  Jesse A</v>
      </c>
      <c r="C1848" s="5">
        <v>26.885000000000002</v>
      </c>
      <c r="D1848" s="5" t="str" cm="1">
        <f t="array" ref="D1848">_xlfn.IFS(Healthcare!$C1848&lt;18.5,"under weight",Healthcare!$C1848&lt;=24.9,"Normal Weight",Healthcare!$C1848&gt;=25,"overweight",Healthcare!$C1848&gt;=30,"obese")</f>
        <v>overweight</v>
      </c>
      <c r="E1848" s="5">
        <v>5.86</v>
      </c>
      <c r="F1848" s="5" t="str" cm="1">
        <f t="array" ref="F1848">_xlfn.IFS(Healthcare!$E1848&lt;5.7,"normal",Healthcare!$E1848&lt;=6.4,"prediabetes",Healthcare!$E1848&gt;=6.5,"diabetes")</f>
        <v>prediabetes</v>
      </c>
      <c r="G1848" s="5" t="s">
        <v>19</v>
      </c>
      <c r="H1848" s="5" t="s">
        <v>19</v>
      </c>
      <c r="I1848" s="5" t="s">
        <v>19</v>
      </c>
      <c r="J1848" s="5">
        <v>0</v>
      </c>
      <c r="K1848" s="5" t="s">
        <v>19</v>
      </c>
      <c r="L1848" s="5" t="str">
        <f>VLOOKUP(Healthcare!$A1848,hospital_details,2,0)</f>
        <v>3-Sep-1991</v>
      </c>
      <c r="M1848" s="5">
        <f t="shared" ref="M1848:M1911" ca="1" si="11073">VLOOKUP(A1848,hospital_details,3,0)</f>
        <v>35</v>
      </c>
      <c r="N1848" s="5">
        <f t="shared" ref="N1848:N1911" si="11074">VLOOKUP($A1848,hospital_details,4,0)</f>
        <v>1</v>
      </c>
      <c r="O1848" s="6">
        <f t="shared" ref="O1848:O1911" si="11075">VLOOKUP($A1848,hospital_details,5,0)</f>
        <v>4441.21</v>
      </c>
      <c r="P1848" s="5" t="str">
        <f t="shared" ref="P1848:P1911" si="11076">VLOOKUP($A1848,hospital_details,6,0)</f>
        <v>tier - 1</v>
      </c>
      <c r="Q1848" s="5" t="str">
        <f t="shared" ref="Q1848:Q1911" si="11077">VLOOKUP($A1848,hospital_details,7,0)</f>
        <v>tier - 2</v>
      </c>
      <c r="R1848" s="5" t="str">
        <f t="shared" ref="R1848:R1911" si="11078">VLOOKUP($A1848,hospital_details,8,0)</f>
        <v>R1014</v>
      </c>
    </row>
    <row r="1849" spans="1:18" ht="14.4" customHeight="1" x14ac:dyDescent="0.3">
      <c r="A1849" s="7" t="s">
        <v>1869</v>
      </c>
      <c r="B1849" s="7" t="str">
        <f>VLOOKUP($A1849,[1]!Customer_Names[#Data],3,0)</f>
        <v xml:space="preserve">  Bird</v>
      </c>
      <c r="C1849" s="7">
        <v>29.26</v>
      </c>
      <c r="D1849" s="7" t="str" cm="1">
        <f t="array" ref="D1849">_xlfn.IFS(Healthcare!$C1849&lt;18.5,"under weight",Healthcare!$C1849&lt;=24.9,"Normal Weight",Healthcare!$C1849&gt;=25,"overweight",Healthcare!$C1849&gt;=30,"obese")</f>
        <v>overweight</v>
      </c>
      <c r="E1849" s="7">
        <v>4.4400000000000004</v>
      </c>
      <c r="F1849" s="7" t="str" cm="1">
        <f t="array" ref="F1849">_xlfn.IFS(Healthcare!$E1849&lt;5.7,"normal",Healthcare!$E1849&lt;=6.4,"prediabetes",Healthcare!$E1849&gt;=6.5,"diabetes")</f>
        <v>normal</v>
      </c>
      <c r="G1849" s="7" t="s">
        <v>19</v>
      </c>
      <c r="H1849" s="7" t="s">
        <v>19</v>
      </c>
      <c r="I1849" s="7" t="s">
        <v>19</v>
      </c>
      <c r="J1849" s="7">
        <v>0</v>
      </c>
      <c r="K1849" s="7" t="s">
        <v>19</v>
      </c>
      <c r="L1849" s="7" t="str">
        <f>VLOOKUP(Healthcare!$A1849,hospital_details,2,0)</f>
        <v>24-Oct-1994</v>
      </c>
      <c r="M1849" s="7">
        <f t="shared" ref="M1849:M1912" ca="1" si="11079">VLOOKUP(A1849,hospital_details,3,0)</f>
        <v>31</v>
      </c>
      <c r="N1849" s="7">
        <f t="shared" ref="N1849:N1912" si="11080">VLOOKUP($A1849,hospital_details,4,0)</f>
        <v>2</v>
      </c>
      <c r="O1849" s="8">
        <f t="shared" ref="O1849:O1912" si="11081">VLOOKUP($A1849,hospital_details,5,0)</f>
        <v>4438.26</v>
      </c>
      <c r="P1849" s="7" t="str">
        <f t="shared" ref="P1849:P1912" si="11082">VLOOKUP($A1849,hospital_details,6,0)</f>
        <v>tier - 2</v>
      </c>
      <c r="Q1849" s="7" t="str">
        <f t="shared" ref="Q1849:Q1912" si="11083">VLOOKUP($A1849,hospital_details,7,0)</f>
        <v>tier - 3</v>
      </c>
      <c r="R1849" s="7" t="str">
        <f t="shared" ref="R1849:R1912" si="11084">VLOOKUP($A1849,hospital_details,8,0)</f>
        <v>R1017</v>
      </c>
    </row>
    <row r="1850" spans="1:18" ht="14.4" customHeight="1" x14ac:dyDescent="0.3">
      <c r="A1850" s="5" t="s">
        <v>1870</v>
      </c>
      <c r="B1850" s="5" t="str">
        <f>VLOOKUP($A1850,[1]!Customer_Names[#Data],3,0)</f>
        <v xml:space="preserve">  Patrick M</v>
      </c>
      <c r="C1850" s="5">
        <v>26.98</v>
      </c>
      <c r="D1850" s="5" t="str" cm="1">
        <f t="array" ref="D1850">_xlfn.IFS(Healthcare!$C1850&lt;18.5,"under weight",Healthcare!$C1850&lt;=24.9,"Normal Weight",Healthcare!$C1850&gt;=25,"overweight",Healthcare!$C1850&gt;=30,"obese")</f>
        <v>overweight</v>
      </c>
      <c r="E1850" s="5">
        <v>4.41</v>
      </c>
      <c r="F1850" s="5" t="str" cm="1">
        <f t="array" ref="F1850">_xlfn.IFS(Healthcare!$E1850&lt;5.7,"normal",Healthcare!$E1850&lt;=6.4,"prediabetes",Healthcare!$E1850&gt;=6.5,"diabetes")</f>
        <v>normal</v>
      </c>
      <c r="G1850" s="5" t="s">
        <v>19</v>
      </c>
      <c r="H1850" s="5" t="s">
        <v>19</v>
      </c>
      <c r="I1850" s="5" t="s">
        <v>19</v>
      </c>
      <c r="J1850" s="5">
        <v>0</v>
      </c>
      <c r="K1850" s="5" t="s">
        <v>19</v>
      </c>
      <c r="L1850" s="5" t="str">
        <f>VLOOKUP(Healthcare!$A1850,hospital_details,2,0)</f>
        <v>8-Oct-1994</v>
      </c>
      <c r="M1850" s="5">
        <f t="shared" ref="M1850:M1913" ca="1" si="11085">VLOOKUP(A1850,hospital_details,3,0)</f>
        <v>32</v>
      </c>
      <c r="N1850" s="5">
        <f t="shared" ref="N1850:N1913" si="11086">VLOOKUP($A1850,hospital_details,4,0)</f>
        <v>2</v>
      </c>
      <c r="O1850" s="6">
        <f t="shared" ref="O1850:O1913" si="11087">VLOOKUP($A1850,hospital_details,5,0)</f>
        <v>4435.09</v>
      </c>
      <c r="P1850" s="5" t="str">
        <f t="shared" ref="P1850:P1913" si="11088">VLOOKUP($A1850,hospital_details,6,0)</f>
        <v>tier - 3</v>
      </c>
      <c r="Q1850" s="5" t="str">
        <f t="shared" ref="Q1850:Q1913" si="11089">VLOOKUP($A1850,hospital_details,7,0)</f>
        <v>tier - 2</v>
      </c>
      <c r="R1850" s="5" t="str">
        <f t="shared" ref="R1850:R1913" si="11090">VLOOKUP($A1850,hospital_details,8,0)</f>
        <v>R1016</v>
      </c>
    </row>
    <row r="1851" spans="1:18" ht="14.4" customHeight="1" x14ac:dyDescent="0.3">
      <c r="A1851" s="7" t="s">
        <v>1871</v>
      </c>
      <c r="B1851" s="7" t="str">
        <f>VLOOKUP($A1851,[1]!Customer_Names[#Data],3,0)</f>
        <v xml:space="preserve">  Kyle</v>
      </c>
      <c r="C1851" s="7">
        <v>32.11</v>
      </c>
      <c r="D1851" s="7" t="str" cm="1">
        <f t="array" ref="D1851">_xlfn.IFS(Healthcare!$C1851&lt;18.5,"under weight",Healthcare!$C1851&lt;=24.9,"Normal Weight",Healthcare!$C1851&gt;=25,"overweight",Healthcare!$C1851&gt;=30,"obese")</f>
        <v>overweight</v>
      </c>
      <c r="E1851" s="7">
        <v>5.19</v>
      </c>
      <c r="F1851" s="7" t="str" cm="1">
        <f t="array" ref="F1851">_xlfn.IFS(Healthcare!$E1851&lt;5.7,"normal",Healthcare!$E1851&lt;=6.4,"prediabetes",Healthcare!$E1851&gt;=6.5,"diabetes")</f>
        <v>normal</v>
      </c>
      <c r="G1851" s="7" t="s">
        <v>19</v>
      </c>
      <c r="H1851" s="7" t="s">
        <v>19</v>
      </c>
      <c r="I1851" s="7" t="s">
        <v>29</v>
      </c>
      <c r="J1851" s="7">
        <v>1</v>
      </c>
      <c r="K1851" s="7" t="s">
        <v>19</v>
      </c>
      <c r="L1851" s="7" t="str">
        <f>VLOOKUP(Healthcare!$A1851,hospital_details,2,0)</f>
        <v>23-Dec-1993</v>
      </c>
      <c r="M1851" s="7">
        <f t="shared" ref="M1851:M1914" ca="1" si="11091">VLOOKUP(A1851,hospital_details,3,0)</f>
        <v>32</v>
      </c>
      <c r="N1851" s="7">
        <f t="shared" ref="N1851:N1914" si="11092">VLOOKUP($A1851,hospital_details,4,0)</f>
        <v>2</v>
      </c>
      <c r="O1851" s="8">
        <f t="shared" ref="O1851:O1914" si="11093">VLOOKUP($A1851,hospital_details,5,0)</f>
        <v>4433.92</v>
      </c>
      <c r="P1851" s="7" t="str">
        <f t="shared" ref="P1851:P1914" si="11094">VLOOKUP($A1851,hospital_details,6,0)</f>
        <v>tier - 2</v>
      </c>
      <c r="Q1851" s="7" t="str">
        <f t="shared" ref="Q1851:Q1914" si="11095">VLOOKUP($A1851,hospital_details,7,0)</f>
        <v>tier - 2</v>
      </c>
      <c r="R1851" s="7" t="str">
        <f t="shared" ref="R1851:R1914" si="11096">VLOOKUP($A1851,hospital_details,8,0)</f>
        <v>R1012</v>
      </c>
    </row>
    <row r="1852" spans="1:18" ht="14.4" customHeight="1" x14ac:dyDescent="0.3">
      <c r="A1852" s="5" t="s">
        <v>1872</v>
      </c>
      <c r="B1852" s="5" t="str">
        <f>VLOOKUP($A1852,[1]!Customer_Names[#Data],3,0)</f>
        <v xml:space="preserve">  Ryan</v>
      </c>
      <c r="C1852" s="5">
        <v>31.73</v>
      </c>
      <c r="D1852" s="5" t="str" cm="1">
        <f t="array" ref="D1852">_xlfn.IFS(Healthcare!$C1852&lt;18.5,"under weight",Healthcare!$C1852&lt;=24.9,"Normal Weight",Healthcare!$C1852&gt;=25,"overweight",Healthcare!$C1852&gt;=30,"obese")</f>
        <v>overweight</v>
      </c>
      <c r="E1852" s="5">
        <v>5.16</v>
      </c>
      <c r="F1852" s="5" t="str" cm="1">
        <f t="array" ref="F1852">_xlfn.IFS(Healthcare!$E1852&lt;5.7,"normal",Healthcare!$E1852&lt;=6.4,"prediabetes",Healthcare!$E1852&gt;=6.5,"diabetes")</f>
        <v>normal</v>
      </c>
      <c r="G1852" s="5" t="s">
        <v>19</v>
      </c>
      <c r="H1852" s="5" t="s">
        <v>19</v>
      </c>
      <c r="I1852" s="5" t="s">
        <v>29</v>
      </c>
      <c r="J1852" s="5">
        <v>1</v>
      </c>
      <c r="K1852" s="5" t="s">
        <v>19</v>
      </c>
      <c r="L1852" s="5" t="str">
        <f>VLOOKUP(Healthcare!$A1852,hospital_details,2,0)</f>
        <v>4-Sep-1993</v>
      </c>
      <c r="M1852" s="5">
        <f t="shared" ref="M1852:M1915" ca="1" si="11097">VLOOKUP(A1852,hospital_details,3,0)</f>
        <v>33</v>
      </c>
      <c r="N1852" s="5">
        <f t="shared" ref="N1852:N1915" si="11098">VLOOKUP($A1852,hospital_details,4,0)</f>
        <v>2</v>
      </c>
      <c r="O1852" s="6">
        <f t="shared" ref="O1852:O1915" si="11099">VLOOKUP($A1852,hospital_details,5,0)</f>
        <v>4433.3900000000003</v>
      </c>
      <c r="P1852" s="5" t="str">
        <f t="shared" ref="P1852:P1915" si="11100">VLOOKUP($A1852,hospital_details,6,0)</f>
        <v>tier - 2</v>
      </c>
      <c r="Q1852" s="5" t="str">
        <f t="shared" ref="Q1852:Q1915" si="11101">VLOOKUP($A1852,hospital_details,7,0)</f>
        <v>tier - 3</v>
      </c>
      <c r="R1852" s="5" t="str">
        <f t="shared" ref="R1852:R1915" si="11102">VLOOKUP($A1852,hospital_details,8,0)</f>
        <v>R1012</v>
      </c>
    </row>
    <row r="1853" spans="1:18" ht="14.4" customHeight="1" x14ac:dyDescent="0.3">
      <c r="A1853" s="7" t="s">
        <v>1873</v>
      </c>
      <c r="B1853" s="7" t="str">
        <f>VLOOKUP($A1853,[1]!Customer_Names[#Data],3,0)</f>
        <v xml:space="preserve">  Yuri</v>
      </c>
      <c r="C1853" s="7">
        <v>22.515000000000001</v>
      </c>
      <c r="D1853" s="7" t="str" cm="1">
        <f t="array" ref="D1853">_xlfn.IFS(Healthcare!$C1853&lt;18.5,"under weight",Healthcare!$C1853&lt;=24.9,"Normal Weight",Healthcare!$C1853&gt;=25,"overweight",Healthcare!$C1853&gt;=30,"obese")</f>
        <v>Normal Weight</v>
      </c>
      <c r="E1853" s="7">
        <v>4.24</v>
      </c>
      <c r="F1853" s="7" t="str" cm="1">
        <f t="array" ref="F1853">_xlfn.IFS(Healthcare!$E1853&lt;5.7,"normal",Healthcare!$E1853&lt;=6.4,"prediabetes",Healthcare!$E1853&gt;=6.5,"diabetes")</f>
        <v>normal</v>
      </c>
      <c r="G1853" s="7" t="s">
        <v>19</v>
      </c>
      <c r="H1853" s="7" t="s">
        <v>19</v>
      </c>
      <c r="I1853" s="7" t="s">
        <v>19</v>
      </c>
      <c r="J1853" s="7">
        <v>0</v>
      </c>
      <c r="K1853" s="7" t="s">
        <v>19</v>
      </c>
      <c r="L1853" s="7" t="str">
        <f>VLOOKUP(Healthcare!$A1853,hospital_details,2,0)</f>
        <v>29-Dec-1994</v>
      </c>
      <c r="M1853" s="7">
        <f t="shared" ref="M1853:M1916" ca="1" si="11103">VLOOKUP(A1853,hospital_details,3,0)</f>
        <v>31</v>
      </c>
      <c r="N1853" s="7">
        <f t="shared" ref="N1853:N1916" si="11104">VLOOKUP($A1853,hospital_details,4,0)</f>
        <v>2</v>
      </c>
      <c r="O1853" s="8">
        <f t="shared" ref="O1853:O1916" si="11105">VLOOKUP($A1853,hospital_details,5,0)</f>
        <v>4428.8900000000003</v>
      </c>
      <c r="P1853" s="7" t="str">
        <f t="shared" ref="P1853:P1916" si="11106">VLOOKUP($A1853,hospital_details,6,0)</f>
        <v>tier - 3</v>
      </c>
      <c r="Q1853" s="7" t="str">
        <f t="shared" ref="Q1853:Q1916" si="11107">VLOOKUP($A1853,hospital_details,7,0)</f>
        <v>tier - 1</v>
      </c>
      <c r="R1853" s="7" t="str">
        <f t="shared" ref="R1853:R1916" si="11108">VLOOKUP($A1853,hospital_details,8,0)</f>
        <v>R1017</v>
      </c>
    </row>
    <row r="1854" spans="1:18" ht="14.4" customHeight="1" x14ac:dyDescent="0.3">
      <c r="A1854" s="5" t="s">
        <v>1874</v>
      </c>
      <c r="B1854" s="5" t="str">
        <f>VLOOKUP($A1854,[1]!Customer_Names[#Data],3,0)</f>
        <v xml:space="preserve">  Ryan</v>
      </c>
      <c r="C1854" s="5">
        <v>25.9</v>
      </c>
      <c r="D1854" s="5" t="str" cm="1">
        <f t="array" ref="D1854">_xlfn.IFS(Healthcare!$C1854&lt;18.5,"under weight",Healthcare!$C1854&lt;=24.9,"Normal Weight",Healthcare!$C1854&gt;=25,"overweight",Healthcare!$C1854&gt;=30,"obese")</f>
        <v>overweight</v>
      </c>
      <c r="E1854" s="5">
        <v>5.45</v>
      </c>
      <c r="F1854" s="5" t="str" cm="1">
        <f t="array" ref="F1854">_xlfn.IFS(Healthcare!$E1854&lt;5.7,"normal",Healthcare!$E1854&lt;=6.4,"prediabetes",Healthcare!$E1854&gt;=6.5,"diabetes")</f>
        <v>normal</v>
      </c>
      <c r="G1854" s="5" t="s">
        <v>19</v>
      </c>
      <c r="H1854" s="5" t="s">
        <v>19</v>
      </c>
      <c r="I1854" s="5" t="s">
        <v>19</v>
      </c>
      <c r="J1854" s="5">
        <v>1</v>
      </c>
      <c r="K1854" s="5" t="s">
        <v>19</v>
      </c>
      <c r="L1854" s="5" t="str">
        <f>VLOOKUP(Healthcare!$A1854,hospital_details,2,0)</f>
        <v>15-Aug-1992</v>
      </c>
      <c r="M1854" s="5">
        <f t="shared" ref="M1854:M1917" ca="1" si="11109">VLOOKUP(A1854,hospital_details,3,0)</f>
        <v>34</v>
      </c>
      <c r="N1854" s="5">
        <f t="shared" ref="N1854:N1917" si="11110">VLOOKUP($A1854,hospital_details,4,0)</f>
        <v>0</v>
      </c>
      <c r="O1854" s="6">
        <f t="shared" ref="O1854:O1917" si="11111">VLOOKUP($A1854,hospital_details,5,0)</f>
        <v>4420.95</v>
      </c>
      <c r="P1854" s="5" t="str">
        <f t="shared" ref="P1854:P1917" si="11112">VLOOKUP($A1854,hospital_details,6,0)</f>
        <v>tier - 2</v>
      </c>
      <c r="Q1854" s="5" t="str">
        <f t="shared" ref="Q1854:Q1917" si="11113">VLOOKUP($A1854,hospital_details,7,0)</f>
        <v>tier - 3</v>
      </c>
      <c r="R1854" s="5" t="str">
        <f t="shared" ref="R1854:R1917" si="11114">VLOOKUP($A1854,hospital_details,8,0)</f>
        <v>R1020</v>
      </c>
    </row>
    <row r="1855" spans="1:18" ht="14.4" customHeight="1" x14ac:dyDescent="0.3">
      <c r="A1855" s="7" t="s">
        <v>1875</v>
      </c>
      <c r="B1855" s="7" t="str">
        <f>VLOOKUP($A1855,[1]!Customer_Names[#Data],3,0)</f>
        <v xml:space="preserve">  Debbie</v>
      </c>
      <c r="C1855" s="7">
        <v>27.72</v>
      </c>
      <c r="D1855" s="7" t="str" cm="1">
        <f t="array" ref="D1855">_xlfn.IFS(Healthcare!$C1855&lt;18.5,"under weight",Healthcare!$C1855&lt;=24.9,"Normal Weight",Healthcare!$C1855&gt;=25,"overweight",Healthcare!$C1855&gt;=30,"obese")</f>
        <v>overweight</v>
      </c>
      <c r="E1855" s="7">
        <v>5.03</v>
      </c>
      <c r="F1855" s="7" t="str" cm="1">
        <f t="array" ref="F1855">_xlfn.IFS(Healthcare!$E1855&lt;5.7,"normal",Healthcare!$E1855&lt;=6.4,"prediabetes",Healthcare!$E1855&gt;=6.5,"diabetes")</f>
        <v>normal</v>
      </c>
      <c r="G1855" s="7" t="s">
        <v>20</v>
      </c>
      <c r="H1855" s="7" t="s">
        <v>19</v>
      </c>
      <c r="I1855" s="7" t="s">
        <v>19</v>
      </c>
      <c r="J1855" s="7">
        <v>1</v>
      </c>
      <c r="K1855" s="7" t="s">
        <v>19</v>
      </c>
      <c r="L1855" s="7" t="str">
        <f>VLOOKUP(Healthcare!$A1855,hospital_details,2,0)</f>
        <v>16-Sep-1988</v>
      </c>
      <c r="M1855" s="7">
        <f t="shared" ref="M1855:M1918" ca="1" si="11115">VLOOKUP(A1855,hospital_details,3,0)</f>
        <v>38</v>
      </c>
      <c r="N1855" s="7">
        <f t="shared" ref="N1855:N1918" si="11116">VLOOKUP($A1855,hospital_details,4,0)</f>
        <v>0</v>
      </c>
      <c r="O1855" s="8">
        <f t="shared" ref="O1855:O1918" si="11117">VLOOKUP($A1855,hospital_details,5,0)</f>
        <v>4415.16</v>
      </c>
      <c r="P1855" s="7" t="str">
        <f t="shared" ref="P1855:P1918" si="11118">VLOOKUP($A1855,hospital_details,6,0)</f>
        <v>tier - 2</v>
      </c>
      <c r="Q1855" s="7" t="str">
        <f t="shared" ref="Q1855:Q1918" si="11119">VLOOKUP($A1855,hospital_details,7,0)</f>
        <v>tier - 1</v>
      </c>
      <c r="R1855" s="7" t="str">
        <f t="shared" ref="R1855:R1918" si="11120">VLOOKUP($A1855,hospital_details,8,0)</f>
        <v>R1013</v>
      </c>
    </row>
    <row r="1856" spans="1:18" ht="14.4" customHeight="1" x14ac:dyDescent="0.3">
      <c r="A1856" s="5" t="s">
        <v>1876</v>
      </c>
      <c r="B1856" s="5" t="str">
        <f>VLOOKUP($A1856,[1]!Customer_Names[#Data],3,0)</f>
        <v xml:space="preserve">  Mark D</v>
      </c>
      <c r="C1856" s="5">
        <v>31.5</v>
      </c>
      <c r="D1856" s="5" t="str" cm="1">
        <f t="array" ref="D1856">_xlfn.IFS(Healthcare!$C1856&lt;18.5,"under weight",Healthcare!$C1856&lt;=24.9,"Normal Weight",Healthcare!$C1856&gt;=25,"overweight",Healthcare!$C1856&gt;=30,"obese")</f>
        <v>overweight</v>
      </c>
      <c r="E1856" s="5">
        <v>9.6199999999999992</v>
      </c>
      <c r="F1856" s="5" t="str" cm="1">
        <f t="array" ref="F1856">_xlfn.IFS(Healthcare!$E1856&lt;5.7,"normal",Healthcare!$E1856&lt;=6.4,"prediabetes",Healthcare!$E1856&gt;=6.5,"diabetes")</f>
        <v>diabetes</v>
      </c>
      <c r="G1856" s="5" t="s">
        <v>20</v>
      </c>
      <c r="H1856" s="5" t="s">
        <v>19</v>
      </c>
      <c r="I1856" s="5" t="s">
        <v>19</v>
      </c>
      <c r="J1856" s="5">
        <v>1</v>
      </c>
      <c r="K1856" s="5" t="s">
        <v>19</v>
      </c>
      <c r="L1856" s="5" t="str">
        <f>VLOOKUP(Healthcare!$A1856,hospital_details,2,0)</f>
        <v>13-Jul-1986</v>
      </c>
      <c r="M1856" s="5">
        <f t="shared" ref="M1856:M1919" ca="1" si="11121">VLOOKUP(A1856,hospital_details,3,0)</f>
        <v>40</v>
      </c>
      <c r="N1856" s="5">
        <f t="shared" ref="N1856:N1919" si="11122">VLOOKUP($A1856,hospital_details,4,0)</f>
        <v>0</v>
      </c>
      <c r="O1856" s="6">
        <f t="shared" ref="O1856:O1919" si="11123">VLOOKUP($A1856,hospital_details,5,0)</f>
        <v>4402.2299999999996</v>
      </c>
      <c r="P1856" s="5" t="str">
        <f t="shared" ref="P1856:P1919" si="11124">VLOOKUP($A1856,hospital_details,6,0)</f>
        <v>tier - 2</v>
      </c>
      <c r="Q1856" s="5" t="str">
        <f t="shared" ref="Q1856:Q1919" si="11125">VLOOKUP($A1856,hospital_details,7,0)</f>
        <v>tier - 2</v>
      </c>
      <c r="R1856" s="5" t="str">
        <f t="shared" ref="R1856:R1919" si="11126">VLOOKUP($A1856,hospital_details,8,0)</f>
        <v>R1011</v>
      </c>
    </row>
    <row r="1857" spans="1:18" ht="14.4" customHeight="1" x14ac:dyDescent="0.3">
      <c r="A1857" s="7" t="s">
        <v>1877</v>
      </c>
      <c r="B1857" s="7" t="str">
        <f>VLOOKUP($A1857,[1]!Customer_Names[#Data],3,0)</f>
        <v xml:space="preserve">  Christopher</v>
      </c>
      <c r="C1857" s="7">
        <v>29.7</v>
      </c>
      <c r="D1857" s="7" t="str" cm="1">
        <f t="array" ref="D1857">_xlfn.IFS(Healthcare!$C1857&lt;18.5,"under weight",Healthcare!$C1857&lt;=24.9,"Normal Weight",Healthcare!$C1857&gt;=25,"overweight",Healthcare!$C1857&gt;=30,"obese")</f>
        <v>overweight</v>
      </c>
      <c r="E1857" s="7">
        <v>6.77</v>
      </c>
      <c r="F1857" s="7" t="str" cm="1">
        <f t="array" ref="F1857">_xlfn.IFS(Healthcare!$E1857&lt;5.7,"normal",Healthcare!$E1857&lt;=6.4,"prediabetes",Healthcare!$E1857&gt;=6.5,"diabetes")</f>
        <v>diabetes</v>
      </c>
      <c r="G1857" s="7" t="s">
        <v>20</v>
      </c>
      <c r="H1857" s="7" t="s">
        <v>19</v>
      </c>
      <c r="I1857" s="7" t="s">
        <v>19</v>
      </c>
      <c r="J1857" s="7">
        <v>1</v>
      </c>
      <c r="K1857" s="7" t="s">
        <v>19</v>
      </c>
      <c r="L1857" s="7" t="str">
        <f>VLOOKUP(Healthcare!$A1857,hospital_details,2,0)</f>
        <v>11-Aug-1986</v>
      </c>
      <c r="M1857" s="7">
        <f t="shared" ref="M1857:M1920" ca="1" si="11127">VLOOKUP(A1857,hospital_details,3,0)</f>
        <v>40</v>
      </c>
      <c r="N1857" s="7">
        <f t="shared" ref="N1857:N1920" si="11128">VLOOKUP($A1857,hospital_details,4,0)</f>
        <v>0</v>
      </c>
      <c r="O1857" s="8">
        <f t="shared" ref="O1857:O1920" si="11129">VLOOKUP($A1857,hospital_details,5,0)</f>
        <v>4399.7299999999996</v>
      </c>
      <c r="P1857" s="7" t="str">
        <f t="shared" ref="P1857:P1920" si="11130">VLOOKUP($A1857,hospital_details,6,0)</f>
        <v>tier - 3</v>
      </c>
      <c r="Q1857" s="7" t="str">
        <f t="shared" ref="Q1857:Q1920" si="11131">VLOOKUP($A1857,hospital_details,7,0)</f>
        <v>tier - 2</v>
      </c>
      <c r="R1857" s="7" t="str">
        <f t="shared" ref="R1857:R1920" si="11132">VLOOKUP($A1857,hospital_details,8,0)</f>
        <v>R1013</v>
      </c>
    </row>
    <row r="1858" spans="1:18" ht="14.4" customHeight="1" x14ac:dyDescent="0.3">
      <c r="A1858" s="5" t="s">
        <v>1878</v>
      </c>
      <c r="B1858" s="5" t="str">
        <f>VLOOKUP($A1858,[1]!Customer_Names[#Data],3,0)</f>
        <v xml:space="preserve">  Daniell L</v>
      </c>
      <c r="C1858" s="5">
        <v>21.26</v>
      </c>
      <c r="D1858" s="5" t="str" cm="1">
        <f t="array" ref="D1858">_xlfn.IFS(Healthcare!$C1858&lt;18.5,"under weight",Healthcare!$C1858&lt;=24.9,"Normal Weight",Healthcare!$C1858&gt;=25,"overweight",Healthcare!$C1858&gt;=30,"obese")</f>
        <v>Normal Weight</v>
      </c>
      <c r="E1858" s="5">
        <v>5.36</v>
      </c>
      <c r="F1858" s="5" t="str" cm="1">
        <f t="array" ref="F1858">_xlfn.IFS(Healthcare!$E1858&lt;5.7,"normal",Healthcare!$E1858&lt;=6.4,"prediabetes",Healthcare!$E1858&gt;=6.5,"diabetes")</f>
        <v>normal</v>
      </c>
      <c r="G1858" s="5" t="s">
        <v>20</v>
      </c>
      <c r="H1858" s="5" t="s">
        <v>19</v>
      </c>
      <c r="I1858" s="5" t="s">
        <v>19</v>
      </c>
      <c r="J1858" s="5">
        <v>1</v>
      </c>
      <c r="K1858" s="5" t="s">
        <v>19</v>
      </c>
      <c r="L1858" s="5" t="str">
        <f>VLOOKUP(Healthcare!$A1858,hospital_details,2,0)</f>
        <v>18-Jul-1988</v>
      </c>
      <c r="M1858" s="5">
        <f t="shared" ref="M1858:M1921" ca="1" si="11133">VLOOKUP(A1858,hospital_details,3,0)</f>
        <v>38</v>
      </c>
      <c r="N1858" s="5">
        <f t="shared" ref="N1858:N1921" si="11134">VLOOKUP($A1858,hospital_details,4,0)</f>
        <v>3</v>
      </c>
      <c r="O1858" s="6">
        <f t="shared" ref="O1858:O1921" si="11135">VLOOKUP($A1858,hospital_details,5,0)</f>
        <v>4397.3100000000004</v>
      </c>
      <c r="P1858" s="5" t="str">
        <f t="shared" ref="P1858:P1921" si="11136">VLOOKUP($A1858,hospital_details,6,0)</f>
        <v>tier - 2</v>
      </c>
      <c r="Q1858" s="5" t="str">
        <f t="shared" ref="Q1858:Q1921" si="11137">VLOOKUP($A1858,hospital_details,7,0)</f>
        <v>tier - 2</v>
      </c>
      <c r="R1858" s="5" t="str">
        <f t="shared" ref="R1858:R1921" si="11138">VLOOKUP($A1858,hospital_details,8,0)</f>
        <v>R1013</v>
      </c>
    </row>
    <row r="1859" spans="1:18" ht="14.4" customHeight="1" x14ac:dyDescent="0.3">
      <c r="A1859" s="7" t="s">
        <v>1879</v>
      </c>
      <c r="B1859" s="7" t="str">
        <f>VLOOKUP($A1859,[1]!Customer_Names[#Data],3,0)</f>
        <v xml:space="preserve">  Janne</v>
      </c>
      <c r="C1859" s="7">
        <v>17.09</v>
      </c>
      <c r="D1859" s="7" t="str" cm="1">
        <f t="array" ref="D1859">_xlfn.IFS(Healthcare!$C1859&lt;18.5,"under weight",Healthcare!$C1859&lt;=24.9,"Normal Weight",Healthcare!$C1859&gt;=25,"overweight",Healthcare!$C1859&gt;=30,"obese")</f>
        <v>under weight</v>
      </c>
      <c r="E1859" s="7">
        <v>5.69</v>
      </c>
      <c r="F1859" s="7" t="str" cm="1">
        <f t="array" ref="F1859">_xlfn.IFS(Healthcare!$E1859&lt;5.7,"normal",Healthcare!$E1859&lt;=6.4,"prediabetes",Healthcare!$E1859&gt;=6.5,"diabetes")</f>
        <v>normal</v>
      </c>
      <c r="G1859" s="7" t="s">
        <v>19</v>
      </c>
      <c r="H1859" s="7" t="s">
        <v>19</v>
      </c>
      <c r="I1859" s="7" t="s">
        <v>19</v>
      </c>
      <c r="J1859" s="7">
        <v>0</v>
      </c>
      <c r="K1859" s="7" t="s">
        <v>19</v>
      </c>
      <c r="L1859" s="7" t="str">
        <f>VLOOKUP(Healthcare!$A1859,hospital_details,2,0)</f>
        <v>29-Jun-1982</v>
      </c>
      <c r="M1859" s="7">
        <f t="shared" ref="M1859:M1922" ca="1" si="11139">VLOOKUP(A1859,hospital_details,3,0)</f>
        <v>44</v>
      </c>
      <c r="N1859" s="7">
        <f t="shared" ref="N1859:N1922" si="11140">VLOOKUP($A1859,hospital_details,4,0)</f>
        <v>3</v>
      </c>
      <c r="O1859" s="8">
        <f t="shared" ref="O1859:O1922" si="11141">VLOOKUP($A1859,hospital_details,5,0)</f>
        <v>4392.7</v>
      </c>
      <c r="P1859" s="7" t="str">
        <f t="shared" ref="P1859:P1922" si="11142">VLOOKUP($A1859,hospital_details,6,0)</f>
        <v>tier - 2</v>
      </c>
      <c r="Q1859" s="7" t="str">
        <f t="shared" ref="Q1859:Q1922" si="11143">VLOOKUP($A1859,hospital_details,7,0)</f>
        <v>tier - 2</v>
      </c>
      <c r="R1859" s="7" t="str">
        <f t="shared" ref="R1859:R1922" si="11144">VLOOKUP($A1859,hospital_details,8,0)</f>
        <v>R1013</v>
      </c>
    </row>
    <row r="1860" spans="1:18" ht="14.4" customHeight="1" x14ac:dyDescent="0.3">
      <c r="A1860" s="5" t="s">
        <v>1880</v>
      </c>
      <c r="B1860" s="5" t="str">
        <f>VLOOKUP($A1860,[1]!Customer_Names[#Data],3,0)</f>
        <v xml:space="preserve">  Martina</v>
      </c>
      <c r="C1860" s="5">
        <v>24.3</v>
      </c>
      <c r="D1860" s="5" t="str" cm="1">
        <f t="array" ref="D1860">_xlfn.IFS(Healthcare!$C1860&lt;18.5,"under weight",Healthcare!$C1860&lt;=24.9,"Normal Weight",Healthcare!$C1860&gt;=25,"overweight",Healthcare!$C1860&gt;=30,"obese")</f>
        <v>Normal Weight</v>
      </c>
      <c r="E1860" s="5">
        <v>4.9000000000000004</v>
      </c>
      <c r="F1860" s="5" t="str" cm="1">
        <f t="array" ref="F1860">_xlfn.IFS(Healthcare!$E1860&lt;5.7,"normal",Healthcare!$E1860&lt;=6.4,"prediabetes",Healthcare!$E1860&gt;=6.5,"diabetes")</f>
        <v>normal</v>
      </c>
      <c r="G1860" s="5" t="s">
        <v>20</v>
      </c>
      <c r="H1860" s="5" t="s">
        <v>19</v>
      </c>
      <c r="I1860" s="5" t="s">
        <v>29</v>
      </c>
      <c r="J1860" s="5">
        <v>1</v>
      </c>
      <c r="K1860" s="5" t="s">
        <v>19</v>
      </c>
      <c r="L1860" s="5" t="str">
        <f>VLOOKUP(Healthcare!$A1860,hospital_details,2,0)</f>
        <v>29-Nov-1997</v>
      </c>
      <c r="M1860" s="5">
        <f t="shared" ref="M1860:M1923" ca="1" si="11145">VLOOKUP(A1860,hospital_details,3,0)</f>
        <v>28</v>
      </c>
      <c r="N1860" s="5">
        <f t="shared" ref="N1860:N1923" si="11146">VLOOKUP($A1860,hospital_details,4,0)</f>
        <v>3</v>
      </c>
      <c r="O1860" s="6">
        <f t="shared" ref="O1860:O1923" si="11147">VLOOKUP($A1860,hospital_details,5,0)</f>
        <v>4391.6499999999996</v>
      </c>
      <c r="P1860" s="5" t="str">
        <f t="shared" ref="P1860:P1923" si="11148">VLOOKUP($A1860,hospital_details,6,0)</f>
        <v>tier - 2</v>
      </c>
      <c r="Q1860" s="5" t="str">
        <f t="shared" ref="Q1860:Q1923" si="11149">VLOOKUP($A1860,hospital_details,7,0)</f>
        <v>tier - 2</v>
      </c>
      <c r="R1860" s="5" t="str">
        <f t="shared" ref="R1860:R1923" si="11150">VLOOKUP($A1860,hospital_details,8,0)</f>
        <v>R1011</v>
      </c>
    </row>
    <row r="1861" spans="1:18" ht="14.4" customHeight="1" x14ac:dyDescent="0.3">
      <c r="A1861" s="7" t="s">
        <v>1881</v>
      </c>
      <c r="B1861" s="7" t="str">
        <f>VLOOKUP($A1861,[1]!Customer_Names[#Data],3,0)</f>
        <v xml:space="preserve">  Elizabeth L</v>
      </c>
      <c r="C1861" s="7">
        <v>29.734999999999999</v>
      </c>
      <c r="D1861" s="7" t="str" cm="1">
        <f t="array" ref="D1861">_xlfn.IFS(Healthcare!$C1861&lt;18.5,"under weight",Healthcare!$C1861&lt;=24.9,"Normal Weight",Healthcare!$C1861&gt;=25,"overweight",Healthcare!$C1861&gt;=30,"obese")</f>
        <v>overweight</v>
      </c>
      <c r="E1861" s="7">
        <v>5.78</v>
      </c>
      <c r="F1861" s="7" t="str" cm="1">
        <f t="array" ref="F1861">_xlfn.IFS(Healthcare!$E1861&lt;5.7,"normal",Healthcare!$E1861&lt;=6.4,"prediabetes",Healthcare!$E1861&gt;=6.5,"diabetes")</f>
        <v>prediabetes</v>
      </c>
      <c r="G1861" s="7" t="s">
        <v>19</v>
      </c>
      <c r="H1861" s="7" t="s">
        <v>19</v>
      </c>
      <c r="I1861" s="7" t="s">
        <v>19</v>
      </c>
      <c r="J1861" s="7">
        <v>0</v>
      </c>
      <c r="K1861" s="7" t="s">
        <v>19</v>
      </c>
      <c r="L1861" s="7" t="str">
        <f>VLOOKUP(Healthcare!$A1861,hospital_details,2,0)</f>
        <v>28-Aug-1990</v>
      </c>
      <c r="M1861" s="7">
        <f t="shared" ref="M1861:M1924" ca="1" si="11151">VLOOKUP(A1861,hospital_details,3,0)</f>
        <v>36</v>
      </c>
      <c r="N1861" s="7">
        <f t="shared" ref="N1861:N1924" si="11152">VLOOKUP($A1861,hospital_details,4,0)</f>
        <v>0</v>
      </c>
      <c r="O1861" s="8">
        <f t="shared" ref="O1861:O1924" si="11153">VLOOKUP($A1861,hospital_details,5,0)</f>
        <v>4357.04</v>
      </c>
      <c r="P1861" s="7" t="str">
        <f t="shared" ref="P1861:P1924" si="11154">VLOOKUP($A1861,hospital_details,6,0)</f>
        <v>tier - 2</v>
      </c>
      <c r="Q1861" s="7" t="str">
        <f t="shared" ref="Q1861:Q1924" si="11155">VLOOKUP($A1861,hospital_details,7,0)</f>
        <v>tier - 3</v>
      </c>
      <c r="R1861" s="7" t="str">
        <f t="shared" ref="R1861:R1924" si="11156">VLOOKUP($A1861,hospital_details,8,0)</f>
        <v>R1012</v>
      </c>
    </row>
    <row r="1862" spans="1:18" ht="14.4" customHeight="1" x14ac:dyDescent="0.3">
      <c r="A1862" s="5" t="s">
        <v>1882</v>
      </c>
      <c r="B1862" s="5" t="str">
        <f>VLOOKUP($A1862,[1]!Customer_Names[#Data],3,0)</f>
        <v xml:space="preserve">  Stephanie C</v>
      </c>
      <c r="C1862" s="5">
        <v>29.26</v>
      </c>
      <c r="D1862" s="5" t="str" cm="1">
        <f t="array" ref="D1862">_xlfn.IFS(Healthcare!$C1862&lt;18.5,"under weight",Healthcare!$C1862&lt;=24.9,"Normal Weight",Healthcare!$C1862&gt;=25,"overweight",Healthcare!$C1862&gt;=30,"obese")</f>
        <v>overweight</v>
      </c>
      <c r="E1862" s="5">
        <v>4.7</v>
      </c>
      <c r="F1862" s="5" t="str" cm="1">
        <f t="array" ref="F1862">_xlfn.IFS(Healthcare!$E1862&lt;5.7,"normal",Healthcare!$E1862&lt;=6.4,"prediabetes",Healthcare!$E1862&gt;=6.5,"diabetes")</f>
        <v>normal</v>
      </c>
      <c r="G1862" s="5" t="s">
        <v>19</v>
      </c>
      <c r="H1862" s="5" t="s">
        <v>19</v>
      </c>
      <c r="I1862" s="5" t="s">
        <v>19</v>
      </c>
      <c r="J1862" s="5">
        <v>0</v>
      </c>
      <c r="K1862" s="5" t="s">
        <v>19</v>
      </c>
      <c r="L1862" s="5" t="str">
        <f>VLOOKUP(Healthcare!$A1862,hospital_details,2,0)</f>
        <v>13-Sep-1991</v>
      </c>
      <c r="M1862" s="5">
        <f t="shared" ref="M1862:M1925" ca="1" si="11157">VLOOKUP(A1862,hospital_details,3,0)</f>
        <v>35</v>
      </c>
      <c r="N1862" s="5">
        <f t="shared" ref="N1862:N1925" si="11158">VLOOKUP($A1862,hospital_details,4,0)</f>
        <v>1</v>
      </c>
      <c r="O1862" s="6">
        <f t="shared" ref="O1862:O1925" si="11159">VLOOKUP($A1862,hospital_details,5,0)</f>
        <v>4350.51</v>
      </c>
      <c r="P1862" s="5" t="str">
        <f t="shared" ref="P1862:P1925" si="11160">VLOOKUP($A1862,hospital_details,6,0)</f>
        <v>tier - 2</v>
      </c>
      <c r="Q1862" s="5" t="str">
        <f t="shared" ref="Q1862:Q1925" si="11161">VLOOKUP($A1862,hospital_details,7,0)</f>
        <v>tier - 2</v>
      </c>
      <c r="R1862" s="5" t="str">
        <f t="shared" ref="R1862:R1925" si="11162">VLOOKUP($A1862,hospital_details,8,0)</f>
        <v>R1013</v>
      </c>
    </row>
    <row r="1863" spans="1:18" ht="14.4" customHeight="1" x14ac:dyDescent="0.3">
      <c r="A1863" s="7" t="s">
        <v>1883</v>
      </c>
      <c r="B1863" s="7" t="str">
        <f>VLOOKUP($A1863,[1]!Customer_Names[#Data],3,0)</f>
        <v xml:space="preserve">  Katie</v>
      </c>
      <c r="C1863" s="7">
        <v>33</v>
      </c>
      <c r="D1863" s="7" t="str" cm="1">
        <f t="array" ref="D1863">_xlfn.IFS(Healthcare!$C1863&lt;18.5,"under weight",Healthcare!$C1863&lt;=24.9,"Normal Weight",Healthcare!$C1863&gt;=25,"overweight",Healthcare!$C1863&gt;=30,"obese")</f>
        <v>overweight</v>
      </c>
      <c r="E1863" s="7">
        <v>6.28</v>
      </c>
      <c r="F1863" s="7" t="str" cm="1">
        <f t="array" ref="F1863">_xlfn.IFS(Healthcare!$E1863&lt;5.7,"normal",Healthcare!$E1863&lt;=6.4,"prediabetes",Healthcare!$E1863&gt;=6.5,"diabetes")</f>
        <v>prediabetes</v>
      </c>
      <c r="G1863" s="7" t="s">
        <v>19</v>
      </c>
      <c r="H1863" s="7" t="s">
        <v>19</v>
      </c>
      <c r="I1863" s="7" t="s">
        <v>19</v>
      </c>
      <c r="J1863" s="7">
        <v>0</v>
      </c>
      <c r="K1863" s="7" t="s">
        <v>19</v>
      </c>
      <c r="L1863" s="7" t="str">
        <f>VLOOKUP(Healthcare!$A1863,hospital_details,2,0)</f>
        <v>1-Nov-1994</v>
      </c>
      <c r="M1863" s="7">
        <f t="shared" ref="M1863:M1926" ca="1" si="11163">VLOOKUP(A1863,hospital_details,3,0)</f>
        <v>31</v>
      </c>
      <c r="N1863" s="7">
        <f t="shared" ref="N1863:N1926" si="11164">VLOOKUP($A1863,hospital_details,4,0)</f>
        <v>2</v>
      </c>
      <c r="O1863" s="8">
        <f t="shared" ref="O1863:O1926" si="11165">VLOOKUP($A1863,hospital_details,5,0)</f>
        <v>4349.46</v>
      </c>
      <c r="P1863" s="7" t="str">
        <f t="shared" ref="P1863:P1926" si="11166">VLOOKUP($A1863,hospital_details,6,0)</f>
        <v>tier - 2</v>
      </c>
      <c r="Q1863" s="7" t="str">
        <f t="shared" ref="Q1863:Q1926" si="11167">VLOOKUP($A1863,hospital_details,7,0)</f>
        <v>tier - 2</v>
      </c>
      <c r="R1863" s="7" t="str">
        <f t="shared" ref="R1863:R1926" si="11168">VLOOKUP($A1863,hospital_details,8,0)</f>
        <v>R1013</v>
      </c>
    </row>
    <row r="1864" spans="1:18" ht="14.4" customHeight="1" x14ac:dyDescent="0.3">
      <c r="A1864" s="5" t="s">
        <v>1884</v>
      </c>
      <c r="B1864" s="5" t="str">
        <f>VLOOKUP($A1864,[1]!Customer_Names[#Data],3,0)</f>
        <v xml:space="preserve">  Callie</v>
      </c>
      <c r="C1864" s="5">
        <v>31.065000000000001</v>
      </c>
      <c r="D1864" s="5" t="str" cm="1">
        <f t="array" ref="D1864">_xlfn.IFS(Healthcare!$C1864&lt;18.5,"under weight",Healthcare!$C1864&lt;=24.9,"Normal Weight",Healthcare!$C1864&gt;=25,"overweight",Healthcare!$C1864&gt;=30,"obese")</f>
        <v>overweight</v>
      </c>
      <c r="E1864" s="5">
        <v>4.2300000000000004</v>
      </c>
      <c r="F1864" s="5" t="str" cm="1">
        <f t="array" ref="F1864">_xlfn.IFS(Healthcare!$E1864&lt;5.7,"normal",Healthcare!$E1864&lt;=6.4,"prediabetes",Healthcare!$E1864&gt;=6.5,"diabetes")</f>
        <v>normal</v>
      </c>
      <c r="G1864" s="5" t="s">
        <v>19</v>
      </c>
      <c r="H1864" s="5" t="s">
        <v>19</v>
      </c>
      <c r="I1864" s="5" t="s">
        <v>19</v>
      </c>
      <c r="J1864" s="5">
        <v>0</v>
      </c>
      <c r="K1864" s="5" t="s">
        <v>19</v>
      </c>
      <c r="L1864" s="5" t="str">
        <f>VLOOKUP(Healthcare!$A1864,hospital_details,2,0)</f>
        <v>1-Jun-1991</v>
      </c>
      <c r="M1864" s="5">
        <f t="shared" ref="M1864:M1927" ca="1" si="11169">VLOOKUP(A1864,hospital_details,3,0)</f>
        <v>35</v>
      </c>
      <c r="N1864" s="5">
        <f t="shared" ref="N1864:N1927" si="11170">VLOOKUP($A1864,hospital_details,4,0)</f>
        <v>0</v>
      </c>
      <c r="O1864" s="6">
        <f t="shared" ref="O1864:O1927" si="11171">VLOOKUP($A1864,hospital_details,5,0)</f>
        <v>4347.0200000000004</v>
      </c>
      <c r="P1864" s="5" t="str">
        <f t="shared" ref="P1864:P1927" si="11172">VLOOKUP($A1864,hospital_details,6,0)</f>
        <v>tier - 2</v>
      </c>
      <c r="Q1864" s="5" t="str">
        <f t="shared" ref="Q1864:Q1927" si="11173">VLOOKUP($A1864,hospital_details,7,0)</f>
        <v>tier - 1</v>
      </c>
      <c r="R1864" s="5" t="str">
        <f t="shared" ref="R1864:R1927" si="11174">VLOOKUP($A1864,hospital_details,8,0)</f>
        <v>R1024</v>
      </c>
    </row>
    <row r="1865" spans="1:18" ht="14.4" customHeight="1" x14ac:dyDescent="0.3">
      <c r="A1865" s="7" t="s">
        <v>1885</v>
      </c>
      <c r="B1865" s="7" t="str">
        <f>VLOOKUP($A1865,[1]!Customer_Names[#Data],3,0)</f>
        <v xml:space="preserve">  Inna</v>
      </c>
      <c r="C1865" s="7">
        <v>26.51</v>
      </c>
      <c r="D1865" s="7" t="str" cm="1">
        <f t="array" ref="D1865">_xlfn.IFS(Healthcare!$C1865&lt;18.5,"under weight",Healthcare!$C1865&lt;=24.9,"Normal Weight",Healthcare!$C1865&gt;=25,"overweight",Healthcare!$C1865&gt;=30,"obese")</f>
        <v>overweight</v>
      </c>
      <c r="E1865" s="7">
        <v>6.17</v>
      </c>
      <c r="F1865" s="7" t="str" cm="1">
        <f t="array" ref="F1865">_xlfn.IFS(Healthcare!$E1865&lt;5.7,"normal",Healthcare!$E1865&lt;=6.4,"prediabetes",Healthcare!$E1865&gt;=6.5,"diabetes")</f>
        <v>prediabetes</v>
      </c>
      <c r="G1865" s="7" t="s">
        <v>19</v>
      </c>
      <c r="H1865" s="7" t="s">
        <v>19</v>
      </c>
      <c r="I1865" s="7" t="s">
        <v>19</v>
      </c>
      <c r="J1865" s="7">
        <v>0</v>
      </c>
      <c r="K1865" s="7" t="s">
        <v>19</v>
      </c>
      <c r="L1865" s="7" t="str">
        <f>VLOOKUP(Healthcare!$A1865,hospital_details,2,0)</f>
        <v>26-Oct-1994</v>
      </c>
      <c r="M1865" s="7">
        <f t="shared" ref="M1865:M1928" ca="1" si="11175">VLOOKUP(A1865,hospital_details,3,0)</f>
        <v>31</v>
      </c>
      <c r="N1865" s="7">
        <f t="shared" ref="N1865:N1928" si="11176">VLOOKUP($A1865,hospital_details,4,0)</f>
        <v>2</v>
      </c>
      <c r="O1865" s="8">
        <f t="shared" ref="O1865:O1928" si="11177">VLOOKUP($A1865,hospital_details,5,0)</f>
        <v>4340.4399999999996</v>
      </c>
      <c r="P1865" s="7" t="str">
        <f t="shared" ref="P1865:P1928" si="11178">VLOOKUP($A1865,hospital_details,6,0)</f>
        <v>tier - 2</v>
      </c>
      <c r="Q1865" s="7" t="str">
        <f t="shared" ref="Q1865:Q1928" si="11179">VLOOKUP($A1865,hospital_details,7,0)</f>
        <v>tier - 1</v>
      </c>
      <c r="R1865" s="7" t="str">
        <f t="shared" ref="R1865:R1928" si="11180">VLOOKUP($A1865,hospital_details,8,0)</f>
        <v>R1013</v>
      </c>
    </row>
    <row r="1866" spans="1:18" ht="14.4" customHeight="1" x14ac:dyDescent="0.3">
      <c r="A1866" s="5" t="s">
        <v>1886</v>
      </c>
      <c r="B1866" s="5" t="str">
        <f>VLOOKUP($A1866,[1]!Customer_Names[#Data],3,0)</f>
        <v xml:space="preserve">  Mary K</v>
      </c>
      <c r="C1866" s="5">
        <v>28.88</v>
      </c>
      <c r="D1866" s="5" t="str" cm="1">
        <f t="array" ref="D1866">_xlfn.IFS(Healthcare!$C1866&lt;18.5,"under weight",Healthcare!$C1866&lt;=24.9,"Normal Weight",Healthcare!$C1866&gt;=25,"overweight",Healthcare!$C1866&gt;=30,"obese")</f>
        <v>overweight</v>
      </c>
      <c r="E1866" s="5">
        <v>4.96</v>
      </c>
      <c r="F1866" s="5" t="str" cm="1">
        <f t="array" ref="F1866">_xlfn.IFS(Healthcare!$E1866&lt;5.7,"normal",Healthcare!$E1866&lt;=6.4,"prediabetes",Healthcare!$E1866&gt;=6.5,"diabetes")</f>
        <v>normal</v>
      </c>
      <c r="G1866" s="5" t="s">
        <v>19</v>
      </c>
      <c r="H1866" s="5" t="s">
        <v>19</v>
      </c>
      <c r="I1866" s="5" t="s">
        <v>19</v>
      </c>
      <c r="J1866" s="5">
        <v>0</v>
      </c>
      <c r="K1866" s="5" t="s">
        <v>19</v>
      </c>
      <c r="L1866" s="5" t="str">
        <f>VLOOKUP(Healthcare!$A1866,hospital_details,2,0)</f>
        <v>2-Nov-1994</v>
      </c>
      <c r="M1866" s="5">
        <f t="shared" ref="M1866:M1929" ca="1" si="11181">VLOOKUP(A1866,hospital_details,3,0)</f>
        <v>31</v>
      </c>
      <c r="N1866" s="5">
        <f t="shared" ref="N1866:N1929" si="11182">VLOOKUP($A1866,hospital_details,4,0)</f>
        <v>1</v>
      </c>
      <c r="O1866" s="6">
        <f t="shared" ref="O1866:O1929" si="11183">VLOOKUP($A1866,hospital_details,5,0)</f>
        <v>4337.74</v>
      </c>
      <c r="P1866" s="5" t="str">
        <f t="shared" ref="P1866:P1929" si="11184">VLOOKUP($A1866,hospital_details,6,0)</f>
        <v>tier - 2</v>
      </c>
      <c r="Q1866" s="5" t="str">
        <f t="shared" ref="Q1866:Q1929" si="11185">VLOOKUP($A1866,hospital_details,7,0)</f>
        <v>tier - 1</v>
      </c>
      <c r="R1866" s="5" t="str">
        <f t="shared" ref="R1866:R1929" si="11186">VLOOKUP($A1866,hospital_details,8,0)</f>
        <v>R1024</v>
      </c>
    </row>
    <row r="1867" spans="1:18" ht="14.4" customHeight="1" x14ac:dyDescent="0.3">
      <c r="A1867" s="7" t="s">
        <v>1887</v>
      </c>
      <c r="B1867" s="7" t="str">
        <f>VLOOKUP($A1867,[1]!Customer_Names[#Data],3,0)</f>
        <v xml:space="preserve">  Samuel M</v>
      </c>
      <c r="C1867" s="7">
        <v>35.814999999999998</v>
      </c>
      <c r="D1867" s="7" t="str" cm="1">
        <f t="array" ref="D1867">_xlfn.IFS(Healthcare!$C1867&lt;18.5,"under weight",Healthcare!$C1867&lt;=24.9,"Normal Weight",Healthcare!$C1867&gt;=25,"overweight",Healthcare!$C1867&gt;=30,"obese")</f>
        <v>overweight</v>
      </c>
      <c r="E1867" s="7">
        <v>5.1100000000000003</v>
      </c>
      <c r="F1867" s="7" t="str" cm="1">
        <f t="array" ref="F1867">_xlfn.IFS(Healthcare!$E1867&lt;5.7,"normal",Healthcare!$E1867&lt;=6.4,"prediabetes",Healthcare!$E1867&gt;=6.5,"diabetes")</f>
        <v>normal</v>
      </c>
      <c r="G1867" s="7" t="s">
        <v>20</v>
      </c>
      <c r="H1867" s="7" t="s">
        <v>19</v>
      </c>
      <c r="I1867" s="7" t="s">
        <v>19</v>
      </c>
      <c r="J1867" s="7">
        <v>1</v>
      </c>
      <c r="K1867" s="7" t="s">
        <v>19</v>
      </c>
      <c r="L1867" s="7" t="str">
        <f>VLOOKUP(Healthcare!$A1867,hospital_details,2,0)</f>
        <v>19-Dec-1988</v>
      </c>
      <c r="M1867" s="7">
        <f t="shared" ref="M1867:M1930" ca="1" si="11187">VLOOKUP(A1867,hospital_details,3,0)</f>
        <v>37</v>
      </c>
      <c r="N1867" s="7">
        <f t="shared" ref="N1867:N1930" si="11188">VLOOKUP($A1867,hospital_details,4,0)</f>
        <v>0</v>
      </c>
      <c r="O1867" s="8">
        <f t="shared" ref="O1867:O1930" si="11189">VLOOKUP($A1867,hospital_details,5,0)</f>
        <v>4320.41</v>
      </c>
      <c r="P1867" s="7" t="str">
        <f t="shared" ref="P1867:P1930" si="11190">VLOOKUP($A1867,hospital_details,6,0)</f>
        <v>tier - 2</v>
      </c>
      <c r="Q1867" s="7" t="str">
        <f t="shared" ref="Q1867:Q1930" si="11191">VLOOKUP($A1867,hospital_details,7,0)</f>
        <v>tier - 1</v>
      </c>
      <c r="R1867" s="7" t="str">
        <f t="shared" ref="R1867:R1930" si="11192">VLOOKUP($A1867,hospital_details,8,0)</f>
        <v>R1012</v>
      </c>
    </row>
    <row r="1868" spans="1:18" ht="14.4" customHeight="1" x14ac:dyDescent="0.3">
      <c r="A1868" s="5" t="s">
        <v>1888</v>
      </c>
      <c r="B1868" s="5" t="str">
        <f>VLOOKUP($A1868,[1]!Customer_Names[#Data],3,0)</f>
        <v xml:space="preserve">  Kimberly</v>
      </c>
      <c r="C1868" s="5">
        <v>21.28</v>
      </c>
      <c r="D1868" s="5" t="str" cm="1">
        <f t="array" ref="D1868">_xlfn.IFS(Healthcare!$C1868&lt;18.5,"under weight",Healthcare!$C1868&lt;=24.9,"Normal Weight",Healthcare!$C1868&gt;=25,"overweight",Healthcare!$C1868&gt;=30,"obese")</f>
        <v>Normal Weight</v>
      </c>
      <c r="E1868" s="5">
        <v>4.05</v>
      </c>
      <c r="F1868" s="5" t="str" cm="1">
        <f t="array" ref="F1868">_xlfn.IFS(Healthcare!$E1868&lt;5.7,"normal",Healthcare!$E1868&lt;=6.4,"prediabetes",Healthcare!$E1868&gt;=6.5,"diabetes")</f>
        <v>normal</v>
      </c>
      <c r="G1868" s="5" t="s">
        <v>19</v>
      </c>
      <c r="H1868" s="5" t="s">
        <v>20</v>
      </c>
      <c r="I1868" s="5" t="s">
        <v>19</v>
      </c>
      <c r="J1868" s="5">
        <v>1</v>
      </c>
      <c r="K1868" s="5" t="s">
        <v>19</v>
      </c>
      <c r="L1868" s="5" t="str">
        <f>VLOOKUP(Healthcare!$A1868,hospital_details,2,0)</f>
        <v>25-Nov-2000</v>
      </c>
      <c r="M1868" s="5">
        <f t="shared" ref="M1868:M1931" ca="1" si="11193">VLOOKUP(A1868,hospital_details,3,0)</f>
        <v>25</v>
      </c>
      <c r="N1868" s="5">
        <f t="shared" ref="N1868:N1931" si="11194">VLOOKUP($A1868,hospital_details,4,0)</f>
        <v>3</v>
      </c>
      <c r="O1868" s="6">
        <f t="shared" ref="O1868:O1931" si="11195">VLOOKUP($A1868,hospital_details,5,0)</f>
        <v>4296.2700000000004</v>
      </c>
      <c r="P1868" s="5" t="str">
        <f t="shared" ref="P1868:P1931" si="11196">VLOOKUP($A1868,hospital_details,6,0)</f>
        <v>tier - 2</v>
      </c>
      <c r="Q1868" s="5" t="str">
        <f t="shared" ref="Q1868:Q1931" si="11197">VLOOKUP($A1868,hospital_details,7,0)</f>
        <v>tier - 3</v>
      </c>
      <c r="R1868" s="5" t="str">
        <f t="shared" ref="R1868:R1931" si="11198">VLOOKUP($A1868,hospital_details,8,0)</f>
        <v>R1012</v>
      </c>
    </row>
    <row r="1869" spans="1:18" ht="14.4" customHeight="1" x14ac:dyDescent="0.3">
      <c r="A1869" s="7" t="s">
        <v>1889</v>
      </c>
      <c r="B1869" s="7" t="str">
        <f>VLOOKUP($A1869,[1]!Customer_Names[#Data],3,0)</f>
        <v xml:space="preserve">  Tom J</v>
      </c>
      <c r="C1869" s="7">
        <v>33.81</v>
      </c>
      <c r="D1869" s="7" t="str" cm="1">
        <f t="array" ref="D1869">_xlfn.IFS(Healthcare!$C1869&lt;18.5,"under weight",Healthcare!$C1869&lt;=24.9,"Normal Weight",Healthcare!$C1869&gt;=25,"overweight",Healthcare!$C1869&gt;=30,"obese")</f>
        <v>overweight</v>
      </c>
      <c r="E1869" s="7">
        <v>6.49</v>
      </c>
      <c r="F1869" s="5" t="str" cm="1">
        <f t="array" ref="F1869">_xlfn.IFS(Healthcare!$E1338&lt;5.7,"normal",Healthcare!$E1338&lt;=6.4,"prediabetes",Healthcare!$E1338&gt;=6.5,"diabetes")</f>
        <v>diabetes</v>
      </c>
      <c r="G1869" s="7" t="s">
        <v>19</v>
      </c>
      <c r="H1869" s="7" t="s">
        <v>19</v>
      </c>
      <c r="I1869" s="7" t="s">
        <v>29</v>
      </c>
      <c r="J1869" s="7">
        <v>1</v>
      </c>
      <c r="K1869" s="7" t="s">
        <v>19</v>
      </c>
      <c r="L1869" s="7" t="str">
        <f>VLOOKUP(Healthcare!$A1869,hospital_details,2,0)</f>
        <v>8-Jun-2003</v>
      </c>
      <c r="M1869" s="7">
        <f t="shared" ref="M1869:M1932" ca="1" si="11199">VLOOKUP(A1869,hospital_details,3,0)</f>
        <v>23</v>
      </c>
      <c r="N1869" s="7">
        <f t="shared" ref="N1869:N1932" si="11200">VLOOKUP($A1869,hospital_details,4,0)</f>
        <v>0</v>
      </c>
      <c r="O1869" s="8">
        <f t="shared" ref="O1869:O1932" si="11201">VLOOKUP($A1869,hospital_details,5,0)</f>
        <v>4278.55</v>
      </c>
      <c r="P1869" s="7" t="str">
        <f t="shared" ref="P1869:P1932" si="11202">VLOOKUP($A1869,hospital_details,6,0)</f>
        <v>tier - 2</v>
      </c>
      <c r="Q1869" s="7" t="str">
        <f t="shared" ref="Q1869:Q1932" si="11203">VLOOKUP($A1869,hospital_details,7,0)</f>
        <v>tier - 1</v>
      </c>
      <c r="R1869" s="7" t="str">
        <f t="shared" ref="R1869:R1932" si="11204">VLOOKUP($A1869,hospital_details,8,0)</f>
        <v>R1021</v>
      </c>
    </row>
    <row r="1870" spans="1:18" ht="14.4" customHeight="1" x14ac:dyDescent="0.3">
      <c r="A1870" s="5" t="s">
        <v>1890</v>
      </c>
      <c r="B1870" s="5" t="str">
        <f>VLOOKUP($A1870,[1]!Customer_Names[#Data],3,0)</f>
        <v xml:space="preserve">  Zachary</v>
      </c>
      <c r="C1870" s="5">
        <v>44.22</v>
      </c>
      <c r="D1870" s="5" t="str" cm="1">
        <f t="array" ref="D1870">_xlfn.IFS(Healthcare!$C1870&lt;18.5,"under weight",Healthcare!$C1870&lt;=24.9,"Normal Weight",Healthcare!$C1870&gt;=25,"overweight",Healthcare!$C1870&gt;=30,"obese")</f>
        <v>overweight</v>
      </c>
      <c r="E1870" s="5">
        <v>4.1900000000000004</v>
      </c>
      <c r="F1870" s="5" t="str" cm="1">
        <f t="array" ref="F1870">_xlfn.IFS(Healthcare!$E1870&lt;5.7,"normal",Healthcare!$E1870&lt;=6.4,"prediabetes",Healthcare!$E1870&gt;=6.5,"diabetes")</f>
        <v>normal</v>
      </c>
      <c r="G1870" s="5" t="s">
        <v>19</v>
      </c>
      <c r="H1870" s="5" t="s">
        <v>19</v>
      </c>
      <c r="I1870" s="5" t="s">
        <v>19</v>
      </c>
      <c r="J1870" s="5">
        <v>1</v>
      </c>
      <c r="K1870" s="5" t="s">
        <v>19</v>
      </c>
      <c r="L1870" s="5" t="str">
        <f>VLOOKUP(Healthcare!$A1870,hospital_details,2,0)</f>
        <v>18-Jun-1992</v>
      </c>
      <c r="M1870" s="5">
        <f t="shared" ref="M1870:M1933" ca="1" si="11205">VLOOKUP(A1870,hospital_details,3,0)</f>
        <v>34</v>
      </c>
      <c r="N1870" s="5">
        <f t="shared" ref="N1870:N1933" si="11206">VLOOKUP($A1870,hospital_details,4,0)</f>
        <v>2</v>
      </c>
      <c r="O1870" s="6">
        <f t="shared" ref="O1870:O1933" si="11207">VLOOKUP($A1870,hospital_details,5,0)</f>
        <v>4266.17</v>
      </c>
      <c r="P1870" s="5" t="str">
        <f t="shared" ref="P1870:P1933" si="11208">VLOOKUP($A1870,hospital_details,6,0)</f>
        <v>tier - 3</v>
      </c>
      <c r="Q1870" s="5" t="str">
        <f t="shared" ref="Q1870:Q1933" si="11209">VLOOKUP($A1870,hospital_details,7,0)</f>
        <v>tier - 2</v>
      </c>
      <c r="R1870" s="5" t="str">
        <f t="shared" ref="R1870:R1933" si="11210">VLOOKUP($A1870,hospital_details,8,0)</f>
        <v>R1013</v>
      </c>
    </row>
    <row r="1871" spans="1:18" ht="14.4" customHeight="1" x14ac:dyDescent="0.3">
      <c r="A1871" s="7" t="s">
        <v>1891</v>
      </c>
      <c r="B1871" s="7" t="str">
        <f>VLOOKUP($A1871,[1]!Customer_Names[#Data],3,0)</f>
        <v xml:space="preserve">  Dane</v>
      </c>
      <c r="C1871" s="7">
        <v>15.46</v>
      </c>
      <c r="D1871" s="7" t="str" cm="1">
        <f t="array" ref="D1871">_xlfn.IFS(Healthcare!$C1871&lt;18.5,"under weight",Healthcare!$C1871&lt;=24.9,"Normal Weight",Healthcare!$C1871&gt;=25,"overweight",Healthcare!$C1871&gt;=30,"obese")</f>
        <v>under weight</v>
      </c>
      <c r="E1871" s="7">
        <v>4.99</v>
      </c>
      <c r="F1871" s="7" t="str" cm="1">
        <f t="array" ref="F1871">_xlfn.IFS(Healthcare!$E1871&lt;5.7,"normal",Healthcare!$E1871&lt;=6.4,"prediabetes",Healthcare!$E1871&gt;=6.5,"diabetes")</f>
        <v>normal</v>
      </c>
      <c r="G1871" s="7" t="s">
        <v>20</v>
      </c>
      <c r="H1871" s="7" t="s">
        <v>19</v>
      </c>
      <c r="I1871" s="7" t="s">
        <v>29</v>
      </c>
      <c r="J1871" s="7">
        <v>1</v>
      </c>
      <c r="K1871" s="7" t="s">
        <v>19</v>
      </c>
      <c r="L1871" s="7" t="str">
        <f>VLOOKUP(Healthcare!$A1871,hospital_details,2,0)</f>
        <v>20-Nov-1983</v>
      </c>
      <c r="M1871" s="7">
        <f t="shared" ref="M1871:M1934" ca="1" si="11211">VLOOKUP(A1871,hospital_details,3,0)</f>
        <v>42</v>
      </c>
      <c r="N1871" s="7">
        <f t="shared" ref="N1871:N1934" si="11212">VLOOKUP($A1871,hospital_details,4,0)</f>
        <v>3</v>
      </c>
      <c r="O1871" s="8">
        <f t="shared" ref="O1871:O1934" si="11213">VLOOKUP($A1871,hospital_details,5,0)</f>
        <v>4265.01</v>
      </c>
      <c r="P1871" s="7" t="str">
        <f t="shared" ref="P1871:P1934" si="11214">VLOOKUP($A1871,hospital_details,6,0)</f>
        <v>tier - 2</v>
      </c>
      <c r="Q1871" s="7" t="str">
        <f t="shared" ref="Q1871:Q1934" si="11215">VLOOKUP($A1871,hospital_details,7,0)</f>
        <v>tier - 1</v>
      </c>
      <c r="R1871" s="7" t="str">
        <f t="shared" ref="R1871:R1934" si="11216">VLOOKUP($A1871,hospital_details,8,0)</f>
        <v>R1012</v>
      </c>
    </row>
    <row r="1872" spans="1:18" ht="14.4" customHeight="1" x14ac:dyDescent="0.3">
      <c r="A1872" s="5" t="s">
        <v>1892</v>
      </c>
      <c r="B1872" s="5" t="str">
        <f>VLOOKUP($A1872,[1]!Customer_Names[#Data],3,0)</f>
        <v xml:space="preserve">  Dougie J</v>
      </c>
      <c r="C1872" s="5">
        <v>30.3</v>
      </c>
      <c r="D1872" s="5" t="str" cm="1">
        <f t="array" ref="D1872">_xlfn.IFS(Healthcare!$C1872&lt;18.5,"under weight",Healthcare!$C1872&lt;=24.9,"Normal Weight",Healthcare!$C1872&gt;=25,"overweight",Healthcare!$C1872&gt;=30,"obese")</f>
        <v>overweight</v>
      </c>
      <c r="E1872" s="5">
        <v>4.7699999999999996</v>
      </c>
      <c r="F1872" s="5" t="str" cm="1">
        <f t="array" ref="F1872">_xlfn.IFS(Healthcare!$E1872&lt;5.7,"normal",Healthcare!$E1872&lt;=6.4,"prediabetes",Healthcare!$E1872&gt;=6.5,"diabetes")</f>
        <v>normal</v>
      </c>
      <c r="G1872" s="5" t="s">
        <v>20</v>
      </c>
      <c r="H1872" s="5" t="s">
        <v>19</v>
      </c>
      <c r="I1872" s="5" t="s">
        <v>19</v>
      </c>
      <c r="J1872" s="5">
        <v>1</v>
      </c>
      <c r="K1872" s="5" t="s">
        <v>19</v>
      </c>
      <c r="L1872" s="5" t="str">
        <f>VLOOKUP(Healthcare!$A1872,hospital_details,2,0)</f>
        <v>14-Oct-1995</v>
      </c>
      <c r="M1872" s="5">
        <f t="shared" ref="M1872:M1935" ca="1" si="11217">VLOOKUP(A1872,hospital_details,3,0)</f>
        <v>31</v>
      </c>
      <c r="N1872" s="5">
        <f t="shared" ref="N1872:N1935" si="11218">VLOOKUP($A1872,hospital_details,4,0)</f>
        <v>3</v>
      </c>
      <c r="O1872" s="6">
        <f t="shared" ref="O1872:O1935" si="11219">VLOOKUP($A1872,hospital_details,5,0)</f>
        <v>4260.74</v>
      </c>
      <c r="P1872" s="5" t="str">
        <f t="shared" ref="P1872:P1935" si="11220">VLOOKUP($A1872,hospital_details,6,0)</f>
        <v>tier - 3</v>
      </c>
      <c r="Q1872" s="5" t="str">
        <f t="shared" ref="Q1872:Q1935" si="11221">VLOOKUP($A1872,hospital_details,7,0)</f>
        <v>tier - 2</v>
      </c>
      <c r="R1872" s="5" t="str">
        <f t="shared" ref="R1872:R1935" si="11222">VLOOKUP($A1872,hospital_details,8,0)</f>
        <v>R1011</v>
      </c>
    </row>
    <row r="1873" spans="1:18" ht="14.4" customHeight="1" x14ac:dyDescent="0.3">
      <c r="A1873" s="7" t="s">
        <v>1893</v>
      </c>
      <c r="B1873" s="7" t="str">
        <f>VLOOKUP($A1873,[1]!Customer_Names[#Data],3,0)</f>
        <v xml:space="preserve">  Jeremiah H</v>
      </c>
      <c r="C1873" s="7">
        <v>16.670000000000002</v>
      </c>
      <c r="D1873" s="7" t="str" cm="1">
        <f t="array" ref="D1873">_xlfn.IFS(Healthcare!$C1873&lt;18.5,"under weight",Healthcare!$C1873&lt;=24.9,"Normal Weight",Healthcare!$C1873&gt;=25,"overweight",Healthcare!$C1873&gt;=30,"obese")</f>
        <v>under weight</v>
      </c>
      <c r="E1873" s="7">
        <v>5.46</v>
      </c>
      <c r="F1873" s="7" t="str" cm="1">
        <f t="array" ref="F1873">_xlfn.IFS(Healthcare!$E1873&lt;5.7,"normal",Healthcare!$E1873&lt;=6.4,"prediabetes",Healthcare!$E1873&gt;=6.5,"diabetes")</f>
        <v>normal</v>
      </c>
      <c r="G1873" s="7" t="s">
        <v>19</v>
      </c>
      <c r="H1873" s="7" t="s">
        <v>19</v>
      </c>
      <c r="I1873" s="7" t="s">
        <v>19</v>
      </c>
      <c r="J1873" s="7">
        <v>0</v>
      </c>
      <c r="K1873" s="7" t="s">
        <v>19</v>
      </c>
      <c r="L1873" s="7" t="str">
        <f>VLOOKUP(Healthcare!$A1873,hospital_details,2,0)</f>
        <v>16-Jun-1982</v>
      </c>
      <c r="M1873" s="7">
        <f t="shared" ref="M1873:M1936" ca="1" si="11223">VLOOKUP(A1873,hospital_details,3,0)</f>
        <v>44</v>
      </c>
      <c r="N1873" s="7">
        <f t="shared" ref="N1873:N1936" si="11224">VLOOKUP($A1873,hospital_details,4,0)</f>
        <v>3</v>
      </c>
      <c r="O1873" s="8">
        <f t="shared" ref="O1873:O1936" si="11225">VLOOKUP($A1873,hospital_details,5,0)</f>
        <v>4250.24</v>
      </c>
      <c r="P1873" s="7" t="str">
        <f t="shared" ref="P1873:P1936" si="11226">VLOOKUP($A1873,hospital_details,6,0)</f>
        <v>tier - 2</v>
      </c>
      <c r="Q1873" s="7" t="str">
        <f t="shared" ref="Q1873:Q1936" si="11227">VLOOKUP($A1873,hospital_details,7,0)</f>
        <v>tier - 3</v>
      </c>
      <c r="R1873" s="7" t="str">
        <f t="shared" ref="R1873:R1936" si="11228">VLOOKUP($A1873,hospital_details,8,0)</f>
        <v>R1013</v>
      </c>
    </row>
    <row r="1874" spans="1:18" ht="14.4" customHeight="1" x14ac:dyDescent="0.3">
      <c r="A1874" s="5" t="s">
        <v>1894</v>
      </c>
      <c r="B1874" s="5" t="str">
        <f>VLOOKUP($A1874,[1]!Customer_Names[#Data],3,0)</f>
        <v xml:space="preserve">  Ashley J</v>
      </c>
      <c r="C1874" s="5">
        <v>28.594999999999999</v>
      </c>
      <c r="D1874" s="5" t="str" cm="1">
        <f t="array" ref="D1874">_xlfn.IFS(Healthcare!$C1874&lt;18.5,"under weight",Healthcare!$C1874&lt;=24.9,"Normal Weight",Healthcare!$C1874&gt;=25,"overweight",Healthcare!$C1874&gt;=30,"obese")</f>
        <v>overweight</v>
      </c>
      <c r="E1874" s="5">
        <v>5.43</v>
      </c>
      <c r="F1874" s="5" t="str" cm="1">
        <f t="array" ref="F1874">_xlfn.IFS(Healthcare!$E1874&lt;5.7,"normal",Healthcare!$E1874&lt;=6.4,"prediabetes",Healthcare!$E1874&gt;=6.5,"diabetes")</f>
        <v>normal</v>
      </c>
      <c r="G1874" s="5" t="s">
        <v>19</v>
      </c>
      <c r="H1874" s="5" t="s">
        <v>19</v>
      </c>
      <c r="I1874" s="5" t="s">
        <v>19</v>
      </c>
      <c r="J1874" s="5">
        <v>0</v>
      </c>
      <c r="K1874" s="5" t="s">
        <v>19</v>
      </c>
      <c r="L1874" s="5" t="str">
        <f>VLOOKUP(Healthcare!$A1874,hospital_details,2,0)</f>
        <v>1-Dec-1991</v>
      </c>
      <c r="M1874" s="5">
        <f t="shared" ref="M1874:M1937" ca="1" si="11229">VLOOKUP(A1874,hospital_details,3,0)</f>
        <v>34</v>
      </c>
      <c r="N1874" s="5">
        <f t="shared" ref="N1874:N1937" si="11230">VLOOKUP($A1874,hospital_details,4,0)</f>
        <v>1</v>
      </c>
      <c r="O1874" s="6">
        <f t="shared" ref="O1874:O1937" si="11231">VLOOKUP($A1874,hospital_details,5,0)</f>
        <v>4243.59</v>
      </c>
      <c r="P1874" s="5" t="str">
        <f t="shared" ref="P1874:P1937" si="11232">VLOOKUP($A1874,hospital_details,6,0)</f>
        <v>tier - 3</v>
      </c>
      <c r="Q1874" s="5" t="str">
        <f t="shared" ref="Q1874:Q1937" si="11233">VLOOKUP($A1874,hospital_details,7,0)</f>
        <v>tier - 1</v>
      </c>
      <c r="R1874" s="5" t="str">
        <f t="shared" ref="R1874:R1937" si="11234">VLOOKUP($A1874,hospital_details,8,0)</f>
        <v>R1012</v>
      </c>
    </row>
    <row r="1875" spans="1:18" ht="14.4" customHeight="1" x14ac:dyDescent="0.3">
      <c r="A1875" s="7" t="s">
        <v>1895</v>
      </c>
      <c r="B1875" s="7" t="str">
        <f>VLOOKUP($A1875,[1]!Customer_Names[#Data],3,0)</f>
        <v xml:space="preserve">  Turner J</v>
      </c>
      <c r="C1875" s="7">
        <v>25.934999999999999</v>
      </c>
      <c r="D1875" s="7" t="str" cm="1">
        <f t="array" ref="D1875">_xlfn.IFS(Healthcare!$C1875&lt;18.5,"under weight",Healthcare!$C1875&lt;=24.9,"Normal Weight",Healthcare!$C1875&gt;=25,"overweight",Healthcare!$C1875&gt;=30,"obese")</f>
        <v>overweight</v>
      </c>
      <c r="E1875" s="7">
        <v>4.29</v>
      </c>
      <c r="F1875" s="7" t="str" cm="1">
        <f t="array" ref="F1875">_xlfn.IFS(Healthcare!$E1875&lt;5.7,"normal",Healthcare!$E1875&lt;=6.4,"prediabetes",Healthcare!$E1875&gt;=6.5,"diabetes")</f>
        <v>normal</v>
      </c>
      <c r="G1875" s="7" t="s">
        <v>19</v>
      </c>
      <c r="H1875" s="7" t="s">
        <v>19</v>
      </c>
      <c r="I1875" s="7" t="s">
        <v>19</v>
      </c>
      <c r="J1875" s="7">
        <v>0</v>
      </c>
      <c r="K1875" s="7" t="s">
        <v>19</v>
      </c>
      <c r="L1875" s="7" t="str">
        <f>VLOOKUP(Healthcare!$A1875,hospital_details,2,0)</f>
        <v>3-Nov-1991</v>
      </c>
      <c r="M1875" s="7">
        <f t="shared" ref="M1875:M1938" ca="1" si="11235">VLOOKUP(A1875,hospital_details,3,0)</f>
        <v>34</v>
      </c>
      <c r="N1875" s="7">
        <f t="shared" ref="N1875:N1938" si="11236">VLOOKUP($A1875,hospital_details,4,0)</f>
        <v>1</v>
      </c>
      <c r="O1875" s="8">
        <f t="shared" ref="O1875:O1938" si="11237">VLOOKUP($A1875,hospital_details,5,0)</f>
        <v>4239.8900000000003</v>
      </c>
      <c r="P1875" s="7" t="str">
        <f t="shared" ref="P1875:P1938" si="11238">VLOOKUP($A1875,hospital_details,6,0)</f>
        <v>tier - 2</v>
      </c>
      <c r="Q1875" s="7" t="str">
        <f t="shared" ref="Q1875:Q1938" si="11239">VLOOKUP($A1875,hospital_details,7,0)</f>
        <v>tier - 2</v>
      </c>
      <c r="R1875" s="7" t="str">
        <f t="shared" ref="R1875:R1938" si="11240">VLOOKUP($A1875,hospital_details,8,0)</f>
        <v>R1012</v>
      </c>
    </row>
    <row r="1876" spans="1:18" ht="14.4" customHeight="1" x14ac:dyDescent="0.3">
      <c r="A1876" s="5" t="s">
        <v>1896</v>
      </c>
      <c r="B1876" s="5" t="str">
        <f>VLOOKUP($A1876,[1]!Customer_Names[#Data],3,0)</f>
        <v xml:space="preserve">  Roger</v>
      </c>
      <c r="C1876" s="5">
        <v>27.645</v>
      </c>
      <c r="D1876" s="5" t="str" cm="1">
        <f t="array" ref="D1876">_xlfn.IFS(Healthcare!$C1876&lt;18.5,"under weight",Healthcare!$C1876&lt;=24.9,"Normal Weight",Healthcare!$C1876&gt;=25,"overweight",Healthcare!$C1876&gt;=30,"obese")</f>
        <v>overweight</v>
      </c>
      <c r="E1876" s="5">
        <v>5.25</v>
      </c>
      <c r="F1876" s="5" t="str" cm="1">
        <f t="array" ref="F1876">_xlfn.IFS(Healthcare!$E1876&lt;5.7,"normal",Healthcare!$E1876&lt;=6.4,"prediabetes",Healthcare!$E1876&gt;=6.5,"diabetes")</f>
        <v>normal</v>
      </c>
      <c r="G1876" s="5" t="s">
        <v>19</v>
      </c>
      <c r="H1876" s="5" t="s">
        <v>19</v>
      </c>
      <c r="I1876" s="5" t="s">
        <v>19</v>
      </c>
      <c r="J1876" s="5">
        <v>1</v>
      </c>
      <c r="K1876" s="5" t="s">
        <v>19</v>
      </c>
      <c r="L1876" s="5" t="str">
        <f>VLOOKUP(Healthcare!$A1876,hospital_details,2,0)</f>
        <v>27-Jun-1992</v>
      </c>
      <c r="M1876" s="5">
        <f t="shared" ref="M1876:M1939" ca="1" si="11241">VLOOKUP(A1876,hospital_details,3,0)</f>
        <v>34</v>
      </c>
      <c r="N1876" s="5">
        <f t="shared" ref="N1876:N1939" si="11242">VLOOKUP($A1876,hospital_details,4,0)</f>
        <v>1</v>
      </c>
      <c r="O1876" s="6">
        <f t="shared" ref="O1876:O1939" si="11243">VLOOKUP($A1876,hospital_details,5,0)</f>
        <v>4237.13</v>
      </c>
      <c r="P1876" s="5" t="str">
        <f t="shared" ref="P1876:P1939" si="11244">VLOOKUP($A1876,hospital_details,6,0)</f>
        <v>tier - 3</v>
      </c>
      <c r="Q1876" s="5" t="str">
        <f t="shared" ref="Q1876:Q1939" si="11245">VLOOKUP($A1876,hospital_details,7,0)</f>
        <v>tier - 1</v>
      </c>
      <c r="R1876" s="5" t="str">
        <f t="shared" ref="R1876:R1939" si="11246">VLOOKUP($A1876,hospital_details,8,0)</f>
        <v>R1016</v>
      </c>
    </row>
    <row r="1877" spans="1:18" ht="14.4" customHeight="1" x14ac:dyDescent="0.3">
      <c r="A1877" s="7" t="s">
        <v>1897</v>
      </c>
      <c r="B1877" s="7" t="str">
        <f>VLOOKUP($A1877,[1]!Customer_Names[#Data],3,0)</f>
        <v xml:space="preserve">  Pamela</v>
      </c>
      <c r="C1877" s="7">
        <v>30.1</v>
      </c>
      <c r="D1877" s="7" t="str" cm="1">
        <f t="array" ref="D1877">_xlfn.IFS(Healthcare!$C1877&lt;18.5,"under weight",Healthcare!$C1877&lt;=24.9,"Normal Weight",Healthcare!$C1877&gt;=25,"overweight",Healthcare!$C1877&gt;=30,"obese")</f>
        <v>overweight</v>
      </c>
      <c r="E1877" s="7">
        <v>4.04</v>
      </c>
      <c r="F1877" s="7" t="str" cm="1">
        <f t="array" ref="F1877">_xlfn.IFS(Healthcare!$E1877&lt;5.7,"normal",Healthcare!$E1877&lt;=6.4,"prediabetes",Healthcare!$E1877&gt;=6.5,"diabetes")</f>
        <v>normal</v>
      </c>
      <c r="G1877" s="7" t="s">
        <v>19</v>
      </c>
      <c r="H1877" s="7" t="s">
        <v>19</v>
      </c>
      <c r="I1877" s="7" t="s">
        <v>19</v>
      </c>
      <c r="J1877" s="7">
        <v>1</v>
      </c>
      <c r="K1877" s="7" t="s">
        <v>19</v>
      </c>
      <c r="L1877" s="7" t="str">
        <f>VLOOKUP(Healthcare!$A1877,hospital_details,2,0)</f>
        <v>14-Dec-1998</v>
      </c>
      <c r="M1877" s="7">
        <f t="shared" ref="M1877:M1940" ca="1" si="11247">VLOOKUP(A1877,hospital_details,3,0)</f>
        <v>27</v>
      </c>
      <c r="N1877" s="7">
        <f t="shared" ref="N1877:N1940" si="11248">VLOOKUP($A1877,hospital_details,4,0)</f>
        <v>3</v>
      </c>
      <c r="O1877" s="8">
        <f t="shared" ref="O1877:O1940" si="11249">VLOOKUP($A1877,hospital_details,5,0)</f>
        <v>4234.93</v>
      </c>
      <c r="P1877" s="7" t="str">
        <f t="shared" ref="P1877:P1940" si="11250">VLOOKUP($A1877,hospital_details,6,0)</f>
        <v>tier - 2</v>
      </c>
      <c r="Q1877" s="7" t="str">
        <f t="shared" ref="Q1877:Q1940" si="11251">VLOOKUP($A1877,hospital_details,7,0)</f>
        <v>tier - 1</v>
      </c>
      <c r="R1877" s="7" t="str">
        <f t="shared" ref="R1877:R1940" si="11252">VLOOKUP($A1877,hospital_details,8,0)</f>
        <v>R1011</v>
      </c>
    </row>
    <row r="1878" spans="1:18" ht="14.4" customHeight="1" x14ac:dyDescent="0.3">
      <c r="A1878" s="5" t="s">
        <v>1898</v>
      </c>
      <c r="B1878" s="5" t="str">
        <f>VLOOKUP($A1878,[1]!Customer_Names[#Data],3,0)</f>
        <v xml:space="preserve">  Allison M</v>
      </c>
      <c r="C1878" s="5">
        <v>26.79</v>
      </c>
      <c r="D1878" s="5" t="str" cm="1">
        <f t="array" ref="D1878">_xlfn.IFS(Healthcare!$C1878&lt;18.5,"under weight",Healthcare!$C1878&lt;=24.9,"Normal Weight",Healthcare!$C1878&gt;=25,"overweight",Healthcare!$C1878&gt;=30,"obese")</f>
        <v>overweight</v>
      </c>
      <c r="E1878" s="5">
        <v>5</v>
      </c>
      <c r="F1878" s="5" t="str" cm="1">
        <f t="array" ref="F1878">_xlfn.IFS(Healthcare!$E1878&lt;5.7,"normal",Healthcare!$E1878&lt;=6.4,"prediabetes",Healthcare!$E1878&gt;=6.5,"diabetes")</f>
        <v>normal</v>
      </c>
      <c r="G1878" s="5" t="s">
        <v>20</v>
      </c>
      <c r="H1878" s="5" t="s">
        <v>19</v>
      </c>
      <c r="I1878" s="5" t="s">
        <v>29</v>
      </c>
      <c r="J1878" s="5">
        <v>1</v>
      </c>
      <c r="K1878" s="5" t="s">
        <v>19</v>
      </c>
      <c r="L1878" s="5" t="str">
        <f>VLOOKUP(Healthcare!$A1878,hospital_details,2,0)</f>
        <v>6-Sep-1997</v>
      </c>
      <c r="M1878" s="5">
        <f t="shared" ref="M1878:M1941" ca="1" si="11253">VLOOKUP(A1878,hospital_details,3,0)</f>
        <v>29</v>
      </c>
      <c r="N1878" s="5">
        <f t="shared" ref="N1878:N1941" si="11254">VLOOKUP($A1878,hospital_details,4,0)</f>
        <v>2</v>
      </c>
      <c r="O1878" s="6">
        <f t="shared" ref="O1878:O1941" si="11255">VLOOKUP($A1878,hospital_details,5,0)</f>
        <v>4189.1099999999997</v>
      </c>
      <c r="P1878" s="5" t="str">
        <f t="shared" ref="P1878:P1941" si="11256">VLOOKUP($A1878,hospital_details,6,0)</f>
        <v>tier - 2</v>
      </c>
      <c r="Q1878" s="5" t="str">
        <f t="shared" ref="Q1878:Q1941" si="11257">VLOOKUP($A1878,hospital_details,7,0)</f>
        <v>tier - 2</v>
      </c>
      <c r="R1878" s="5" t="str">
        <f t="shared" ref="R1878:R1941" si="11258">VLOOKUP($A1878,hospital_details,8,0)</f>
        <v>R1012</v>
      </c>
    </row>
    <row r="1879" spans="1:18" ht="14.4" customHeight="1" x14ac:dyDescent="0.3">
      <c r="A1879" s="7" t="s">
        <v>1899</v>
      </c>
      <c r="B1879" s="7" t="str">
        <f>VLOOKUP($A1879,[1]!Customer_Names[#Data],3,0)</f>
        <v xml:space="preserve">  Katherine H</v>
      </c>
      <c r="C1879" s="7">
        <v>27.1</v>
      </c>
      <c r="D1879" s="7" t="str" cm="1">
        <f t="array" ref="D1879">_xlfn.IFS(Healthcare!$C1879&lt;18.5,"under weight",Healthcare!$C1879&lt;=24.9,"Normal Weight",Healthcare!$C1879&gt;=25,"overweight",Healthcare!$C1879&gt;=30,"obese")</f>
        <v>overweight</v>
      </c>
      <c r="E1879" s="7">
        <v>4.01</v>
      </c>
      <c r="F1879" s="7" t="str" cm="1">
        <f t="array" ref="F1879">_xlfn.IFS(Healthcare!$E1879&lt;5.7,"normal",Healthcare!$E1879&lt;=6.4,"prediabetes",Healthcare!$E1879&gt;=6.5,"diabetes")</f>
        <v>normal</v>
      </c>
      <c r="G1879" s="7" t="s">
        <v>20</v>
      </c>
      <c r="H1879" s="7" t="s">
        <v>19</v>
      </c>
      <c r="I1879" s="7" t="s">
        <v>19</v>
      </c>
      <c r="J1879" s="7">
        <v>1</v>
      </c>
      <c r="K1879" s="7" t="s">
        <v>19</v>
      </c>
      <c r="L1879" s="7" t="str">
        <f>VLOOKUP(Healthcare!$A1879,hospital_details,2,0)</f>
        <v>3-Oct-1995</v>
      </c>
      <c r="M1879" s="7">
        <f t="shared" ref="M1879:M1942" ca="1" si="11259">VLOOKUP(A1879,hospital_details,3,0)</f>
        <v>31</v>
      </c>
      <c r="N1879" s="7">
        <f t="shared" ref="N1879:N1942" si="11260">VLOOKUP($A1879,hospital_details,4,0)</f>
        <v>0</v>
      </c>
      <c r="O1879" s="8">
        <f t="shared" ref="O1879:O1942" si="11261">VLOOKUP($A1879,hospital_details,5,0)</f>
        <v>4188.7299999999996</v>
      </c>
      <c r="P1879" s="7" t="str">
        <f t="shared" ref="P1879:P1942" si="11262">VLOOKUP($A1879,hospital_details,6,0)</f>
        <v>tier - 2</v>
      </c>
      <c r="Q1879" s="7" t="str">
        <f t="shared" ref="Q1879:Q1942" si="11263">VLOOKUP($A1879,hospital_details,7,0)</f>
        <v>tier - 2</v>
      </c>
      <c r="R1879" s="7" t="str">
        <f t="shared" ref="R1879:R1942" si="11264">VLOOKUP($A1879,hospital_details,8,0)</f>
        <v>R1025</v>
      </c>
    </row>
    <row r="1880" spans="1:18" ht="14.4" customHeight="1" x14ac:dyDescent="0.3">
      <c r="A1880" s="5" t="s">
        <v>1900</v>
      </c>
      <c r="B1880" s="5" t="str">
        <f>VLOOKUP($A1880,[1]!Customer_Names[#Data],3,0)</f>
        <v xml:space="preserve">  Robin</v>
      </c>
      <c r="C1880" s="5">
        <v>24.31</v>
      </c>
      <c r="D1880" s="5" t="str" cm="1">
        <f t="array" ref="D1880">_xlfn.IFS(Healthcare!$C1880&lt;18.5,"under weight",Healthcare!$C1880&lt;=24.9,"Normal Weight",Healthcare!$C1880&gt;=25,"overweight",Healthcare!$C1880&gt;=30,"obese")</f>
        <v>Normal Weight</v>
      </c>
      <c r="E1880" s="5">
        <v>5.4</v>
      </c>
      <c r="F1880" s="5" t="str" cm="1">
        <f t="array" ref="F1880">_xlfn.IFS(Healthcare!$E1880&lt;5.7,"normal",Healthcare!$E1880&lt;=6.4,"prediabetes",Healthcare!$E1880&gt;=6.5,"diabetes")</f>
        <v>normal</v>
      </c>
      <c r="G1880" s="5" t="s">
        <v>19</v>
      </c>
      <c r="H1880" s="5" t="s">
        <v>19</v>
      </c>
      <c r="I1880" s="5" t="s">
        <v>19</v>
      </c>
      <c r="J1880" s="5">
        <v>0</v>
      </c>
      <c r="K1880" s="5" t="s">
        <v>19</v>
      </c>
      <c r="L1880" s="5" t="str">
        <f>VLOOKUP(Healthcare!$A1880,hospital_details,2,0)</f>
        <v>25-Jun-1989</v>
      </c>
      <c r="M1880" s="5">
        <f t="shared" ref="M1880:M1943" ca="1" si="11265">VLOOKUP(A1880,hospital_details,3,0)</f>
        <v>37</v>
      </c>
      <c r="N1880" s="5">
        <f t="shared" ref="N1880:N1943" si="11266">VLOOKUP($A1880,hospital_details,4,0)</f>
        <v>0</v>
      </c>
      <c r="O1880" s="6">
        <f t="shared" ref="O1880:O1943" si="11267">VLOOKUP($A1880,hospital_details,5,0)</f>
        <v>4185.1000000000004</v>
      </c>
      <c r="P1880" s="5" t="str">
        <f t="shared" ref="P1880:P1943" si="11268">VLOOKUP($A1880,hospital_details,6,0)</f>
        <v>tier - 2</v>
      </c>
      <c r="Q1880" s="5" t="str">
        <f t="shared" ref="Q1880:Q1943" si="11269">VLOOKUP($A1880,hospital_details,7,0)</f>
        <v>tier - 3</v>
      </c>
      <c r="R1880" s="5" t="str">
        <f t="shared" ref="R1880:R1943" si="11270">VLOOKUP($A1880,hospital_details,8,0)</f>
        <v>R1013</v>
      </c>
    </row>
    <row r="1881" spans="1:18" ht="14.4" customHeight="1" x14ac:dyDescent="0.3">
      <c r="A1881" s="7" t="s">
        <v>1901</v>
      </c>
      <c r="B1881" s="7" t="str">
        <f>VLOOKUP($A1881,[1]!Customer_Names[#Data],3,0)</f>
        <v xml:space="preserve">  Terri</v>
      </c>
      <c r="C1881" s="7">
        <v>15.53</v>
      </c>
      <c r="D1881" s="7" t="str" cm="1">
        <f t="array" ref="D1881">_xlfn.IFS(Healthcare!$C1881&lt;18.5,"under weight",Healthcare!$C1881&lt;=24.9,"Normal Weight",Healthcare!$C1881&gt;=25,"overweight",Healthcare!$C1881&gt;=30,"obese")</f>
        <v>under weight</v>
      </c>
      <c r="E1881" s="7">
        <v>5.81</v>
      </c>
      <c r="F1881" s="7" t="str" cm="1">
        <f t="array" ref="F1881">_xlfn.IFS(Healthcare!$E1881&lt;5.7,"normal",Healthcare!$E1881&lt;=6.4,"prediabetes",Healthcare!$E1881&gt;=6.5,"diabetes")</f>
        <v>prediabetes</v>
      </c>
      <c r="G1881" s="7" t="s">
        <v>19</v>
      </c>
      <c r="H1881" s="7" t="s">
        <v>19</v>
      </c>
      <c r="I1881" s="7" t="s">
        <v>19</v>
      </c>
      <c r="J1881" s="7">
        <v>1</v>
      </c>
      <c r="K1881" s="7" t="s">
        <v>19</v>
      </c>
      <c r="L1881" s="7" t="str">
        <f>VLOOKUP(Healthcare!$A1881,hospital_details,2,0)</f>
        <v>16-Sep-1984</v>
      </c>
      <c r="M1881" s="7">
        <f t="shared" ref="M1881:M1944" ca="1" si="11271">VLOOKUP(A1881,hospital_details,3,0)</f>
        <v>42</v>
      </c>
      <c r="N1881" s="7">
        <f t="shared" ref="N1881:N1944" si="11272">VLOOKUP($A1881,hospital_details,4,0)</f>
        <v>3</v>
      </c>
      <c r="O1881" s="8">
        <f t="shared" ref="O1881:O1944" si="11273">VLOOKUP($A1881,hospital_details,5,0)</f>
        <v>4163.21</v>
      </c>
      <c r="P1881" s="7" t="str">
        <f t="shared" ref="P1881:P1944" si="11274">VLOOKUP($A1881,hospital_details,6,0)</f>
        <v>tier - 2</v>
      </c>
      <c r="Q1881" s="7" t="str">
        <f t="shared" ref="Q1881:Q1944" si="11275">VLOOKUP($A1881,hospital_details,7,0)</f>
        <v>tier - 2</v>
      </c>
      <c r="R1881" s="7" t="str">
        <f t="shared" ref="R1881:R1944" si="11276">VLOOKUP($A1881,hospital_details,8,0)</f>
        <v>R1012</v>
      </c>
    </row>
    <row r="1882" spans="1:18" ht="14.4" customHeight="1" x14ac:dyDescent="0.3">
      <c r="A1882" s="5" t="s">
        <v>1902</v>
      </c>
      <c r="B1882" s="5" t="str">
        <f>VLOOKUP($A1882,[1]!Customer_Names[#Data],3,0)</f>
        <v xml:space="preserve">  Eddie</v>
      </c>
      <c r="C1882" s="5">
        <v>30.7</v>
      </c>
      <c r="D1882" s="5" t="str" cm="1">
        <f t="array" ref="D1882">_xlfn.IFS(Healthcare!$C1882&lt;18.5,"under weight",Healthcare!$C1882&lt;=24.9,"Normal Weight",Healthcare!$C1882&gt;=25,"overweight",Healthcare!$C1882&gt;=30,"obese")</f>
        <v>overweight</v>
      </c>
      <c r="E1882" s="5">
        <v>5.82</v>
      </c>
      <c r="F1882" s="5" t="str" cm="1">
        <f t="array" ref="F1882">_xlfn.IFS(Healthcare!$E1882&lt;5.7,"normal",Healthcare!$E1882&lt;=6.4,"prediabetes",Healthcare!$E1882&gt;=6.5,"diabetes")</f>
        <v>prediabetes</v>
      </c>
      <c r="G1882" s="5" t="s">
        <v>19</v>
      </c>
      <c r="H1882" s="5" t="s">
        <v>19</v>
      </c>
      <c r="I1882" s="5" t="s">
        <v>19</v>
      </c>
      <c r="J1882" s="5">
        <v>1</v>
      </c>
      <c r="K1882" s="5" t="s">
        <v>19</v>
      </c>
      <c r="L1882" s="5" t="str">
        <f>VLOOKUP(Healthcare!$A1882,hospital_details,2,0)</f>
        <v>26-Nov-1998</v>
      </c>
      <c r="M1882" s="5">
        <f t="shared" ref="M1882:M1945" ca="1" si="11277">VLOOKUP(A1882,hospital_details,3,0)</f>
        <v>27</v>
      </c>
      <c r="N1882" s="5">
        <f t="shared" ref="N1882:N1945" si="11278">VLOOKUP($A1882,hospital_details,4,0)</f>
        <v>0</v>
      </c>
      <c r="O1882" s="6">
        <f t="shared" ref="O1882:O1945" si="11279">VLOOKUP($A1882,hospital_details,5,0)</f>
        <v>4154.97</v>
      </c>
      <c r="P1882" s="5" t="str">
        <f t="shared" ref="P1882:P1945" si="11280">VLOOKUP($A1882,hospital_details,6,0)</f>
        <v>tier - 2</v>
      </c>
      <c r="Q1882" s="5" t="str">
        <f t="shared" ref="Q1882:Q1945" si="11281">VLOOKUP($A1882,hospital_details,7,0)</f>
        <v>tier - 1</v>
      </c>
      <c r="R1882" s="5" t="str">
        <f t="shared" ref="R1882:R1945" si="11282">VLOOKUP($A1882,hospital_details,8,0)</f>
        <v>R1012</v>
      </c>
    </row>
    <row r="1883" spans="1:18" ht="14.4" customHeight="1" x14ac:dyDescent="0.3">
      <c r="A1883" s="7" t="s">
        <v>1903</v>
      </c>
      <c r="B1883" s="7" t="str">
        <f>VLOOKUP($A1883,[1]!Customer_Names[#Data],3,0)</f>
        <v xml:space="preserve">  Pamela</v>
      </c>
      <c r="C1883" s="7">
        <v>33.33</v>
      </c>
      <c r="D1883" s="7" t="str" cm="1">
        <f t="array" ref="D1883">_xlfn.IFS(Healthcare!$C1883&lt;18.5,"under weight",Healthcare!$C1883&lt;=24.9,"Normal Weight",Healthcare!$C1883&gt;=25,"overweight",Healthcare!$C1883&gt;=30,"obese")</f>
        <v>overweight</v>
      </c>
      <c r="E1883" s="7">
        <v>4.82</v>
      </c>
      <c r="F1883" s="7" t="str" cm="1">
        <f t="array" ref="F1883">_xlfn.IFS(Healthcare!$E1883&lt;5.7,"normal",Healthcare!$E1883&lt;=6.4,"prediabetes",Healthcare!$E1883&gt;=6.5,"diabetes")</f>
        <v>normal</v>
      </c>
      <c r="G1883" s="7" t="s">
        <v>19</v>
      </c>
      <c r="H1883" s="7" t="s">
        <v>19</v>
      </c>
      <c r="I1883" s="7" t="s">
        <v>19</v>
      </c>
      <c r="J1883" s="7">
        <v>1</v>
      </c>
      <c r="K1883" s="7" t="s">
        <v>19</v>
      </c>
      <c r="L1883" s="7" t="str">
        <f>VLOOKUP(Healthcare!$A1883,hospital_details,2,0)</f>
        <v>4-Aug-1992</v>
      </c>
      <c r="M1883" s="7">
        <f t="shared" ref="M1883:M1946" ca="1" si="11283">VLOOKUP(A1883,hospital_details,3,0)</f>
        <v>34</v>
      </c>
      <c r="N1883" s="7">
        <f t="shared" ref="N1883:N1946" si="11284">VLOOKUP($A1883,hospital_details,4,0)</f>
        <v>1</v>
      </c>
      <c r="O1883" s="8">
        <f t="shared" ref="O1883:O1946" si="11285">VLOOKUP($A1883,hospital_details,5,0)</f>
        <v>4151.03</v>
      </c>
      <c r="P1883" s="7" t="str">
        <f t="shared" ref="P1883:P1946" si="11286">VLOOKUP($A1883,hospital_details,6,0)</f>
        <v>tier - 2</v>
      </c>
      <c r="Q1883" s="7" t="str">
        <f t="shared" ref="Q1883:Q1946" si="11287">VLOOKUP($A1883,hospital_details,7,0)</f>
        <v>tier - 2</v>
      </c>
      <c r="R1883" s="7" t="str">
        <f t="shared" ref="R1883:R1946" si="11288">VLOOKUP($A1883,hospital_details,8,0)</f>
        <v>R1013</v>
      </c>
    </row>
    <row r="1884" spans="1:18" ht="14.4" customHeight="1" x14ac:dyDescent="0.3">
      <c r="A1884" s="5" t="s">
        <v>1904</v>
      </c>
      <c r="B1884" s="5" t="str">
        <f>VLOOKUP($A1884,[1]!Customer_Names[#Data],3,0)</f>
        <v xml:space="preserve">  Joyce</v>
      </c>
      <c r="C1884" s="5">
        <v>32.4</v>
      </c>
      <c r="D1884" s="5" t="str" cm="1">
        <f t="array" ref="D1884">_xlfn.IFS(Healthcare!$C1884&lt;18.5,"under weight",Healthcare!$C1884&lt;=24.9,"Normal Weight",Healthcare!$C1884&gt;=25,"overweight",Healthcare!$C1884&gt;=30,"obese")</f>
        <v>overweight</v>
      </c>
      <c r="E1884" s="5">
        <v>5.08</v>
      </c>
      <c r="F1884" s="5" t="str" cm="1">
        <f t="array" ref="F1884">_xlfn.IFS(Healthcare!$E1884&lt;5.7,"normal",Healthcare!$E1884&lt;=6.4,"prediabetes",Healthcare!$E1884&gt;=6.5,"diabetes")</f>
        <v>normal</v>
      </c>
      <c r="G1884" s="5" t="s">
        <v>19</v>
      </c>
      <c r="H1884" s="5" t="s">
        <v>19</v>
      </c>
      <c r="I1884" s="5" t="s">
        <v>19</v>
      </c>
      <c r="J1884" s="5">
        <v>1</v>
      </c>
      <c r="K1884" s="5" t="s">
        <v>19</v>
      </c>
      <c r="L1884" s="5" t="str">
        <f>VLOOKUP(Healthcare!$A1884,hospital_details,2,0)</f>
        <v>28-Jun-1992</v>
      </c>
      <c r="M1884" s="5">
        <f t="shared" ref="M1884:M1947" ca="1" si="11289">VLOOKUP(A1884,hospital_details,3,0)</f>
        <v>34</v>
      </c>
      <c r="N1884" s="5">
        <f t="shared" ref="N1884:N1947" si="11290">VLOOKUP($A1884,hospital_details,4,0)</f>
        <v>1</v>
      </c>
      <c r="O1884" s="6">
        <f t="shared" ref="O1884:O1947" si="11291">VLOOKUP($A1884,hospital_details,5,0)</f>
        <v>4149.74</v>
      </c>
      <c r="P1884" s="5" t="str">
        <f t="shared" ref="P1884:P1947" si="11292">VLOOKUP($A1884,hospital_details,6,0)</f>
        <v>tier - 2</v>
      </c>
      <c r="Q1884" s="5" t="str">
        <f t="shared" ref="Q1884:Q1947" si="11293">VLOOKUP($A1884,hospital_details,7,0)</f>
        <v>tier - 1</v>
      </c>
      <c r="R1884" s="5" t="str">
        <f t="shared" ref="R1884:R1947" si="11294">VLOOKUP($A1884,hospital_details,8,0)</f>
        <v>R1011</v>
      </c>
    </row>
    <row r="1885" spans="1:18" ht="14.4" customHeight="1" x14ac:dyDescent="0.3">
      <c r="A1885" s="7" t="s">
        <v>1905</v>
      </c>
      <c r="B1885" s="7" t="str">
        <f>VLOOKUP($A1885,[1]!Customer_Names[#Data],3,0)</f>
        <v xml:space="preserve">  Alison W</v>
      </c>
      <c r="C1885" s="7">
        <v>27.93</v>
      </c>
      <c r="D1885" s="7" t="str" cm="1">
        <f t="array" ref="D1885">_xlfn.IFS(Healthcare!$C1885&lt;18.5,"under weight",Healthcare!$C1885&lt;=24.9,"Normal Weight",Healthcare!$C1885&gt;=25,"overweight",Healthcare!$C1885&gt;=30,"obese")</f>
        <v>overweight</v>
      </c>
      <c r="E1885" s="7">
        <v>5.59</v>
      </c>
      <c r="F1885" s="7" t="str" cm="1">
        <f t="array" ref="F1885">_xlfn.IFS(Healthcare!$E1885&lt;5.7,"normal",Healthcare!$E1885&lt;=6.4,"prediabetes",Healthcare!$E1885&gt;=6.5,"diabetes")</f>
        <v>normal</v>
      </c>
      <c r="G1885" s="7" t="s">
        <v>19</v>
      </c>
      <c r="H1885" s="7" t="s">
        <v>19</v>
      </c>
      <c r="I1885" s="7" t="s">
        <v>19</v>
      </c>
      <c r="J1885" s="7">
        <v>1</v>
      </c>
      <c r="K1885" s="7" t="s">
        <v>19</v>
      </c>
      <c r="L1885" s="7" t="str">
        <f>VLOOKUP(Healthcare!$A1885,hospital_details,2,0)</f>
        <v>18-Jun-1992</v>
      </c>
      <c r="M1885" s="7">
        <f t="shared" ref="M1885:M1948" ca="1" si="11295">VLOOKUP(A1885,hospital_details,3,0)</f>
        <v>34</v>
      </c>
      <c r="N1885" s="7">
        <f t="shared" ref="N1885:N1948" si="11296">VLOOKUP($A1885,hospital_details,4,0)</f>
        <v>0</v>
      </c>
      <c r="O1885" s="8">
        <f t="shared" ref="O1885:O1948" si="11297">VLOOKUP($A1885,hospital_details,5,0)</f>
        <v>4137.5200000000004</v>
      </c>
      <c r="P1885" s="7" t="str">
        <f t="shared" ref="P1885:P1948" si="11298">VLOOKUP($A1885,hospital_details,6,0)</f>
        <v>tier - 2</v>
      </c>
      <c r="Q1885" s="7" t="str">
        <f t="shared" ref="Q1885:Q1948" si="11299">VLOOKUP($A1885,hospital_details,7,0)</f>
        <v>tier - 3</v>
      </c>
      <c r="R1885" s="7" t="str">
        <f t="shared" ref="R1885:R1948" si="11300">VLOOKUP($A1885,hospital_details,8,0)</f>
        <v>R1024</v>
      </c>
    </row>
    <row r="1886" spans="1:18" ht="14.4" customHeight="1" x14ac:dyDescent="0.3">
      <c r="A1886" s="5" t="s">
        <v>1906</v>
      </c>
      <c r="B1886" s="5" t="str">
        <f>VLOOKUP($A1886,[1]!Customer_Names[#Data],3,0)</f>
        <v xml:space="preserve">  Tammara C</v>
      </c>
      <c r="C1886" s="5">
        <v>21.754999999999999</v>
      </c>
      <c r="D1886" s="5" t="str" cm="1">
        <f t="array" ref="D1886">_xlfn.IFS(Healthcare!$C1886&lt;18.5,"under weight",Healthcare!$C1886&lt;=24.9,"Normal Weight",Healthcare!$C1886&gt;=25,"overweight",Healthcare!$C1886&gt;=30,"obese")</f>
        <v>Normal Weight</v>
      </c>
      <c r="E1886" s="5">
        <v>5.12</v>
      </c>
      <c r="F1886" s="5" t="str" cm="1">
        <f t="array" ref="F1886">_xlfn.IFS(Healthcare!$E1886&lt;5.7,"normal",Healthcare!$E1886&lt;=6.4,"prediabetes",Healthcare!$E1886&gt;=6.5,"diabetes")</f>
        <v>normal</v>
      </c>
      <c r="G1886" s="5" t="s">
        <v>19</v>
      </c>
      <c r="H1886" s="5" t="s">
        <v>19</v>
      </c>
      <c r="I1886" s="5" t="s">
        <v>19</v>
      </c>
      <c r="J1886" s="5">
        <v>0</v>
      </c>
      <c r="K1886" s="5" t="s">
        <v>19</v>
      </c>
      <c r="L1886" s="5" t="str">
        <f>VLOOKUP(Healthcare!$A1886,hospital_details,2,0)</f>
        <v>6-Aug-1991</v>
      </c>
      <c r="M1886" s="5">
        <f t="shared" ref="M1886:M1949" ca="1" si="11301">VLOOKUP(A1886,hospital_details,3,0)</f>
        <v>35</v>
      </c>
      <c r="N1886" s="5">
        <f t="shared" ref="N1886:N1949" si="11302">VLOOKUP($A1886,hospital_details,4,0)</f>
        <v>0</v>
      </c>
      <c r="O1886" s="6">
        <f t="shared" ref="O1886:O1949" si="11303">VLOOKUP($A1886,hospital_details,5,0)</f>
        <v>4134.08</v>
      </c>
      <c r="P1886" s="5" t="str">
        <f t="shared" ref="P1886:P1949" si="11304">VLOOKUP($A1886,hospital_details,6,0)</f>
        <v>tier - 2</v>
      </c>
      <c r="Q1886" s="5" t="str">
        <f t="shared" ref="Q1886:Q1949" si="11305">VLOOKUP($A1886,hospital_details,7,0)</f>
        <v>tier - 1</v>
      </c>
      <c r="R1886" s="5" t="str">
        <f t="shared" ref="R1886:R1949" si="11306">VLOOKUP($A1886,hospital_details,8,0)</f>
        <v>R1012</v>
      </c>
    </row>
    <row r="1887" spans="1:18" ht="14.4" customHeight="1" x14ac:dyDescent="0.3">
      <c r="A1887" s="7" t="s">
        <v>1907</v>
      </c>
      <c r="B1887" s="7" t="str">
        <f>VLOOKUP($A1887,[1]!Customer_Names[#Data],3,0)</f>
        <v xml:space="preserve">  Dorota</v>
      </c>
      <c r="C1887" s="7">
        <v>25.934999999999999</v>
      </c>
      <c r="D1887" s="7" t="str" cm="1">
        <f t="array" ref="D1887">_xlfn.IFS(Healthcare!$C1887&lt;18.5,"under weight",Healthcare!$C1887&lt;=24.9,"Normal Weight",Healthcare!$C1887&gt;=25,"overweight",Healthcare!$C1887&gt;=30,"obese")</f>
        <v>overweight</v>
      </c>
      <c r="E1887" s="7">
        <v>4.95</v>
      </c>
      <c r="F1887" s="7" t="str" cm="1">
        <f t="array" ref="F1887">_xlfn.IFS(Healthcare!$E1887&lt;5.7,"normal",Healthcare!$E1887&lt;=6.4,"prediabetes",Healthcare!$E1887&gt;=6.5,"diabetes")</f>
        <v>normal</v>
      </c>
      <c r="G1887" s="7" t="s">
        <v>19</v>
      </c>
      <c r="H1887" s="7" t="s">
        <v>19</v>
      </c>
      <c r="I1887" s="7" t="s">
        <v>19</v>
      </c>
      <c r="J1887" s="7">
        <v>0</v>
      </c>
      <c r="K1887" s="7" t="s">
        <v>19</v>
      </c>
      <c r="L1887" s="7" t="str">
        <f>VLOOKUP(Healthcare!$A1887,hospital_details,2,0)</f>
        <v>21-Aug-1994</v>
      </c>
      <c r="M1887" s="7">
        <f t="shared" ref="M1887:M1950" ca="1" si="11307">VLOOKUP(A1887,hospital_details,3,0)</f>
        <v>32</v>
      </c>
      <c r="N1887" s="7">
        <f t="shared" ref="N1887:N1950" si="11308">VLOOKUP($A1887,hospital_details,4,0)</f>
        <v>1</v>
      </c>
      <c r="O1887" s="8">
        <f t="shared" ref="O1887:O1950" si="11309">VLOOKUP($A1887,hospital_details,5,0)</f>
        <v>4133.6400000000003</v>
      </c>
      <c r="P1887" s="7" t="str">
        <f t="shared" ref="P1887:P1950" si="11310">VLOOKUP($A1887,hospital_details,6,0)</f>
        <v>tier - 2</v>
      </c>
      <c r="Q1887" s="7" t="str">
        <f t="shared" ref="Q1887:Q1950" si="11311">VLOOKUP($A1887,hospital_details,7,0)</f>
        <v>tier - 3</v>
      </c>
      <c r="R1887" s="7" t="str">
        <f t="shared" ref="R1887:R1950" si="11312">VLOOKUP($A1887,hospital_details,8,0)</f>
        <v>R1012</v>
      </c>
    </row>
    <row r="1888" spans="1:18" ht="14.4" customHeight="1" x14ac:dyDescent="0.3">
      <c r="A1888" s="5" t="s">
        <v>1908</v>
      </c>
      <c r="B1888" s="5" t="str">
        <f>VLOOKUP($A1888,[1]!Customer_Names[#Data],3,0)</f>
        <v xml:space="preserve">  Jose Norberto Sr</v>
      </c>
      <c r="C1888" s="5">
        <v>31.5</v>
      </c>
      <c r="D1888" s="5" t="str" cm="1">
        <f t="array" ref="D1888">_xlfn.IFS(Healthcare!$C1888&lt;18.5,"under weight",Healthcare!$C1888&lt;=24.9,"Normal Weight",Healthcare!$C1888&gt;=25,"overweight",Healthcare!$C1888&gt;=30,"obese")</f>
        <v>overweight</v>
      </c>
      <c r="E1888" s="5">
        <v>6.16</v>
      </c>
      <c r="F1888" s="5" t="str" cm="1">
        <f t="array" ref="F1888">_xlfn.IFS(Healthcare!$E1888&lt;5.7,"normal",Healthcare!$E1888&lt;=6.4,"prediabetes",Healthcare!$E1888&gt;=6.5,"diabetes")</f>
        <v>prediabetes</v>
      </c>
      <c r="G1888" s="5" t="s">
        <v>19</v>
      </c>
      <c r="H1888" s="5" t="s">
        <v>19</v>
      </c>
      <c r="I1888" s="5" t="s">
        <v>19</v>
      </c>
      <c r="J1888" s="5">
        <v>0</v>
      </c>
      <c r="K1888" s="5" t="s">
        <v>19</v>
      </c>
      <c r="L1888" s="5" t="str">
        <f>VLOOKUP(Healthcare!$A1888,hospital_details,2,0)</f>
        <v>14-Dec-1990</v>
      </c>
      <c r="M1888" s="5">
        <f t="shared" ref="M1888:M1951" ca="1" si="11313">VLOOKUP(A1888,hospital_details,3,0)</f>
        <v>35</v>
      </c>
      <c r="N1888" s="5">
        <f t="shared" ref="N1888:N1951" si="11314">VLOOKUP($A1888,hospital_details,4,0)</f>
        <v>1</v>
      </c>
      <c r="O1888" s="6">
        <f t="shared" ref="O1888:O1951" si="11315">VLOOKUP($A1888,hospital_details,5,0)</f>
        <v>4076.5</v>
      </c>
      <c r="P1888" s="5" t="str">
        <f t="shared" ref="P1888:P1951" si="11316">VLOOKUP($A1888,hospital_details,6,0)</f>
        <v>tier - 2</v>
      </c>
      <c r="Q1888" s="5" t="str">
        <f t="shared" ref="Q1888:Q1951" si="11317">VLOOKUP($A1888,hospital_details,7,0)</f>
        <v>tier - 3</v>
      </c>
      <c r="R1888" s="5" t="str">
        <f t="shared" ref="R1888:R1951" si="11318">VLOOKUP($A1888,hospital_details,8,0)</f>
        <v>R1011</v>
      </c>
    </row>
    <row r="1889" spans="1:18" ht="14.4" customHeight="1" x14ac:dyDescent="0.3">
      <c r="A1889" s="7" t="s">
        <v>1909</v>
      </c>
      <c r="B1889" s="7" t="str">
        <f>VLOOKUP($A1889,[1]!Customer_Names[#Data],3,0)</f>
        <v xml:space="preserve">  Peter</v>
      </c>
      <c r="C1889" s="7">
        <v>30.03</v>
      </c>
      <c r="D1889" s="7" t="str" cm="1">
        <f t="array" ref="D1889">_xlfn.IFS(Healthcare!$C1889&lt;18.5,"under weight",Healthcare!$C1889&lt;=24.9,"Normal Weight",Healthcare!$C1889&gt;=25,"overweight",Healthcare!$C1889&gt;=30,"obese")</f>
        <v>overweight</v>
      </c>
      <c r="E1889" s="7">
        <v>6.41</v>
      </c>
      <c r="F1889" s="5" t="str" cm="1">
        <f t="array" ref="F1889">_xlfn.IFS(Healthcare!$E1358&lt;5.7,"normal",Healthcare!$E1358&lt;=6.4,"prediabetes",Healthcare!$E1358&gt;=6.5,"diabetes")</f>
        <v>normal</v>
      </c>
      <c r="G1889" s="7" t="s">
        <v>19</v>
      </c>
      <c r="H1889" s="7" t="s">
        <v>19</v>
      </c>
      <c r="I1889" s="7" t="s">
        <v>19</v>
      </c>
      <c r="J1889" s="7">
        <v>0</v>
      </c>
      <c r="K1889" s="7" t="s">
        <v>19</v>
      </c>
      <c r="L1889" s="7" t="str">
        <f>VLOOKUP(Healthcare!$A1889,hospital_details,2,0)</f>
        <v>1-Dec-1990</v>
      </c>
      <c r="M1889" s="7">
        <f t="shared" ref="M1889:M1952" ca="1" si="11319">VLOOKUP(A1889,hospital_details,3,0)</f>
        <v>35</v>
      </c>
      <c r="N1889" s="7">
        <f t="shared" ref="N1889:N1952" si="11320">VLOOKUP($A1889,hospital_details,4,0)</f>
        <v>1</v>
      </c>
      <c r="O1889" s="8">
        <f t="shared" ref="O1889:O1952" si="11321">VLOOKUP($A1889,hospital_details,5,0)</f>
        <v>4074.45</v>
      </c>
      <c r="P1889" s="7" t="str">
        <f t="shared" ref="P1889:P1952" si="11322">VLOOKUP($A1889,hospital_details,6,0)</f>
        <v>tier - 3</v>
      </c>
      <c r="Q1889" s="7" t="str">
        <f t="shared" ref="Q1889:Q1952" si="11323">VLOOKUP($A1889,hospital_details,7,0)</f>
        <v>tier - 2</v>
      </c>
      <c r="R1889" s="7" t="str">
        <f t="shared" ref="R1889:R1952" si="11324">VLOOKUP($A1889,hospital_details,8,0)</f>
        <v>R1013</v>
      </c>
    </row>
    <row r="1890" spans="1:18" ht="14.4" customHeight="1" x14ac:dyDescent="0.3">
      <c r="A1890" s="5" t="s">
        <v>1910</v>
      </c>
      <c r="B1890" s="5" t="str">
        <f>VLOOKUP($A1890,[1]!Customer_Names[#Data],3,0)</f>
        <v xml:space="preserve">  Bryant</v>
      </c>
      <c r="C1890" s="5">
        <v>33.479999999999997</v>
      </c>
      <c r="D1890" s="5" t="str" cm="1">
        <f t="array" ref="D1890">_xlfn.IFS(Healthcare!$C1890&lt;18.5,"under weight",Healthcare!$C1890&lt;=24.9,"Normal Weight",Healthcare!$C1890&gt;=25,"overweight",Healthcare!$C1890&gt;=30,"obese")</f>
        <v>overweight</v>
      </c>
      <c r="E1890" s="5">
        <v>8.94</v>
      </c>
      <c r="F1890" s="5" t="str" cm="1">
        <f t="array" ref="F1890">_xlfn.IFS(Healthcare!$E1890&lt;5.7,"normal",Healthcare!$E1890&lt;=6.4,"prediabetes",Healthcare!$E1890&gt;=6.5,"diabetes")</f>
        <v>diabetes</v>
      </c>
      <c r="G1890" s="5" t="s">
        <v>19</v>
      </c>
      <c r="H1890" s="5" t="s">
        <v>19</v>
      </c>
      <c r="I1890" s="5" t="s">
        <v>19</v>
      </c>
      <c r="J1890" s="5">
        <v>0</v>
      </c>
      <c r="K1890" s="5" t="s">
        <v>19</v>
      </c>
      <c r="L1890" s="5" t="str">
        <f>VLOOKUP(Healthcare!$A1890,hospital_details,2,0)</f>
        <v>18-Oct-2002</v>
      </c>
      <c r="M1890" s="5">
        <f t="shared" ref="M1890:M1953" ca="1" si="11325">VLOOKUP(A1890,hospital_details,3,0)</f>
        <v>24</v>
      </c>
      <c r="N1890" s="5">
        <f t="shared" ref="N1890:N1953" si="11326">VLOOKUP($A1890,hospital_details,4,0)</f>
        <v>0</v>
      </c>
      <c r="O1890" s="6">
        <f t="shared" ref="O1890:O1953" si="11327">VLOOKUP($A1890,hospital_details,5,0)</f>
        <v>4070.51</v>
      </c>
      <c r="P1890" s="5" t="str">
        <f t="shared" ref="P1890:P1953" si="11328">VLOOKUP($A1890,hospital_details,6,0)</f>
        <v>tier - 2</v>
      </c>
      <c r="Q1890" s="5" t="str">
        <f t="shared" ref="Q1890:Q1953" si="11329">VLOOKUP($A1890,hospital_details,7,0)</f>
        <v>tier - 1</v>
      </c>
      <c r="R1890" s="5" t="str">
        <f t="shared" ref="R1890:R1953" si="11330">VLOOKUP($A1890,hospital_details,8,0)</f>
        <v>R1012</v>
      </c>
    </row>
    <row r="1891" spans="1:18" ht="14.4" customHeight="1" x14ac:dyDescent="0.3">
      <c r="A1891" s="7" t="s">
        <v>1911</v>
      </c>
      <c r="B1891" s="7" t="str">
        <f>VLOOKUP($A1891,[1]!Customer_Names[#Data],3,0)</f>
        <v xml:space="preserve">  Christina</v>
      </c>
      <c r="C1891" s="7">
        <v>16.510000000000002</v>
      </c>
      <c r="D1891" s="7" t="str" cm="1">
        <f t="array" ref="D1891">_xlfn.IFS(Healthcare!$C1891&lt;18.5,"under weight",Healthcare!$C1891&lt;=24.9,"Normal Weight",Healthcare!$C1891&gt;=25,"overweight",Healthcare!$C1891&gt;=30,"obese")</f>
        <v>under weight</v>
      </c>
      <c r="E1891" s="7">
        <v>4.42</v>
      </c>
      <c r="F1891" s="7" t="str" cm="1">
        <f t="array" ref="F1891">_xlfn.IFS(Healthcare!$E1891&lt;5.7,"normal",Healthcare!$E1891&lt;=6.4,"prediabetes",Healthcare!$E1891&gt;=6.5,"diabetes")</f>
        <v>normal</v>
      </c>
      <c r="G1891" s="7" t="s">
        <v>20</v>
      </c>
      <c r="H1891" s="7" t="s">
        <v>19</v>
      </c>
      <c r="I1891" s="7" t="s">
        <v>29</v>
      </c>
      <c r="J1891" s="7">
        <v>1</v>
      </c>
      <c r="K1891" s="7" t="s">
        <v>19</v>
      </c>
      <c r="L1891" s="7" t="str">
        <f>VLOOKUP(Healthcare!$A1891,hospital_details,2,0)</f>
        <v>16-Sep-1983</v>
      </c>
      <c r="M1891" s="7">
        <f t="shared" ref="M1891:M1954" ca="1" si="11331">VLOOKUP(A1891,hospital_details,3,0)</f>
        <v>43</v>
      </c>
      <c r="N1891" s="7">
        <f t="shared" ref="N1891:N1954" si="11332">VLOOKUP($A1891,hospital_details,4,0)</f>
        <v>3</v>
      </c>
      <c r="O1891" s="8">
        <f t="shared" ref="O1891:O1954" si="11333">VLOOKUP($A1891,hospital_details,5,0)</f>
        <v>4070.42</v>
      </c>
      <c r="P1891" s="7" t="str">
        <f t="shared" ref="P1891:P1954" si="11334">VLOOKUP($A1891,hospital_details,6,0)</f>
        <v>tier - 2</v>
      </c>
      <c r="Q1891" s="7" t="str">
        <f t="shared" ref="Q1891:Q1954" si="11335">VLOOKUP($A1891,hospital_details,7,0)</f>
        <v>tier - 1</v>
      </c>
      <c r="R1891" s="7" t="str">
        <f t="shared" ref="R1891:R1954" si="11336">VLOOKUP($A1891,hospital_details,8,0)</f>
        <v>R1013</v>
      </c>
    </row>
    <row r="1892" spans="1:18" ht="14.4" customHeight="1" x14ac:dyDescent="0.3">
      <c r="A1892" s="5" t="s">
        <v>1912</v>
      </c>
      <c r="B1892" s="5" t="str">
        <f>VLOOKUP($A1892,[1]!Customer_Names[#Data],3,0)</f>
        <v xml:space="preserve">  John</v>
      </c>
      <c r="C1892" s="5">
        <v>33.155000000000001</v>
      </c>
      <c r="D1892" s="5" t="str" cm="1">
        <f t="array" ref="D1892">_xlfn.IFS(Healthcare!$C1892&lt;18.5,"under weight",Healthcare!$C1892&lt;=24.9,"Normal Weight",Healthcare!$C1892&gt;=25,"overweight",Healthcare!$C1892&gt;=30,"obese")</f>
        <v>overweight</v>
      </c>
      <c r="E1892" s="5">
        <v>5.3</v>
      </c>
      <c r="F1892" s="5" t="str" cm="1">
        <f t="array" ref="F1892">_xlfn.IFS(Healthcare!$E1892&lt;5.7,"normal",Healthcare!$E1892&lt;=6.4,"prediabetes",Healthcare!$E1892&gt;=6.5,"diabetes")</f>
        <v>normal</v>
      </c>
      <c r="G1892" s="5" t="s">
        <v>20</v>
      </c>
      <c r="H1892" s="5" t="s">
        <v>19</v>
      </c>
      <c r="I1892" s="5" t="s">
        <v>19</v>
      </c>
      <c r="J1892" s="5">
        <v>1</v>
      </c>
      <c r="K1892" s="5" t="s">
        <v>19</v>
      </c>
      <c r="L1892" s="5" t="str">
        <f>VLOOKUP(Healthcare!$A1892,hospital_details,2,0)</f>
        <v>14-Sep-1995</v>
      </c>
      <c r="M1892" s="5">
        <f t="shared" ref="M1892:M1955" ca="1" si="11337">VLOOKUP(A1892,hospital_details,3,0)</f>
        <v>31</v>
      </c>
      <c r="N1892" s="5">
        <f t="shared" ref="N1892:N1955" si="11338">VLOOKUP($A1892,hospital_details,4,0)</f>
        <v>2</v>
      </c>
      <c r="O1892" s="6">
        <f t="shared" ref="O1892:O1955" si="11339">VLOOKUP($A1892,hospital_details,5,0)</f>
        <v>4058.71</v>
      </c>
      <c r="P1892" s="5" t="str">
        <f t="shared" ref="P1892:P1955" si="11340">VLOOKUP($A1892,hospital_details,6,0)</f>
        <v>tier - 3</v>
      </c>
      <c r="Q1892" s="5" t="str">
        <f t="shared" ref="Q1892:Q1955" si="11341">VLOOKUP($A1892,hospital_details,7,0)</f>
        <v>tier - 3</v>
      </c>
      <c r="R1892" s="5" t="str">
        <f t="shared" ref="R1892:R1955" si="11342">VLOOKUP($A1892,hospital_details,8,0)</f>
        <v>R1012</v>
      </c>
    </row>
    <row r="1893" spans="1:18" ht="14.4" customHeight="1" x14ac:dyDescent="0.3">
      <c r="A1893" s="7" t="s">
        <v>1913</v>
      </c>
      <c r="B1893" s="7" t="str">
        <f>VLOOKUP($A1893,[1]!Customer_Names[#Data],3,0)</f>
        <v xml:space="preserve">  Eduardo</v>
      </c>
      <c r="C1893" s="7">
        <v>37.29</v>
      </c>
      <c r="D1893" s="7" t="str" cm="1">
        <f t="array" ref="D1893">_xlfn.IFS(Healthcare!$C1893&lt;18.5,"under weight",Healthcare!$C1893&lt;=24.9,"Normal Weight",Healthcare!$C1893&gt;=25,"overweight",Healthcare!$C1893&gt;=30,"obese")</f>
        <v>overweight</v>
      </c>
      <c r="E1893" s="7">
        <v>4.6399999999999997</v>
      </c>
      <c r="F1893" s="7" t="str" cm="1">
        <f t="array" ref="F1893">_xlfn.IFS(Healthcare!$E1893&lt;5.7,"normal",Healthcare!$E1893&lt;=6.4,"prediabetes",Healthcare!$E1893&gt;=6.5,"diabetes")</f>
        <v>normal</v>
      </c>
      <c r="G1893" s="7" t="s">
        <v>19</v>
      </c>
      <c r="H1893" s="7" t="s">
        <v>19</v>
      </c>
      <c r="I1893" s="7" t="s">
        <v>29</v>
      </c>
      <c r="J1893" s="7">
        <v>1</v>
      </c>
      <c r="K1893" s="7" t="s">
        <v>19</v>
      </c>
      <c r="L1893" s="7" t="str">
        <f>VLOOKUP(Healthcare!$A1893,hospital_details,2,0)</f>
        <v>13-Aug-1993</v>
      </c>
      <c r="M1893" s="7">
        <f t="shared" ref="M1893:M1956" ca="1" si="11343">VLOOKUP(A1893,hospital_details,3,0)</f>
        <v>33</v>
      </c>
      <c r="N1893" s="7">
        <f t="shared" ref="N1893:N1956" si="11344">VLOOKUP($A1893,hospital_details,4,0)</f>
        <v>2</v>
      </c>
      <c r="O1893" s="8">
        <f t="shared" ref="O1893:O1956" si="11345">VLOOKUP($A1893,hospital_details,5,0)</f>
        <v>4058.12</v>
      </c>
      <c r="P1893" s="7" t="str">
        <f t="shared" ref="P1893:P1956" si="11346">VLOOKUP($A1893,hospital_details,6,0)</f>
        <v>tier - 2</v>
      </c>
      <c r="Q1893" s="7" t="str">
        <f t="shared" ref="Q1893:Q1956" si="11347">VLOOKUP($A1893,hospital_details,7,0)</f>
        <v>tier - 1</v>
      </c>
      <c r="R1893" s="7" t="str">
        <f t="shared" ref="R1893:R1956" si="11348">VLOOKUP($A1893,hospital_details,8,0)</f>
        <v>R1013</v>
      </c>
    </row>
    <row r="1894" spans="1:18" ht="14.4" customHeight="1" x14ac:dyDescent="0.3">
      <c r="A1894" s="5" t="s">
        <v>1914</v>
      </c>
      <c r="B1894" s="5" t="str">
        <f>VLOOKUP($A1894,[1]!Customer_Names[#Data],3,0)</f>
        <v xml:space="preserve">  Laura M</v>
      </c>
      <c r="C1894" s="5">
        <v>20.23</v>
      </c>
      <c r="D1894" s="5" t="str" cm="1">
        <f t="array" ref="D1894">_xlfn.IFS(Healthcare!$C1894&lt;18.5,"under weight",Healthcare!$C1894&lt;=24.9,"Normal Weight",Healthcare!$C1894&gt;=25,"overweight",Healthcare!$C1894&gt;=30,"obese")</f>
        <v>Normal Weight</v>
      </c>
      <c r="E1894" s="5">
        <v>6.16</v>
      </c>
      <c r="F1894" s="5" t="str" cm="1">
        <f t="array" ref="F1894">_xlfn.IFS(Healthcare!$E1894&lt;5.7,"normal",Healthcare!$E1894&lt;=6.4,"prediabetes",Healthcare!$E1894&gt;=6.5,"diabetes")</f>
        <v>prediabetes</v>
      </c>
      <c r="G1894" s="5" t="s">
        <v>20</v>
      </c>
      <c r="H1894" s="5" t="s">
        <v>19</v>
      </c>
      <c r="I1894" s="5" t="s">
        <v>19</v>
      </c>
      <c r="J1894" s="5">
        <v>1</v>
      </c>
      <c r="K1894" s="5" t="s">
        <v>19</v>
      </c>
      <c r="L1894" s="5" t="str">
        <f>VLOOKUP(Healthcare!$A1894,hospital_details,2,0)</f>
        <v>30-Nov-1988</v>
      </c>
      <c r="M1894" s="5">
        <f t="shared" ref="M1894:M1957" ca="1" si="11349">VLOOKUP(A1894,hospital_details,3,0)</f>
        <v>37</v>
      </c>
      <c r="N1894" s="5">
        <f t="shared" ref="N1894:N1957" si="11350">VLOOKUP($A1894,hospital_details,4,0)</f>
        <v>3</v>
      </c>
      <c r="O1894" s="6">
        <f t="shared" ref="O1894:O1957" si="11351">VLOOKUP($A1894,hospital_details,5,0)</f>
        <v>4047.94</v>
      </c>
      <c r="P1894" s="5" t="str">
        <f t="shared" ref="P1894:P1957" si="11352">VLOOKUP($A1894,hospital_details,6,0)</f>
        <v>tier - 2</v>
      </c>
      <c r="Q1894" s="5" t="str">
        <f t="shared" ref="Q1894:Q1957" si="11353">VLOOKUP($A1894,hospital_details,7,0)</f>
        <v>tier - 1</v>
      </c>
      <c r="R1894" s="5" t="str">
        <f t="shared" ref="R1894:R1957" si="11354">VLOOKUP($A1894,hospital_details,8,0)</f>
        <v>R1013</v>
      </c>
    </row>
    <row r="1895" spans="1:18" ht="14.4" customHeight="1" x14ac:dyDescent="0.3">
      <c r="A1895" s="7" t="s">
        <v>1915</v>
      </c>
      <c r="B1895" s="7" t="str">
        <f>VLOOKUP($A1895,[1]!Customer_Names[#Data],3,0)</f>
        <v xml:space="preserve">  Charlie</v>
      </c>
      <c r="C1895" s="7">
        <v>28.975000000000001</v>
      </c>
      <c r="D1895" s="7" t="str" cm="1">
        <f t="array" ref="D1895">_xlfn.IFS(Healthcare!$C1895&lt;18.5,"under weight",Healthcare!$C1895&lt;=24.9,"Normal Weight",Healthcare!$C1895&gt;=25,"overweight",Healthcare!$C1895&gt;=30,"obese")</f>
        <v>overweight</v>
      </c>
      <c r="E1895" s="7">
        <v>4.12</v>
      </c>
      <c r="F1895" s="7" t="str" cm="1">
        <f t="array" ref="F1895">_xlfn.IFS(Healthcare!$E1895&lt;5.7,"normal",Healthcare!$E1895&lt;=6.4,"prediabetes",Healthcare!$E1895&gt;=6.5,"diabetes")</f>
        <v>normal</v>
      </c>
      <c r="G1895" s="7" t="s">
        <v>19</v>
      </c>
      <c r="H1895" s="7" t="s">
        <v>19</v>
      </c>
      <c r="I1895" s="7" t="s">
        <v>29</v>
      </c>
      <c r="J1895" s="7">
        <v>1</v>
      </c>
      <c r="K1895" s="7" t="s">
        <v>19</v>
      </c>
      <c r="L1895" s="7" t="str">
        <f>VLOOKUP(Healthcare!$A1895,hospital_details,2,0)</f>
        <v>26-Dec-1993</v>
      </c>
      <c r="M1895" s="7">
        <f t="shared" ref="M1895:M1958" ca="1" si="11355">VLOOKUP(A1895,hospital_details,3,0)</f>
        <v>32</v>
      </c>
      <c r="N1895" s="7">
        <f t="shared" ref="N1895:N1958" si="11356">VLOOKUP($A1895,hospital_details,4,0)</f>
        <v>1</v>
      </c>
      <c r="O1895" s="8">
        <f t="shared" ref="O1895:O1958" si="11357">VLOOKUP($A1895,hospital_details,5,0)</f>
        <v>4040.56</v>
      </c>
      <c r="P1895" s="7" t="str">
        <f t="shared" ref="P1895:P1958" si="11358">VLOOKUP($A1895,hospital_details,6,0)</f>
        <v>tier - 3</v>
      </c>
      <c r="Q1895" s="7" t="str">
        <f t="shared" ref="Q1895:Q1958" si="11359">VLOOKUP($A1895,hospital_details,7,0)</f>
        <v>tier - 3</v>
      </c>
      <c r="R1895" s="7" t="str">
        <f t="shared" ref="R1895:R1958" si="11360">VLOOKUP($A1895,hospital_details,8,0)</f>
        <v>R1015</v>
      </c>
    </row>
    <row r="1896" spans="1:18" ht="14.4" customHeight="1" x14ac:dyDescent="0.3">
      <c r="A1896" s="5" t="s">
        <v>1916</v>
      </c>
      <c r="B1896" s="5" t="str">
        <f>VLOOKUP($A1896,[1]!Customer_Names[#Data],3,0)</f>
        <v xml:space="preserve">  Melissa D</v>
      </c>
      <c r="C1896" s="5">
        <v>16.420000000000002</v>
      </c>
      <c r="D1896" s="5" t="str" cm="1">
        <f t="array" ref="D1896">_xlfn.IFS(Healthcare!$C1896&lt;18.5,"under weight",Healthcare!$C1896&lt;=24.9,"Normal Weight",Healthcare!$C1896&gt;=25,"overweight",Healthcare!$C1896&gt;=30,"obese")</f>
        <v>under weight</v>
      </c>
      <c r="E1896" s="5">
        <v>5.77</v>
      </c>
      <c r="F1896" s="5" t="str" cm="1">
        <f t="array" ref="F1896">_xlfn.IFS(Healthcare!$E1896&lt;5.7,"normal",Healthcare!$E1896&lt;=6.4,"prediabetes",Healthcare!$E1896&gt;=6.5,"diabetes")</f>
        <v>prediabetes</v>
      </c>
      <c r="G1896" s="5" t="s">
        <v>20</v>
      </c>
      <c r="H1896" s="5" t="s">
        <v>19</v>
      </c>
      <c r="I1896" s="5" t="s">
        <v>29</v>
      </c>
      <c r="J1896" s="5">
        <v>1</v>
      </c>
      <c r="K1896" s="5" t="s">
        <v>19</v>
      </c>
      <c r="L1896" s="5" t="str">
        <f>VLOOKUP(Healthcare!$A1896,hospital_details,2,0)</f>
        <v>10-Nov-1983</v>
      </c>
      <c r="M1896" s="5">
        <f t="shared" ref="M1896:M1959" ca="1" si="11361">VLOOKUP(A1896,hospital_details,3,0)</f>
        <v>42</v>
      </c>
      <c r="N1896" s="5">
        <f t="shared" ref="N1896:N1959" si="11362">VLOOKUP($A1896,hospital_details,4,0)</f>
        <v>3</v>
      </c>
      <c r="O1896" s="6">
        <f t="shared" ref="O1896:O1959" si="11363">VLOOKUP($A1896,hospital_details,5,0)</f>
        <v>4039.9</v>
      </c>
      <c r="P1896" s="5" t="str">
        <f t="shared" ref="P1896:P1959" si="11364">VLOOKUP($A1896,hospital_details,6,0)</f>
        <v>tier - 2</v>
      </c>
      <c r="Q1896" s="5" t="str">
        <f t="shared" ref="Q1896:Q1959" si="11365">VLOOKUP($A1896,hospital_details,7,0)</f>
        <v>tier - 1</v>
      </c>
      <c r="R1896" s="5" t="str">
        <f t="shared" ref="R1896:R1959" si="11366">VLOOKUP($A1896,hospital_details,8,0)</f>
        <v>R1013</v>
      </c>
    </row>
    <row r="1897" spans="1:18" ht="14.4" customHeight="1" x14ac:dyDescent="0.3">
      <c r="A1897" s="7" t="s">
        <v>1917</v>
      </c>
      <c r="B1897" s="7" t="str">
        <f>VLOOKUP($A1897,[1]!Customer_Names[#Data],3,0)</f>
        <v xml:space="preserve">  Dan C</v>
      </c>
      <c r="C1897" s="7">
        <v>17.559999999999999</v>
      </c>
      <c r="D1897" s="7" t="str" cm="1">
        <f t="array" ref="D1897">_xlfn.IFS(Healthcare!$C1897&lt;18.5,"under weight",Healthcare!$C1897&lt;=24.9,"Normal Weight",Healthcare!$C1897&gt;=25,"overweight",Healthcare!$C1897&gt;=30,"obese")</f>
        <v>under weight</v>
      </c>
      <c r="E1897" s="7">
        <v>6.2</v>
      </c>
      <c r="F1897" s="7" t="str" cm="1">
        <f t="array" ref="F1897">_xlfn.IFS(Healthcare!$E1897&lt;5.7,"normal",Healthcare!$E1897&lt;=6.4,"prediabetes",Healthcare!$E1897&gt;=6.5,"diabetes")</f>
        <v>prediabetes</v>
      </c>
      <c r="G1897" s="7" t="s">
        <v>19</v>
      </c>
      <c r="H1897" s="7" t="s">
        <v>19</v>
      </c>
      <c r="I1897" s="7" t="s">
        <v>19</v>
      </c>
      <c r="J1897" s="7">
        <v>1</v>
      </c>
      <c r="K1897" s="7" t="s">
        <v>19</v>
      </c>
      <c r="L1897" s="7" t="str">
        <f>VLOOKUP(Healthcare!$A1897,hospital_details,2,0)</f>
        <v>7-Jul-1984</v>
      </c>
      <c r="M1897" s="7">
        <f t="shared" ref="M1897:M1960" ca="1" si="11367">VLOOKUP(A1897,hospital_details,3,0)</f>
        <v>42</v>
      </c>
      <c r="N1897" s="7">
        <f t="shared" ref="N1897:N1960" si="11368">VLOOKUP($A1897,hospital_details,4,0)</f>
        <v>3</v>
      </c>
      <c r="O1897" s="8">
        <f t="shared" ref="O1897:O1960" si="11369">VLOOKUP($A1897,hospital_details,5,0)</f>
        <v>4038.41</v>
      </c>
      <c r="P1897" s="7" t="str">
        <f t="shared" ref="P1897:P1960" si="11370">VLOOKUP($A1897,hospital_details,6,0)</f>
        <v>tier - 2</v>
      </c>
      <c r="Q1897" s="7" t="str">
        <f t="shared" ref="Q1897:Q1960" si="11371">VLOOKUP($A1897,hospital_details,7,0)</f>
        <v>tier - 1</v>
      </c>
      <c r="R1897" s="7" t="str">
        <f t="shared" ref="R1897:R1960" si="11372">VLOOKUP($A1897,hospital_details,8,0)</f>
        <v>R1013</v>
      </c>
    </row>
    <row r="1898" spans="1:18" ht="14.4" customHeight="1" x14ac:dyDescent="0.3">
      <c r="A1898" s="5" t="s">
        <v>1918</v>
      </c>
      <c r="B1898" s="5" t="str">
        <f>VLOOKUP($A1898,[1]!Customer_Names[#Data],3,0)</f>
        <v xml:space="preserve">  Matthew</v>
      </c>
      <c r="C1898" s="5">
        <v>24.13</v>
      </c>
      <c r="D1898" s="5" t="str" cm="1">
        <f t="array" ref="D1898">_xlfn.IFS(Healthcare!$C1898&lt;18.5,"under weight",Healthcare!$C1898&lt;=24.9,"Normal Weight",Healthcare!$C1898&gt;=25,"overweight",Healthcare!$C1898&gt;=30,"obese")</f>
        <v>Normal Weight</v>
      </c>
      <c r="E1898" s="5">
        <v>4.3899999999999997</v>
      </c>
      <c r="F1898" s="5" t="str" cm="1">
        <f t="array" ref="F1898">_xlfn.IFS(Healthcare!$E1898&lt;5.7,"normal",Healthcare!$E1898&lt;=6.4,"prediabetes",Healthcare!$E1898&gt;=6.5,"diabetes")</f>
        <v>normal</v>
      </c>
      <c r="G1898" s="5" t="s">
        <v>19</v>
      </c>
      <c r="H1898" s="5" t="s">
        <v>19</v>
      </c>
      <c r="I1898" s="5" t="s">
        <v>19</v>
      </c>
      <c r="J1898" s="5">
        <v>1</v>
      </c>
      <c r="K1898" s="5" t="s">
        <v>19</v>
      </c>
      <c r="L1898" s="5" t="str">
        <f>VLOOKUP(Healthcare!$A1898,hospital_details,2,0)</f>
        <v>11-Oct-1992</v>
      </c>
      <c r="M1898" s="5">
        <f t="shared" ref="M1898:M1961" ca="1" si="11373">VLOOKUP(A1898,hospital_details,3,0)</f>
        <v>34</v>
      </c>
      <c r="N1898" s="5">
        <f t="shared" ref="N1898:N1961" si="11374">VLOOKUP($A1898,hospital_details,4,0)</f>
        <v>1</v>
      </c>
      <c r="O1898" s="6">
        <f t="shared" ref="O1898:O1961" si="11375">VLOOKUP($A1898,hospital_details,5,0)</f>
        <v>4032.24</v>
      </c>
      <c r="P1898" s="5" t="str">
        <f t="shared" ref="P1898:P1961" si="11376">VLOOKUP($A1898,hospital_details,6,0)</f>
        <v>tier - 3</v>
      </c>
      <c r="Q1898" s="5" t="str">
        <f t="shared" ref="Q1898:Q1961" si="11377">VLOOKUP($A1898,hospital_details,7,0)</f>
        <v>tier - 3</v>
      </c>
      <c r="R1898" s="5" t="str">
        <f t="shared" ref="R1898:R1961" si="11378">VLOOKUP($A1898,hospital_details,8,0)</f>
        <v>R1012</v>
      </c>
    </row>
    <row r="1899" spans="1:18" ht="14.4" customHeight="1" x14ac:dyDescent="0.3">
      <c r="A1899" s="7" t="s">
        <v>1919</v>
      </c>
      <c r="B1899" s="7" t="str">
        <f>VLOOKUP($A1899,[1]!Customer_Names[#Data],3,0)</f>
        <v xml:space="preserve">  Wesley C</v>
      </c>
      <c r="C1899" s="7">
        <v>19.95</v>
      </c>
      <c r="D1899" s="7" t="str" cm="1">
        <f t="array" ref="D1899">_xlfn.IFS(Healthcare!$C1899&lt;18.5,"under weight",Healthcare!$C1899&lt;=24.9,"Normal Weight",Healthcare!$C1899&gt;=25,"overweight",Healthcare!$C1899&gt;=30,"obese")</f>
        <v>Normal Weight</v>
      </c>
      <c r="E1899" s="7">
        <v>5.13</v>
      </c>
      <c r="F1899" s="7" t="str" cm="1">
        <f t="array" ref="F1899">_xlfn.IFS(Healthcare!$E1899&lt;5.7,"normal",Healthcare!$E1899&lt;=6.4,"prediabetes",Healthcare!$E1899&gt;=6.5,"diabetes")</f>
        <v>normal</v>
      </c>
      <c r="G1899" s="7" t="s">
        <v>19</v>
      </c>
      <c r="H1899" s="7" t="s">
        <v>20</v>
      </c>
      <c r="I1899" s="7" t="s">
        <v>19</v>
      </c>
      <c r="J1899" s="7">
        <v>2</v>
      </c>
      <c r="K1899" s="7" t="s">
        <v>19</v>
      </c>
      <c r="L1899" s="7" t="str">
        <f>VLOOKUP(Healthcare!$A1899,hospital_details,2,0)</f>
        <v>13-Sep-2000</v>
      </c>
      <c r="M1899" s="7">
        <f t="shared" ref="M1899:M1962" ca="1" si="11379">VLOOKUP(A1899,hospital_details,3,0)</f>
        <v>26</v>
      </c>
      <c r="N1899" s="7">
        <f t="shared" ref="N1899:N1962" si="11380">VLOOKUP($A1899,hospital_details,4,0)</f>
        <v>3</v>
      </c>
      <c r="O1899" s="8">
        <f t="shared" ref="O1899:O1962" si="11381">VLOOKUP($A1899,hospital_details,5,0)</f>
        <v>4005.42</v>
      </c>
      <c r="P1899" s="7" t="str">
        <f t="shared" ref="P1899:P1962" si="11382">VLOOKUP($A1899,hospital_details,6,0)</f>
        <v>tier - 2</v>
      </c>
      <c r="Q1899" s="7" t="str">
        <f t="shared" ref="Q1899:Q1962" si="11383">VLOOKUP($A1899,hospital_details,7,0)</f>
        <v>tier - 1</v>
      </c>
      <c r="R1899" s="7" t="str">
        <f t="shared" ref="R1899:R1962" si="11384">VLOOKUP($A1899,hospital_details,8,0)</f>
        <v>R1015</v>
      </c>
    </row>
    <row r="1900" spans="1:18" ht="14.4" customHeight="1" x14ac:dyDescent="0.3">
      <c r="A1900" s="5" t="s">
        <v>1920</v>
      </c>
      <c r="B1900" s="5" t="str">
        <f>VLOOKUP($A1900,[1]!Customer_Names[#Data],3,0)</f>
        <v xml:space="preserve">  Christopher</v>
      </c>
      <c r="C1900" s="5">
        <v>21.24</v>
      </c>
      <c r="D1900" s="5" t="str" cm="1">
        <f t="array" ref="D1900">_xlfn.IFS(Healthcare!$C1900&lt;18.5,"under weight",Healthcare!$C1900&lt;=24.9,"Normal Weight",Healthcare!$C1900&gt;=25,"overweight",Healthcare!$C1900&gt;=30,"obese")</f>
        <v>Normal Weight</v>
      </c>
      <c r="E1900" s="5">
        <v>4.49</v>
      </c>
      <c r="F1900" s="5" t="str" cm="1">
        <f t="array" ref="F1900">_xlfn.IFS(Healthcare!$E1900&lt;5.7,"normal",Healthcare!$E1900&lt;=6.4,"prediabetes",Healthcare!$E1900&gt;=6.5,"diabetes")</f>
        <v>normal</v>
      </c>
      <c r="G1900" s="5" t="s">
        <v>19</v>
      </c>
      <c r="H1900" s="5" t="s">
        <v>19</v>
      </c>
      <c r="I1900" s="5" t="s">
        <v>19</v>
      </c>
      <c r="J1900" s="5">
        <v>0</v>
      </c>
      <c r="K1900" s="5" t="s">
        <v>19</v>
      </c>
      <c r="L1900" s="5" t="str">
        <f>VLOOKUP(Healthcare!$A1900,hospital_details,2,0)</f>
        <v>10-Jul-1989</v>
      </c>
      <c r="M1900" s="5">
        <f t="shared" ref="M1900:M1963" ca="1" si="11385">VLOOKUP(A1900,hospital_details,3,0)</f>
        <v>37</v>
      </c>
      <c r="N1900" s="5">
        <f t="shared" ref="N1900:N1963" si="11386">VLOOKUP($A1900,hospital_details,4,0)</f>
        <v>3</v>
      </c>
      <c r="O1900" s="6">
        <f t="shared" ref="O1900:O1963" si="11387">VLOOKUP($A1900,hospital_details,5,0)</f>
        <v>4002.36</v>
      </c>
      <c r="P1900" s="5" t="str">
        <f t="shared" ref="P1900:P1963" si="11388">VLOOKUP($A1900,hospital_details,6,0)</f>
        <v>tier - 2</v>
      </c>
      <c r="Q1900" s="5" t="str">
        <f t="shared" ref="Q1900:Q1963" si="11389">VLOOKUP($A1900,hospital_details,7,0)</f>
        <v>tier - 1</v>
      </c>
      <c r="R1900" s="5" t="str">
        <f t="shared" ref="R1900:R1963" si="11390">VLOOKUP($A1900,hospital_details,8,0)</f>
        <v>R1013</v>
      </c>
    </row>
    <row r="1901" spans="1:18" ht="14.4" customHeight="1" x14ac:dyDescent="0.3">
      <c r="A1901" s="7" t="s">
        <v>1921</v>
      </c>
      <c r="B1901" s="7" t="str">
        <f>VLOOKUP($A1901,[1]!Customer_Names[#Data],3,0)</f>
        <v xml:space="preserve">  Jessica</v>
      </c>
      <c r="C1901" s="7">
        <v>44.22</v>
      </c>
      <c r="D1901" s="7" t="str" cm="1">
        <f t="array" ref="D1901">_xlfn.IFS(Healthcare!$C1901&lt;18.5,"under weight",Healthcare!$C1901&lt;=24.9,"Normal Weight",Healthcare!$C1901&gt;=25,"overweight",Healthcare!$C1901&gt;=30,"obese")</f>
        <v>overweight</v>
      </c>
      <c r="E1901" s="7">
        <v>6.35</v>
      </c>
      <c r="F1901" s="7" t="str" cm="1">
        <f t="array" ref="F1901">_xlfn.IFS(Healthcare!$E1901&lt;5.7,"normal",Healthcare!$E1901&lt;=6.4,"prediabetes",Healthcare!$E1901&gt;=6.5,"diabetes")</f>
        <v>prediabetes</v>
      </c>
      <c r="G1901" s="7" t="s">
        <v>19</v>
      </c>
      <c r="H1901" s="7" t="s">
        <v>19</v>
      </c>
      <c r="I1901" s="7" t="s">
        <v>19</v>
      </c>
      <c r="J1901" s="7">
        <v>0</v>
      </c>
      <c r="K1901" s="7" t="s">
        <v>19</v>
      </c>
      <c r="L1901" s="7" t="str">
        <f>VLOOKUP(Healthcare!$A1901,hospital_details,2,0)</f>
        <v>1-Nov-1990</v>
      </c>
      <c r="M1901" s="7">
        <f t="shared" ref="M1901:M1964" ca="1" si="11391">VLOOKUP(A1901,hospital_details,3,0)</f>
        <v>35</v>
      </c>
      <c r="N1901" s="7">
        <f t="shared" ref="N1901:N1964" si="11392">VLOOKUP($A1901,hospital_details,4,0)</f>
        <v>0</v>
      </c>
      <c r="O1901" s="8">
        <f t="shared" ref="O1901:O1964" si="11393">VLOOKUP($A1901,hospital_details,5,0)</f>
        <v>3994.18</v>
      </c>
      <c r="P1901" s="7" t="str">
        <f t="shared" ref="P1901:P1964" si="11394">VLOOKUP($A1901,hospital_details,6,0)</f>
        <v>tier - 2</v>
      </c>
      <c r="Q1901" s="7" t="str">
        <f t="shared" ref="Q1901:Q1964" si="11395">VLOOKUP($A1901,hospital_details,7,0)</f>
        <v>tier - 2</v>
      </c>
      <c r="R1901" s="7" t="str">
        <f t="shared" ref="R1901:R1964" si="11396">VLOOKUP($A1901,hospital_details,8,0)</f>
        <v>R1013</v>
      </c>
    </row>
    <row r="1902" spans="1:18" ht="14.4" customHeight="1" x14ac:dyDescent="0.3">
      <c r="A1902" s="5" t="s">
        <v>1922</v>
      </c>
      <c r="B1902" s="5" t="str">
        <f>VLOOKUP($A1902,[1]!Customer_Names[#Data],3,0)</f>
        <v xml:space="preserve">  Christin</v>
      </c>
      <c r="C1902" s="5">
        <v>41.1</v>
      </c>
      <c r="D1902" s="5" t="str" cm="1">
        <f t="array" ref="D1902">_xlfn.IFS(Healthcare!$C1902&lt;18.5,"under weight",Healthcare!$C1902&lt;=24.9,"Normal Weight",Healthcare!$C1902&gt;=25,"overweight",Healthcare!$C1902&gt;=30,"obese")</f>
        <v>overweight</v>
      </c>
      <c r="E1902" s="5">
        <v>5.79</v>
      </c>
      <c r="F1902" s="5" t="str" cm="1">
        <f t="array" ref="F1902">_xlfn.IFS(Healthcare!$E1902&lt;5.7,"normal",Healthcare!$E1902&lt;=6.4,"prediabetes",Healthcare!$E1902&gt;=6.5,"diabetes")</f>
        <v>prediabetes</v>
      </c>
      <c r="G1902" s="5" t="s">
        <v>19</v>
      </c>
      <c r="H1902" s="5" t="s">
        <v>19</v>
      </c>
      <c r="I1902" s="5" t="s">
        <v>19</v>
      </c>
      <c r="J1902" s="5">
        <v>0</v>
      </c>
      <c r="K1902" s="5" t="s">
        <v>19</v>
      </c>
      <c r="L1902" s="5" t="str">
        <f>VLOOKUP(Healthcare!$A1902,hospital_details,2,0)</f>
        <v>22-Nov-1990</v>
      </c>
      <c r="M1902" s="5">
        <f t="shared" ref="M1902:M1965" ca="1" si="11397">VLOOKUP(A1902,hospital_details,3,0)</f>
        <v>35</v>
      </c>
      <c r="N1902" s="5">
        <f t="shared" ref="N1902:N1965" si="11398">VLOOKUP($A1902,hospital_details,4,0)</f>
        <v>0</v>
      </c>
      <c r="O1902" s="6">
        <f t="shared" ref="O1902:O1965" si="11399">VLOOKUP($A1902,hospital_details,5,0)</f>
        <v>3989.84</v>
      </c>
      <c r="P1902" s="5" t="str">
        <f t="shared" ref="P1902:P1965" si="11400">VLOOKUP($A1902,hospital_details,6,0)</f>
        <v>tier - 2</v>
      </c>
      <c r="Q1902" s="5" t="str">
        <f t="shared" ref="Q1902:Q1965" si="11401">VLOOKUP($A1902,hospital_details,7,0)</f>
        <v>tier - 2</v>
      </c>
      <c r="R1902" s="5" t="str">
        <f t="shared" ref="R1902:R1965" si="11402">VLOOKUP($A1902,hospital_details,8,0)</f>
        <v>R1011</v>
      </c>
    </row>
    <row r="1903" spans="1:18" ht="14.4" customHeight="1" x14ac:dyDescent="0.3">
      <c r="A1903" s="7" t="s">
        <v>1923</v>
      </c>
      <c r="B1903" s="7" t="str">
        <f>VLOOKUP($A1903,[1]!Customer_Names[#Data],3,0)</f>
        <v xml:space="preserve">  Sara</v>
      </c>
      <c r="C1903" s="7">
        <v>34.200000000000003</v>
      </c>
      <c r="D1903" s="7" t="str" cm="1">
        <f t="array" ref="D1903">_xlfn.IFS(Healthcare!$C1903&lt;18.5,"under weight",Healthcare!$C1903&lt;=24.9,"Normal Weight",Healthcare!$C1903&gt;=25,"overweight",Healthcare!$C1903&gt;=30,"obese")</f>
        <v>overweight</v>
      </c>
      <c r="E1903" s="7">
        <v>4.78</v>
      </c>
      <c r="F1903" s="7" t="str" cm="1">
        <f t="array" ref="F1903">_xlfn.IFS(Healthcare!$E1903&lt;5.7,"normal",Healthcare!$E1903&lt;=6.4,"prediabetes",Healthcare!$E1903&gt;=6.5,"diabetes")</f>
        <v>normal</v>
      </c>
      <c r="G1903" s="7" t="s">
        <v>20</v>
      </c>
      <c r="H1903" s="7" t="s">
        <v>19</v>
      </c>
      <c r="I1903" s="7" t="s">
        <v>19</v>
      </c>
      <c r="J1903" s="7">
        <v>0</v>
      </c>
      <c r="K1903" s="7" t="s">
        <v>19</v>
      </c>
      <c r="L1903" s="7" t="str">
        <f>VLOOKUP(Healthcare!$A1903,hospital_details,2,0)</f>
        <v>8-Sep-1996</v>
      </c>
      <c r="M1903" s="7">
        <f t="shared" ref="M1903:M1966" ca="1" si="11403">VLOOKUP(A1903,hospital_details,3,0)</f>
        <v>30</v>
      </c>
      <c r="N1903" s="7">
        <f t="shared" ref="N1903:N1966" si="11404">VLOOKUP($A1903,hospital_details,4,0)</f>
        <v>2</v>
      </c>
      <c r="O1903" s="8">
        <f t="shared" ref="O1903:O1966" si="11405">VLOOKUP($A1903,hospital_details,5,0)</f>
        <v>3987.93</v>
      </c>
      <c r="P1903" s="7" t="str">
        <f t="shared" ref="P1903:P1966" si="11406">VLOOKUP($A1903,hospital_details,6,0)</f>
        <v>tier - 2</v>
      </c>
      <c r="Q1903" s="7" t="str">
        <f t="shared" ref="Q1903:Q1966" si="11407">VLOOKUP($A1903,hospital_details,7,0)</f>
        <v>tier - 2</v>
      </c>
      <c r="R1903" s="7" t="str">
        <f t="shared" ref="R1903:R1966" si="11408">VLOOKUP($A1903,hospital_details,8,0)</f>
        <v>R1011</v>
      </c>
    </row>
    <row r="1904" spans="1:18" ht="14.4" customHeight="1" x14ac:dyDescent="0.3">
      <c r="A1904" s="5" t="s">
        <v>1924</v>
      </c>
      <c r="B1904" s="5" t="str">
        <f>VLOOKUP($A1904,[1]!Customer_Names[#Data],3,0)</f>
        <v xml:space="preserve">  Elizabeth</v>
      </c>
      <c r="C1904" s="5">
        <v>29.92</v>
      </c>
      <c r="D1904" s="5" t="str" cm="1">
        <f t="array" ref="D1904">_xlfn.IFS(Healthcare!$C1904&lt;18.5,"under weight",Healthcare!$C1904&lt;=24.9,"Normal Weight",Healthcare!$C1904&gt;=25,"overweight",Healthcare!$C1904&gt;=30,"obese")</f>
        <v>overweight</v>
      </c>
      <c r="E1904" s="5">
        <v>6.02</v>
      </c>
      <c r="F1904" s="5" t="str" cm="1">
        <f t="array" ref="F1904">_xlfn.IFS(Healthcare!$E1904&lt;5.7,"normal",Healthcare!$E1904&lt;=6.4,"prediabetes",Healthcare!$E1904&gt;=6.5,"diabetes")</f>
        <v>prediabetes</v>
      </c>
      <c r="G1904" s="5" t="s">
        <v>20</v>
      </c>
      <c r="H1904" s="5" t="s">
        <v>19</v>
      </c>
      <c r="I1904" s="5" t="s">
        <v>19</v>
      </c>
      <c r="J1904" s="5">
        <v>0</v>
      </c>
      <c r="K1904" s="5" t="s">
        <v>19</v>
      </c>
      <c r="L1904" s="5" t="str">
        <f>VLOOKUP(Healthcare!$A1904,hospital_details,2,0)</f>
        <v>17-Aug-1996</v>
      </c>
      <c r="M1904" s="5">
        <f t="shared" ref="M1904:M1967" ca="1" si="11409">VLOOKUP(A1904,hospital_details,3,0)</f>
        <v>30</v>
      </c>
      <c r="N1904" s="5">
        <f t="shared" ref="N1904:N1967" si="11410">VLOOKUP($A1904,hospital_details,4,0)</f>
        <v>2</v>
      </c>
      <c r="O1904" s="6">
        <f t="shared" ref="O1904:O1967" si="11411">VLOOKUP($A1904,hospital_details,5,0)</f>
        <v>3981.98</v>
      </c>
      <c r="P1904" s="5" t="str">
        <f t="shared" ref="P1904:P1967" si="11412">VLOOKUP($A1904,hospital_details,6,0)</f>
        <v>tier - 2</v>
      </c>
      <c r="Q1904" s="5" t="str">
        <f t="shared" ref="Q1904:Q1967" si="11413">VLOOKUP($A1904,hospital_details,7,0)</f>
        <v>tier - 2</v>
      </c>
      <c r="R1904" s="5" t="str">
        <f t="shared" ref="R1904:R1967" si="11414">VLOOKUP($A1904,hospital_details,8,0)</f>
        <v>R1013</v>
      </c>
    </row>
    <row r="1905" spans="1:18" ht="14.4" customHeight="1" x14ac:dyDescent="0.3">
      <c r="A1905" s="7" t="s">
        <v>1925</v>
      </c>
      <c r="B1905" s="7" t="str">
        <f>VLOOKUP($A1905,[1]!Customer_Names[#Data],3,0)</f>
        <v xml:space="preserve">  Margaret P</v>
      </c>
      <c r="C1905" s="7">
        <v>28.93</v>
      </c>
      <c r="D1905" s="7" t="str" cm="1">
        <f t="array" ref="D1905">_xlfn.IFS(Healthcare!$C1905&lt;18.5,"under weight",Healthcare!$C1905&lt;=24.9,"Normal Weight",Healthcare!$C1905&gt;=25,"overweight",Healthcare!$C1905&gt;=30,"obese")</f>
        <v>overweight</v>
      </c>
      <c r="E1905" s="7">
        <v>4.4400000000000004</v>
      </c>
      <c r="F1905" s="7" t="str" cm="1">
        <f t="array" ref="F1905">_xlfn.IFS(Healthcare!$E1905&lt;5.7,"normal",Healthcare!$E1905&lt;=6.4,"prediabetes",Healthcare!$E1905&gt;=6.5,"diabetes")</f>
        <v>normal</v>
      </c>
      <c r="G1905" s="7" t="s">
        <v>19</v>
      </c>
      <c r="H1905" s="7" t="s">
        <v>19</v>
      </c>
      <c r="I1905" s="7" t="s">
        <v>19</v>
      </c>
      <c r="J1905" s="7">
        <v>0</v>
      </c>
      <c r="K1905" s="7" t="s">
        <v>19</v>
      </c>
      <c r="L1905" s="7" t="str">
        <f>VLOOKUP(Healthcare!$A1905,hospital_details,2,0)</f>
        <v>29-Jul-1990</v>
      </c>
      <c r="M1905" s="7">
        <f t="shared" ref="M1905:M1968" ca="1" si="11415">VLOOKUP(A1905,hospital_details,3,0)</f>
        <v>36</v>
      </c>
      <c r="N1905" s="7">
        <f t="shared" ref="N1905:N1968" si="11416">VLOOKUP($A1905,hospital_details,4,0)</f>
        <v>0</v>
      </c>
      <c r="O1905" s="8">
        <f t="shared" ref="O1905:O1968" si="11417">VLOOKUP($A1905,hospital_details,5,0)</f>
        <v>3972.92</v>
      </c>
      <c r="P1905" s="7" t="str">
        <f t="shared" ref="P1905:P1968" si="11418">VLOOKUP($A1905,hospital_details,6,0)</f>
        <v>tier - 2</v>
      </c>
      <c r="Q1905" s="7" t="str">
        <f t="shared" ref="Q1905:Q1968" si="11419">VLOOKUP($A1905,hospital_details,7,0)</f>
        <v>tier - 3</v>
      </c>
      <c r="R1905" s="7" t="str">
        <f t="shared" ref="R1905:R1968" si="11420">VLOOKUP($A1905,hospital_details,8,0)</f>
        <v>R1013</v>
      </c>
    </row>
    <row r="1906" spans="1:18" ht="14.4" customHeight="1" x14ac:dyDescent="0.3">
      <c r="A1906" s="5" t="s">
        <v>1926</v>
      </c>
      <c r="B1906" s="5" t="str">
        <f>VLOOKUP($A1906,[1]!Customer_Names[#Data],3,0)</f>
        <v xml:space="preserve">  Tiffany K</v>
      </c>
      <c r="C1906" s="5">
        <v>31.254999999999999</v>
      </c>
      <c r="D1906" s="5" t="str" cm="1">
        <f t="array" ref="D1906">_xlfn.IFS(Healthcare!$C1906&lt;18.5,"under weight",Healthcare!$C1906&lt;=24.9,"Normal Weight",Healthcare!$C1906&gt;=25,"overweight",Healthcare!$C1906&gt;=30,"obese")</f>
        <v>overweight</v>
      </c>
      <c r="E1906" s="5">
        <v>5.84</v>
      </c>
      <c r="F1906" s="5" t="str" cm="1">
        <f t="array" ref="F1906">_xlfn.IFS(Healthcare!$E1906&lt;5.7,"normal",Healthcare!$E1906&lt;=6.4,"prediabetes",Healthcare!$E1906&gt;=6.5,"diabetes")</f>
        <v>prediabetes</v>
      </c>
      <c r="G1906" s="5" t="s">
        <v>20</v>
      </c>
      <c r="H1906" s="5" t="s">
        <v>19</v>
      </c>
      <c r="I1906" s="5" t="s">
        <v>19</v>
      </c>
      <c r="J1906" s="5">
        <v>1</v>
      </c>
      <c r="K1906" s="5" t="s">
        <v>19</v>
      </c>
      <c r="L1906" s="5" t="str">
        <f>VLOOKUP(Healthcare!$A1906,hospital_details,2,0)</f>
        <v>11-Jul-1995</v>
      </c>
      <c r="M1906" s="5">
        <f t="shared" ref="M1906:M1969" ca="1" si="11421">VLOOKUP(A1906,hospital_details,3,0)</f>
        <v>31</v>
      </c>
      <c r="N1906" s="5">
        <f t="shared" ref="N1906:N1969" si="11422">VLOOKUP($A1906,hospital_details,4,0)</f>
        <v>1</v>
      </c>
      <c r="O1906" s="6">
        <f t="shared" ref="O1906:O1969" si="11423">VLOOKUP($A1906,hospital_details,5,0)</f>
        <v>3956.07</v>
      </c>
      <c r="P1906" s="5" t="str">
        <f t="shared" ref="P1906:P1969" si="11424">VLOOKUP($A1906,hospital_details,6,0)</f>
        <v>tier - 2</v>
      </c>
      <c r="Q1906" s="5" t="str">
        <f t="shared" ref="Q1906:Q1969" si="11425">VLOOKUP($A1906,hospital_details,7,0)</f>
        <v>tier - 2</v>
      </c>
      <c r="R1906" s="5" t="str">
        <f t="shared" ref="R1906:R1969" si="11426">VLOOKUP($A1906,hospital_details,8,0)</f>
        <v>R1012</v>
      </c>
    </row>
    <row r="1907" spans="1:18" ht="14.4" customHeight="1" x14ac:dyDescent="0.3">
      <c r="A1907" s="7" t="s">
        <v>1927</v>
      </c>
      <c r="B1907" s="7" t="str">
        <f>VLOOKUP($A1907,[1]!Customer_Names[#Data],3,0)</f>
        <v xml:space="preserve">  David M</v>
      </c>
      <c r="C1907" s="7">
        <v>29.83</v>
      </c>
      <c r="D1907" s="7" t="str" cm="1">
        <f t="array" ref="D1907">_xlfn.IFS(Healthcare!$C1907&lt;18.5,"under weight",Healthcare!$C1907&lt;=24.9,"Normal Weight",Healthcare!$C1907&gt;=25,"overweight",Healthcare!$C1907&gt;=30,"obese")</f>
        <v>overweight</v>
      </c>
      <c r="E1907" s="7">
        <v>5.39</v>
      </c>
      <c r="F1907" s="7" t="str" cm="1">
        <f t="array" ref="F1907">_xlfn.IFS(Healthcare!$E1907&lt;5.7,"normal",Healthcare!$E1907&lt;=6.4,"prediabetes",Healthcare!$E1907&gt;=6.5,"diabetes")</f>
        <v>normal</v>
      </c>
      <c r="G1907" s="7" t="s">
        <v>19</v>
      </c>
      <c r="H1907" s="7" t="s">
        <v>19</v>
      </c>
      <c r="I1907" s="7" t="s">
        <v>19</v>
      </c>
      <c r="J1907" s="7">
        <v>0</v>
      </c>
      <c r="K1907" s="7" t="s">
        <v>19</v>
      </c>
      <c r="L1907" s="7" t="str">
        <f>VLOOKUP(Healthcare!$A1907,hospital_details,2,0)</f>
        <v>10-Jul-1999</v>
      </c>
      <c r="M1907" s="7">
        <f t="shared" ref="M1907:M1970" ca="1" si="11427">VLOOKUP(A1907,hospital_details,3,0)</f>
        <v>27</v>
      </c>
      <c r="N1907" s="7">
        <f t="shared" ref="N1907:N1970" si="11428">VLOOKUP($A1907,hospital_details,4,0)</f>
        <v>0</v>
      </c>
      <c r="O1907" s="8">
        <f t="shared" ref="O1907:O1970" si="11429">VLOOKUP($A1907,hospital_details,5,0)</f>
        <v>3955.98</v>
      </c>
      <c r="P1907" s="7" t="str">
        <f t="shared" ref="P1907:P1970" si="11430">VLOOKUP($A1907,hospital_details,6,0)</f>
        <v>tier - 2</v>
      </c>
      <c r="Q1907" s="7" t="str">
        <f t="shared" ref="Q1907:Q1970" si="11431">VLOOKUP($A1907,hospital_details,7,0)</f>
        <v>tier - 3</v>
      </c>
      <c r="R1907" s="7" t="str">
        <f t="shared" ref="R1907:R1970" si="11432">VLOOKUP($A1907,hospital_details,8,0)</f>
        <v>R1021</v>
      </c>
    </row>
    <row r="1908" spans="1:18" ht="14.4" customHeight="1" x14ac:dyDescent="0.3">
      <c r="A1908" s="5" t="s">
        <v>1928</v>
      </c>
      <c r="B1908" s="5" t="str">
        <f>VLOOKUP($A1908,[1]!Customer_Names[#Data],3,0)</f>
        <v xml:space="preserve">  Christine E</v>
      </c>
      <c r="C1908" s="5">
        <v>29.59</v>
      </c>
      <c r="D1908" s="5" t="str" cm="1">
        <f t="array" ref="D1908">_xlfn.IFS(Healthcare!$C1908&lt;18.5,"under weight",Healthcare!$C1908&lt;=24.9,"Normal Weight",Healthcare!$C1908&gt;=25,"overweight",Healthcare!$C1908&gt;=30,"obese")</f>
        <v>overweight</v>
      </c>
      <c r="E1908" s="5">
        <v>6.16</v>
      </c>
      <c r="F1908" s="5" t="str" cm="1">
        <f t="array" ref="F1908">_xlfn.IFS(Healthcare!$E1908&lt;5.7,"normal",Healthcare!$E1908&lt;=6.4,"prediabetes",Healthcare!$E1908&gt;=6.5,"diabetes")</f>
        <v>prediabetes</v>
      </c>
      <c r="G1908" s="5" t="s">
        <v>19</v>
      </c>
      <c r="H1908" s="5" t="s">
        <v>19</v>
      </c>
      <c r="I1908" s="5" t="s">
        <v>29</v>
      </c>
      <c r="J1908" s="5">
        <v>1</v>
      </c>
      <c r="K1908" s="5" t="s">
        <v>19</v>
      </c>
      <c r="L1908" s="5" t="str">
        <f>VLOOKUP(Healthcare!$A1908,hospital_details,2,0)</f>
        <v>11-Nov-1993</v>
      </c>
      <c r="M1908" s="5">
        <f t="shared" ref="M1908:M1971" ca="1" si="11433">VLOOKUP(A1908,hospital_details,3,0)</f>
        <v>32</v>
      </c>
      <c r="N1908" s="5">
        <f t="shared" ref="N1908:N1971" si="11434">VLOOKUP($A1908,hospital_details,4,0)</f>
        <v>1</v>
      </c>
      <c r="O1908" s="6">
        <f t="shared" ref="O1908:O1971" si="11435">VLOOKUP($A1908,hospital_details,5,0)</f>
        <v>3947.41</v>
      </c>
      <c r="P1908" s="5" t="str">
        <f t="shared" ref="P1908:P1971" si="11436">VLOOKUP($A1908,hospital_details,6,0)</f>
        <v>tier - 2</v>
      </c>
      <c r="Q1908" s="5" t="str">
        <f t="shared" ref="Q1908:Q1971" si="11437">VLOOKUP($A1908,hospital_details,7,0)</f>
        <v>tier - 2</v>
      </c>
      <c r="R1908" s="5" t="str">
        <f t="shared" ref="R1908:R1971" si="11438">VLOOKUP($A1908,hospital_details,8,0)</f>
        <v>R1013</v>
      </c>
    </row>
    <row r="1909" spans="1:18" ht="14.4" customHeight="1" x14ac:dyDescent="0.3">
      <c r="A1909" s="7" t="s">
        <v>1929</v>
      </c>
      <c r="B1909" s="7" t="str">
        <f>VLOOKUP($A1909,[1]!Customer_Names[#Data],3,0)</f>
        <v xml:space="preserve">  Donna</v>
      </c>
      <c r="C1909" s="7">
        <v>31.16</v>
      </c>
      <c r="D1909" s="7" t="str" cm="1">
        <f t="array" ref="D1909">_xlfn.IFS(Healthcare!$C1909&lt;18.5,"under weight",Healthcare!$C1909&lt;=24.9,"Normal Weight",Healthcare!$C1909&gt;=25,"overweight",Healthcare!$C1909&gt;=30,"obese")</f>
        <v>overweight</v>
      </c>
      <c r="E1909" s="7">
        <v>4.49</v>
      </c>
      <c r="F1909" s="7" t="str" cm="1">
        <f t="array" ref="F1909">_xlfn.IFS(Healthcare!$E1909&lt;5.7,"normal",Healthcare!$E1909&lt;=6.4,"prediabetes",Healthcare!$E1909&gt;=6.5,"diabetes")</f>
        <v>normal</v>
      </c>
      <c r="G1909" s="7" t="s">
        <v>19</v>
      </c>
      <c r="H1909" s="7" t="s">
        <v>19</v>
      </c>
      <c r="I1909" s="7" t="s">
        <v>29</v>
      </c>
      <c r="J1909" s="7">
        <v>1</v>
      </c>
      <c r="K1909" s="7" t="s">
        <v>19</v>
      </c>
      <c r="L1909" s="7" t="str">
        <f>VLOOKUP(Healthcare!$A1909,hospital_details,2,0)</f>
        <v>29-Sep-1993</v>
      </c>
      <c r="M1909" s="7">
        <f t="shared" ref="M1909:M1972" ca="1" si="11439">VLOOKUP(A1909,hospital_details,3,0)</f>
        <v>33</v>
      </c>
      <c r="N1909" s="7">
        <f t="shared" ref="N1909:N1972" si="11440">VLOOKUP($A1909,hospital_details,4,0)</f>
        <v>0</v>
      </c>
      <c r="O1909" s="8">
        <f t="shared" ref="O1909:O1972" si="11441">VLOOKUP($A1909,hospital_details,5,0)</f>
        <v>3943.6</v>
      </c>
      <c r="P1909" s="7" t="str">
        <f t="shared" ref="P1909:P1972" si="11442">VLOOKUP($A1909,hospital_details,6,0)</f>
        <v>tier - 2</v>
      </c>
      <c r="Q1909" s="7" t="str">
        <f t="shared" ref="Q1909:Q1972" si="11443">VLOOKUP($A1909,hospital_details,7,0)</f>
        <v>tier - 3</v>
      </c>
      <c r="R1909" s="7" t="str">
        <f t="shared" ref="R1909:R1972" si="11444">VLOOKUP($A1909,hospital_details,8,0)</f>
        <v>R1024</v>
      </c>
    </row>
    <row r="1910" spans="1:18" ht="14.4" customHeight="1" x14ac:dyDescent="0.3">
      <c r="A1910" s="5" t="s">
        <v>1930</v>
      </c>
      <c r="B1910" s="5" t="str">
        <f>VLOOKUP($A1910,[1]!Customer_Names[#Data],3,0)</f>
        <v xml:space="preserve">  Rod</v>
      </c>
      <c r="C1910" s="5">
        <v>34.21</v>
      </c>
      <c r="D1910" s="5" t="str" cm="1">
        <f t="array" ref="D1910">_xlfn.IFS(Healthcare!$C1910&lt;18.5,"under weight",Healthcare!$C1910&lt;=24.9,"Normal Weight",Healthcare!$C1910&gt;=25,"overweight",Healthcare!$C1910&gt;=30,"obese")</f>
        <v>overweight</v>
      </c>
      <c r="E1910" s="5">
        <v>4.4800000000000004</v>
      </c>
      <c r="F1910" s="5" t="str" cm="1">
        <f t="array" ref="F1910">_xlfn.IFS(Healthcare!$E1910&lt;5.7,"normal",Healthcare!$E1910&lt;=6.4,"prediabetes",Healthcare!$E1910&gt;=6.5,"diabetes")</f>
        <v>normal</v>
      </c>
      <c r="G1910" s="5" t="s">
        <v>20</v>
      </c>
      <c r="H1910" s="5" t="s">
        <v>19</v>
      </c>
      <c r="I1910" s="5" t="s">
        <v>19</v>
      </c>
      <c r="J1910" s="5">
        <v>1</v>
      </c>
      <c r="K1910" s="5" t="s">
        <v>19</v>
      </c>
      <c r="L1910" s="5" t="str">
        <f>VLOOKUP(Healthcare!$A1910,hospital_details,2,0)</f>
        <v>24-Oct-1988</v>
      </c>
      <c r="M1910" s="5">
        <f t="shared" ref="M1910:M1973" ca="1" si="11445">VLOOKUP(A1910,hospital_details,3,0)</f>
        <v>37</v>
      </c>
      <c r="N1910" s="5">
        <f t="shared" ref="N1910:N1973" si="11446">VLOOKUP($A1910,hospital_details,4,0)</f>
        <v>0</v>
      </c>
      <c r="O1910" s="6">
        <f t="shared" ref="O1910:O1973" si="11447">VLOOKUP($A1910,hospital_details,5,0)</f>
        <v>3935.18</v>
      </c>
      <c r="P1910" s="5" t="str">
        <f t="shared" ref="P1910:P1973" si="11448">VLOOKUP($A1910,hospital_details,6,0)</f>
        <v>tier - 3</v>
      </c>
      <c r="Q1910" s="5" t="str">
        <f t="shared" ref="Q1910:Q1973" si="11449">VLOOKUP($A1910,hospital_details,7,0)</f>
        <v>tier - 1</v>
      </c>
      <c r="R1910" s="5" t="str">
        <f t="shared" ref="R1910:R1973" si="11450">VLOOKUP($A1910,hospital_details,8,0)</f>
        <v>R1013</v>
      </c>
    </row>
    <row r="1911" spans="1:18" ht="14.4" customHeight="1" x14ac:dyDescent="0.3">
      <c r="A1911" s="7" t="s">
        <v>1931</v>
      </c>
      <c r="B1911" s="7" t="str">
        <f>VLOOKUP($A1911,[1]!Customer_Names[#Data],3,0)</f>
        <v xml:space="preserve">  Joe</v>
      </c>
      <c r="C1911" s="7">
        <v>34.86</v>
      </c>
      <c r="D1911" s="7" t="str" cm="1">
        <f t="array" ref="D1911">_xlfn.IFS(Healthcare!$C1911&lt;18.5,"under weight",Healthcare!$C1911&lt;=24.9,"Normal Weight",Healthcare!$C1911&gt;=25,"overweight",Healthcare!$C1911&gt;=30,"obese")</f>
        <v>overweight</v>
      </c>
      <c r="E1911" s="7">
        <v>10.97</v>
      </c>
      <c r="F1911" s="7" t="str" cm="1">
        <f t="array" ref="F1911">_xlfn.IFS(Healthcare!$E1911&lt;5.7,"normal",Healthcare!$E1911&lt;=6.4,"prediabetes",Healthcare!$E1911&gt;=6.5,"diabetes")</f>
        <v>diabetes</v>
      </c>
      <c r="G1911" s="7" t="s">
        <v>19</v>
      </c>
      <c r="H1911" s="7" t="s">
        <v>19</v>
      </c>
      <c r="I1911" s="7" t="s">
        <v>19</v>
      </c>
      <c r="J1911" s="7">
        <v>0</v>
      </c>
      <c r="K1911" s="7" t="s">
        <v>19</v>
      </c>
      <c r="L1911" s="7" t="str">
        <f>VLOOKUP(Healthcare!$A1911,hospital_details,2,0)</f>
        <v>15-Jun-2002</v>
      </c>
      <c r="M1911" s="7">
        <f t="shared" ref="M1911:M1974" ca="1" si="11451">VLOOKUP(A1911,hospital_details,3,0)</f>
        <v>24</v>
      </c>
      <c r="N1911" s="7">
        <f t="shared" ref="N1911:N1974" si="11452">VLOOKUP($A1911,hospital_details,4,0)</f>
        <v>0</v>
      </c>
      <c r="O1911" s="8">
        <f t="shared" ref="O1911:O1974" si="11453">VLOOKUP($A1911,hospital_details,5,0)</f>
        <v>3931.51</v>
      </c>
      <c r="P1911" s="7" t="str">
        <f t="shared" ref="P1911:P1974" si="11454">VLOOKUP($A1911,hospital_details,6,0)</f>
        <v>tier - 2</v>
      </c>
      <c r="Q1911" s="7" t="str">
        <f t="shared" ref="Q1911:Q1974" si="11455">VLOOKUP($A1911,hospital_details,7,0)</f>
        <v>tier - 3</v>
      </c>
      <c r="R1911" s="7" t="str">
        <f t="shared" ref="R1911:R1974" si="11456">VLOOKUP($A1911,hospital_details,8,0)</f>
        <v>R1011</v>
      </c>
    </row>
    <row r="1912" spans="1:18" ht="14.4" customHeight="1" x14ac:dyDescent="0.3">
      <c r="A1912" s="5" t="s">
        <v>1932</v>
      </c>
      <c r="B1912" s="5" t="str">
        <f>VLOOKUP($A1912,[1]!Customer_Names[#Data],3,0)</f>
        <v xml:space="preserve">  Kayleigh</v>
      </c>
      <c r="C1912" s="5">
        <v>34.58</v>
      </c>
      <c r="D1912" s="5" t="str" cm="1">
        <f t="array" ref="D1912">_xlfn.IFS(Healthcare!$C1912&lt;18.5,"under weight",Healthcare!$C1912&lt;=24.9,"Normal Weight",Healthcare!$C1912&gt;=25,"overweight",Healthcare!$C1912&gt;=30,"obese")</f>
        <v>overweight</v>
      </c>
      <c r="E1912" s="5">
        <v>5.14</v>
      </c>
      <c r="F1912" s="5" t="str" cm="1">
        <f t="array" ref="F1912">_xlfn.IFS(Healthcare!$E1912&lt;5.7,"normal",Healthcare!$E1912&lt;=6.4,"prediabetes",Healthcare!$E1912&gt;=6.5,"diabetes")</f>
        <v>normal</v>
      </c>
      <c r="G1912" s="5" t="s">
        <v>19</v>
      </c>
      <c r="H1912" s="5" t="s">
        <v>20</v>
      </c>
      <c r="I1912" s="5" t="s">
        <v>19</v>
      </c>
      <c r="J1912" s="5">
        <v>2</v>
      </c>
      <c r="K1912" s="5" t="s">
        <v>19</v>
      </c>
      <c r="L1912" s="5" t="str">
        <f>VLOOKUP(Healthcare!$A1912,hospital_details,2,0)</f>
        <v>10-Jul-2000</v>
      </c>
      <c r="M1912" s="5">
        <f t="shared" ref="M1912:M1975" ca="1" si="11457">VLOOKUP(A1912,hospital_details,3,0)</f>
        <v>26</v>
      </c>
      <c r="N1912" s="5">
        <f t="shared" ref="N1912:N1975" si="11458">VLOOKUP($A1912,hospital_details,4,0)</f>
        <v>2</v>
      </c>
      <c r="O1912" s="6">
        <f t="shared" ref="O1912:O1975" si="11459">VLOOKUP($A1912,hospital_details,5,0)</f>
        <v>3925.76</v>
      </c>
      <c r="P1912" s="5" t="str">
        <f t="shared" ref="P1912:P1975" si="11460">VLOOKUP($A1912,hospital_details,6,0)</f>
        <v>tier - 2</v>
      </c>
      <c r="Q1912" s="5" t="str">
        <f t="shared" ref="Q1912:Q1975" si="11461">VLOOKUP($A1912,hospital_details,7,0)</f>
        <v>tier - 2</v>
      </c>
      <c r="R1912" s="5" t="str">
        <f t="shared" ref="R1912:R1975" si="11462">VLOOKUP($A1912,hospital_details,8,0)</f>
        <v>R1024</v>
      </c>
    </row>
    <row r="1913" spans="1:18" ht="14.4" customHeight="1" x14ac:dyDescent="0.3">
      <c r="A1913" s="7" t="s">
        <v>1933</v>
      </c>
      <c r="B1913" s="7" t="str">
        <f>VLOOKUP($A1913,[1]!Customer_Names[#Data],3,0)</f>
        <v xml:space="preserve">  Lorcan A</v>
      </c>
      <c r="C1913" s="7">
        <v>17.940000000000001</v>
      </c>
      <c r="D1913" s="7" t="str" cm="1">
        <f t="array" ref="D1913">_xlfn.IFS(Healthcare!$C1913&lt;18.5,"under weight",Healthcare!$C1913&lt;=24.9,"Normal Weight",Healthcare!$C1913&gt;=25,"overweight",Healthcare!$C1913&gt;=30,"obese")</f>
        <v>under weight</v>
      </c>
      <c r="E1913" s="7">
        <v>5.17</v>
      </c>
      <c r="F1913" s="7" t="str" cm="1">
        <f t="array" ref="F1913">_xlfn.IFS(Healthcare!$E1913&lt;5.7,"normal",Healthcare!$E1913&lt;=6.4,"prediabetes",Healthcare!$E1913&gt;=6.5,"diabetes")</f>
        <v>normal</v>
      </c>
      <c r="G1913" s="7" t="s">
        <v>20</v>
      </c>
      <c r="H1913" s="7" t="s">
        <v>19</v>
      </c>
      <c r="I1913" s="7" t="s">
        <v>19</v>
      </c>
      <c r="J1913" s="7">
        <v>0</v>
      </c>
      <c r="K1913" s="7" t="s">
        <v>19</v>
      </c>
      <c r="L1913" s="7" t="str">
        <f>VLOOKUP(Healthcare!$A1913,hospital_details,2,0)</f>
        <v>5-Jul-1985</v>
      </c>
      <c r="M1913" s="7">
        <f t="shared" ref="M1913:M1976" ca="1" si="11463">VLOOKUP(A1913,hospital_details,3,0)</f>
        <v>41</v>
      </c>
      <c r="N1913" s="7">
        <f t="shared" ref="N1913:N1976" si="11464">VLOOKUP($A1913,hospital_details,4,0)</f>
        <v>3</v>
      </c>
      <c r="O1913" s="8">
        <f t="shared" ref="O1913:O1976" si="11465">VLOOKUP($A1913,hospital_details,5,0)</f>
        <v>3910.44</v>
      </c>
      <c r="P1913" s="7" t="str">
        <f t="shared" ref="P1913:P1976" si="11466">VLOOKUP($A1913,hospital_details,6,0)</f>
        <v>tier - 2</v>
      </c>
      <c r="Q1913" s="7" t="str">
        <f t="shared" ref="Q1913:Q1976" si="11467">VLOOKUP($A1913,hospital_details,7,0)</f>
        <v>tier - 2</v>
      </c>
      <c r="R1913" s="7" t="str">
        <f t="shared" ref="R1913:R1976" si="11468">VLOOKUP($A1913,hospital_details,8,0)</f>
        <v>R1013</v>
      </c>
    </row>
    <row r="1914" spans="1:18" ht="14.4" customHeight="1" x14ac:dyDescent="0.3">
      <c r="A1914" s="5" t="s">
        <v>1934</v>
      </c>
      <c r="B1914" s="5" t="str">
        <f>VLOOKUP($A1914,[1]!Customer_Names[#Data],3,0)</f>
        <v xml:space="preserve">  Billy</v>
      </c>
      <c r="C1914" s="5">
        <v>26.8</v>
      </c>
      <c r="D1914" s="5" t="str" cm="1">
        <f t="array" ref="D1914">_xlfn.IFS(Healthcare!$C1914&lt;18.5,"under weight",Healthcare!$C1914&lt;=24.9,"Normal Weight",Healthcare!$C1914&gt;=25,"overweight",Healthcare!$C1914&gt;=30,"obese")</f>
        <v>overweight</v>
      </c>
      <c r="E1914" s="5">
        <v>6.18</v>
      </c>
      <c r="F1914" s="5" t="str" cm="1">
        <f t="array" ref="F1914">_xlfn.IFS(Healthcare!$E1914&lt;5.7,"normal",Healthcare!$E1914&lt;=6.4,"prediabetes",Healthcare!$E1914&gt;=6.5,"diabetes")</f>
        <v>prediabetes</v>
      </c>
      <c r="G1914" s="5" t="s">
        <v>20</v>
      </c>
      <c r="H1914" s="5" t="s">
        <v>19</v>
      </c>
      <c r="I1914" s="5" t="s">
        <v>29</v>
      </c>
      <c r="J1914" s="5">
        <v>1</v>
      </c>
      <c r="K1914" s="5" t="s">
        <v>19</v>
      </c>
      <c r="L1914" s="5" t="str">
        <f>VLOOKUP(Healthcare!$A1914,hospital_details,2,0)</f>
        <v>24-Nov-1997</v>
      </c>
      <c r="M1914" s="5">
        <f t="shared" ref="M1914:M1977" ca="1" si="11469">VLOOKUP(A1914,hospital_details,3,0)</f>
        <v>28</v>
      </c>
      <c r="N1914" s="5">
        <f t="shared" ref="N1914:N1977" si="11470">VLOOKUP($A1914,hospital_details,4,0)</f>
        <v>3</v>
      </c>
      <c r="O1914" s="6">
        <f t="shared" ref="O1914:O1977" si="11471">VLOOKUP($A1914,hospital_details,5,0)</f>
        <v>3906.13</v>
      </c>
      <c r="P1914" s="5" t="str">
        <f t="shared" ref="P1914:P1977" si="11472">VLOOKUP($A1914,hospital_details,6,0)</f>
        <v>tier - 3</v>
      </c>
      <c r="Q1914" s="5" t="str">
        <f t="shared" ref="Q1914:Q1977" si="11473">VLOOKUP($A1914,hospital_details,7,0)</f>
        <v>tier - 3</v>
      </c>
      <c r="R1914" s="5" t="str">
        <f t="shared" ref="R1914:R1977" si="11474">VLOOKUP($A1914,hospital_details,8,0)</f>
        <v>R1011</v>
      </c>
    </row>
    <row r="1915" spans="1:18" ht="14.4" customHeight="1" x14ac:dyDescent="0.3">
      <c r="A1915" s="7" t="s">
        <v>1935</v>
      </c>
      <c r="B1915" s="7" t="str">
        <f>VLOOKUP($A1915,[1]!Customer_Names[#Data],3,0)</f>
        <v xml:space="preserve">  Paul M</v>
      </c>
      <c r="C1915" s="7">
        <v>17.690000000000001</v>
      </c>
      <c r="D1915" s="7" t="str" cm="1">
        <f t="array" ref="D1915">_xlfn.IFS(Healthcare!$C1915&lt;18.5,"under weight",Healthcare!$C1915&lt;=24.9,"Normal Weight",Healthcare!$C1915&gt;=25,"overweight",Healthcare!$C1915&gt;=30,"obese")</f>
        <v>under weight</v>
      </c>
      <c r="E1915" s="7">
        <v>9.07</v>
      </c>
      <c r="F1915" s="7" t="str" cm="1">
        <f t="array" ref="F1915">_xlfn.IFS(Healthcare!$E1915&lt;5.7,"normal",Healthcare!$E1915&lt;=6.4,"prediabetes",Healthcare!$E1915&gt;=6.5,"diabetes")</f>
        <v>diabetes</v>
      </c>
      <c r="G1915" s="7" t="s">
        <v>20</v>
      </c>
      <c r="H1915" s="7" t="s">
        <v>19</v>
      </c>
      <c r="I1915" s="7" t="s">
        <v>19</v>
      </c>
      <c r="J1915" s="7">
        <v>0</v>
      </c>
      <c r="K1915" s="7" t="s">
        <v>19</v>
      </c>
      <c r="L1915" s="7" t="str">
        <f>VLOOKUP(Healthcare!$A1915,hospital_details,2,0)</f>
        <v>27-Aug-1981</v>
      </c>
      <c r="M1915" s="7">
        <f t="shared" ref="M1915:M1978" ca="1" si="11475">VLOOKUP(A1915,hospital_details,3,0)</f>
        <v>45</v>
      </c>
      <c r="N1915" s="7">
        <f t="shared" ref="N1915:N1978" si="11476">VLOOKUP($A1915,hospital_details,4,0)</f>
        <v>1</v>
      </c>
      <c r="O1915" s="8">
        <f t="shared" ref="O1915:O1978" si="11477">VLOOKUP($A1915,hospital_details,5,0)</f>
        <v>3902.07</v>
      </c>
      <c r="P1915" s="7" t="str">
        <f t="shared" ref="P1915:P1978" si="11478">VLOOKUP($A1915,hospital_details,6,0)</f>
        <v>tier - 2</v>
      </c>
      <c r="Q1915" s="7" t="str">
        <f t="shared" ref="Q1915:Q1978" si="11479">VLOOKUP($A1915,hospital_details,7,0)</f>
        <v>tier - 2</v>
      </c>
      <c r="R1915" s="7" t="str">
        <f t="shared" ref="R1915:R1978" si="11480">VLOOKUP($A1915,hospital_details,8,0)</f>
        <v>R1013</v>
      </c>
    </row>
    <row r="1916" spans="1:18" ht="14.4" customHeight="1" x14ac:dyDescent="0.3">
      <c r="A1916" s="5" t="s">
        <v>1936</v>
      </c>
      <c r="B1916" s="5" t="str">
        <f>VLOOKUP($A1916,[1]!Customer_Names[#Data],3,0)</f>
        <v xml:space="preserve">  Brenda M</v>
      </c>
      <c r="C1916" s="5">
        <v>25.77</v>
      </c>
      <c r="D1916" s="5" t="str" cm="1">
        <f t="array" ref="D1916">_xlfn.IFS(Healthcare!$C1916&lt;18.5,"under weight",Healthcare!$C1916&lt;=24.9,"Normal Weight",Healthcare!$C1916&gt;=25,"overweight",Healthcare!$C1916&gt;=30,"obese")</f>
        <v>overweight</v>
      </c>
      <c r="E1916" s="5">
        <v>4.43</v>
      </c>
      <c r="F1916" s="5" t="str" cm="1">
        <f t="array" ref="F1916">_xlfn.IFS(Healthcare!$E1916&lt;5.7,"normal",Healthcare!$E1916&lt;=6.4,"prediabetes",Healthcare!$E1916&gt;=6.5,"diabetes")</f>
        <v>normal</v>
      </c>
      <c r="G1916" s="5" t="s">
        <v>19</v>
      </c>
      <c r="H1916" s="5" t="s">
        <v>19</v>
      </c>
      <c r="I1916" s="5" t="s">
        <v>29</v>
      </c>
      <c r="J1916" s="5">
        <v>1</v>
      </c>
      <c r="K1916" s="5" t="s">
        <v>19</v>
      </c>
      <c r="L1916" s="5" t="str">
        <f>VLOOKUP(Healthcare!$A1916,hospital_details,2,0)</f>
        <v>14-Sep-1993</v>
      </c>
      <c r="M1916" s="5">
        <f t="shared" ref="M1916:M1979" ca="1" si="11481">VLOOKUP(A1916,hospital_details,3,0)</f>
        <v>33</v>
      </c>
      <c r="N1916" s="5">
        <f t="shared" ref="N1916:N1979" si="11482">VLOOKUP($A1916,hospital_details,4,0)</f>
        <v>0</v>
      </c>
      <c r="O1916" s="6">
        <f t="shared" ref="O1916:O1979" si="11483">VLOOKUP($A1916,hospital_details,5,0)</f>
        <v>3898.35</v>
      </c>
      <c r="P1916" s="5" t="str">
        <f t="shared" ref="P1916:P1979" si="11484">VLOOKUP($A1916,hospital_details,6,0)</f>
        <v>tier - 2</v>
      </c>
      <c r="Q1916" s="5" t="str">
        <f t="shared" ref="Q1916:Q1979" si="11485">VLOOKUP($A1916,hospital_details,7,0)</f>
        <v>tier - 2</v>
      </c>
      <c r="R1916" s="5" t="str">
        <f t="shared" ref="R1916:R1979" si="11486">VLOOKUP($A1916,hospital_details,8,0)</f>
        <v>R1012</v>
      </c>
    </row>
    <row r="1917" spans="1:18" ht="14.4" customHeight="1" x14ac:dyDescent="0.3">
      <c r="A1917" s="7" t="s">
        <v>1937</v>
      </c>
      <c r="B1917" s="7" t="str">
        <f>VLOOKUP($A1917,[1]!Customer_Names[#Data],3,0)</f>
        <v xml:space="preserve">  Jeff H</v>
      </c>
      <c r="C1917" s="7">
        <v>34.46</v>
      </c>
      <c r="D1917" s="7" t="str" cm="1">
        <f t="array" ref="D1917">_xlfn.IFS(Healthcare!$C1917&lt;18.5,"under weight",Healthcare!$C1917&lt;=24.9,"Normal Weight",Healthcare!$C1917&gt;=25,"overweight",Healthcare!$C1917&gt;=30,"obese")</f>
        <v>overweight</v>
      </c>
      <c r="E1917" s="7">
        <v>4.17</v>
      </c>
      <c r="F1917" s="7" t="str" cm="1">
        <f t="array" ref="F1917">_xlfn.IFS(Healthcare!$E1917&lt;5.7,"normal",Healthcare!$E1917&lt;=6.4,"prediabetes",Healthcare!$E1917&gt;=6.5,"diabetes")</f>
        <v>normal</v>
      </c>
      <c r="G1917" s="7" t="s">
        <v>19</v>
      </c>
      <c r="H1917" s="7" t="s">
        <v>20</v>
      </c>
      <c r="I1917" s="7" t="s">
        <v>19</v>
      </c>
      <c r="J1917" s="7">
        <v>1</v>
      </c>
      <c r="K1917" s="7" t="s">
        <v>19</v>
      </c>
      <c r="L1917" s="7" t="str">
        <f>VLOOKUP(Healthcare!$A1917,hospital_details,2,0)</f>
        <v>13-Jul-2004</v>
      </c>
      <c r="M1917" s="7">
        <f t="shared" ref="M1917:M1980" ca="1" si="11487">VLOOKUP(A1917,hospital_details,3,0)</f>
        <v>22</v>
      </c>
      <c r="N1917" s="7">
        <f t="shared" ref="N1917:N1980" si="11488">VLOOKUP($A1917,hospital_details,4,0)</f>
        <v>0</v>
      </c>
      <c r="O1917" s="8">
        <f t="shared" ref="O1917:O1980" si="11489">VLOOKUP($A1917,hospital_details,5,0)</f>
        <v>3889.2</v>
      </c>
      <c r="P1917" s="7" t="str">
        <f t="shared" ref="P1917:P1980" si="11490">VLOOKUP($A1917,hospital_details,6,0)</f>
        <v>tier - 2</v>
      </c>
      <c r="Q1917" s="7" t="str">
        <f t="shared" ref="Q1917:Q1980" si="11491">VLOOKUP($A1917,hospital_details,7,0)</f>
        <v>tier - 2</v>
      </c>
      <c r="R1917" s="7" t="str">
        <f t="shared" ref="R1917:R1980" si="11492">VLOOKUP($A1917,hospital_details,8,0)</f>
        <v>R1012</v>
      </c>
    </row>
    <row r="1918" spans="1:18" ht="14.4" customHeight="1" x14ac:dyDescent="0.3">
      <c r="A1918" s="5" t="s">
        <v>1938</v>
      </c>
      <c r="B1918" s="5" t="str">
        <f>VLOOKUP($A1918,[1]!Customer_Names[#Data],3,0)</f>
        <v xml:space="preserve">  Michael</v>
      </c>
      <c r="C1918" s="5">
        <v>30.875</v>
      </c>
      <c r="D1918" s="5" t="str" cm="1">
        <f t="array" ref="D1918">_xlfn.IFS(Healthcare!$C1918&lt;18.5,"under weight",Healthcare!$C1918&lt;=24.9,"Normal Weight",Healthcare!$C1918&gt;=25,"overweight",Healthcare!$C1918&gt;=30,"obese")</f>
        <v>overweight</v>
      </c>
      <c r="E1918" s="5">
        <v>4.95</v>
      </c>
      <c r="F1918" s="5" t="str" cm="1">
        <f t="array" ref="F1918">_xlfn.IFS(Healthcare!$E1918&lt;5.7,"normal",Healthcare!$E1918&lt;=6.4,"prediabetes",Healthcare!$E1918&gt;=6.5,"diabetes")</f>
        <v>normal</v>
      </c>
      <c r="G1918" s="5" t="s">
        <v>20</v>
      </c>
      <c r="H1918" s="5" t="s">
        <v>19</v>
      </c>
      <c r="I1918" s="5" t="s">
        <v>19</v>
      </c>
      <c r="J1918" s="5">
        <v>0</v>
      </c>
      <c r="K1918" s="5" t="s">
        <v>19</v>
      </c>
      <c r="L1918" s="5" t="str">
        <f>VLOOKUP(Healthcare!$A1918,hospital_details,2,0)</f>
        <v>23-Oct-1996</v>
      </c>
      <c r="M1918" s="5">
        <f t="shared" ref="M1918:M1981" ca="1" si="11493">VLOOKUP(A1918,hospital_details,3,0)</f>
        <v>29</v>
      </c>
      <c r="N1918" s="5">
        <f t="shared" ref="N1918:N1981" si="11494">VLOOKUP($A1918,hospital_details,4,0)</f>
        <v>2</v>
      </c>
      <c r="O1918" s="6">
        <f t="shared" ref="O1918:O1981" si="11495">VLOOKUP($A1918,hospital_details,5,0)</f>
        <v>3877.3</v>
      </c>
      <c r="P1918" s="5" t="str">
        <f t="shared" ref="P1918:P1981" si="11496">VLOOKUP($A1918,hospital_details,6,0)</f>
        <v>tier - 1</v>
      </c>
      <c r="Q1918" s="5" t="str">
        <f t="shared" ref="Q1918:Q1981" si="11497">VLOOKUP($A1918,hospital_details,7,0)</f>
        <v>tier - 3</v>
      </c>
      <c r="R1918" s="5" t="str">
        <f t="shared" ref="R1918:R1981" si="11498">VLOOKUP($A1918,hospital_details,8,0)</f>
        <v>R1012</v>
      </c>
    </row>
    <row r="1919" spans="1:18" ht="14.4" customHeight="1" x14ac:dyDescent="0.3">
      <c r="A1919" s="7" t="s">
        <v>1939</v>
      </c>
      <c r="B1919" s="7" t="str">
        <f>VLOOKUP($A1919,[1]!Customer_Names[#Data],3,0)</f>
        <v xml:space="preserve">  Jan</v>
      </c>
      <c r="C1919" s="7">
        <v>39.49</v>
      </c>
      <c r="D1919" s="7" t="str" cm="1">
        <f t="array" ref="D1919">_xlfn.IFS(Healthcare!$C1919&lt;18.5,"under weight",Healthcare!$C1919&lt;=24.9,"Normal Weight",Healthcare!$C1919&gt;=25,"overweight",Healthcare!$C1919&gt;=30,"obese")</f>
        <v>overweight</v>
      </c>
      <c r="E1919" s="7">
        <v>5.13</v>
      </c>
      <c r="F1919" s="7" t="str" cm="1">
        <f t="array" ref="F1919">_xlfn.IFS(Healthcare!$E1919&lt;5.7,"normal",Healthcare!$E1919&lt;=6.4,"prediabetes",Healthcare!$E1919&gt;=6.5,"diabetes")</f>
        <v>normal</v>
      </c>
      <c r="G1919" s="7" t="s">
        <v>19</v>
      </c>
      <c r="H1919" s="7" t="s">
        <v>19</v>
      </c>
      <c r="I1919" s="7" t="s">
        <v>19</v>
      </c>
      <c r="J1919" s="7">
        <v>0</v>
      </c>
      <c r="K1919" s="7" t="s">
        <v>19</v>
      </c>
      <c r="L1919" s="7" t="str">
        <f>VLOOKUP(Healthcare!$A1919,hospital_details,2,0)</f>
        <v>25-Jul-1991</v>
      </c>
      <c r="M1919" s="7">
        <f t="shared" ref="M1919:M1982" ca="1" si="11499">VLOOKUP(A1919,hospital_details,3,0)</f>
        <v>35</v>
      </c>
      <c r="N1919" s="7">
        <f t="shared" ref="N1919:N1982" si="11500">VLOOKUP($A1919,hospital_details,4,0)</f>
        <v>1</v>
      </c>
      <c r="O1919" s="8">
        <f t="shared" ref="O1919:O1982" si="11501">VLOOKUP($A1919,hospital_details,5,0)</f>
        <v>3875.73</v>
      </c>
      <c r="P1919" s="7" t="str">
        <f t="shared" ref="P1919:P1982" si="11502">VLOOKUP($A1919,hospital_details,6,0)</f>
        <v>tier - 2</v>
      </c>
      <c r="Q1919" s="7" t="str">
        <f t="shared" ref="Q1919:Q1982" si="11503">VLOOKUP($A1919,hospital_details,7,0)</f>
        <v>tier - 3</v>
      </c>
      <c r="R1919" s="7" t="str">
        <f t="shared" ref="R1919:R1982" si="11504">VLOOKUP($A1919,hospital_details,8,0)</f>
        <v>R1013</v>
      </c>
    </row>
    <row r="1920" spans="1:18" ht="14.4" customHeight="1" x14ac:dyDescent="0.3">
      <c r="A1920" s="5" t="s">
        <v>1940</v>
      </c>
      <c r="B1920" s="5" t="str">
        <f>VLOOKUP($A1920,[1]!Customer_Names[#Data],3,0)</f>
        <v xml:space="preserve">  Bernard</v>
      </c>
      <c r="C1920" s="5">
        <v>28.88</v>
      </c>
      <c r="D1920" s="5" t="str" cm="1">
        <f t="array" ref="D1920">_xlfn.IFS(Healthcare!$C1920&lt;18.5,"under weight",Healthcare!$C1920&lt;=24.9,"Normal Weight",Healthcare!$C1920&gt;=25,"overweight",Healthcare!$C1920&gt;=30,"obese")</f>
        <v>overweight</v>
      </c>
      <c r="E1920" s="5">
        <v>4.0999999999999996</v>
      </c>
      <c r="F1920" s="5" t="str" cm="1">
        <f t="array" ref="F1920">_xlfn.IFS(Healthcare!$E1920&lt;5.7,"normal",Healthcare!$E1920&lt;=6.4,"prediabetes",Healthcare!$E1920&gt;=6.5,"diabetes")</f>
        <v>normal</v>
      </c>
      <c r="G1920" s="5" t="s">
        <v>19</v>
      </c>
      <c r="H1920" s="5" t="s">
        <v>19</v>
      </c>
      <c r="I1920" s="5" t="s">
        <v>19</v>
      </c>
      <c r="J1920" s="5">
        <v>0</v>
      </c>
      <c r="K1920" s="5" t="s">
        <v>19</v>
      </c>
      <c r="L1920" s="5" t="str">
        <f>VLOOKUP(Healthcare!$A1920,hospital_details,2,0)</f>
        <v>24-Jun-1990</v>
      </c>
      <c r="M1920" s="5">
        <f t="shared" ref="M1920:M1983" ca="1" si="11505">VLOOKUP(A1920,hospital_details,3,0)</f>
        <v>36</v>
      </c>
      <c r="N1920" s="5">
        <f t="shared" ref="N1920:N1983" si="11506">VLOOKUP($A1920,hospital_details,4,0)</f>
        <v>0</v>
      </c>
      <c r="O1920" s="6">
        <f t="shared" ref="O1920:O1983" si="11507">VLOOKUP($A1920,hospital_details,5,0)</f>
        <v>3866.86</v>
      </c>
      <c r="P1920" s="5" t="str">
        <f t="shared" ref="P1920:P1983" si="11508">VLOOKUP($A1920,hospital_details,6,0)</f>
        <v>tier - 1</v>
      </c>
      <c r="Q1920" s="5" t="str">
        <f t="shared" ref="Q1920:Q1983" si="11509">VLOOKUP($A1920,hospital_details,7,0)</f>
        <v>tier - 1</v>
      </c>
      <c r="R1920" s="5" t="str">
        <f t="shared" ref="R1920:R1983" si="11510">VLOOKUP($A1920,hospital_details,8,0)</f>
        <v>R1012</v>
      </c>
    </row>
    <row r="1921" spans="1:18" ht="14.4" customHeight="1" x14ac:dyDescent="0.3">
      <c r="A1921" s="7" t="s">
        <v>1941</v>
      </c>
      <c r="B1921" s="7" t="str">
        <f>VLOOKUP($A1921,[1]!Customer_Names[#Data],3,0)</f>
        <v xml:space="preserve">  Craig</v>
      </c>
      <c r="C1921" s="7">
        <v>20.234999999999999</v>
      </c>
      <c r="D1921" s="7" t="str" cm="1">
        <f t="array" ref="D1921">_xlfn.IFS(Healthcare!$C1921&lt;18.5,"under weight",Healthcare!$C1921&lt;=24.9,"Normal Weight",Healthcare!$C1921&gt;=25,"overweight",Healthcare!$C1921&gt;=30,"obese")</f>
        <v>Normal Weight</v>
      </c>
      <c r="E1921" s="7">
        <v>5.01</v>
      </c>
      <c r="F1921" s="7" t="str" cm="1">
        <f t="array" ref="F1921">_xlfn.IFS(Healthcare!$E1921&lt;5.7,"normal",Healthcare!$E1921&lt;=6.4,"prediabetes",Healthcare!$E1921&gt;=6.5,"diabetes")</f>
        <v>normal</v>
      </c>
      <c r="G1921" s="7" t="s">
        <v>20</v>
      </c>
      <c r="H1921" s="7" t="s">
        <v>19</v>
      </c>
      <c r="I1921" s="7" t="s">
        <v>19</v>
      </c>
      <c r="J1921" s="7">
        <v>0</v>
      </c>
      <c r="K1921" s="7" t="s">
        <v>19</v>
      </c>
      <c r="L1921" s="7" t="str">
        <f>VLOOKUP(Healthcare!$A1921,hospital_details,2,0)</f>
        <v>18-Oct-2001</v>
      </c>
      <c r="M1921" s="7">
        <f t="shared" ref="M1921:M1984" ca="1" si="11511">VLOOKUP(A1921,hospital_details,3,0)</f>
        <v>25</v>
      </c>
      <c r="N1921" s="7">
        <f t="shared" ref="N1921:N1984" si="11512">VLOOKUP($A1921,hospital_details,4,0)</f>
        <v>3</v>
      </c>
      <c r="O1921" s="8">
        <f t="shared" ref="O1921:O1984" si="11513">VLOOKUP($A1921,hospital_details,5,0)</f>
        <v>3861.21</v>
      </c>
      <c r="P1921" s="7" t="str">
        <f t="shared" ref="P1921:P1984" si="11514">VLOOKUP($A1921,hospital_details,6,0)</f>
        <v>tier - 2</v>
      </c>
      <c r="Q1921" s="7" t="str">
        <f t="shared" ref="Q1921:Q1984" si="11515">VLOOKUP($A1921,hospital_details,7,0)</f>
        <v>tier - 2</v>
      </c>
      <c r="R1921" s="7" t="str">
        <f t="shared" ref="R1921:R1984" si="11516">VLOOKUP($A1921,hospital_details,8,0)</f>
        <v>R1016</v>
      </c>
    </row>
    <row r="1922" spans="1:18" ht="14.4" customHeight="1" x14ac:dyDescent="0.3">
      <c r="A1922" s="5" t="s">
        <v>1942</v>
      </c>
      <c r="B1922" s="5" t="str">
        <f>VLOOKUP($A1922,[1]!Customer_Names[#Data],3,0)</f>
        <v xml:space="preserve">  Bryn</v>
      </c>
      <c r="C1922" s="5">
        <v>30.67</v>
      </c>
      <c r="D1922" s="5" t="str" cm="1">
        <f t="array" ref="D1922">_xlfn.IFS(Healthcare!$C1922&lt;18.5,"under weight",Healthcare!$C1922&lt;=24.9,"Normal Weight",Healthcare!$C1922&gt;=25,"overweight",Healthcare!$C1922&gt;=30,"obese")</f>
        <v>overweight</v>
      </c>
      <c r="E1922" s="5">
        <v>5.09</v>
      </c>
      <c r="F1922" s="5" t="str" cm="1">
        <f t="array" ref="F1922">_xlfn.IFS(Healthcare!$E1922&lt;5.7,"normal",Healthcare!$E1922&lt;=6.4,"prediabetes",Healthcare!$E1922&gt;=6.5,"diabetes")</f>
        <v>normal</v>
      </c>
      <c r="G1922" s="5" t="s">
        <v>20</v>
      </c>
      <c r="H1922" s="5" t="s">
        <v>19</v>
      </c>
      <c r="I1922" s="5" t="s">
        <v>19</v>
      </c>
      <c r="J1922" s="5">
        <v>0</v>
      </c>
      <c r="K1922" s="5" t="s">
        <v>19</v>
      </c>
      <c r="L1922" s="5" t="str">
        <f>VLOOKUP(Healthcare!$A1922,hospital_details,2,0)</f>
        <v>6-Jun-2001</v>
      </c>
      <c r="M1922" s="5">
        <f t="shared" ref="M1922:M1985" ca="1" si="11517">VLOOKUP(A1922,hospital_details,3,0)</f>
        <v>25</v>
      </c>
      <c r="N1922" s="5">
        <f t="shared" ref="N1922:N1985" si="11518">VLOOKUP($A1922,hospital_details,4,0)</f>
        <v>0</v>
      </c>
      <c r="O1922" s="6">
        <f t="shared" ref="O1922:O1985" si="11519">VLOOKUP($A1922,hospital_details,5,0)</f>
        <v>3858.51</v>
      </c>
      <c r="P1922" s="5" t="str">
        <f t="shared" ref="P1922:P1985" si="11520">VLOOKUP($A1922,hospital_details,6,0)</f>
        <v>tier - 2</v>
      </c>
      <c r="Q1922" s="5" t="str">
        <f t="shared" ref="Q1922:Q1985" si="11521">VLOOKUP($A1922,hospital_details,7,0)</f>
        <v>tier - 3</v>
      </c>
      <c r="R1922" s="5" t="str">
        <f t="shared" ref="R1922:R1985" si="11522">VLOOKUP($A1922,hospital_details,8,0)</f>
        <v>R1025</v>
      </c>
    </row>
    <row r="1923" spans="1:18" ht="14.4" customHeight="1" x14ac:dyDescent="0.3">
      <c r="A1923" s="7" t="s">
        <v>1943</v>
      </c>
      <c r="B1923" s="7" t="str">
        <f>VLOOKUP($A1923,[1]!Customer_Names[#Data],3,0)</f>
        <v xml:space="preserve">  Michael</v>
      </c>
      <c r="C1923" s="7">
        <v>30.875</v>
      </c>
      <c r="D1923" s="7" t="str" cm="1">
        <f t="array" ref="D1923">_xlfn.IFS(Healthcare!$C1923&lt;18.5,"under weight",Healthcare!$C1923&lt;=24.9,"Normal Weight",Healthcare!$C1923&gt;=25,"overweight",Healthcare!$C1923&gt;=30,"obese")</f>
        <v>overweight</v>
      </c>
      <c r="E1923" s="7">
        <v>6.49</v>
      </c>
      <c r="F1923" s="5" t="str" cm="1">
        <f t="array" ref="F1923">_xlfn.IFS(Healthcare!$E1392&lt;5.7,"normal",Healthcare!$E1392&lt;=6.4,"prediabetes",Healthcare!$E1392&gt;=6.5,"diabetes")</f>
        <v>prediabetes</v>
      </c>
      <c r="G1923" s="7" t="s">
        <v>19</v>
      </c>
      <c r="H1923" s="7" t="s">
        <v>19</v>
      </c>
      <c r="I1923" s="7" t="s">
        <v>19</v>
      </c>
      <c r="J1923" s="7">
        <v>0</v>
      </c>
      <c r="K1923" s="7" t="s">
        <v>19</v>
      </c>
      <c r="L1923" s="7" t="str">
        <f>VLOOKUP(Healthcare!$A1923,hospital_details,2,0)</f>
        <v>19-Aug-1991</v>
      </c>
      <c r="M1923" s="7">
        <f t="shared" ref="M1923:M1986" ca="1" si="11523">VLOOKUP(A1923,hospital_details,3,0)</f>
        <v>35</v>
      </c>
      <c r="N1923" s="7">
        <f t="shared" ref="N1923:N1986" si="11524">VLOOKUP($A1923,hospital_details,4,0)</f>
        <v>0</v>
      </c>
      <c r="O1923" s="8">
        <f t="shared" ref="O1923:O1986" si="11525">VLOOKUP($A1923,hospital_details,5,0)</f>
        <v>3857.76</v>
      </c>
      <c r="P1923" s="7" t="str">
        <f t="shared" ref="P1923:P1986" si="11526">VLOOKUP($A1923,hospital_details,6,0)</f>
        <v>tier - 3</v>
      </c>
      <c r="Q1923" s="7" t="str">
        <f t="shared" ref="Q1923:Q1986" si="11527">VLOOKUP($A1923,hospital_details,7,0)</f>
        <v>tier - 1</v>
      </c>
      <c r="R1923" s="7" t="str">
        <f t="shared" ref="R1923:R1986" si="11528">VLOOKUP($A1923,hospital_details,8,0)</f>
        <v>R1016</v>
      </c>
    </row>
    <row r="1924" spans="1:18" ht="14.4" customHeight="1" x14ac:dyDescent="0.3">
      <c r="A1924" s="5" t="s">
        <v>1944</v>
      </c>
      <c r="B1924" s="5" t="str">
        <f>VLOOKUP($A1924,[1]!Customer_Names[#Data],3,0)</f>
        <v xml:space="preserve">  Benjamin</v>
      </c>
      <c r="C1924" s="5">
        <v>23.8</v>
      </c>
      <c r="D1924" s="5" t="str" cm="1">
        <f t="array" ref="D1924">_xlfn.IFS(Healthcare!$C1924&lt;18.5,"under weight",Healthcare!$C1924&lt;=24.9,"Normal Weight",Healthcare!$C1924&gt;=25,"overweight",Healthcare!$C1924&gt;=30,"obese")</f>
        <v>Normal Weight</v>
      </c>
      <c r="E1924" s="5">
        <v>4.08</v>
      </c>
      <c r="F1924" s="5" t="str" cm="1">
        <f t="array" ref="F1924">_xlfn.IFS(Healthcare!$E1924&lt;5.7,"normal",Healthcare!$E1924&lt;=6.4,"prediabetes",Healthcare!$E1924&gt;=6.5,"diabetes")</f>
        <v>normal</v>
      </c>
      <c r="G1924" s="5" t="s">
        <v>19</v>
      </c>
      <c r="H1924" s="5" t="s">
        <v>19</v>
      </c>
      <c r="I1924" s="5" t="s">
        <v>19</v>
      </c>
      <c r="J1924" s="5">
        <v>0</v>
      </c>
      <c r="K1924" s="5" t="s">
        <v>19</v>
      </c>
      <c r="L1924" s="5" t="str">
        <f>VLOOKUP(Healthcare!$A1924,hospital_details,2,0)</f>
        <v>12-Aug-1994</v>
      </c>
      <c r="M1924" s="5">
        <f t="shared" ref="M1924:M1987" ca="1" si="11529">VLOOKUP(A1924,hospital_details,3,0)</f>
        <v>32</v>
      </c>
      <c r="N1924" s="5">
        <f t="shared" ref="N1924:N1987" si="11530">VLOOKUP($A1924,hospital_details,4,0)</f>
        <v>2</v>
      </c>
      <c r="O1924" s="6">
        <f t="shared" ref="O1924:O1987" si="11531">VLOOKUP($A1924,hospital_details,5,0)</f>
        <v>3847.67</v>
      </c>
      <c r="P1924" s="5" t="str">
        <f t="shared" ref="P1924:P1987" si="11532">VLOOKUP($A1924,hospital_details,6,0)</f>
        <v>tier - 3</v>
      </c>
      <c r="Q1924" s="5" t="str">
        <f t="shared" ref="Q1924:Q1987" si="11533">VLOOKUP($A1924,hospital_details,7,0)</f>
        <v>tier - 2</v>
      </c>
      <c r="R1924" s="5" t="str">
        <f t="shared" ref="R1924:R1987" si="11534">VLOOKUP($A1924,hospital_details,8,0)</f>
        <v>R1011</v>
      </c>
    </row>
    <row r="1925" spans="1:18" ht="14.4" customHeight="1" x14ac:dyDescent="0.3">
      <c r="A1925" s="7" t="s">
        <v>1945</v>
      </c>
      <c r="B1925" s="7" t="str">
        <f>VLOOKUP($A1925,[1]!Customer_Names[#Data],3,0)</f>
        <v xml:space="preserve">  Jay</v>
      </c>
      <c r="C1925" s="7">
        <v>15.37</v>
      </c>
      <c r="D1925" s="7" t="str" cm="1">
        <f t="array" ref="D1925">_xlfn.IFS(Healthcare!$C1925&lt;18.5,"under weight",Healthcare!$C1925&lt;=24.9,"Normal Weight",Healthcare!$C1925&gt;=25,"overweight",Healthcare!$C1925&gt;=30,"obese")</f>
        <v>under weight</v>
      </c>
      <c r="E1925" s="7">
        <v>8.6300000000000008</v>
      </c>
      <c r="F1925" s="7" t="str" cm="1">
        <f t="array" ref="F1925">_xlfn.IFS(Healthcare!$E1925&lt;5.7,"normal",Healthcare!$E1925&lt;=6.4,"prediabetes",Healthcare!$E1925&gt;=6.5,"diabetes")</f>
        <v>diabetes</v>
      </c>
      <c r="G1925" s="7" t="s">
        <v>20</v>
      </c>
      <c r="H1925" s="7" t="s">
        <v>19</v>
      </c>
      <c r="I1925" s="7" t="s">
        <v>19</v>
      </c>
      <c r="J1925" s="7">
        <v>0</v>
      </c>
      <c r="K1925" s="7" t="s">
        <v>19</v>
      </c>
      <c r="L1925" s="7" t="str">
        <f>VLOOKUP(Healthcare!$A1925,hospital_details,2,0)</f>
        <v>29-Sep-1981</v>
      </c>
      <c r="M1925" s="7">
        <f t="shared" ref="M1925:M1988" ca="1" si="11535">VLOOKUP(A1925,hospital_details,3,0)</f>
        <v>45</v>
      </c>
      <c r="N1925" s="7">
        <f t="shared" ref="N1925:N1988" si="11536">VLOOKUP($A1925,hospital_details,4,0)</f>
        <v>1</v>
      </c>
      <c r="O1925" s="8">
        <f t="shared" ref="O1925:O1988" si="11537">VLOOKUP($A1925,hospital_details,5,0)</f>
        <v>3797.2</v>
      </c>
      <c r="P1925" s="7" t="str">
        <f t="shared" ref="P1925:P1988" si="11538">VLOOKUP($A1925,hospital_details,6,0)</f>
        <v>tier - 2</v>
      </c>
      <c r="Q1925" s="7" t="str">
        <f t="shared" ref="Q1925:Q1988" si="11539">VLOOKUP($A1925,hospital_details,7,0)</f>
        <v>tier - 3</v>
      </c>
      <c r="R1925" s="7" t="str">
        <f t="shared" ref="R1925:R1988" si="11540">VLOOKUP($A1925,hospital_details,8,0)</f>
        <v>R1012</v>
      </c>
    </row>
    <row r="1926" spans="1:18" ht="14.4" customHeight="1" x14ac:dyDescent="0.3">
      <c r="A1926" s="5" t="s">
        <v>1946</v>
      </c>
      <c r="B1926" s="5" t="str">
        <f>VLOOKUP($A1926,[1]!Customer_Names[#Data],3,0)</f>
        <v xml:space="preserve">  William</v>
      </c>
      <c r="C1926" s="5">
        <v>30.4</v>
      </c>
      <c r="D1926" s="5" t="str" cm="1">
        <f t="array" ref="D1926">_xlfn.IFS(Healthcare!$C1926&lt;18.5,"under weight",Healthcare!$C1926&lt;=24.9,"Normal Weight",Healthcare!$C1926&gt;=25,"overweight",Healthcare!$C1926&gt;=30,"obese")</f>
        <v>overweight</v>
      </c>
      <c r="E1926" s="5">
        <v>5.28</v>
      </c>
      <c r="F1926" s="5" t="str" cm="1">
        <f t="array" ref="F1926">_xlfn.IFS(Healthcare!$E1926&lt;5.7,"normal",Healthcare!$E1926&lt;=6.4,"prediabetes",Healthcare!$E1926&gt;=6.5,"diabetes")</f>
        <v>normal</v>
      </c>
      <c r="G1926" s="5" t="s">
        <v>19</v>
      </c>
      <c r="H1926" s="5" t="s">
        <v>19</v>
      </c>
      <c r="I1926" s="5" t="s">
        <v>19</v>
      </c>
      <c r="J1926" s="5">
        <v>0</v>
      </c>
      <c r="K1926" s="5" t="s">
        <v>19</v>
      </c>
      <c r="L1926" s="5" t="str">
        <f>VLOOKUP(Healthcare!$A1926,hospital_details,2,0)</f>
        <v>24-Jun-1999</v>
      </c>
      <c r="M1926" s="5">
        <f t="shared" ref="M1926:M1989" ca="1" si="11541">VLOOKUP(A1926,hospital_details,3,0)</f>
        <v>27</v>
      </c>
      <c r="N1926" s="5">
        <f t="shared" ref="N1926:N1989" si="11542">VLOOKUP($A1926,hospital_details,4,0)</f>
        <v>0</v>
      </c>
      <c r="O1926" s="6">
        <f t="shared" ref="O1926:O1989" si="11543">VLOOKUP($A1926,hospital_details,5,0)</f>
        <v>3796.36</v>
      </c>
      <c r="P1926" s="5" t="str">
        <f t="shared" ref="P1926:P1989" si="11544">VLOOKUP($A1926,hospital_details,6,0)</f>
        <v>tier - 2</v>
      </c>
      <c r="Q1926" s="5" t="str">
        <f t="shared" ref="Q1926:Q1989" si="11545">VLOOKUP($A1926,hospital_details,7,0)</f>
        <v>tier - 3</v>
      </c>
      <c r="R1926" s="5" t="str">
        <f t="shared" ref="R1926:R1989" si="11546">VLOOKUP($A1926,hospital_details,8,0)</f>
        <v>R1012</v>
      </c>
    </row>
    <row r="1927" spans="1:18" ht="14.4" customHeight="1" x14ac:dyDescent="0.3">
      <c r="A1927" s="7" t="s">
        <v>1947</v>
      </c>
      <c r="B1927" s="7" t="str">
        <f>VLOOKUP($A1927,[1]!Customer_Names[#Data],3,0)</f>
        <v xml:space="preserve">  Shelley</v>
      </c>
      <c r="C1927" s="7">
        <v>19.48</v>
      </c>
      <c r="D1927" s="7" t="str" cm="1">
        <f t="array" ref="D1927">_xlfn.IFS(Healthcare!$C1927&lt;18.5,"under weight",Healthcare!$C1927&lt;=24.9,"Normal Weight",Healthcare!$C1927&gt;=25,"overweight",Healthcare!$C1927&gt;=30,"obese")</f>
        <v>Normal Weight</v>
      </c>
      <c r="E1927" s="7">
        <v>5.63</v>
      </c>
      <c r="F1927" s="7" t="str" cm="1">
        <f t="array" ref="F1927">_xlfn.IFS(Healthcare!$E1927&lt;5.7,"normal",Healthcare!$E1927&lt;=6.4,"prediabetes",Healthcare!$E1927&gt;=6.5,"diabetes")</f>
        <v>normal</v>
      </c>
      <c r="G1927" s="7" t="s">
        <v>20</v>
      </c>
      <c r="H1927" s="7" t="s">
        <v>19</v>
      </c>
      <c r="I1927" s="7" t="s">
        <v>19</v>
      </c>
      <c r="J1927" s="7">
        <v>1</v>
      </c>
      <c r="K1927" s="7" t="s">
        <v>19</v>
      </c>
      <c r="L1927" s="7" t="str">
        <f>VLOOKUP(Healthcare!$A1927,hospital_details,2,0)</f>
        <v>28-Aug-1988</v>
      </c>
      <c r="M1927" s="7">
        <f t="shared" ref="M1927:M1990" ca="1" si="11547">VLOOKUP(A1927,hospital_details,3,0)</f>
        <v>38</v>
      </c>
      <c r="N1927" s="7">
        <f t="shared" ref="N1927:N1990" si="11548">VLOOKUP($A1927,hospital_details,4,0)</f>
        <v>3</v>
      </c>
      <c r="O1927" s="8">
        <f t="shared" ref="O1927:O1990" si="11549">VLOOKUP($A1927,hospital_details,5,0)</f>
        <v>3793.55</v>
      </c>
      <c r="P1927" s="7" t="str">
        <f t="shared" ref="P1927:P1990" si="11550">VLOOKUP($A1927,hospital_details,6,0)</f>
        <v>tier - 2</v>
      </c>
      <c r="Q1927" s="7" t="str">
        <f t="shared" ref="Q1927:Q1990" si="11551">VLOOKUP($A1927,hospital_details,7,0)</f>
        <v>tier - 3</v>
      </c>
      <c r="R1927" s="7" t="str">
        <f t="shared" ref="R1927:R1990" si="11552">VLOOKUP($A1927,hospital_details,8,0)</f>
        <v>R1013</v>
      </c>
    </row>
    <row r="1928" spans="1:18" ht="14.4" customHeight="1" x14ac:dyDescent="0.3">
      <c r="A1928" s="5" t="s">
        <v>1948</v>
      </c>
      <c r="B1928" s="5" t="str">
        <f>VLOOKUP($A1928,[1]!Customer_Names[#Data],3,0)</f>
        <v xml:space="preserve">  Jekaterina</v>
      </c>
      <c r="C1928" s="5">
        <v>16.96</v>
      </c>
      <c r="D1928" s="5" t="str" cm="1">
        <f t="array" ref="D1928">_xlfn.IFS(Healthcare!$C1928&lt;18.5,"under weight",Healthcare!$C1928&lt;=24.9,"Normal Weight",Healthcare!$C1928&gt;=25,"overweight",Healthcare!$C1928&gt;=30,"obese")</f>
        <v>under weight</v>
      </c>
      <c r="E1928" s="5">
        <v>11.47</v>
      </c>
      <c r="F1928" s="5" t="str" cm="1">
        <f t="array" ref="F1928">_xlfn.IFS(Healthcare!$E1928&lt;5.7,"normal",Healthcare!$E1928&lt;=6.4,"prediabetes",Healthcare!$E1928&gt;=6.5,"diabetes")</f>
        <v>diabetes</v>
      </c>
      <c r="G1928" s="5" t="s">
        <v>20</v>
      </c>
      <c r="H1928" s="5" t="s">
        <v>19</v>
      </c>
      <c r="I1928" s="5" t="s">
        <v>19</v>
      </c>
      <c r="J1928" s="5">
        <v>0</v>
      </c>
      <c r="K1928" s="5" t="s">
        <v>19</v>
      </c>
      <c r="L1928" s="5" t="str">
        <f>VLOOKUP(Healthcare!$A1928,hospital_details,2,0)</f>
        <v>13-Dec-1981</v>
      </c>
      <c r="M1928" s="5">
        <f t="shared" ref="M1928:M1991" ca="1" si="11553">VLOOKUP(A1928,hospital_details,3,0)</f>
        <v>44</v>
      </c>
      <c r="N1928" s="5">
        <f t="shared" ref="N1928:N1991" si="11554">VLOOKUP($A1928,hospital_details,4,0)</f>
        <v>1</v>
      </c>
      <c r="O1928" s="6">
        <f t="shared" ref="O1928:O1991" si="11555">VLOOKUP($A1928,hospital_details,5,0)</f>
        <v>3785.77</v>
      </c>
      <c r="P1928" s="5" t="str">
        <f t="shared" ref="P1928:P1991" si="11556">VLOOKUP($A1928,hospital_details,6,0)</f>
        <v>tier - 2</v>
      </c>
      <c r="Q1928" s="5" t="str">
        <f t="shared" ref="Q1928:Q1991" si="11557">VLOOKUP($A1928,hospital_details,7,0)</f>
        <v>tier - 1</v>
      </c>
      <c r="R1928" s="5" t="str">
        <f t="shared" ref="R1928:R1991" si="11558">VLOOKUP($A1928,hospital_details,8,0)</f>
        <v>R1013</v>
      </c>
    </row>
    <row r="1929" spans="1:18" ht="14.4" customHeight="1" x14ac:dyDescent="0.3">
      <c r="A1929" s="7" t="s">
        <v>1949</v>
      </c>
      <c r="B1929" s="7" t="str">
        <f>VLOOKUP($A1929,[1]!Customer_Names[#Data],3,0)</f>
        <v xml:space="preserve">  Daniel</v>
      </c>
      <c r="C1929" s="7">
        <v>19.05</v>
      </c>
      <c r="D1929" s="7" t="str" cm="1">
        <f t="array" ref="D1929">_xlfn.IFS(Healthcare!$C1929&lt;18.5,"under weight",Healthcare!$C1929&lt;=24.9,"Normal Weight",Healthcare!$C1929&gt;=25,"overweight",Healthcare!$C1929&gt;=30,"obese")</f>
        <v>Normal Weight</v>
      </c>
      <c r="E1929" s="7">
        <v>4.92</v>
      </c>
      <c r="F1929" s="7" t="str" cm="1">
        <f t="array" ref="F1929">_xlfn.IFS(Healthcare!$E1929&lt;5.7,"normal",Healthcare!$E1929&lt;=6.4,"prediabetes",Healthcare!$E1929&gt;=6.5,"diabetes")</f>
        <v>normal</v>
      </c>
      <c r="G1929" s="7" t="s">
        <v>19</v>
      </c>
      <c r="H1929" s="7" t="s">
        <v>19</v>
      </c>
      <c r="I1929" s="7" t="s">
        <v>19</v>
      </c>
      <c r="J1929" s="7">
        <v>1</v>
      </c>
      <c r="K1929" s="7" t="s">
        <v>19</v>
      </c>
      <c r="L1929" s="7" t="str">
        <f>VLOOKUP(Healthcare!$A1929,hospital_details,2,0)</f>
        <v>24-Oct-1987</v>
      </c>
      <c r="M1929" s="7">
        <f t="shared" ref="M1929:M1992" ca="1" si="11559">VLOOKUP(A1929,hospital_details,3,0)</f>
        <v>38</v>
      </c>
      <c r="N1929" s="7">
        <f t="shared" ref="N1929:N1992" si="11560">VLOOKUP($A1929,hospital_details,4,0)</f>
        <v>3</v>
      </c>
      <c r="O1929" s="8">
        <f t="shared" ref="O1929:O1992" si="11561">VLOOKUP($A1929,hospital_details,5,0)</f>
        <v>3773.23</v>
      </c>
      <c r="P1929" s="7" t="str">
        <f t="shared" ref="P1929:P1992" si="11562">VLOOKUP($A1929,hospital_details,6,0)</f>
        <v>tier - 2</v>
      </c>
      <c r="Q1929" s="7" t="str">
        <f t="shared" ref="Q1929:Q1992" si="11563">VLOOKUP($A1929,hospital_details,7,0)</f>
        <v>tier - 3</v>
      </c>
      <c r="R1929" s="7" t="str">
        <f t="shared" ref="R1929:R1992" si="11564">VLOOKUP($A1929,hospital_details,8,0)</f>
        <v>R1013</v>
      </c>
    </row>
    <row r="1930" spans="1:18" ht="14.4" customHeight="1" x14ac:dyDescent="0.3">
      <c r="A1930" s="5" t="s">
        <v>1950</v>
      </c>
      <c r="B1930" s="5" t="str">
        <f>VLOOKUP($A1930,[1]!Customer_Names[#Data],3,0)</f>
        <v xml:space="preserve">  Pauline</v>
      </c>
      <c r="C1930" s="5">
        <v>37.619999999999997</v>
      </c>
      <c r="D1930" s="5" t="str" cm="1">
        <f t="array" ref="D1930">_xlfn.IFS(Healthcare!$C1930&lt;18.5,"under weight",Healthcare!$C1930&lt;=24.9,"Normal Weight",Healthcare!$C1930&gt;=25,"overweight",Healthcare!$C1930&gt;=30,"obese")</f>
        <v>overweight</v>
      </c>
      <c r="E1930" s="5">
        <v>4.18</v>
      </c>
      <c r="F1930" s="5" t="str" cm="1">
        <f t="array" ref="F1930">_xlfn.IFS(Healthcare!$E1930&lt;5.7,"normal",Healthcare!$E1930&lt;=6.4,"prediabetes",Healthcare!$E1930&gt;=6.5,"diabetes")</f>
        <v>normal</v>
      </c>
      <c r="G1930" s="5" t="s">
        <v>19</v>
      </c>
      <c r="H1930" s="5" t="s">
        <v>19</v>
      </c>
      <c r="I1930" s="5" t="s">
        <v>19</v>
      </c>
      <c r="J1930" s="5">
        <v>0</v>
      </c>
      <c r="K1930" s="5" t="s">
        <v>19</v>
      </c>
      <c r="L1930" s="5" t="str">
        <f>VLOOKUP(Healthcare!$A1930,hospital_details,2,0)</f>
        <v>21-Nov-1994</v>
      </c>
      <c r="M1930" s="5">
        <f t="shared" ref="M1930:M1993" ca="1" si="11565">VLOOKUP(A1930,hospital_details,3,0)</f>
        <v>31</v>
      </c>
      <c r="N1930" s="5">
        <f t="shared" ref="N1930:N1993" si="11566">VLOOKUP($A1930,hospital_details,4,0)</f>
        <v>1</v>
      </c>
      <c r="O1930" s="6">
        <f t="shared" ref="O1930:O1993" si="11567">VLOOKUP($A1930,hospital_details,5,0)</f>
        <v>3766.88</v>
      </c>
      <c r="P1930" s="5" t="str">
        <f t="shared" ref="P1930:P1993" si="11568">VLOOKUP($A1930,hospital_details,6,0)</f>
        <v>tier - 2</v>
      </c>
      <c r="Q1930" s="5" t="str">
        <f t="shared" ref="Q1930:Q1993" si="11569">VLOOKUP($A1930,hospital_details,7,0)</f>
        <v>tier - 1</v>
      </c>
      <c r="R1930" s="5" t="str">
        <f t="shared" ref="R1930:R1993" si="11570">VLOOKUP($A1930,hospital_details,8,0)</f>
        <v>R1013</v>
      </c>
    </row>
    <row r="1931" spans="1:18" ht="14.4" customHeight="1" x14ac:dyDescent="0.3">
      <c r="A1931" s="7" t="s">
        <v>1951</v>
      </c>
      <c r="B1931" s="7" t="str">
        <f>VLOOKUP($A1931,[1]!Customer_Names[#Data],3,0)</f>
        <v xml:space="preserve">  Colleen</v>
      </c>
      <c r="C1931" s="7">
        <v>29.1</v>
      </c>
      <c r="D1931" s="7" t="str" cm="1">
        <f t="array" ref="D1931">_xlfn.IFS(Healthcare!$C1931&lt;18.5,"under weight",Healthcare!$C1931&lt;=24.9,"Normal Weight",Healthcare!$C1931&gt;=25,"overweight",Healthcare!$C1931&gt;=30,"obese")</f>
        <v>overweight</v>
      </c>
      <c r="E1931" s="7">
        <v>4.67</v>
      </c>
      <c r="F1931" s="7" t="str" cm="1">
        <f t="array" ref="F1931">_xlfn.IFS(Healthcare!$E1931&lt;5.7,"normal",Healthcare!$E1931&lt;=6.4,"prediabetes",Healthcare!$E1931&gt;=6.5,"diabetes")</f>
        <v>normal</v>
      </c>
      <c r="G1931" s="7" t="s">
        <v>19</v>
      </c>
      <c r="H1931" s="7" t="s">
        <v>19</v>
      </c>
      <c r="I1931" s="7" t="s">
        <v>19</v>
      </c>
      <c r="J1931" s="7">
        <v>0</v>
      </c>
      <c r="K1931" s="7" t="s">
        <v>19</v>
      </c>
      <c r="L1931" s="7" t="str">
        <f>VLOOKUP(Healthcare!$A1931,hospital_details,2,0)</f>
        <v>24-Oct-1991</v>
      </c>
      <c r="M1931" s="7">
        <f t="shared" ref="M1931:M1994" ca="1" si="11571">VLOOKUP(A1931,hospital_details,3,0)</f>
        <v>34</v>
      </c>
      <c r="N1931" s="7">
        <f t="shared" ref="N1931:N1994" si="11572">VLOOKUP($A1931,hospital_details,4,0)</f>
        <v>0</v>
      </c>
      <c r="O1931" s="8">
        <f t="shared" ref="O1931:O1994" si="11573">VLOOKUP($A1931,hospital_details,5,0)</f>
        <v>3761.29</v>
      </c>
      <c r="P1931" s="7" t="str">
        <f t="shared" ref="P1931:P1994" si="11574">VLOOKUP($A1931,hospital_details,6,0)</f>
        <v>tier - 2</v>
      </c>
      <c r="Q1931" s="7" t="str">
        <f t="shared" ref="Q1931:Q1994" si="11575">VLOOKUP($A1931,hospital_details,7,0)</f>
        <v>tier - 3</v>
      </c>
      <c r="R1931" s="7" t="str">
        <f t="shared" ref="R1931:R1994" si="11576">VLOOKUP($A1931,hospital_details,8,0)</f>
        <v>R1011</v>
      </c>
    </row>
    <row r="1932" spans="1:18" ht="14.4" customHeight="1" x14ac:dyDescent="0.3">
      <c r="A1932" s="5" t="s">
        <v>1952</v>
      </c>
      <c r="B1932" s="5" t="str">
        <f>VLOOKUP($A1932,[1]!Customer_Names[#Data],3,0)</f>
        <v xml:space="preserve">  Aleah K</v>
      </c>
      <c r="C1932" s="5">
        <v>26.62</v>
      </c>
      <c r="D1932" s="5" t="str" cm="1">
        <f t="array" ref="D1932">_xlfn.IFS(Healthcare!$C1932&lt;18.5,"under weight",Healthcare!$C1932&lt;=24.9,"Normal Weight",Healthcare!$C1932&gt;=25,"overweight",Healthcare!$C1932&gt;=30,"obese")</f>
        <v>overweight</v>
      </c>
      <c r="E1932" s="5">
        <v>6.24</v>
      </c>
      <c r="F1932" s="5" t="str" cm="1">
        <f t="array" ref="F1932">_xlfn.IFS(Healthcare!$E1932&lt;5.7,"normal",Healthcare!$E1932&lt;=6.4,"prediabetes",Healthcare!$E1932&gt;=6.5,"diabetes")</f>
        <v>prediabetes</v>
      </c>
      <c r="G1932" s="5" t="s">
        <v>19</v>
      </c>
      <c r="H1932" s="5" t="s">
        <v>19</v>
      </c>
      <c r="I1932" s="5" t="s">
        <v>19</v>
      </c>
      <c r="J1932" s="5">
        <v>0</v>
      </c>
      <c r="K1932" s="5" t="s">
        <v>19</v>
      </c>
      <c r="L1932" s="5" t="str">
        <f>VLOOKUP(Healthcare!$A1932,hospital_details,2,0)</f>
        <v>25-Aug-1991</v>
      </c>
      <c r="M1932" s="5">
        <f t="shared" ref="M1932:M1995" ca="1" si="11577">VLOOKUP(A1932,hospital_details,3,0)</f>
        <v>35</v>
      </c>
      <c r="N1932" s="5">
        <f t="shared" ref="N1932:N1995" si="11578">VLOOKUP($A1932,hospital_details,4,0)</f>
        <v>0</v>
      </c>
      <c r="O1932" s="6">
        <f t="shared" ref="O1932:O1995" si="11579">VLOOKUP($A1932,hospital_details,5,0)</f>
        <v>3757.84</v>
      </c>
      <c r="P1932" s="5" t="str">
        <f t="shared" ref="P1932:P1995" si="11580">VLOOKUP($A1932,hospital_details,6,0)</f>
        <v>tier - 2</v>
      </c>
      <c r="Q1932" s="5" t="str">
        <f t="shared" ref="Q1932:Q1995" si="11581">VLOOKUP($A1932,hospital_details,7,0)</f>
        <v>tier - 1</v>
      </c>
      <c r="R1932" s="5" t="str">
        <f t="shared" ref="R1932:R1995" si="11582">VLOOKUP($A1932,hospital_details,8,0)</f>
        <v>R1013</v>
      </c>
    </row>
    <row r="1933" spans="1:18" ht="14.4" customHeight="1" x14ac:dyDescent="0.3">
      <c r="A1933" s="7" t="s">
        <v>1953</v>
      </c>
      <c r="B1933" s="7" t="str">
        <f>VLOOKUP($A1933,[1]!Customer_Names[#Data],3,0)</f>
        <v xml:space="preserve">  Mare</v>
      </c>
      <c r="C1933" s="7">
        <v>25.74</v>
      </c>
      <c r="D1933" s="7" t="str" cm="1">
        <f t="array" ref="D1933">_xlfn.IFS(Healthcare!$C1933&lt;18.5,"under weight",Healthcare!$C1933&lt;=24.9,"Normal Weight",Healthcare!$C1933&gt;=25,"overweight",Healthcare!$C1933&gt;=30,"obese")</f>
        <v>overweight</v>
      </c>
      <c r="E1933" s="7">
        <v>5.99</v>
      </c>
      <c r="F1933" s="7" t="str" cm="1">
        <f t="array" ref="F1933">_xlfn.IFS(Healthcare!$E1933&lt;5.7,"normal",Healthcare!$E1933&lt;=6.4,"prediabetes",Healthcare!$E1933&gt;=6.5,"diabetes")</f>
        <v>prediabetes</v>
      </c>
      <c r="G1933" s="7" t="s">
        <v>19</v>
      </c>
      <c r="H1933" s="7" t="s">
        <v>19</v>
      </c>
      <c r="I1933" s="7" t="s">
        <v>19</v>
      </c>
      <c r="J1933" s="7">
        <v>0</v>
      </c>
      <c r="K1933" s="7" t="s">
        <v>19</v>
      </c>
      <c r="L1933" s="7" t="str">
        <f>VLOOKUP(Healthcare!$A1933,hospital_details,2,0)</f>
        <v>28-Oct-1991</v>
      </c>
      <c r="M1933" s="7">
        <f t="shared" ref="M1933:M1996" ca="1" si="11583">VLOOKUP(A1933,hospital_details,3,0)</f>
        <v>34</v>
      </c>
      <c r="N1933" s="7">
        <f t="shared" ref="N1933:N1996" si="11584">VLOOKUP($A1933,hospital_details,4,0)</f>
        <v>0</v>
      </c>
      <c r="O1933" s="8">
        <f t="shared" ref="O1933:O1996" si="11585">VLOOKUP($A1933,hospital_details,5,0)</f>
        <v>3756.62</v>
      </c>
      <c r="P1933" s="7" t="str">
        <f t="shared" ref="P1933:P1996" si="11586">VLOOKUP($A1933,hospital_details,6,0)</f>
        <v>tier - 2</v>
      </c>
      <c r="Q1933" s="7" t="str">
        <f t="shared" ref="Q1933:Q1996" si="11587">VLOOKUP($A1933,hospital_details,7,0)</f>
        <v>tier - 2</v>
      </c>
      <c r="R1933" s="7" t="str">
        <f t="shared" ref="R1933:R1996" si="11588">VLOOKUP($A1933,hospital_details,8,0)</f>
        <v>R1013</v>
      </c>
    </row>
    <row r="1934" spans="1:18" ht="14.4" customHeight="1" x14ac:dyDescent="0.3">
      <c r="A1934" s="5" t="s">
        <v>1954</v>
      </c>
      <c r="B1934" s="5" t="str">
        <f>VLOOKUP($A1934,[1]!Customer_Names[#Data],3,0)</f>
        <v xml:space="preserve">  Kevin</v>
      </c>
      <c r="C1934" s="5">
        <v>18.22</v>
      </c>
      <c r="D1934" s="5" t="str" cm="1">
        <f t="array" ref="D1934">_xlfn.IFS(Healthcare!$C1934&lt;18.5,"under weight",Healthcare!$C1934&lt;=24.9,"Normal Weight",Healthcare!$C1934&gt;=25,"overweight",Healthcare!$C1934&gt;=30,"obese")</f>
        <v>under weight</v>
      </c>
      <c r="E1934" s="5">
        <v>10.27</v>
      </c>
      <c r="F1934" s="5" t="str" cm="1">
        <f t="array" ref="F1934">_xlfn.IFS(Healthcare!$E1934&lt;5.7,"normal",Healthcare!$E1934&lt;=6.4,"prediabetes",Healthcare!$E1934&gt;=6.5,"diabetes")</f>
        <v>diabetes</v>
      </c>
      <c r="G1934" s="5" t="s">
        <v>20</v>
      </c>
      <c r="H1934" s="5" t="s">
        <v>19</v>
      </c>
      <c r="I1934" s="5" t="s">
        <v>19</v>
      </c>
      <c r="J1934" s="5">
        <v>1</v>
      </c>
      <c r="K1934" s="5" t="s">
        <v>19</v>
      </c>
      <c r="L1934" s="5" t="str">
        <f>VLOOKUP(Healthcare!$A1934,hospital_details,2,0)</f>
        <v>9-Sep-1986</v>
      </c>
      <c r="M1934" s="5">
        <f t="shared" ref="M1934:M1997" ca="1" si="11589">VLOOKUP(A1934,hospital_details,3,0)</f>
        <v>40</v>
      </c>
      <c r="N1934" s="5">
        <f t="shared" ref="N1934:N1997" si="11590">VLOOKUP($A1934,hospital_details,4,0)</f>
        <v>3</v>
      </c>
      <c r="O1934" s="6">
        <f t="shared" ref="O1934:O1997" si="11591">VLOOKUP($A1934,hospital_details,5,0)</f>
        <v>3748.56</v>
      </c>
      <c r="P1934" s="5" t="str">
        <f t="shared" ref="P1934:P1997" si="11592">VLOOKUP($A1934,hospital_details,6,0)</f>
        <v>tier - 2</v>
      </c>
      <c r="Q1934" s="5" t="str">
        <f t="shared" ref="Q1934:Q1997" si="11593">VLOOKUP($A1934,hospital_details,7,0)</f>
        <v>tier - 2</v>
      </c>
      <c r="R1934" s="5" t="str">
        <f t="shared" ref="R1934:R1997" si="11594">VLOOKUP($A1934,hospital_details,8,0)</f>
        <v>R1013</v>
      </c>
    </row>
    <row r="1935" spans="1:18" ht="14.4" customHeight="1" x14ac:dyDescent="0.3">
      <c r="A1935" s="7" t="s">
        <v>1955</v>
      </c>
      <c r="B1935" s="7" t="str">
        <f>VLOOKUP($A1935,[1]!Customer_Names[#Data],3,0)</f>
        <v xml:space="preserve">  Jessica</v>
      </c>
      <c r="C1935" s="7">
        <v>26.03</v>
      </c>
      <c r="D1935" s="7" t="str" cm="1">
        <f t="array" ref="D1935">_xlfn.IFS(Healthcare!$C1935&lt;18.5,"under weight",Healthcare!$C1935&lt;=24.9,"Normal Weight",Healthcare!$C1935&gt;=25,"overweight",Healthcare!$C1935&gt;=30,"obese")</f>
        <v>overweight</v>
      </c>
      <c r="E1935" s="7">
        <v>5.97</v>
      </c>
      <c r="F1935" s="7" t="str" cm="1">
        <f t="array" ref="F1935">_xlfn.IFS(Healthcare!$E1935&lt;5.7,"normal",Healthcare!$E1935&lt;=6.4,"prediabetes",Healthcare!$E1935&gt;=6.5,"diabetes")</f>
        <v>prediabetes</v>
      </c>
      <c r="G1935" s="7" t="s">
        <v>19</v>
      </c>
      <c r="H1935" s="7" t="s">
        <v>19</v>
      </c>
      <c r="I1935" s="7" t="s">
        <v>29</v>
      </c>
      <c r="J1935" s="7">
        <v>1</v>
      </c>
      <c r="K1935" s="7" t="s">
        <v>19</v>
      </c>
      <c r="L1935" s="7" t="str">
        <f>VLOOKUP(Healthcare!$A1935,hospital_details,2,0)</f>
        <v>22-Jun-1993</v>
      </c>
      <c r="M1935" s="7">
        <f t="shared" ref="M1935:M1998" ca="1" si="11595">VLOOKUP(A1935,hospital_details,3,0)</f>
        <v>33</v>
      </c>
      <c r="N1935" s="7">
        <f t="shared" ref="N1935:N1998" si="11596">VLOOKUP($A1935,hospital_details,4,0)</f>
        <v>0</v>
      </c>
      <c r="O1935" s="8">
        <f t="shared" ref="O1935:O1998" si="11597">VLOOKUP($A1935,hospital_details,5,0)</f>
        <v>3736.46</v>
      </c>
      <c r="P1935" s="7" t="str">
        <f t="shared" ref="P1935:P1998" si="11598">VLOOKUP($A1935,hospital_details,6,0)</f>
        <v>tier - 2</v>
      </c>
      <c r="Q1935" s="7" t="str">
        <f t="shared" ref="Q1935:Q1998" si="11599">VLOOKUP($A1935,hospital_details,7,0)</f>
        <v>tier - 2</v>
      </c>
      <c r="R1935" s="7" t="str">
        <f t="shared" ref="R1935:R1998" si="11600">VLOOKUP($A1935,hospital_details,8,0)</f>
        <v>R1012</v>
      </c>
    </row>
    <row r="1936" spans="1:18" ht="14.4" customHeight="1" x14ac:dyDescent="0.3">
      <c r="A1936" s="5" t="s">
        <v>1956</v>
      </c>
      <c r="B1936" s="5" t="str">
        <f>VLOOKUP($A1936,[1]!Customer_Names[#Data],3,0)</f>
        <v xml:space="preserve">  Amanda R</v>
      </c>
      <c r="C1936" s="5">
        <v>17.29</v>
      </c>
      <c r="D1936" s="5" t="str" cm="1">
        <f t="array" ref="D1936">_xlfn.IFS(Healthcare!$C1936&lt;18.5,"under weight",Healthcare!$C1936&lt;=24.9,"Normal Weight",Healthcare!$C1936&gt;=25,"overweight",Healthcare!$C1936&gt;=30,"obese")</f>
        <v>under weight</v>
      </c>
      <c r="E1936" s="5">
        <v>4.9800000000000004</v>
      </c>
      <c r="F1936" s="5" t="str" cm="1">
        <f t="array" ref="F1936">_xlfn.IFS(Healthcare!$E1936&lt;5.7,"normal",Healthcare!$E1936&lt;=6.4,"prediabetes",Healthcare!$E1936&gt;=6.5,"diabetes")</f>
        <v>normal</v>
      </c>
      <c r="G1936" s="5" t="s">
        <v>19</v>
      </c>
      <c r="H1936" s="5" t="s">
        <v>19</v>
      </c>
      <c r="I1936" s="5" t="s">
        <v>19</v>
      </c>
      <c r="J1936" s="5">
        <v>0</v>
      </c>
      <c r="K1936" s="5" t="s">
        <v>19</v>
      </c>
      <c r="L1936" s="5" t="str">
        <f>VLOOKUP(Healthcare!$A1936,hospital_details,2,0)</f>
        <v>22-Aug-1994</v>
      </c>
      <c r="M1936" s="5">
        <f t="shared" ref="M1936:M1999" ca="1" si="11601">VLOOKUP(A1936,hospital_details,3,0)</f>
        <v>32</v>
      </c>
      <c r="N1936" s="5">
        <f t="shared" ref="N1936:N1999" si="11602">VLOOKUP($A1936,hospital_details,4,0)</f>
        <v>0</v>
      </c>
      <c r="O1936" s="6">
        <f t="shared" ref="O1936:O1999" si="11603">VLOOKUP($A1936,hospital_details,5,0)</f>
        <v>3732.63</v>
      </c>
      <c r="P1936" s="5" t="str">
        <f t="shared" ref="P1936:P1999" si="11604">VLOOKUP($A1936,hospital_details,6,0)</f>
        <v>tier - 2</v>
      </c>
      <c r="Q1936" s="5" t="str">
        <f t="shared" ref="Q1936:Q1999" si="11605">VLOOKUP($A1936,hospital_details,7,0)</f>
        <v>tier - 3</v>
      </c>
      <c r="R1936" s="5" t="str">
        <f t="shared" ref="R1936:R1999" si="11606">VLOOKUP($A1936,hospital_details,8,0)</f>
        <v>R1024</v>
      </c>
    </row>
    <row r="1937" spans="1:18" ht="14.4" customHeight="1" x14ac:dyDescent="0.3">
      <c r="A1937" s="7" t="s">
        <v>1957</v>
      </c>
      <c r="B1937" s="7" t="str">
        <f>VLOOKUP($A1937,[1]!Customer_Names[#Data],3,0)</f>
        <v xml:space="preserve">  Murray W</v>
      </c>
      <c r="C1937" s="7">
        <v>18.170000000000002</v>
      </c>
      <c r="D1937" s="7" t="str" cm="1">
        <f t="array" ref="D1937">_xlfn.IFS(Healthcare!$C1937&lt;18.5,"under weight",Healthcare!$C1937&lt;=24.9,"Normal Weight",Healthcare!$C1937&gt;=25,"overweight",Healthcare!$C1937&gt;=30,"obese")</f>
        <v>under weight</v>
      </c>
      <c r="E1937" s="7">
        <v>6.91</v>
      </c>
      <c r="F1937" s="7" t="str" cm="1">
        <f t="array" ref="F1937">_xlfn.IFS(Healthcare!$E1937&lt;5.7,"normal",Healthcare!$E1937&lt;=6.4,"prediabetes",Healthcare!$E1937&gt;=6.5,"diabetes")</f>
        <v>diabetes</v>
      </c>
      <c r="G1937" s="7" t="s">
        <v>20</v>
      </c>
      <c r="H1937" s="7" t="s">
        <v>19</v>
      </c>
      <c r="I1937" s="7" t="s">
        <v>19</v>
      </c>
      <c r="J1937" s="7">
        <v>1</v>
      </c>
      <c r="K1937" s="7" t="s">
        <v>19</v>
      </c>
      <c r="L1937" s="7" t="str">
        <f>VLOOKUP(Healthcare!$A1937,hospital_details,2,0)</f>
        <v>1-Dec-1986</v>
      </c>
      <c r="M1937" s="7">
        <f t="shared" ref="M1937:M2000" ca="1" si="11607">VLOOKUP(A1937,hospital_details,3,0)</f>
        <v>39</v>
      </c>
      <c r="N1937" s="7">
        <f t="shared" ref="N1937:N2000" si="11608">VLOOKUP($A1937,hospital_details,4,0)</f>
        <v>3</v>
      </c>
      <c r="O1937" s="8">
        <f t="shared" ref="O1937:O2000" si="11609">VLOOKUP($A1937,hospital_details,5,0)</f>
        <v>3731.6</v>
      </c>
      <c r="P1937" s="7" t="str">
        <f t="shared" ref="P1937:P2000" si="11610">VLOOKUP($A1937,hospital_details,6,0)</f>
        <v>tier - 2</v>
      </c>
      <c r="Q1937" s="7" t="str">
        <f t="shared" ref="Q1937:Q2000" si="11611">VLOOKUP($A1937,hospital_details,7,0)</f>
        <v>tier - 2</v>
      </c>
      <c r="R1937" s="7" t="str">
        <f t="shared" ref="R1937:R2000" si="11612">VLOOKUP($A1937,hospital_details,8,0)</f>
        <v>R1013</v>
      </c>
    </row>
    <row r="1938" spans="1:18" ht="14.4" customHeight="1" x14ac:dyDescent="0.3">
      <c r="A1938" s="5" t="s">
        <v>1958</v>
      </c>
      <c r="B1938" s="5" t="str">
        <f>VLOOKUP($A1938,[1]!Customer_Names[#Data],3,0)</f>
        <v xml:space="preserve">  Meghan P</v>
      </c>
      <c r="C1938" s="5">
        <v>32.54</v>
      </c>
      <c r="D1938" s="5" t="str" cm="1">
        <f t="array" ref="D1938">_xlfn.IFS(Healthcare!$C1938&lt;18.5,"under weight",Healthcare!$C1938&lt;=24.9,"Normal Weight",Healthcare!$C1938&gt;=25,"overweight",Healthcare!$C1938&gt;=30,"obese")</f>
        <v>overweight</v>
      </c>
      <c r="E1938" s="5">
        <v>6.38</v>
      </c>
      <c r="F1938" s="5" t="str" cm="1">
        <f t="array" ref="F1938">_xlfn.IFS(Healthcare!$E1938&lt;5.7,"normal",Healthcare!$E1938&lt;=6.4,"prediabetes",Healthcare!$E1938&gt;=6.5,"diabetes")</f>
        <v>prediabetes</v>
      </c>
      <c r="G1938" s="5" t="s">
        <v>19</v>
      </c>
      <c r="H1938" s="5" t="s">
        <v>20</v>
      </c>
      <c r="I1938" s="5" t="s">
        <v>19</v>
      </c>
      <c r="J1938" s="5">
        <v>1</v>
      </c>
      <c r="K1938" s="5" t="s">
        <v>19</v>
      </c>
      <c r="L1938" s="5" t="str">
        <f>VLOOKUP(Healthcare!$A1938,hospital_details,2,0)</f>
        <v>5-Nov-2004</v>
      </c>
      <c r="M1938" s="5">
        <f t="shared" ref="M1938:M2001" ca="1" si="11613">VLOOKUP(A1938,hospital_details,3,0)</f>
        <v>21</v>
      </c>
      <c r="N1938" s="5">
        <f t="shared" ref="N1938:N2001" si="11614">VLOOKUP($A1938,hospital_details,4,0)</f>
        <v>0</v>
      </c>
      <c r="O1938" s="6">
        <f t="shared" ref="O1938:O2001" si="11615">VLOOKUP($A1938,hospital_details,5,0)</f>
        <v>3722.23</v>
      </c>
      <c r="P1938" s="5" t="str">
        <f t="shared" ref="P1938:P2001" si="11616">VLOOKUP($A1938,hospital_details,6,0)</f>
        <v>tier - 2</v>
      </c>
      <c r="Q1938" s="5" t="str">
        <f t="shared" ref="Q1938:Q2001" si="11617">VLOOKUP($A1938,hospital_details,7,0)</f>
        <v>tier - 2</v>
      </c>
      <c r="R1938" s="5" t="str">
        <f t="shared" ref="R1938:R2001" si="11618">VLOOKUP($A1938,hospital_details,8,0)</f>
        <v>R1025</v>
      </c>
    </row>
    <row r="1939" spans="1:18" ht="14.4" customHeight="1" x14ac:dyDescent="0.3">
      <c r="A1939" s="7" t="s">
        <v>1959</v>
      </c>
      <c r="B1939" s="7" t="str">
        <f>VLOOKUP($A1939,[1]!Customer_Names[#Data],3,0)</f>
        <v xml:space="preserve">  David</v>
      </c>
      <c r="C1939" s="7">
        <v>30.25</v>
      </c>
      <c r="D1939" s="7" t="str" cm="1">
        <f t="array" ref="D1939">_xlfn.IFS(Healthcare!$C1939&lt;18.5,"under weight",Healthcare!$C1939&lt;=24.9,"Normal Weight",Healthcare!$C1939&gt;=25,"overweight",Healthcare!$C1939&gt;=30,"obese")</f>
        <v>overweight</v>
      </c>
      <c r="E1939" s="7">
        <v>4.7699999999999996</v>
      </c>
      <c r="F1939" s="7" t="str" cm="1">
        <f t="array" ref="F1939">_xlfn.IFS(Healthcare!$E1939&lt;5.7,"normal",Healthcare!$E1939&lt;=6.4,"prediabetes",Healthcare!$E1939&gt;=6.5,"diabetes")</f>
        <v>normal</v>
      </c>
      <c r="G1939" s="7" t="s">
        <v>19</v>
      </c>
      <c r="H1939" s="7" t="s">
        <v>19</v>
      </c>
      <c r="I1939" s="7" t="s">
        <v>19</v>
      </c>
      <c r="J1939" s="7">
        <v>0</v>
      </c>
      <c r="K1939" s="7" t="s">
        <v>19</v>
      </c>
      <c r="L1939" s="7" t="str">
        <f>VLOOKUP(Healthcare!$A1939,hospital_details,2,0)</f>
        <v>2-Dec-1989</v>
      </c>
      <c r="M1939" s="7">
        <f t="shared" ref="M1939:M2002" ca="1" si="11619">VLOOKUP(A1939,hospital_details,3,0)</f>
        <v>36</v>
      </c>
      <c r="N1939" s="7">
        <f t="shared" ref="N1939:N2002" si="11620">VLOOKUP($A1939,hospital_details,4,0)</f>
        <v>0</v>
      </c>
      <c r="O1939" s="8">
        <f t="shared" ref="O1939:O2002" si="11621">VLOOKUP($A1939,hospital_details,5,0)</f>
        <v>3704.35</v>
      </c>
      <c r="P1939" s="7" t="str">
        <f t="shared" ref="P1939:P2002" si="11622">VLOOKUP($A1939,hospital_details,6,0)</f>
        <v>tier - 2</v>
      </c>
      <c r="Q1939" s="7" t="str">
        <f t="shared" ref="Q1939:Q2002" si="11623">VLOOKUP($A1939,hospital_details,7,0)</f>
        <v>tier - 2</v>
      </c>
      <c r="R1939" s="7" t="str">
        <f t="shared" ref="R1939:R2002" si="11624">VLOOKUP($A1939,hospital_details,8,0)</f>
        <v>R1013</v>
      </c>
    </row>
    <row r="1940" spans="1:18" ht="14.4" customHeight="1" x14ac:dyDescent="0.3">
      <c r="A1940" s="5" t="s">
        <v>1960</v>
      </c>
      <c r="B1940" s="5" t="str">
        <f>VLOOKUP($A1940,[1]!Customer_Names[#Data],3,0)</f>
        <v xml:space="preserve">  Seth</v>
      </c>
      <c r="C1940" s="5">
        <v>19.59</v>
      </c>
      <c r="D1940" s="5" t="str" cm="1">
        <f t="array" ref="D1940">_xlfn.IFS(Healthcare!$C1940&lt;18.5,"under weight",Healthcare!$C1940&lt;=24.9,"Normal Weight",Healthcare!$C1940&gt;=25,"overweight",Healthcare!$C1940&gt;=30,"obese")</f>
        <v>Normal Weight</v>
      </c>
      <c r="E1940" s="5">
        <v>6.04</v>
      </c>
      <c r="F1940" s="5" t="str" cm="1">
        <f t="array" ref="F1940">_xlfn.IFS(Healthcare!$E1940&lt;5.7,"normal",Healthcare!$E1940&lt;=6.4,"prediabetes",Healthcare!$E1940&gt;=6.5,"diabetes")</f>
        <v>prediabetes</v>
      </c>
      <c r="G1940" s="5" t="s">
        <v>20</v>
      </c>
      <c r="H1940" s="5" t="s">
        <v>19</v>
      </c>
      <c r="I1940" s="5" t="s">
        <v>19</v>
      </c>
      <c r="J1940" s="5">
        <v>1</v>
      </c>
      <c r="K1940" s="5" t="s">
        <v>19</v>
      </c>
      <c r="L1940" s="5" t="str">
        <f>VLOOKUP(Healthcare!$A1940,hospital_details,2,0)</f>
        <v>18-Aug-1988</v>
      </c>
      <c r="M1940" s="5">
        <f t="shared" ref="M1940:M2003" ca="1" si="11625">VLOOKUP(A1940,hospital_details,3,0)</f>
        <v>38</v>
      </c>
      <c r="N1940" s="5">
        <f t="shared" ref="N1940:N2003" si="11626">VLOOKUP($A1940,hospital_details,4,0)</f>
        <v>3</v>
      </c>
      <c r="O1940" s="6">
        <f t="shared" ref="O1940:O2003" si="11627">VLOOKUP($A1940,hospital_details,5,0)</f>
        <v>3699.54</v>
      </c>
      <c r="P1940" s="5" t="str">
        <f t="shared" ref="P1940:P2003" si="11628">VLOOKUP($A1940,hospital_details,6,0)</f>
        <v>tier - 2</v>
      </c>
      <c r="Q1940" s="5" t="str">
        <f t="shared" ref="Q1940:Q2003" si="11629">VLOOKUP($A1940,hospital_details,7,0)</f>
        <v>tier - 3</v>
      </c>
      <c r="R1940" s="5" t="str">
        <f t="shared" ref="R1940:R2003" si="11630">VLOOKUP($A1940,hospital_details,8,0)</f>
        <v>R1013</v>
      </c>
    </row>
    <row r="1941" spans="1:18" ht="14.4" customHeight="1" x14ac:dyDescent="0.3">
      <c r="A1941" s="7" t="s">
        <v>1961</v>
      </c>
      <c r="B1941" s="7" t="str">
        <f>VLOOKUP($A1941,[1]!Customer_Names[#Data],3,0)</f>
        <v xml:space="preserve">  Michael P</v>
      </c>
      <c r="C1941" s="7">
        <v>45.9</v>
      </c>
      <c r="D1941" s="7" t="str" cm="1">
        <f t="array" ref="D1941">_xlfn.IFS(Healthcare!$C1941&lt;18.5,"under weight",Healthcare!$C1941&lt;=24.9,"Normal Weight",Healthcare!$C1941&gt;=25,"overweight",Healthcare!$C1941&gt;=30,"obese")</f>
        <v>overweight</v>
      </c>
      <c r="E1941" s="7">
        <v>4.3</v>
      </c>
      <c r="F1941" s="7" t="str" cm="1">
        <f t="array" ref="F1941">_xlfn.IFS(Healthcare!$E1941&lt;5.7,"normal",Healthcare!$E1941&lt;=6.4,"prediabetes",Healthcare!$E1941&gt;=6.5,"diabetes")</f>
        <v>normal</v>
      </c>
      <c r="G1941" s="7" t="s">
        <v>20</v>
      </c>
      <c r="H1941" s="7" t="s">
        <v>19</v>
      </c>
      <c r="I1941" s="7" t="s">
        <v>19</v>
      </c>
      <c r="J1941" s="7">
        <v>1</v>
      </c>
      <c r="K1941" s="7" t="s">
        <v>19</v>
      </c>
      <c r="L1941" s="7" t="str">
        <f>VLOOKUP(Healthcare!$A1941,hospital_details,2,0)</f>
        <v>21-Oct-1995</v>
      </c>
      <c r="M1941" s="7">
        <f t="shared" ref="M1941:M2004" ca="1" si="11631">VLOOKUP(A1941,hospital_details,3,0)</f>
        <v>30</v>
      </c>
      <c r="N1941" s="7">
        <f t="shared" ref="N1941:N2004" si="11632">VLOOKUP($A1941,hospital_details,4,0)</f>
        <v>2</v>
      </c>
      <c r="O1941" s="8">
        <f t="shared" ref="O1941:O2004" si="11633">VLOOKUP($A1941,hospital_details,5,0)</f>
        <v>3693.43</v>
      </c>
      <c r="P1941" s="7" t="str">
        <f t="shared" ref="P1941:P2004" si="11634">VLOOKUP($A1941,hospital_details,6,0)</f>
        <v>tier - 2</v>
      </c>
      <c r="Q1941" s="7" t="str">
        <f t="shared" ref="Q1941:Q2004" si="11635">VLOOKUP($A1941,hospital_details,7,0)</f>
        <v>tier - 3</v>
      </c>
      <c r="R1941" s="7" t="str">
        <f t="shared" ref="R1941:R2004" si="11636">VLOOKUP($A1941,hospital_details,8,0)</f>
        <v>R1011</v>
      </c>
    </row>
    <row r="1942" spans="1:18" ht="14.4" customHeight="1" x14ac:dyDescent="0.3">
      <c r="A1942" s="5" t="s">
        <v>1962</v>
      </c>
      <c r="B1942" s="5" t="str">
        <f>VLOOKUP($A1942,[1]!Customer_Names[#Data],3,0)</f>
        <v xml:space="preserve">  Russell M</v>
      </c>
      <c r="C1942" s="5">
        <v>17.059999999999999</v>
      </c>
      <c r="D1942" s="5" t="str" cm="1">
        <f t="array" ref="D1942">_xlfn.IFS(Healthcare!$C1942&lt;18.5,"under weight",Healthcare!$C1942&lt;=24.9,"Normal Weight",Healthcare!$C1942&gt;=25,"overweight",Healthcare!$C1942&gt;=30,"obese")</f>
        <v>under weight</v>
      </c>
      <c r="E1942" s="5">
        <v>8.75</v>
      </c>
      <c r="F1942" s="5" t="str" cm="1">
        <f t="array" ref="F1942">_xlfn.IFS(Healthcare!$E1942&lt;5.7,"normal",Healthcare!$E1942&lt;=6.4,"prediabetes",Healthcare!$E1942&gt;=6.5,"diabetes")</f>
        <v>diabetes</v>
      </c>
      <c r="G1942" s="5" t="s">
        <v>20</v>
      </c>
      <c r="H1942" s="5" t="s">
        <v>19</v>
      </c>
      <c r="I1942" s="5" t="s">
        <v>19</v>
      </c>
      <c r="J1942" s="5">
        <v>0</v>
      </c>
      <c r="K1942" s="5" t="s">
        <v>19</v>
      </c>
      <c r="L1942" s="5" t="str">
        <f>VLOOKUP(Healthcare!$A1942,hospital_details,2,0)</f>
        <v>14-Dec-1981</v>
      </c>
      <c r="M1942" s="5">
        <f t="shared" ref="M1942:M2005" ca="1" si="11637">VLOOKUP(A1942,hospital_details,3,0)</f>
        <v>44</v>
      </c>
      <c r="N1942" s="5">
        <f t="shared" ref="N1942:N2005" si="11638">VLOOKUP($A1942,hospital_details,4,0)</f>
        <v>1</v>
      </c>
      <c r="O1942" s="6">
        <f t="shared" ref="O1942:O2005" si="11639">VLOOKUP($A1942,hospital_details,5,0)</f>
        <v>3688.38</v>
      </c>
      <c r="P1942" s="5" t="str">
        <f t="shared" ref="P1942:P2005" si="11640">VLOOKUP($A1942,hospital_details,6,0)</f>
        <v>tier - 2</v>
      </c>
      <c r="Q1942" s="5" t="str">
        <f t="shared" ref="Q1942:Q2005" si="11641">VLOOKUP($A1942,hospital_details,7,0)</f>
        <v>tier - 2</v>
      </c>
      <c r="R1942" s="5" t="str">
        <f t="shared" ref="R1942:R2005" si="11642">VLOOKUP($A1942,hospital_details,8,0)</f>
        <v>R1013</v>
      </c>
    </row>
    <row r="1943" spans="1:18" ht="14.4" customHeight="1" x14ac:dyDescent="0.3">
      <c r="A1943" s="7" t="s">
        <v>1963</v>
      </c>
      <c r="B1943" s="7" t="str">
        <f>VLOOKUP($A1943,[1]!Customer_Names[#Data],3,0)</f>
        <v xml:space="preserve">  Martin</v>
      </c>
      <c r="C1943" s="7">
        <v>32.07</v>
      </c>
      <c r="D1943" s="7" t="str" cm="1">
        <f t="array" ref="D1943">_xlfn.IFS(Healthcare!$C1943&lt;18.5,"under weight",Healthcare!$C1943&lt;=24.9,"Normal Weight",Healthcare!$C1943&gt;=25,"overweight",Healthcare!$C1943&gt;=30,"obese")</f>
        <v>overweight</v>
      </c>
      <c r="E1943" s="7">
        <v>5.25</v>
      </c>
      <c r="F1943" s="7" t="str" cm="1">
        <f t="array" ref="F1943">_xlfn.IFS(Healthcare!$E1943&lt;5.7,"normal",Healthcare!$E1943&lt;=6.4,"prediabetes",Healthcare!$E1943&gt;=6.5,"diabetes")</f>
        <v>normal</v>
      </c>
      <c r="G1943" s="7" t="s">
        <v>19</v>
      </c>
      <c r="H1943" s="7" t="s">
        <v>19</v>
      </c>
      <c r="I1943" s="7" t="s">
        <v>29</v>
      </c>
      <c r="J1943" s="7">
        <v>1</v>
      </c>
      <c r="K1943" s="7" t="s">
        <v>19</v>
      </c>
      <c r="L1943" s="7" t="str">
        <f>VLOOKUP(Healthcare!$A1943,hospital_details,2,0)</f>
        <v>10-Jul-2003</v>
      </c>
      <c r="M1943" s="7">
        <f t="shared" ref="M1943:M2006" ca="1" si="11643">VLOOKUP(A1943,hospital_details,3,0)</f>
        <v>23</v>
      </c>
      <c r="N1943" s="7">
        <f t="shared" ref="N1943:N2006" si="11644">VLOOKUP($A1943,hospital_details,4,0)</f>
        <v>0</v>
      </c>
      <c r="O1943" s="8">
        <f t="shared" ref="O1943:O2006" si="11645">VLOOKUP($A1943,hospital_details,5,0)</f>
        <v>3688.35</v>
      </c>
      <c r="P1943" s="7" t="str">
        <f t="shared" ref="P1943:P2006" si="11646">VLOOKUP($A1943,hospital_details,6,0)</f>
        <v>tier - 2</v>
      </c>
      <c r="Q1943" s="7" t="str">
        <f t="shared" ref="Q1943:Q2006" si="11647">VLOOKUP($A1943,hospital_details,7,0)</f>
        <v>tier - 2</v>
      </c>
      <c r="R1943" s="7" t="str">
        <f t="shared" ref="R1943:R2006" si="11648">VLOOKUP($A1943,hospital_details,8,0)</f>
        <v>R1021</v>
      </c>
    </row>
    <row r="1944" spans="1:18" ht="14.4" customHeight="1" x14ac:dyDescent="0.3">
      <c r="A1944" s="5" t="s">
        <v>1964</v>
      </c>
      <c r="B1944" s="5" t="str">
        <f>VLOOKUP($A1944,[1]!Customer_Names[#Data],3,0)</f>
        <v xml:space="preserve">  Michael</v>
      </c>
      <c r="C1944" s="5">
        <v>16.5</v>
      </c>
      <c r="D1944" s="5" t="str" cm="1">
        <f t="array" ref="D1944">_xlfn.IFS(Healthcare!$C1944&lt;18.5,"under weight",Healthcare!$C1944&lt;=24.9,"Normal Weight",Healthcare!$C1944&gt;=25,"overweight",Healthcare!$C1944&gt;=30,"obese")</f>
        <v>under weight</v>
      </c>
      <c r="E1944" s="5">
        <v>5.03</v>
      </c>
      <c r="F1944" s="5" t="str" cm="1">
        <f t="array" ref="F1944">_xlfn.IFS(Healthcare!$E1944&lt;5.7,"normal",Healthcare!$E1944&lt;=6.4,"prediabetes",Healthcare!$E1944&gt;=6.5,"diabetes")</f>
        <v>normal</v>
      </c>
      <c r="G1944" s="5" t="s">
        <v>19</v>
      </c>
      <c r="H1944" s="5" t="s">
        <v>19</v>
      </c>
      <c r="I1944" s="5" t="s">
        <v>19</v>
      </c>
      <c r="J1944" s="5">
        <v>1</v>
      </c>
      <c r="K1944" s="5" t="s">
        <v>19</v>
      </c>
      <c r="L1944" s="5" t="str">
        <f>VLOOKUP(Healthcare!$A1944,hospital_details,2,0)</f>
        <v>6-Jul-1984</v>
      </c>
      <c r="M1944" s="5">
        <f t="shared" ref="M1944:M2007" ca="1" si="11649">VLOOKUP(A1944,hospital_details,3,0)</f>
        <v>42</v>
      </c>
      <c r="N1944" s="5">
        <f t="shared" ref="N1944:N2007" si="11650">VLOOKUP($A1944,hospital_details,4,0)</f>
        <v>3</v>
      </c>
      <c r="O1944" s="6">
        <f t="shared" ref="O1944:O2007" si="11651">VLOOKUP($A1944,hospital_details,5,0)</f>
        <v>3678.86</v>
      </c>
      <c r="P1944" s="5" t="str">
        <f t="shared" ref="P1944:P2007" si="11652">VLOOKUP($A1944,hospital_details,6,0)</f>
        <v>tier - 2</v>
      </c>
      <c r="Q1944" s="5" t="str">
        <f t="shared" ref="Q1944:Q2007" si="11653">VLOOKUP($A1944,hospital_details,7,0)</f>
        <v>tier - 3</v>
      </c>
      <c r="R1944" s="5" t="str">
        <f t="shared" ref="R1944:R2007" si="11654">VLOOKUP($A1944,hospital_details,8,0)</f>
        <v>R1013</v>
      </c>
    </row>
    <row r="1945" spans="1:18" ht="14.4" customHeight="1" x14ac:dyDescent="0.3">
      <c r="A1945" s="7" t="s">
        <v>1965</v>
      </c>
      <c r="B1945" s="7" t="str">
        <f>VLOOKUP($A1945,[1]!Customer_Names[#Data],3,0)</f>
        <v xml:space="preserve">  Miles</v>
      </c>
      <c r="C1945" s="7">
        <v>31.4</v>
      </c>
      <c r="D1945" s="7" t="str" cm="1">
        <f t="array" ref="D1945">_xlfn.IFS(Healthcare!$C1945&lt;18.5,"under weight",Healthcare!$C1945&lt;=24.9,"Normal Weight",Healthcare!$C1945&gt;=25,"overweight",Healthcare!$C1945&gt;=30,"obese")</f>
        <v>overweight</v>
      </c>
      <c r="E1945" s="7">
        <v>5.88</v>
      </c>
      <c r="F1945" s="7" t="str" cm="1">
        <f t="array" ref="F1945">_xlfn.IFS(Healthcare!$E1945&lt;5.7,"normal",Healthcare!$E1945&lt;=6.4,"prediabetes",Healthcare!$E1945&gt;=6.5,"diabetes")</f>
        <v>prediabetes</v>
      </c>
      <c r="G1945" s="7" t="s">
        <v>19</v>
      </c>
      <c r="H1945" s="7" t="s">
        <v>19</v>
      </c>
      <c r="I1945" s="7" t="s">
        <v>19</v>
      </c>
      <c r="J1945" s="7">
        <v>1</v>
      </c>
      <c r="K1945" s="7" t="s">
        <v>19</v>
      </c>
      <c r="L1945" s="7" t="str">
        <f>VLOOKUP(Healthcare!$A1945,hospital_details,2,0)</f>
        <v>14-Sep-1992</v>
      </c>
      <c r="M1945" s="7">
        <f t="shared" ref="M1945:M2008" ca="1" si="11655">VLOOKUP(A1945,hospital_details,3,0)</f>
        <v>34</v>
      </c>
      <c r="N1945" s="7">
        <f t="shared" ref="N1945:N2008" si="11656">VLOOKUP($A1945,hospital_details,4,0)</f>
        <v>1</v>
      </c>
      <c r="O1945" s="8">
        <f t="shared" ref="O1945:O2008" si="11657">VLOOKUP($A1945,hospital_details,5,0)</f>
        <v>3659.35</v>
      </c>
      <c r="P1945" s="7" t="str">
        <f t="shared" ref="P1945:P2008" si="11658">VLOOKUP($A1945,hospital_details,6,0)</f>
        <v>tier - 3</v>
      </c>
      <c r="Q1945" s="7" t="str">
        <f t="shared" ref="Q1945:Q2008" si="11659">VLOOKUP($A1945,hospital_details,7,0)</f>
        <v>tier - 1</v>
      </c>
      <c r="R1945" s="7" t="str">
        <f t="shared" ref="R1945:R2008" si="11660">VLOOKUP($A1945,hospital_details,8,0)</f>
        <v>R1011</v>
      </c>
    </row>
    <row r="1946" spans="1:18" ht="14.4" customHeight="1" x14ac:dyDescent="0.3">
      <c r="A1946" s="5" t="s">
        <v>1966</v>
      </c>
      <c r="B1946" s="5" t="str">
        <f>VLOOKUP($A1946,[1]!Customer_Names[#Data],3,0)</f>
        <v xml:space="preserve">  Amanda</v>
      </c>
      <c r="C1946" s="5">
        <v>20.36</v>
      </c>
      <c r="D1946" s="5" t="str" cm="1">
        <f t="array" ref="D1946">_xlfn.IFS(Healthcare!$C1946&lt;18.5,"under weight",Healthcare!$C1946&lt;=24.9,"Normal Weight",Healthcare!$C1946&gt;=25,"overweight",Healthcare!$C1946&gt;=30,"obese")</f>
        <v>Normal Weight</v>
      </c>
      <c r="E1946" s="5">
        <v>4.49</v>
      </c>
      <c r="F1946" s="5" t="str" cm="1">
        <f t="array" ref="F1946">_xlfn.IFS(Healthcare!$E1946&lt;5.7,"normal",Healthcare!$E1946&lt;=6.4,"prediabetes",Healthcare!$E1946&gt;=6.5,"diabetes")</f>
        <v>normal</v>
      </c>
      <c r="G1946" s="5" t="s">
        <v>19</v>
      </c>
      <c r="H1946" s="5" t="s">
        <v>19</v>
      </c>
      <c r="I1946" s="5" t="s">
        <v>19</v>
      </c>
      <c r="J1946" s="5">
        <v>0</v>
      </c>
      <c r="K1946" s="5" t="s">
        <v>19</v>
      </c>
      <c r="L1946" s="5" t="str">
        <f>VLOOKUP(Healthcare!$A1946,hospital_details,2,0)</f>
        <v>8-Nov-1990</v>
      </c>
      <c r="M1946" s="5">
        <f t="shared" ref="M1946:M2009" ca="1" si="11661">VLOOKUP(A1946,hospital_details,3,0)</f>
        <v>35</v>
      </c>
      <c r="N1946" s="5">
        <f t="shared" ref="N1946:N2009" si="11662">VLOOKUP($A1946,hospital_details,4,0)</f>
        <v>3</v>
      </c>
      <c r="O1946" s="6">
        <f t="shared" ref="O1946:O2009" si="11663">VLOOKUP($A1946,hospital_details,5,0)</f>
        <v>3653.29</v>
      </c>
      <c r="P1946" s="5" t="str">
        <f t="shared" ref="P1946:P2009" si="11664">VLOOKUP($A1946,hospital_details,6,0)</f>
        <v>tier - 2</v>
      </c>
      <c r="Q1946" s="5" t="str">
        <f t="shared" ref="Q1946:Q2009" si="11665">VLOOKUP($A1946,hospital_details,7,0)</f>
        <v>tier - 3</v>
      </c>
      <c r="R1946" s="5" t="str">
        <f t="shared" ref="R1946:R2009" si="11666">VLOOKUP($A1946,hospital_details,8,0)</f>
        <v>R1011</v>
      </c>
    </row>
    <row r="1947" spans="1:18" ht="14.4" customHeight="1" x14ac:dyDescent="0.3">
      <c r="A1947" s="7" t="s">
        <v>1967</v>
      </c>
      <c r="B1947" s="7" t="str">
        <f>VLOOKUP($A1947,[1]!Customer_Names[#Data],3,0)</f>
        <v xml:space="preserve">  Roger</v>
      </c>
      <c r="C1947" s="7">
        <v>25.46</v>
      </c>
      <c r="D1947" s="7" t="str" cm="1">
        <f t="array" ref="D1947">_xlfn.IFS(Healthcare!$C1947&lt;18.5,"under weight",Healthcare!$C1947&lt;=24.9,"Normal Weight",Healthcare!$C1947&gt;=25,"overweight",Healthcare!$C1947&gt;=30,"obese")</f>
        <v>overweight</v>
      </c>
      <c r="E1947" s="7">
        <v>4.1399999999999997</v>
      </c>
      <c r="F1947" s="7" t="str" cm="1">
        <f t="array" ref="F1947">_xlfn.IFS(Healthcare!$E1947&lt;5.7,"normal",Healthcare!$E1947&lt;=6.4,"prediabetes",Healthcare!$E1947&gt;=6.5,"diabetes")</f>
        <v>normal</v>
      </c>
      <c r="G1947" s="7" t="s">
        <v>19</v>
      </c>
      <c r="H1947" s="7" t="s">
        <v>19</v>
      </c>
      <c r="I1947" s="7" t="s">
        <v>19</v>
      </c>
      <c r="J1947" s="7">
        <v>1</v>
      </c>
      <c r="K1947" s="7" t="s">
        <v>19</v>
      </c>
      <c r="L1947" s="7" t="str">
        <f>VLOOKUP(Healthcare!$A1947,hospital_details,2,0)</f>
        <v>17-Nov-1992</v>
      </c>
      <c r="M1947" s="7">
        <f t="shared" ref="M1947:M2010" ca="1" si="11667">VLOOKUP(A1947,hospital_details,3,0)</f>
        <v>33</v>
      </c>
      <c r="N1947" s="7">
        <f t="shared" ref="N1947:N2010" si="11668">VLOOKUP($A1947,hospital_details,4,0)</f>
        <v>0</v>
      </c>
      <c r="O1947" s="8">
        <f t="shared" ref="O1947:O2010" si="11669">VLOOKUP($A1947,hospital_details,5,0)</f>
        <v>3645.09</v>
      </c>
      <c r="P1947" s="7" t="str">
        <f t="shared" ref="P1947:P2010" si="11670">VLOOKUP($A1947,hospital_details,6,0)</f>
        <v>tier - 1</v>
      </c>
      <c r="Q1947" s="7" t="str">
        <f t="shared" ref="Q1947:Q2010" si="11671">VLOOKUP($A1947,hospital_details,7,0)</f>
        <v>tier - 2</v>
      </c>
      <c r="R1947" s="7" t="str">
        <f t="shared" ref="R1947:R2010" si="11672">VLOOKUP($A1947,hospital_details,8,0)</f>
        <v>R1014</v>
      </c>
    </row>
    <row r="1948" spans="1:18" ht="14.4" customHeight="1" x14ac:dyDescent="0.3">
      <c r="A1948" s="5" t="s">
        <v>1968</v>
      </c>
      <c r="B1948" s="5" t="str">
        <f>VLOOKUP($A1948,[1]!Customer_Names[#Data],3,0)</f>
        <v xml:space="preserve">  Brock J</v>
      </c>
      <c r="C1948" s="5">
        <v>17.09</v>
      </c>
      <c r="D1948" s="5" t="str" cm="1">
        <f t="array" ref="D1948">_xlfn.IFS(Healthcare!$C1948&lt;18.5,"under weight",Healthcare!$C1948&lt;=24.9,"Normal Weight",Healthcare!$C1948&gt;=25,"overweight",Healthcare!$C1948&gt;=30,"obese")</f>
        <v>under weight</v>
      </c>
      <c r="E1948" s="5">
        <v>5.8</v>
      </c>
      <c r="F1948" s="5" t="str" cm="1">
        <f t="array" ref="F1948">_xlfn.IFS(Healthcare!$E1948&lt;5.7,"normal",Healthcare!$E1948&lt;=6.4,"prediabetes",Healthcare!$E1948&gt;=6.5,"diabetes")</f>
        <v>prediabetes</v>
      </c>
      <c r="G1948" s="5" t="s">
        <v>20</v>
      </c>
      <c r="H1948" s="5" t="s">
        <v>19</v>
      </c>
      <c r="I1948" s="5" t="s">
        <v>19</v>
      </c>
      <c r="J1948" s="5">
        <v>0</v>
      </c>
      <c r="K1948" s="5" t="s">
        <v>19</v>
      </c>
      <c r="L1948" s="5" t="str">
        <f>VLOOKUP(Healthcare!$A1948,hospital_details,2,0)</f>
        <v>14-Jun-1985</v>
      </c>
      <c r="M1948" s="5">
        <f t="shared" ref="M1948:M2011" ca="1" si="11673">VLOOKUP(A1948,hospital_details,3,0)</f>
        <v>41</v>
      </c>
      <c r="N1948" s="5">
        <f t="shared" ref="N1948:N2011" si="11674">VLOOKUP($A1948,hospital_details,4,0)</f>
        <v>3</v>
      </c>
      <c r="O1948" s="6">
        <f t="shared" ref="O1948:O2011" si="11675">VLOOKUP($A1948,hospital_details,5,0)</f>
        <v>3622.13</v>
      </c>
      <c r="P1948" s="5" t="str">
        <f t="shared" ref="P1948:P2011" si="11676">VLOOKUP($A1948,hospital_details,6,0)</f>
        <v>tier - 2</v>
      </c>
      <c r="Q1948" s="5" t="str">
        <f t="shared" ref="Q1948:Q2011" si="11677">VLOOKUP($A1948,hospital_details,7,0)</f>
        <v>tier - 1</v>
      </c>
      <c r="R1948" s="5" t="str">
        <f t="shared" ref="R1948:R2011" si="11678">VLOOKUP($A1948,hospital_details,8,0)</f>
        <v>R1013</v>
      </c>
    </row>
    <row r="1949" spans="1:18" ht="14.4" customHeight="1" x14ac:dyDescent="0.3">
      <c r="A1949" s="7" t="s">
        <v>1969</v>
      </c>
      <c r="B1949" s="7" t="str">
        <f>VLOOKUP($A1949,[1]!Customer_Names[#Data],3,0)</f>
        <v xml:space="preserve">  Stephen F</v>
      </c>
      <c r="C1949" s="7">
        <v>20.83</v>
      </c>
      <c r="D1949" s="7" t="str" cm="1">
        <f t="array" ref="D1949">_xlfn.IFS(Healthcare!$C1949&lt;18.5,"under weight",Healthcare!$C1949&lt;=24.9,"Normal Weight",Healthcare!$C1949&gt;=25,"overweight",Healthcare!$C1949&gt;=30,"obese")</f>
        <v>Normal Weight</v>
      </c>
      <c r="E1949" s="7">
        <v>5.12</v>
      </c>
      <c r="F1949" s="7" t="str" cm="1">
        <f t="array" ref="F1949">_xlfn.IFS(Healthcare!$E1949&lt;5.7,"normal",Healthcare!$E1949&lt;=6.4,"prediabetes",Healthcare!$E1949&gt;=6.5,"diabetes")</f>
        <v>normal</v>
      </c>
      <c r="G1949" s="7" t="s">
        <v>19</v>
      </c>
      <c r="H1949" s="7" t="s">
        <v>19</v>
      </c>
      <c r="I1949" s="7" t="s">
        <v>19</v>
      </c>
      <c r="J1949" s="7">
        <v>0</v>
      </c>
      <c r="K1949" s="7" t="s">
        <v>19</v>
      </c>
      <c r="L1949" s="7" t="str">
        <f>VLOOKUP(Healthcare!$A1949,hospital_details,2,0)</f>
        <v>11-Oct-1990</v>
      </c>
      <c r="M1949" s="7">
        <f t="shared" ref="M1949:M2012" ca="1" si="11679">VLOOKUP(A1949,hospital_details,3,0)</f>
        <v>36</v>
      </c>
      <c r="N1949" s="7">
        <f t="shared" ref="N1949:N2012" si="11680">VLOOKUP($A1949,hospital_details,4,0)</f>
        <v>3</v>
      </c>
      <c r="O1949" s="8">
        <f t="shared" ref="O1949:O2012" si="11681">VLOOKUP($A1949,hospital_details,5,0)</f>
        <v>3606.43</v>
      </c>
      <c r="P1949" s="7" t="str">
        <f t="shared" ref="P1949:P2012" si="11682">VLOOKUP($A1949,hospital_details,6,0)</f>
        <v>tier - 2</v>
      </c>
      <c r="Q1949" s="7" t="str">
        <f t="shared" ref="Q1949:Q2012" si="11683">VLOOKUP($A1949,hospital_details,7,0)</f>
        <v>tier - 1</v>
      </c>
      <c r="R1949" s="7" t="str">
        <f t="shared" ref="R1949:R2012" si="11684">VLOOKUP($A1949,hospital_details,8,0)</f>
        <v>R1013</v>
      </c>
    </row>
    <row r="1950" spans="1:18" ht="14.4" customHeight="1" x14ac:dyDescent="0.3">
      <c r="A1950" s="5" t="s">
        <v>1970</v>
      </c>
      <c r="B1950" s="5" t="str">
        <f>VLOOKUP($A1950,[1]!Customer_Names[#Data],3,0)</f>
        <v xml:space="preserve">  Missy</v>
      </c>
      <c r="C1950" s="5">
        <v>18.920000000000002</v>
      </c>
      <c r="D1950" s="5" t="str" cm="1">
        <f t="array" ref="D1950">_xlfn.IFS(Healthcare!$C1950&lt;18.5,"under weight",Healthcare!$C1950&lt;=24.9,"Normal Weight",Healthcare!$C1950&gt;=25,"overweight",Healthcare!$C1950&gt;=30,"obese")</f>
        <v>Normal Weight</v>
      </c>
      <c r="E1950" s="5">
        <v>5.98</v>
      </c>
      <c r="F1950" s="5" t="str" cm="1">
        <f t="array" ref="F1950">_xlfn.IFS(Healthcare!$E1950&lt;5.7,"normal",Healthcare!$E1950&lt;=6.4,"prediabetes",Healthcare!$E1950&gt;=6.5,"diabetes")</f>
        <v>prediabetes</v>
      </c>
      <c r="G1950" s="5" t="s">
        <v>20</v>
      </c>
      <c r="H1950" s="5" t="s">
        <v>19</v>
      </c>
      <c r="I1950" s="5" t="s">
        <v>19</v>
      </c>
      <c r="J1950" s="5">
        <v>1</v>
      </c>
      <c r="K1950" s="5" t="s">
        <v>19</v>
      </c>
      <c r="L1950" s="5" t="str">
        <f>VLOOKUP(Healthcare!$A1950,hospital_details,2,0)</f>
        <v>4-Nov-1988</v>
      </c>
      <c r="M1950" s="5">
        <f t="shared" ref="M1950:M2013" ca="1" si="11685">VLOOKUP(A1950,hospital_details,3,0)</f>
        <v>37</v>
      </c>
      <c r="N1950" s="5">
        <f t="shared" ref="N1950:N2013" si="11686">VLOOKUP($A1950,hospital_details,4,0)</f>
        <v>3</v>
      </c>
      <c r="O1950" s="6">
        <f t="shared" ref="O1950:O2013" si="11687">VLOOKUP($A1950,hospital_details,5,0)</f>
        <v>3603.6</v>
      </c>
      <c r="P1950" s="5" t="str">
        <f t="shared" ref="P1950:P2013" si="11688">VLOOKUP($A1950,hospital_details,6,0)</f>
        <v>tier - 2</v>
      </c>
      <c r="Q1950" s="5" t="str">
        <f t="shared" ref="Q1950:Q2013" si="11689">VLOOKUP($A1950,hospital_details,7,0)</f>
        <v>tier - 1</v>
      </c>
      <c r="R1950" s="5" t="str">
        <f t="shared" ref="R1950:R2013" si="11690">VLOOKUP($A1950,hospital_details,8,0)</f>
        <v>R1013</v>
      </c>
    </row>
    <row r="1951" spans="1:18" ht="14.4" customHeight="1" x14ac:dyDescent="0.3">
      <c r="A1951" s="7" t="s">
        <v>1971</v>
      </c>
      <c r="B1951" s="7" t="str">
        <f>VLOOKUP($A1951,[1]!Customer_Names[#Data],3,0)</f>
        <v xml:space="preserve">  William</v>
      </c>
      <c r="C1951" s="7">
        <v>37.1</v>
      </c>
      <c r="D1951" s="7" t="str" cm="1">
        <f t="array" ref="D1951">_xlfn.IFS(Healthcare!$C1951&lt;18.5,"under weight",Healthcare!$C1951&lt;=24.9,"Normal Weight",Healthcare!$C1951&gt;=25,"overweight",Healthcare!$C1951&gt;=30,"obese")</f>
        <v>overweight</v>
      </c>
      <c r="E1951" s="7">
        <v>5.46</v>
      </c>
      <c r="F1951" s="7" t="str" cm="1">
        <f t="array" ref="F1951">_xlfn.IFS(Healthcare!$E1951&lt;5.7,"normal",Healthcare!$E1951&lt;=6.4,"prediabetes",Healthcare!$E1951&gt;=6.5,"diabetes")</f>
        <v>normal</v>
      </c>
      <c r="G1951" s="7" t="s">
        <v>19</v>
      </c>
      <c r="H1951" s="7" t="s">
        <v>19</v>
      </c>
      <c r="I1951" s="7" t="s">
        <v>19</v>
      </c>
      <c r="J1951" s="7">
        <v>0</v>
      </c>
      <c r="K1951" s="7" t="s">
        <v>19</v>
      </c>
      <c r="L1951" s="7" t="str">
        <f>VLOOKUP(Healthcare!$A1951,hospital_details,2,0)</f>
        <v>12-Aug-1999</v>
      </c>
      <c r="M1951" s="7">
        <f t="shared" ref="M1951:M2014" ca="1" si="11691">VLOOKUP(A1951,hospital_details,3,0)</f>
        <v>27</v>
      </c>
      <c r="N1951" s="7">
        <f t="shared" ref="N1951:N2014" si="11692">VLOOKUP($A1951,hospital_details,4,0)</f>
        <v>3</v>
      </c>
      <c r="O1951" s="8">
        <f t="shared" ref="O1951:O2014" si="11693">VLOOKUP($A1951,hospital_details,5,0)</f>
        <v>3597.6</v>
      </c>
      <c r="P1951" s="7" t="str">
        <f t="shared" ref="P1951:P2014" si="11694">VLOOKUP($A1951,hospital_details,6,0)</f>
        <v>tier - 2</v>
      </c>
      <c r="Q1951" s="7" t="str">
        <f t="shared" ref="Q1951:Q2014" si="11695">VLOOKUP($A1951,hospital_details,7,0)</f>
        <v>tier - 2</v>
      </c>
      <c r="R1951" s="7" t="str">
        <f t="shared" ref="R1951:R2014" si="11696">VLOOKUP($A1951,hospital_details,8,0)</f>
        <v>R1011</v>
      </c>
    </row>
    <row r="1952" spans="1:18" ht="14.4" customHeight="1" x14ac:dyDescent="0.3">
      <c r="A1952" s="5" t="s">
        <v>1972</v>
      </c>
      <c r="B1952" s="5" t="str">
        <f>VLOOKUP($A1952,[1]!Customer_Names[#Data],3,0)</f>
        <v xml:space="preserve">  Lauren M</v>
      </c>
      <c r="C1952" s="5">
        <v>22.515000000000001</v>
      </c>
      <c r="D1952" s="5" t="str" cm="1">
        <f t="array" ref="D1952">_xlfn.IFS(Healthcare!$C1952&lt;18.5,"under weight",Healthcare!$C1952&lt;=24.9,"Normal Weight",Healthcare!$C1952&gt;=25,"overweight",Healthcare!$C1952&gt;=30,"obese")</f>
        <v>Normal Weight</v>
      </c>
      <c r="E1952" s="5">
        <v>4.91</v>
      </c>
      <c r="F1952" s="5" t="str" cm="1">
        <f t="array" ref="F1952">_xlfn.IFS(Healthcare!$E1952&lt;5.7,"normal",Healthcare!$E1952&lt;=6.4,"prediabetes",Healthcare!$E1952&gt;=6.5,"diabetes")</f>
        <v>normal</v>
      </c>
      <c r="G1952" s="5" t="s">
        <v>20</v>
      </c>
      <c r="H1952" s="5" t="s">
        <v>19</v>
      </c>
      <c r="I1952" s="5" t="s">
        <v>29</v>
      </c>
      <c r="J1952" s="5">
        <v>1</v>
      </c>
      <c r="K1952" s="5" t="s">
        <v>19</v>
      </c>
      <c r="L1952" s="5" t="str">
        <f>VLOOKUP(Healthcare!$A1952,hospital_details,2,0)</f>
        <v>4-Nov-1997</v>
      </c>
      <c r="M1952" s="5">
        <f t="shared" ref="M1952:M2015" ca="1" si="11697">VLOOKUP(A1952,hospital_details,3,0)</f>
        <v>28</v>
      </c>
      <c r="N1952" s="5">
        <f t="shared" ref="N1952:N2015" si="11698">VLOOKUP($A1952,hospital_details,4,0)</f>
        <v>1</v>
      </c>
      <c r="O1952" s="6">
        <f t="shared" ref="O1952:O2015" si="11699">VLOOKUP($A1952,hospital_details,5,0)</f>
        <v>3594.17</v>
      </c>
      <c r="P1952" s="5" t="str">
        <f t="shared" ref="P1952:P2015" si="11700">VLOOKUP($A1952,hospital_details,6,0)</f>
        <v>tier - 2</v>
      </c>
      <c r="Q1952" s="5" t="str">
        <f t="shared" ref="Q1952:Q2015" si="11701">VLOOKUP($A1952,hospital_details,7,0)</f>
        <v>tier - 2</v>
      </c>
      <c r="R1952" s="5" t="str">
        <f t="shared" ref="R1952:R2015" si="11702">VLOOKUP($A1952,hospital_details,8,0)</f>
        <v>R1012</v>
      </c>
    </row>
    <row r="1953" spans="1:18" ht="14.4" customHeight="1" x14ac:dyDescent="0.3">
      <c r="A1953" s="7" t="s">
        <v>1973</v>
      </c>
      <c r="B1953" s="7" t="str">
        <f>VLOOKUP($A1953,[1]!Customer_Names[#Data],3,0)</f>
        <v xml:space="preserve">  Apolo U</v>
      </c>
      <c r="C1953" s="7">
        <v>32.700000000000003</v>
      </c>
      <c r="D1953" s="7" t="str" cm="1">
        <f t="array" ref="D1953">_xlfn.IFS(Healthcare!$C1953&lt;18.5,"under weight",Healthcare!$C1953&lt;=24.9,"Normal Weight",Healthcare!$C1953&gt;=25,"overweight",Healthcare!$C1953&gt;=30,"obese")</f>
        <v>overweight</v>
      </c>
      <c r="E1953" s="7">
        <v>4.66</v>
      </c>
      <c r="F1953" s="7" t="str" cm="1">
        <f t="array" ref="F1953">_xlfn.IFS(Healthcare!$E1953&lt;5.7,"normal",Healthcare!$E1953&lt;=6.4,"prediabetes",Healthcare!$E1953&gt;=6.5,"diabetes")</f>
        <v>normal</v>
      </c>
      <c r="G1953" s="7" t="s">
        <v>19</v>
      </c>
      <c r="H1953" s="7" t="s">
        <v>19</v>
      </c>
      <c r="I1953" s="7" t="s">
        <v>19</v>
      </c>
      <c r="J1953" s="7">
        <v>0</v>
      </c>
      <c r="K1953" s="7" t="s">
        <v>19</v>
      </c>
      <c r="L1953" s="7" t="str">
        <f>VLOOKUP(Healthcare!$A1953,hospital_details,2,0)</f>
        <v>6-Jun-1999</v>
      </c>
      <c r="M1953" s="7">
        <f t="shared" ref="M1953:M2016" ca="1" si="11703">VLOOKUP(A1953,hospital_details,3,0)</f>
        <v>27</v>
      </c>
      <c r="N1953" s="7">
        <f t="shared" ref="N1953:N2016" si="11704">VLOOKUP($A1953,hospital_details,4,0)</f>
        <v>3</v>
      </c>
      <c r="O1953" s="8">
        <f t="shared" ref="O1953:O2016" si="11705">VLOOKUP($A1953,hospital_details,5,0)</f>
        <v>3591.48</v>
      </c>
      <c r="P1953" s="7" t="str">
        <f t="shared" ref="P1953:P2016" si="11706">VLOOKUP($A1953,hospital_details,6,0)</f>
        <v>tier - 2</v>
      </c>
      <c r="Q1953" s="7" t="str">
        <f t="shared" ref="Q1953:Q2016" si="11707">VLOOKUP($A1953,hospital_details,7,0)</f>
        <v>tier - 3</v>
      </c>
      <c r="R1953" s="7" t="str">
        <f t="shared" ref="R1953:R2016" si="11708">VLOOKUP($A1953,hospital_details,8,0)</f>
        <v>R1011</v>
      </c>
    </row>
    <row r="1954" spans="1:18" ht="14.4" customHeight="1" x14ac:dyDescent="0.3">
      <c r="A1954" s="5" t="s">
        <v>1974</v>
      </c>
      <c r="B1954" s="5" t="str">
        <f>VLOOKUP($A1954,[1]!Customer_Names[#Data],3,0)</f>
        <v xml:space="preserve">  Alfons</v>
      </c>
      <c r="C1954" s="5">
        <v>17.75</v>
      </c>
      <c r="D1954" s="5" t="str" cm="1">
        <f t="array" ref="D1954">_xlfn.IFS(Healthcare!$C1954&lt;18.5,"under weight",Healthcare!$C1954&lt;=24.9,"Normal Weight",Healthcare!$C1954&gt;=25,"overweight",Healthcare!$C1954&gt;=30,"obese")</f>
        <v>under weight</v>
      </c>
      <c r="E1954" s="5">
        <v>6.8</v>
      </c>
      <c r="F1954" s="5" t="str" cm="1">
        <f t="array" ref="F1954">_xlfn.IFS(Healthcare!$E1954&lt;5.7,"normal",Healthcare!$E1954&lt;=6.4,"prediabetes",Healthcare!$E1954&gt;=6.5,"diabetes")</f>
        <v>diabetes</v>
      </c>
      <c r="G1954" s="5" t="s">
        <v>20</v>
      </c>
      <c r="H1954" s="5" t="s">
        <v>19</v>
      </c>
      <c r="I1954" s="5" t="s">
        <v>19</v>
      </c>
      <c r="J1954" s="5">
        <v>1</v>
      </c>
      <c r="K1954" s="5" t="s">
        <v>19</v>
      </c>
      <c r="L1954" s="5" t="str">
        <f>VLOOKUP(Healthcare!$A1954,hospital_details,2,0)</f>
        <v>27-Dec-1986</v>
      </c>
      <c r="M1954" s="5">
        <f t="shared" ref="M1954:M2017" ca="1" si="11709">VLOOKUP(A1954,hospital_details,3,0)</f>
        <v>39</v>
      </c>
      <c r="N1954" s="5">
        <f t="shared" ref="N1954:N2017" si="11710">VLOOKUP($A1954,hospital_details,4,0)</f>
        <v>3</v>
      </c>
      <c r="O1954" s="6">
        <f t="shared" ref="O1954:O2017" si="11711">VLOOKUP($A1954,hospital_details,5,0)</f>
        <v>3589.14</v>
      </c>
      <c r="P1954" s="5" t="str">
        <f t="shared" ref="P1954:P2017" si="11712">VLOOKUP($A1954,hospital_details,6,0)</f>
        <v>tier - 2</v>
      </c>
      <c r="Q1954" s="5" t="str">
        <f t="shared" ref="Q1954:Q2017" si="11713">VLOOKUP($A1954,hospital_details,7,0)</f>
        <v>tier - 2</v>
      </c>
      <c r="R1954" s="5" t="str">
        <f t="shared" ref="R1954:R2017" si="11714">VLOOKUP($A1954,hospital_details,8,0)</f>
        <v>R1013</v>
      </c>
    </row>
    <row r="1955" spans="1:18" ht="14.4" customHeight="1" x14ac:dyDescent="0.3">
      <c r="A1955" s="7" t="s">
        <v>1975</v>
      </c>
      <c r="B1955" s="7" t="str">
        <f>VLOOKUP($A1955,[1]!Customer_Names[#Data],3,0)</f>
        <v xml:space="preserve">  Amber</v>
      </c>
      <c r="C1955" s="7">
        <v>33.630000000000003</v>
      </c>
      <c r="D1955" s="7" t="str" cm="1">
        <f t="array" ref="D1955">_xlfn.IFS(Healthcare!$C1955&lt;18.5,"under weight",Healthcare!$C1955&lt;=24.9,"Normal Weight",Healthcare!$C1955&gt;=25,"overweight",Healthcare!$C1955&gt;=30,"obese")</f>
        <v>overweight</v>
      </c>
      <c r="E1955" s="7">
        <v>4.47</v>
      </c>
      <c r="F1955" s="7" t="str" cm="1">
        <f t="array" ref="F1955">_xlfn.IFS(Healthcare!$E1955&lt;5.7,"normal",Healthcare!$E1955&lt;=6.4,"prediabetes",Healthcare!$E1955&gt;=6.5,"diabetes")</f>
        <v>normal</v>
      </c>
      <c r="G1955" s="7" t="s">
        <v>20</v>
      </c>
      <c r="H1955" s="7" t="s">
        <v>19</v>
      </c>
      <c r="I1955" s="7" t="s">
        <v>19</v>
      </c>
      <c r="J1955" s="7">
        <v>0</v>
      </c>
      <c r="K1955" s="7" t="s">
        <v>19</v>
      </c>
      <c r="L1955" s="7" t="str">
        <f>VLOOKUP(Healthcare!$A1955,hospital_details,2,0)</f>
        <v>11-Nov-2001</v>
      </c>
      <c r="M1955" s="7">
        <f t="shared" ref="M1955:M2018" ca="1" si="11715">VLOOKUP(A1955,hospital_details,3,0)</f>
        <v>24</v>
      </c>
      <c r="N1955" s="7">
        <f t="shared" ref="N1955:N2018" si="11716">VLOOKUP($A1955,hospital_details,4,0)</f>
        <v>2</v>
      </c>
      <c r="O1955" s="8">
        <f t="shared" ref="O1955:O2018" si="11717">VLOOKUP($A1955,hospital_details,5,0)</f>
        <v>3579.83</v>
      </c>
      <c r="P1955" s="7" t="str">
        <f t="shared" ref="P1955:P2018" si="11718">VLOOKUP($A1955,hospital_details,6,0)</f>
        <v>tier - 2</v>
      </c>
      <c r="Q1955" s="7" t="str">
        <f t="shared" ref="Q1955:Q2018" si="11719">VLOOKUP($A1955,hospital_details,7,0)</f>
        <v>tier - 2</v>
      </c>
      <c r="R1955" s="7" t="str">
        <f t="shared" ref="R1955:R2018" si="11720">VLOOKUP($A1955,hospital_details,8,0)</f>
        <v>R1012</v>
      </c>
    </row>
    <row r="1956" spans="1:18" ht="14.4" customHeight="1" x14ac:dyDescent="0.3">
      <c r="A1956" s="5" t="s">
        <v>1976</v>
      </c>
      <c r="B1956" s="5" t="str">
        <f>VLOOKUP($A1956,[1]!Customer_Names[#Data],3,0)</f>
        <v xml:space="preserve">  Leah C</v>
      </c>
      <c r="C1956" s="5">
        <v>34.799999999999997</v>
      </c>
      <c r="D1956" s="5" t="str" cm="1">
        <f t="array" ref="D1956">_xlfn.IFS(Healthcare!$C1956&lt;18.5,"under weight",Healthcare!$C1956&lt;=24.9,"Normal Weight",Healthcare!$C1956&gt;=25,"overweight",Healthcare!$C1956&gt;=30,"obese")</f>
        <v>overweight</v>
      </c>
      <c r="E1956" s="5">
        <v>4.08</v>
      </c>
      <c r="F1956" s="5" t="str" cm="1">
        <f t="array" ref="F1956">_xlfn.IFS(Healthcare!$E1956&lt;5.7,"normal",Healthcare!$E1956&lt;=6.4,"prediabetes",Healthcare!$E1956&gt;=6.5,"diabetes")</f>
        <v>normal</v>
      </c>
      <c r="G1956" s="5" t="s">
        <v>20</v>
      </c>
      <c r="H1956" s="5" t="s">
        <v>19</v>
      </c>
      <c r="I1956" s="5" t="s">
        <v>19</v>
      </c>
      <c r="J1956" s="5">
        <v>1</v>
      </c>
      <c r="K1956" s="5" t="s">
        <v>19</v>
      </c>
      <c r="L1956" s="5" t="str">
        <f>VLOOKUP(Healthcare!$A1956,hospital_details,2,0)</f>
        <v>23-Aug-1995</v>
      </c>
      <c r="M1956" s="5">
        <f t="shared" ref="M1956:M2019" ca="1" si="11721">VLOOKUP(A1956,hospital_details,3,0)</f>
        <v>31</v>
      </c>
      <c r="N1956" s="5">
        <f t="shared" ref="N1956:N2019" si="11722">VLOOKUP($A1956,hospital_details,4,0)</f>
        <v>1</v>
      </c>
      <c r="O1956" s="6">
        <f t="shared" ref="O1956:O2019" si="11723">VLOOKUP($A1956,hospital_details,5,0)</f>
        <v>3578</v>
      </c>
      <c r="P1956" s="5" t="str">
        <f t="shared" ref="P1956:P2019" si="11724">VLOOKUP($A1956,hospital_details,6,0)</f>
        <v>tier - 2</v>
      </c>
      <c r="Q1956" s="5" t="str">
        <f t="shared" ref="Q1956:Q2019" si="11725">VLOOKUP($A1956,hospital_details,7,0)</f>
        <v>tier - 3</v>
      </c>
      <c r="R1956" s="5" t="str">
        <f t="shared" ref="R1956:R2019" si="11726">VLOOKUP($A1956,hospital_details,8,0)</f>
        <v>R1011</v>
      </c>
    </row>
    <row r="1957" spans="1:18" ht="14.4" customHeight="1" x14ac:dyDescent="0.3">
      <c r="A1957" s="7" t="s">
        <v>1977</v>
      </c>
      <c r="B1957" s="7" t="str">
        <f>VLOOKUP($A1957,[1]!Customer_Names[#Data],3,0)</f>
        <v xml:space="preserve">  Lilia</v>
      </c>
      <c r="C1957" s="7">
        <v>16.809999999999999</v>
      </c>
      <c r="D1957" s="7" t="str" cm="1">
        <f t="array" ref="D1957">_xlfn.IFS(Healthcare!$C1957&lt;18.5,"under weight",Healthcare!$C1957&lt;=24.9,"Normal Weight",Healthcare!$C1957&gt;=25,"overweight",Healthcare!$C1957&gt;=30,"obese")</f>
        <v>under weight</v>
      </c>
      <c r="E1957" s="7">
        <v>5.51</v>
      </c>
      <c r="F1957" s="7" t="str" cm="1">
        <f t="array" ref="F1957">_xlfn.IFS(Healthcare!$E1957&lt;5.7,"normal",Healthcare!$E1957&lt;=6.4,"prediabetes",Healthcare!$E1957&gt;=6.5,"diabetes")</f>
        <v>normal</v>
      </c>
      <c r="G1957" s="7" t="s">
        <v>20</v>
      </c>
      <c r="H1957" s="7" t="s">
        <v>19</v>
      </c>
      <c r="I1957" s="7" t="s">
        <v>19</v>
      </c>
      <c r="J1957" s="7">
        <v>1</v>
      </c>
      <c r="K1957" s="7" t="s">
        <v>19</v>
      </c>
      <c r="L1957" s="7" t="str">
        <f>VLOOKUP(Healthcare!$A1957,hospital_details,2,0)</f>
        <v>18-Aug-1988</v>
      </c>
      <c r="M1957" s="7">
        <f t="shared" ref="M1957:M2020" ca="1" si="11727">VLOOKUP(A1957,hospital_details,3,0)</f>
        <v>38</v>
      </c>
      <c r="N1957" s="7">
        <f t="shared" ref="N1957:N2020" si="11728">VLOOKUP($A1957,hospital_details,4,0)</f>
        <v>3</v>
      </c>
      <c r="O1957" s="8">
        <f t="shared" ref="O1957:O2020" si="11729">VLOOKUP($A1957,hospital_details,5,0)</f>
        <v>3569.96</v>
      </c>
      <c r="P1957" s="7" t="str">
        <f t="shared" ref="P1957:P2020" si="11730">VLOOKUP($A1957,hospital_details,6,0)</f>
        <v>tier - 2</v>
      </c>
      <c r="Q1957" s="7" t="str">
        <f t="shared" ref="Q1957:Q2020" si="11731">VLOOKUP($A1957,hospital_details,7,0)</f>
        <v>tier - 1</v>
      </c>
      <c r="R1957" s="7" t="str">
        <f t="shared" ref="R1957:R2020" si="11732">VLOOKUP($A1957,hospital_details,8,0)</f>
        <v>R1012</v>
      </c>
    </row>
    <row r="1958" spans="1:18" ht="14.4" customHeight="1" x14ac:dyDescent="0.3">
      <c r="A1958" s="5" t="s">
        <v>1978</v>
      </c>
      <c r="B1958" s="5" t="str">
        <f>VLOOKUP($A1958,[1]!Customer_Names[#Data],3,0)</f>
        <v xml:space="preserve">  Danny</v>
      </c>
      <c r="C1958" s="5">
        <v>16.690000000000001</v>
      </c>
      <c r="D1958" s="5" t="str" cm="1">
        <f t="array" ref="D1958">_xlfn.IFS(Healthcare!$C1958&lt;18.5,"under weight",Healthcare!$C1958&lt;=24.9,"Normal Weight",Healthcare!$C1958&gt;=25,"overweight",Healthcare!$C1958&gt;=30,"obese")</f>
        <v>under weight</v>
      </c>
      <c r="E1958" s="5">
        <v>8.4</v>
      </c>
      <c r="F1958" s="5" t="str" cm="1">
        <f t="array" ref="F1958">_xlfn.IFS(Healthcare!$E1958&lt;5.7,"normal",Healthcare!$E1958&lt;=6.4,"prediabetes",Healthcare!$E1958&gt;=6.5,"diabetes")</f>
        <v>diabetes</v>
      </c>
      <c r="G1958" s="5" t="s">
        <v>20</v>
      </c>
      <c r="H1958" s="5" t="s">
        <v>19</v>
      </c>
      <c r="I1958" s="5" t="s">
        <v>19</v>
      </c>
      <c r="J1958" s="5">
        <v>0</v>
      </c>
      <c r="K1958" s="5" t="s">
        <v>19</v>
      </c>
      <c r="L1958" s="5" t="str">
        <f>VLOOKUP(Healthcare!$A1958,hospital_details,2,0)</f>
        <v>10-Oct-1981</v>
      </c>
      <c r="M1958" s="5">
        <f t="shared" ref="M1958:M2021" ca="1" si="11733">VLOOKUP(A1958,hospital_details,3,0)</f>
        <v>45</v>
      </c>
      <c r="N1958" s="5">
        <f t="shared" ref="N1958:N2021" si="11734">VLOOKUP($A1958,hospital_details,4,0)</f>
        <v>1</v>
      </c>
      <c r="O1958" s="6">
        <f t="shared" ref="O1958:O2021" si="11735">VLOOKUP($A1958,hospital_details,5,0)</f>
        <v>3562.87</v>
      </c>
      <c r="P1958" s="5" t="str">
        <f t="shared" ref="P1958:P2021" si="11736">VLOOKUP($A1958,hospital_details,6,0)</f>
        <v>tier - 2</v>
      </c>
      <c r="Q1958" s="5" t="str">
        <f t="shared" ref="Q1958:Q2021" si="11737">VLOOKUP($A1958,hospital_details,7,0)</f>
        <v>tier - 1</v>
      </c>
      <c r="R1958" s="5" t="str">
        <f t="shared" ref="R1958:R2021" si="11738">VLOOKUP($A1958,hospital_details,8,0)</f>
        <v>R1013</v>
      </c>
    </row>
    <row r="1959" spans="1:18" ht="14.4" customHeight="1" x14ac:dyDescent="0.3">
      <c r="A1959" s="7" t="s">
        <v>1979</v>
      </c>
      <c r="B1959" s="7" t="str">
        <f>VLOOKUP($A1959,[1]!Customer_Names[#Data],3,0)</f>
        <v xml:space="preserve">  Lauren</v>
      </c>
      <c r="C1959" s="7">
        <v>23.21</v>
      </c>
      <c r="D1959" s="7" t="str" cm="1">
        <f t="array" ref="D1959">_xlfn.IFS(Healthcare!$C1959&lt;18.5,"under weight",Healthcare!$C1959&lt;=24.9,"Normal Weight",Healthcare!$C1959&gt;=25,"overweight",Healthcare!$C1959&gt;=30,"obese")</f>
        <v>Normal Weight</v>
      </c>
      <c r="E1959" s="7">
        <v>5.14</v>
      </c>
      <c r="F1959" s="7" t="str" cm="1">
        <f t="array" ref="F1959">_xlfn.IFS(Healthcare!$E1959&lt;5.7,"normal",Healthcare!$E1959&lt;=6.4,"prediabetes",Healthcare!$E1959&gt;=6.5,"diabetes")</f>
        <v>normal</v>
      </c>
      <c r="G1959" s="7" t="s">
        <v>20</v>
      </c>
      <c r="H1959" s="7" t="s">
        <v>19</v>
      </c>
      <c r="I1959" s="7" t="s">
        <v>19</v>
      </c>
      <c r="J1959" s="7">
        <v>1</v>
      </c>
      <c r="K1959" s="7" t="s">
        <v>19</v>
      </c>
      <c r="L1959" s="7" t="str">
        <f>VLOOKUP(Healthcare!$A1959,hospital_details,2,0)</f>
        <v>16-Jun-1995</v>
      </c>
      <c r="M1959" s="7">
        <f t="shared" ref="M1959:M2022" ca="1" si="11739">VLOOKUP(A1959,hospital_details,3,0)</f>
        <v>31</v>
      </c>
      <c r="N1959" s="7">
        <f t="shared" ref="N1959:N2022" si="11740">VLOOKUP($A1959,hospital_details,4,0)</f>
        <v>1</v>
      </c>
      <c r="O1959" s="8">
        <f t="shared" ref="O1959:O2022" si="11741">VLOOKUP($A1959,hospital_details,5,0)</f>
        <v>3561.89</v>
      </c>
      <c r="P1959" s="7" t="str">
        <f t="shared" ref="P1959:P2022" si="11742">VLOOKUP($A1959,hospital_details,6,0)</f>
        <v>tier - 2</v>
      </c>
      <c r="Q1959" s="7" t="str">
        <f t="shared" ref="Q1959:Q2022" si="11743">VLOOKUP($A1959,hospital_details,7,0)</f>
        <v>tier - 1</v>
      </c>
      <c r="R1959" s="7" t="str">
        <f t="shared" ref="R1959:R2022" si="11744">VLOOKUP($A1959,hospital_details,8,0)</f>
        <v>R1013</v>
      </c>
    </row>
    <row r="1960" spans="1:18" ht="14.4" customHeight="1" x14ac:dyDescent="0.3">
      <c r="A1960" s="5" t="s">
        <v>1980</v>
      </c>
      <c r="B1960" s="5" t="str">
        <f>VLOOKUP($A1960,[1]!Customer_Names[#Data],3,0)</f>
        <v xml:space="preserve">  Courtney</v>
      </c>
      <c r="C1960" s="5">
        <v>25.175000000000001</v>
      </c>
      <c r="D1960" s="5" t="str" cm="1">
        <f t="array" ref="D1960">_xlfn.IFS(Healthcare!$C1960&lt;18.5,"under weight",Healthcare!$C1960&lt;=24.9,"Normal Weight",Healthcare!$C1960&gt;=25,"overweight",Healthcare!$C1960&gt;=30,"obese")</f>
        <v>overweight</v>
      </c>
      <c r="E1960" s="5">
        <v>5.21</v>
      </c>
      <c r="F1960" s="5" t="str" cm="1">
        <f t="array" ref="F1960">_xlfn.IFS(Healthcare!$E1960&lt;5.7,"normal",Healthcare!$E1960&lt;=6.4,"prediabetes",Healthcare!$E1960&gt;=6.5,"diabetes")</f>
        <v>normal</v>
      </c>
      <c r="G1960" s="5" t="s">
        <v>20</v>
      </c>
      <c r="H1960" s="5" t="s">
        <v>19</v>
      </c>
      <c r="I1960" s="5" t="s">
        <v>19</v>
      </c>
      <c r="J1960" s="5">
        <v>1</v>
      </c>
      <c r="K1960" s="5" t="s">
        <v>19</v>
      </c>
      <c r="L1960" s="5" t="str">
        <f>VLOOKUP(Healthcare!$A1960,hospital_details,2,0)</f>
        <v>9-Oct-1995</v>
      </c>
      <c r="M1960" s="5">
        <f t="shared" ref="M1960:M2023" ca="1" si="11745">VLOOKUP(A1960,hospital_details,3,0)</f>
        <v>31</v>
      </c>
      <c r="N1960" s="5">
        <f t="shared" ref="N1960:N2023" si="11746">VLOOKUP($A1960,hospital_details,4,0)</f>
        <v>0</v>
      </c>
      <c r="O1960" s="6">
        <f t="shared" ref="O1960:O2023" si="11747">VLOOKUP($A1960,hospital_details,5,0)</f>
        <v>3558.62</v>
      </c>
      <c r="P1960" s="5" t="str">
        <f t="shared" ref="P1960:P2023" si="11748">VLOOKUP($A1960,hospital_details,6,0)</f>
        <v>tier - 2</v>
      </c>
      <c r="Q1960" s="5" t="str">
        <f t="shared" ref="Q1960:Q2023" si="11749">VLOOKUP($A1960,hospital_details,7,0)</f>
        <v>tier - 3</v>
      </c>
      <c r="R1960" s="5" t="str">
        <f t="shared" ref="R1960:R2023" si="11750">VLOOKUP($A1960,hospital_details,8,0)</f>
        <v>R1024</v>
      </c>
    </row>
    <row r="1961" spans="1:18" ht="14.4" customHeight="1" x14ac:dyDescent="0.3">
      <c r="A1961" s="7" t="s">
        <v>1981</v>
      </c>
      <c r="B1961" s="7" t="str">
        <f>VLOOKUP($A1961,[1]!Customer_Names[#Data],3,0)</f>
        <v xml:space="preserve">  Elizabeth</v>
      </c>
      <c r="C1961" s="7">
        <v>34.770000000000003</v>
      </c>
      <c r="D1961" s="7" t="str" cm="1">
        <f t="array" ref="D1961">_xlfn.IFS(Healthcare!$C1961&lt;18.5,"under weight",Healthcare!$C1961&lt;=24.9,"Normal Weight",Healthcare!$C1961&gt;=25,"overweight",Healthcare!$C1961&gt;=30,"obese")</f>
        <v>overweight</v>
      </c>
      <c r="E1961" s="7">
        <v>6.23</v>
      </c>
      <c r="F1961" s="7" t="str" cm="1">
        <f t="array" ref="F1961">_xlfn.IFS(Healthcare!$E1961&lt;5.7,"normal",Healthcare!$E1961&lt;=6.4,"prediabetes",Healthcare!$E1961&gt;=6.5,"diabetes")</f>
        <v>prediabetes</v>
      </c>
      <c r="G1961" s="7" t="s">
        <v>19</v>
      </c>
      <c r="H1961" s="7" t="s">
        <v>19</v>
      </c>
      <c r="I1961" s="7" t="s">
        <v>19</v>
      </c>
      <c r="J1961" s="7">
        <v>0</v>
      </c>
      <c r="K1961" s="7" t="s">
        <v>19</v>
      </c>
      <c r="L1961" s="7" t="str">
        <f>VLOOKUP(Healthcare!$A1961,hospital_details,2,0)</f>
        <v>24-Sep-1994</v>
      </c>
      <c r="M1961" s="7">
        <f t="shared" ref="M1961:M2024" ca="1" si="11751">VLOOKUP(A1961,hospital_details,3,0)</f>
        <v>32</v>
      </c>
      <c r="N1961" s="7">
        <f t="shared" ref="N1961:N2024" si="11752">VLOOKUP($A1961,hospital_details,4,0)</f>
        <v>0</v>
      </c>
      <c r="O1961" s="8">
        <f t="shared" ref="O1961:O2024" si="11753">VLOOKUP($A1961,hospital_details,5,0)</f>
        <v>3556.92</v>
      </c>
      <c r="P1961" s="7" t="str">
        <f t="shared" ref="P1961:P2024" si="11754">VLOOKUP($A1961,hospital_details,6,0)</f>
        <v>tier - 2</v>
      </c>
      <c r="Q1961" s="7" t="str">
        <f t="shared" ref="Q1961:Q2024" si="11755">VLOOKUP($A1961,hospital_details,7,0)</f>
        <v>tier - 3</v>
      </c>
      <c r="R1961" s="7" t="str">
        <f t="shared" ref="R1961:R2024" si="11756">VLOOKUP($A1961,hospital_details,8,0)</f>
        <v>R1012</v>
      </c>
    </row>
    <row r="1962" spans="1:18" ht="14.4" customHeight="1" x14ac:dyDescent="0.3">
      <c r="A1962" s="5" t="s">
        <v>1982</v>
      </c>
      <c r="B1962" s="5" t="str">
        <f>VLOOKUP($A1962,[1]!Customer_Names[#Data],3,0)</f>
        <v xml:space="preserve">  Satomi</v>
      </c>
      <c r="C1962" s="5">
        <v>27.7</v>
      </c>
      <c r="D1962" s="5" t="str" cm="1">
        <f t="array" ref="D1962">_xlfn.IFS(Healthcare!$C1962&lt;18.5,"under weight",Healthcare!$C1962&lt;=24.9,"Normal Weight",Healthcare!$C1962&gt;=25,"overweight",Healthcare!$C1962&gt;=30,"obese")</f>
        <v>overweight</v>
      </c>
      <c r="E1962" s="5">
        <v>5.6</v>
      </c>
      <c r="F1962" s="5" t="str" cm="1">
        <f t="array" ref="F1962">_xlfn.IFS(Healthcare!$E1962&lt;5.7,"normal",Healthcare!$E1962&lt;=6.4,"prediabetes",Healthcare!$E1962&gt;=6.5,"diabetes")</f>
        <v>normal</v>
      </c>
      <c r="G1962" s="5" t="s">
        <v>19</v>
      </c>
      <c r="H1962" s="5" t="s">
        <v>19</v>
      </c>
      <c r="I1962" s="5" t="s">
        <v>19</v>
      </c>
      <c r="J1962" s="5">
        <v>1</v>
      </c>
      <c r="K1962" s="5" t="s">
        <v>19</v>
      </c>
      <c r="L1962" s="5" t="str">
        <f>VLOOKUP(Healthcare!$A1962,hospital_details,2,0)</f>
        <v>22-Dec-1992</v>
      </c>
      <c r="M1962" s="5">
        <f t="shared" ref="M1962:M2025" ca="1" si="11757">VLOOKUP(A1962,hospital_details,3,0)</f>
        <v>33</v>
      </c>
      <c r="N1962" s="5">
        <f t="shared" ref="N1962:N2025" si="11758">VLOOKUP($A1962,hospital_details,4,0)</f>
        <v>0</v>
      </c>
      <c r="O1962" s="6">
        <f t="shared" ref="O1962:O2025" si="11759">VLOOKUP($A1962,hospital_details,5,0)</f>
        <v>3554.2</v>
      </c>
      <c r="P1962" s="5" t="str">
        <f t="shared" ref="P1962:P2025" si="11760">VLOOKUP($A1962,hospital_details,6,0)</f>
        <v>tier - 2</v>
      </c>
      <c r="Q1962" s="5" t="str">
        <f t="shared" ref="Q1962:Q2025" si="11761">VLOOKUP($A1962,hospital_details,7,0)</f>
        <v>tier - 3</v>
      </c>
      <c r="R1962" s="5" t="str">
        <f t="shared" ref="R1962:R2025" si="11762">VLOOKUP($A1962,hospital_details,8,0)</f>
        <v>R1011</v>
      </c>
    </row>
    <row r="1963" spans="1:18" ht="14.4" customHeight="1" x14ac:dyDescent="0.3">
      <c r="A1963" s="7" t="s">
        <v>1983</v>
      </c>
      <c r="B1963" s="7" t="str">
        <f>VLOOKUP($A1963,[1]!Customer_Names[#Data],3,0)</f>
        <v xml:space="preserve">  Matthew D</v>
      </c>
      <c r="C1963" s="7">
        <v>19.12</v>
      </c>
      <c r="D1963" s="7" t="str" cm="1">
        <f t="array" ref="D1963">_xlfn.IFS(Healthcare!$C1963&lt;18.5,"under weight",Healthcare!$C1963&lt;=24.9,"Normal Weight",Healthcare!$C1963&gt;=25,"overweight",Healthcare!$C1963&gt;=30,"obese")</f>
        <v>Normal Weight</v>
      </c>
      <c r="E1963" s="7">
        <v>4.72</v>
      </c>
      <c r="F1963" s="7" t="str" cm="1">
        <f t="array" ref="F1963">_xlfn.IFS(Healthcare!$E1963&lt;5.7,"normal",Healthcare!$E1963&lt;=6.4,"prediabetes",Healthcare!$E1963&gt;=6.5,"diabetes")</f>
        <v>normal</v>
      </c>
      <c r="G1963" s="7" t="s">
        <v>20</v>
      </c>
      <c r="H1963" s="7" t="s">
        <v>19</v>
      </c>
      <c r="I1963" s="7" t="s">
        <v>19</v>
      </c>
      <c r="J1963" s="7">
        <v>1</v>
      </c>
      <c r="K1963" s="7" t="s">
        <v>19</v>
      </c>
      <c r="L1963" s="7" t="str">
        <f>VLOOKUP(Healthcare!$A1963,hospital_details,2,0)</f>
        <v>15-Oct-1988</v>
      </c>
      <c r="M1963" s="7">
        <f t="shared" ref="M1963:M2026" ca="1" si="11763">VLOOKUP(A1963,hospital_details,3,0)</f>
        <v>38</v>
      </c>
      <c r="N1963" s="7">
        <f t="shared" ref="N1963:N2026" si="11764">VLOOKUP($A1963,hospital_details,4,0)</f>
        <v>3</v>
      </c>
      <c r="O1963" s="8">
        <f t="shared" ref="O1963:O2026" si="11765">VLOOKUP($A1963,hospital_details,5,0)</f>
        <v>3540.12</v>
      </c>
      <c r="P1963" s="7" t="str">
        <f t="shared" ref="P1963:P2026" si="11766">VLOOKUP($A1963,hospital_details,6,0)</f>
        <v>tier - 2</v>
      </c>
      <c r="Q1963" s="7" t="str">
        <f t="shared" ref="Q1963:Q2026" si="11767">VLOOKUP($A1963,hospital_details,7,0)</f>
        <v>tier - 1</v>
      </c>
      <c r="R1963" s="7" t="str">
        <f t="shared" ref="R1963:R2026" si="11768">VLOOKUP($A1963,hospital_details,8,0)</f>
        <v>R1013</v>
      </c>
    </row>
    <row r="1964" spans="1:18" ht="14.4" customHeight="1" x14ac:dyDescent="0.3">
      <c r="A1964" s="5" t="s">
        <v>1984</v>
      </c>
      <c r="B1964" s="5" t="str">
        <f>VLOOKUP($A1964,[1]!Customer_Names[#Data],3,0)</f>
        <v xml:space="preserve">  Peter T II</v>
      </c>
      <c r="C1964" s="5">
        <v>32.67</v>
      </c>
      <c r="D1964" s="5" t="str" cm="1">
        <f t="array" ref="D1964">_xlfn.IFS(Healthcare!$C1964&lt;18.5,"under weight",Healthcare!$C1964&lt;=24.9,"Normal Weight",Healthcare!$C1964&gt;=25,"overweight",Healthcare!$C1964&gt;=30,"obese")</f>
        <v>overweight</v>
      </c>
      <c r="E1964" s="5">
        <v>4.67</v>
      </c>
      <c r="F1964" s="5" t="str" cm="1">
        <f t="array" ref="F1964">_xlfn.IFS(Healthcare!$E1964&lt;5.7,"normal",Healthcare!$E1964&lt;=6.4,"prediabetes",Healthcare!$E1964&gt;=6.5,"diabetes")</f>
        <v>normal</v>
      </c>
      <c r="G1964" s="5" t="s">
        <v>19</v>
      </c>
      <c r="H1964" s="5" t="s">
        <v>19</v>
      </c>
      <c r="I1964" s="5" t="s">
        <v>29</v>
      </c>
      <c r="J1964" s="5">
        <v>1</v>
      </c>
      <c r="K1964" s="5" t="s">
        <v>19</v>
      </c>
      <c r="L1964" s="5" t="str">
        <f>VLOOKUP(Healthcare!$A1964,hospital_details,2,0)</f>
        <v>24-Aug-2003</v>
      </c>
      <c r="M1964" s="5">
        <f t="shared" ref="M1964:M2027" ca="1" si="11769">VLOOKUP(A1964,hospital_details,3,0)</f>
        <v>23</v>
      </c>
      <c r="N1964" s="5">
        <f t="shared" ref="N1964:N2027" si="11770">VLOOKUP($A1964,hospital_details,4,0)</f>
        <v>0</v>
      </c>
      <c r="O1964" s="6">
        <f t="shared" ref="O1964:O2027" si="11771">VLOOKUP($A1964,hospital_details,5,0)</f>
        <v>3538.9</v>
      </c>
      <c r="P1964" s="5" t="str">
        <f t="shared" ref="P1964:P2027" si="11772">VLOOKUP($A1964,hospital_details,6,0)</f>
        <v>tier - 2</v>
      </c>
      <c r="Q1964" s="5" t="str">
        <f t="shared" ref="Q1964:Q2027" si="11773">VLOOKUP($A1964,hospital_details,7,0)</f>
        <v>tier - 2</v>
      </c>
      <c r="R1964" s="5" t="str">
        <f t="shared" ref="R1964:R2027" si="11774">VLOOKUP($A1964,hospital_details,8,0)</f>
        <v>R1012</v>
      </c>
    </row>
    <row r="1965" spans="1:18" ht="14.4" customHeight="1" x14ac:dyDescent="0.3">
      <c r="A1965" s="7" t="s">
        <v>1985</v>
      </c>
      <c r="B1965" s="7" t="str">
        <f>VLOOKUP($A1965,[1]!Customer_Names[#Data],3,0)</f>
        <v xml:space="preserve">  Manuel</v>
      </c>
      <c r="C1965" s="7">
        <v>28.5</v>
      </c>
      <c r="D1965" s="7" t="str" cm="1">
        <f t="array" ref="D1965">_xlfn.IFS(Healthcare!$C1965&lt;18.5,"under weight",Healthcare!$C1965&lt;=24.9,"Normal Weight",Healthcare!$C1965&gt;=25,"overweight",Healthcare!$C1965&gt;=30,"obese")</f>
        <v>overweight</v>
      </c>
      <c r="E1965" s="7">
        <v>6.11</v>
      </c>
      <c r="F1965" s="7" t="str" cm="1">
        <f t="array" ref="F1965">_xlfn.IFS(Healthcare!$E1965&lt;5.7,"normal",Healthcare!$E1965&lt;=6.4,"prediabetes",Healthcare!$E1965&gt;=6.5,"diabetes")</f>
        <v>prediabetes</v>
      </c>
      <c r="G1965" s="7" t="s">
        <v>19</v>
      </c>
      <c r="H1965" s="7" t="s">
        <v>19</v>
      </c>
      <c r="I1965" s="7" t="s">
        <v>19</v>
      </c>
      <c r="J1965" s="7">
        <v>1</v>
      </c>
      <c r="K1965" s="7" t="s">
        <v>19</v>
      </c>
      <c r="L1965" s="7" t="str">
        <f>VLOOKUP(Healthcare!$A1965,hospital_details,2,0)</f>
        <v>16-Sep-1998</v>
      </c>
      <c r="M1965" s="7">
        <f t="shared" ref="M1965:M2028" ca="1" si="11775">VLOOKUP(A1965,hospital_details,3,0)</f>
        <v>28</v>
      </c>
      <c r="N1965" s="7">
        <f t="shared" ref="N1965:N2028" si="11776">VLOOKUP($A1965,hospital_details,4,0)</f>
        <v>2</v>
      </c>
      <c r="O1965" s="8">
        <f t="shared" ref="O1965:O2028" si="11777">VLOOKUP($A1965,hospital_details,5,0)</f>
        <v>3537.7</v>
      </c>
      <c r="P1965" s="7" t="str">
        <f t="shared" ref="P1965:P2028" si="11778">VLOOKUP($A1965,hospital_details,6,0)</f>
        <v>tier - 3</v>
      </c>
      <c r="Q1965" s="7" t="str">
        <f t="shared" ref="Q1965:Q2028" si="11779">VLOOKUP($A1965,hospital_details,7,0)</f>
        <v>tier - 3</v>
      </c>
      <c r="R1965" s="7" t="str">
        <f t="shared" ref="R1965:R2028" si="11780">VLOOKUP($A1965,hospital_details,8,0)</f>
        <v>R1012</v>
      </c>
    </row>
    <row r="1966" spans="1:18" ht="14.4" customHeight="1" x14ac:dyDescent="0.3">
      <c r="A1966" s="5" t="s">
        <v>1986</v>
      </c>
      <c r="B1966" s="5" t="str">
        <f>VLOOKUP($A1966,[1]!Customer_Names[#Data],3,0)</f>
        <v xml:space="preserve">  Kindsey P</v>
      </c>
      <c r="C1966" s="5">
        <v>39.270000000000003</v>
      </c>
      <c r="D1966" s="5" t="str" cm="1">
        <f t="array" ref="D1966">_xlfn.IFS(Healthcare!$C1966&lt;18.5,"under weight",Healthcare!$C1966&lt;=24.9,"Normal Weight",Healthcare!$C1966&gt;=25,"overweight",Healthcare!$C1966&gt;=30,"obese")</f>
        <v>overweight</v>
      </c>
      <c r="E1966" s="5">
        <v>6.25</v>
      </c>
      <c r="F1966" s="5" t="str" cm="1">
        <f t="array" ref="F1966">_xlfn.IFS(Healthcare!$E1966&lt;5.7,"normal",Healthcare!$E1966&lt;=6.4,"prediabetes",Healthcare!$E1966&gt;=6.5,"diabetes")</f>
        <v>prediabetes</v>
      </c>
      <c r="G1966" s="5" t="s">
        <v>19</v>
      </c>
      <c r="H1966" s="5" t="s">
        <v>19</v>
      </c>
      <c r="I1966" s="5" t="s">
        <v>19</v>
      </c>
      <c r="J1966" s="5">
        <v>0</v>
      </c>
      <c r="K1966" s="5" t="s">
        <v>19</v>
      </c>
      <c r="L1966" s="5" t="str">
        <f>VLOOKUP(Healthcare!$A1966,hospital_details,2,0)</f>
        <v>22-Sep-1999</v>
      </c>
      <c r="M1966" s="5">
        <f t="shared" ref="M1966:M2029" ca="1" si="11781">VLOOKUP(A1966,hospital_details,3,0)</f>
        <v>27</v>
      </c>
      <c r="N1966" s="5">
        <f t="shared" ref="N1966:N2029" si="11782">VLOOKUP($A1966,hospital_details,4,0)</f>
        <v>2</v>
      </c>
      <c r="O1966" s="6">
        <f t="shared" ref="O1966:O2029" si="11783">VLOOKUP($A1966,hospital_details,5,0)</f>
        <v>3500.61</v>
      </c>
      <c r="P1966" s="5" t="str">
        <f t="shared" ref="P1966:P2029" si="11784">VLOOKUP($A1966,hospital_details,6,0)</f>
        <v>tier - 2</v>
      </c>
      <c r="Q1966" s="5" t="str">
        <f t="shared" ref="Q1966:Q2029" si="11785">VLOOKUP($A1966,hospital_details,7,0)</f>
        <v>tier - 2</v>
      </c>
      <c r="R1966" s="5" t="str">
        <f t="shared" ref="R1966:R2029" si="11786">VLOOKUP($A1966,hospital_details,8,0)</f>
        <v>R1013</v>
      </c>
    </row>
    <row r="1967" spans="1:18" ht="14.4" customHeight="1" x14ac:dyDescent="0.3">
      <c r="A1967" s="7" t="s">
        <v>1987</v>
      </c>
      <c r="B1967" s="7" t="str">
        <f>VLOOKUP($A1967,[1]!Customer_Names[#Data],3,0)</f>
        <v xml:space="preserve">  Thomas G</v>
      </c>
      <c r="C1967" s="7">
        <v>32.49</v>
      </c>
      <c r="D1967" s="7" t="str" cm="1">
        <f t="array" ref="D1967">_xlfn.IFS(Healthcare!$C1967&lt;18.5,"under weight",Healthcare!$C1967&lt;=24.9,"Normal Weight",Healthcare!$C1967&gt;=25,"overweight",Healthcare!$C1967&gt;=30,"obese")</f>
        <v>overweight</v>
      </c>
      <c r="E1967" s="7">
        <v>4</v>
      </c>
      <c r="F1967" s="7" t="str" cm="1">
        <f t="array" ref="F1967">_xlfn.IFS(Healthcare!$E1967&lt;5.7,"normal",Healthcare!$E1967&lt;=6.4,"prediabetes",Healthcare!$E1967&gt;=6.5,"diabetes")</f>
        <v>normal</v>
      </c>
      <c r="G1967" s="7" t="s">
        <v>20</v>
      </c>
      <c r="H1967" s="7" t="s">
        <v>19</v>
      </c>
      <c r="I1967" s="7" t="s">
        <v>19</v>
      </c>
      <c r="J1967" s="7">
        <v>0</v>
      </c>
      <c r="K1967" s="7" t="s">
        <v>19</v>
      </c>
      <c r="L1967" s="7" t="str">
        <f>VLOOKUP(Healthcare!$A1967,hospital_details,2,0)</f>
        <v>18-Sep-1996</v>
      </c>
      <c r="M1967" s="7">
        <f t="shared" ref="M1967:M2030" ca="1" si="11787">VLOOKUP(A1967,hospital_details,3,0)</f>
        <v>30</v>
      </c>
      <c r="N1967" s="7">
        <f t="shared" ref="N1967:N2030" si="11788">VLOOKUP($A1967,hospital_details,4,0)</f>
        <v>1</v>
      </c>
      <c r="O1967" s="8">
        <f t="shared" ref="O1967:O2030" si="11789">VLOOKUP($A1967,hospital_details,5,0)</f>
        <v>3490.55</v>
      </c>
      <c r="P1967" s="7" t="str">
        <f t="shared" ref="P1967:P2030" si="11790">VLOOKUP($A1967,hospital_details,6,0)</f>
        <v>tier - 1</v>
      </c>
      <c r="Q1967" s="7" t="str">
        <f t="shared" ref="Q1967:Q2030" si="11791">VLOOKUP($A1967,hospital_details,7,0)</f>
        <v>tier - 2</v>
      </c>
      <c r="R1967" s="7" t="str">
        <f t="shared" ref="R1967:R2030" si="11792">VLOOKUP($A1967,hospital_details,8,0)</f>
        <v>R1015</v>
      </c>
    </row>
    <row r="1968" spans="1:18" ht="14.4" customHeight="1" x14ac:dyDescent="0.3">
      <c r="A1968" s="5" t="s">
        <v>1988</v>
      </c>
      <c r="B1968" s="5" t="str">
        <f>VLOOKUP($A1968,[1]!Customer_Names[#Data],3,0)</f>
        <v xml:space="preserve">  Kyle S</v>
      </c>
      <c r="C1968" s="5">
        <v>23.7</v>
      </c>
      <c r="D1968" s="5" t="str" cm="1">
        <f t="array" ref="D1968">_xlfn.IFS(Healthcare!$C1968&lt;18.5,"under weight",Healthcare!$C1968&lt;=24.9,"Normal Weight",Healthcare!$C1968&gt;=25,"overweight",Healthcare!$C1968&gt;=30,"obese")</f>
        <v>Normal Weight</v>
      </c>
      <c r="E1968" s="5">
        <v>5.55</v>
      </c>
      <c r="F1968" s="5" t="str" cm="1">
        <f t="array" ref="F1968">_xlfn.IFS(Healthcare!$E1968&lt;5.7,"normal",Healthcare!$E1968&lt;=6.4,"prediabetes",Healthcare!$E1968&gt;=6.5,"diabetes")</f>
        <v>normal</v>
      </c>
      <c r="G1968" s="5" t="s">
        <v>20</v>
      </c>
      <c r="H1968" s="5" t="s">
        <v>19</v>
      </c>
      <c r="I1968" s="5" t="s">
        <v>19</v>
      </c>
      <c r="J1968" s="5">
        <v>0</v>
      </c>
      <c r="K1968" s="5" t="s">
        <v>19</v>
      </c>
      <c r="L1968" s="5" t="str">
        <f>VLOOKUP(Healthcare!$A1968,hospital_details,2,0)</f>
        <v>19-Sep-1996</v>
      </c>
      <c r="M1968" s="5">
        <f t="shared" ref="M1968:M2031" ca="1" si="11793">VLOOKUP(A1968,hospital_details,3,0)</f>
        <v>30</v>
      </c>
      <c r="N1968" s="5">
        <f t="shared" ref="N1968:N2031" si="11794">VLOOKUP($A1968,hospital_details,4,0)</f>
        <v>2</v>
      </c>
      <c r="O1968" s="6">
        <f t="shared" ref="O1968:O2031" si="11795">VLOOKUP($A1968,hospital_details,5,0)</f>
        <v>3484.33</v>
      </c>
      <c r="P1968" s="5" t="str">
        <f t="shared" ref="P1968:P2031" si="11796">VLOOKUP($A1968,hospital_details,6,0)</f>
        <v>tier - 3</v>
      </c>
      <c r="Q1968" s="5" t="str">
        <f t="shared" ref="Q1968:Q2031" si="11797">VLOOKUP($A1968,hospital_details,7,0)</f>
        <v>tier - 3</v>
      </c>
      <c r="R1968" s="5" t="str">
        <f t="shared" ref="R1968:R2031" si="11798">VLOOKUP($A1968,hospital_details,8,0)</f>
        <v>R1011</v>
      </c>
    </row>
    <row r="1969" spans="1:18" ht="14.4" customHeight="1" x14ac:dyDescent="0.3">
      <c r="A1969" s="7" t="s">
        <v>1989</v>
      </c>
      <c r="B1969" s="7" t="str">
        <f>VLOOKUP($A1969,[1]!Customer_Names[#Data],3,0)</f>
        <v xml:space="preserve">  Alexander J</v>
      </c>
      <c r="C1969" s="7">
        <v>30.4</v>
      </c>
      <c r="D1969" s="7" t="str" cm="1">
        <f t="array" ref="D1969">_xlfn.IFS(Healthcare!$C1969&lt;18.5,"under weight",Healthcare!$C1969&lt;=24.9,"Normal Weight",Healthcare!$C1969&gt;=25,"overweight",Healthcare!$C1969&gt;=30,"obese")</f>
        <v>overweight</v>
      </c>
      <c r="E1969" s="7">
        <v>5.95</v>
      </c>
      <c r="F1969" s="7" t="str" cm="1">
        <f t="array" ref="F1969">_xlfn.IFS(Healthcare!$E1969&lt;5.7,"normal",Healthcare!$E1969&lt;=6.4,"prediabetes",Healthcare!$E1969&gt;=6.5,"diabetes")</f>
        <v>prediabetes</v>
      </c>
      <c r="G1969" s="7" t="s">
        <v>19</v>
      </c>
      <c r="H1969" s="7" t="s">
        <v>20</v>
      </c>
      <c r="I1969" s="7" t="s">
        <v>19</v>
      </c>
      <c r="J1969" s="7">
        <v>1</v>
      </c>
      <c r="K1969" s="7" t="s">
        <v>19</v>
      </c>
      <c r="L1969" s="7" t="str">
        <f>VLOOKUP(Healthcare!$A1969,hospital_details,2,0)</f>
        <v>26-Jun-2004</v>
      </c>
      <c r="M1969" s="7">
        <f t="shared" ref="M1969:M2032" ca="1" si="11799">VLOOKUP(A1969,hospital_details,3,0)</f>
        <v>22</v>
      </c>
      <c r="N1969" s="7">
        <f t="shared" ref="N1969:N2032" si="11800">VLOOKUP($A1969,hospital_details,4,0)</f>
        <v>3</v>
      </c>
      <c r="O1969" s="8">
        <f t="shared" ref="O1969:O2032" si="11801">VLOOKUP($A1969,hospital_details,5,0)</f>
        <v>3481.87</v>
      </c>
      <c r="P1969" s="7" t="str">
        <f t="shared" ref="P1969:P2032" si="11802">VLOOKUP($A1969,hospital_details,6,0)</f>
        <v>tier - 2</v>
      </c>
      <c r="Q1969" s="7" t="str">
        <f t="shared" ref="Q1969:Q2032" si="11803">VLOOKUP($A1969,hospital_details,7,0)</f>
        <v>tier - 3</v>
      </c>
      <c r="R1969" s="7" t="str">
        <f t="shared" ref="R1969:R2032" si="11804">VLOOKUP($A1969,hospital_details,8,0)</f>
        <v>R1016</v>
      </c>
    </row>
    <row r="1970" spans="1:18" ht="14.4" customHeight="1" x14ac:dyDescent="0.3">
      <c r="A1970" s="5" t="s">
        <v>1990</v>
      </c>
      <c r="B1970" s="5" t="str">
        <f>VLOOKUP($A1970,[1]!Customer_Names[#Data],3,0)</f>
        <v xml:space="preserve">  Dustin L</v>
      </c>
      <c r="C1970" s="5">
        <v>38.94</v>
      </c>
      <c r="D1970" s="5" t="str" cm="1">
        <f t="array" ref="D1970">_xlfn.IFS(Healthcare!$C1970&lt;18.5,"under weight",Healthcare!$C1970&lt;=24.9,"Normal Weight",Healthcare!$C1970&gt;=25,"overweight",Healthcare!$C1970&gt;=30,"obese")</f>
        <v>overweight</v>
      </c>
      <c r="E1970" s="5">
        <v>4.3600000000000003</v>
      </c>
      <c r="F1970" s="5" t="str" cm="1">
        <f t="array" ref="F1970">_xlfn.IFS(Healthcare!$E1970&lt;5.7,"normal",Healthcare!$E1970&lt;=6.4,"prediabetes",Healthcare!$E1970&gt;=6.5,"diabetes")</f>
        <v>normal</v>
      </c>
      <c r="G1970" s="5" t="s">
        <v>19</v>
      </c>
      <c r="H1970" s="5" t="s">
        <v>19</v>
      </c>
      <c r="I1970" s="5" t="s">
        <v>29</v>
      </c>
      <c r="J1970" s="5">
        <v>1</v>
      </c>
      <c r="K1970" s="5" t="s">
        <v>19</v>
      </c>
      <c r="L1970" s="5" t="str">
        <f>VLOOKUP(Healthcare!$A1970,hospital_details,2,0)</f>
        <v>12-Oct-1993</v>
      </c>
      <c r="M1970" s="5">
        <f t="shared" ref="M1970:M2033" ca="1" si="11805">VLOOKUP(A1970,hospital_details,3,0)</f>
        <v>33</v>
      </c>
      <c r="N1970" s="5">
        <f t="shared" ref="N1970:N2033" si="11806">VLOOKUP($A1970,hospital_details,4,0)</f>
        <v>1</v>
      </c>
      <c r="O1970" s="6">
        <f t="shared" ref="O1970:O2033" si="11807">VLOOKUP($A1970,hospital_details,5,0)</f>
        <v>3471.41</v>
      </c>
      <c r="P1970" s="5" t="str">
        <f t="shared" ref="P1970:P2033" si="11808">VLOOKUP($A1970,hospital_details,6,0)</f>
        <v>tier - 2</v>
      </c>
      <c r="Q1970" s="5" t="str">
        <f t="shared" ref="Q1970:Q2033" si="11809">VLOOKUP($A1970,hospital_details,7,0)</f>
        <v>tier - 2</v>
      </c>
      <c r="R1970" s="5" t="str">
        <f t="shared" ref="R1970:R2033" si="11810">VLOOKUP($A1970,hospital_details,8,0)</f>
        <v>R1013</v>
      </c>
    </row>
    <row r="1971" spans="1:18" ht="14.4" customHeight="1" x14ac:dyDescent="0.3">
      <c r="A1971" s="7" t="s">
        <v>1991</v>
      </c>
      <c r="B1971" s="7" t="str">
        <f>VLOOKUP($A1971,[1]!Customer_Names[#Data],3,0)</f>
        <v xml:space="preserve">  Chloe</v>
      </c>
      <c r="C1971" s="7">
        <v>31.02</v>
      </c>
      <c r="D1971" s="7" t="str" cm="1">
        <f t="array" ref="D1971">_xlfn.IFS(Healthcare!$C1971&lt;18.5,"under weight",Healthcare!$C1971&lt;=24.9,"Normal Weight",Healthcare!$C1971&gt;=25,"overweight",Healthcare!$C1971&gt;=30,"obese")</f>
        <v>overweight</v>
      </c>
      <c r="E1971" s="7">
        <v>4.84</v>
      </c>
      <c r="F1971" s="7" t="str" cm="1">
        <f t="array" ref="F1971">_xlfn.IFS(Healthcare!$E1971&lt;5.7,"normal",Healthcare!$E1971&lt;=6.4,"prediabetes",Healthcare!$E1971&gt;=6.5,"diabetes")</f>
        <v>normal</v>
      </c>
      <c r="G1971" s="7" t="s">
        <v>19</v>
      </c>
      <c r="H1971" s="7" t="s">
        <v>19</v>
      </c>
      <c r="I1971" s="7" t="s">
        <v>29</v>
      </c>
      <c r="J1971" s="7">
        <v>1</v>
      </c>
      <c r="K1971" s="7" t="s">
        <v>19</v>
      </c>
      <c r="L1971" s="7" t="str">
        <f>VLOOKUP(Healthcare!$A1971,hospital_details,2,0)</f>
        <v>29-Jul-2003</v>
      </c>
      <c r="M1971" s="7">
        <f t="shared" ref="M1971:M2034" ca="1" si="11811">VLOOKUP(A1971,hospital_details,3,0)</f>
        <v>23</v>
      </c>
      <c r="N1971" s="7">
        <f t="shared" ref="N1971:N2034" si="11812">VLOOKUP($A1971,hospital_details,4,0)</f>
        <v>0</v>
      </c>
      <c r="O1971" s="8">
        <f t="shared" ref="O1971:O2034" si="11813">VLOOKUP($A1971,hospital_details,5,0)</f>
        <v>3463.51</v>
      </c>
      <c r="P1971" s="7" t="str">
        <f t="shared" ref="P1971:P2034" si="11814">VLOOKUP($A1971,hospital_details,6,0)</f>
        <v>tier - 2</v>
      </c>
      <c r="Q1971" s="7" t="str">
        <f t="shared" ref="Q1971:Q2034" si="11815">VLOOKUP($A1971,hospital_details,7,0)</f>
        <v>tier - 1</v>
      </c>
      <c r="R1971" s="7" t="str">
        <f t="shared" ref="R1971:R2034" si="11816">VLOOKUP($A1971,hospital_details,8,0)</f>
        <v>R1025</v>
      </c>
    </row>
    <row r="1972" spans="1:18" ht="14.4" customHeight="1" x14ac:dyDescent="0.3">
      <c r="A1972" s="5" t="s">
        <v>1992</v>
      </c>
      <c r="B1972" s="5" t="str">
        <f>VLOOKUP($A1972,[1]!Customer_Names[#Data],3,0)</f>
        <v xml:space="preserve">  Cailtlin</v>
      </c>
      <c r="C1972" s="5">
        <v>17.5</v>
      </c>
      <c r="D1972" s="5" t="str" cm="1">
        <f t="array" ref="D1972">_xlfn.IFS(Healthcare!$C1972&lt;18.5,"under weight",Healthcare!$C1972&lt;=24.9,"Normal Weight",Healthcare!$C1972&gt;=25,"overweight",Healthcare!$C1972&gt;=30,"obese")</f>
        <v>under weight</v>
      </c>
      <c r="E1972" s="5">
        <v>4.5599999999999996</v>
      </c>
      <c r="F1972" s="5" t="str" cm="1">
        <f t="array" ref="F1972">_xlfn.IFS(Healthcare!$E1972&lt;5.7,"normal",Healthcare!$E1972&lt;=6.4,"prediabetes",Healthcare!$E1972&gt;=6.5,"diabetes")</f>
        <v>normal</v>
      </c>
      <c r="G1972" s="5" t="s">
        <v>19</v>
      </c>
      <c r="H1972" s="5" t="s">
        <v>19</v>
      </c>
      <c r="I1972" s="5" t="s">
        <v>19</v>
      </c>
      <c r="J1972" s="5">
        <v>1</v>
      </c>
      <c r="K1972" s="5" t="s">
        <v>19</v>
      </c>
      <c r="L1972" s="5" t="str">
        <f>VLOOKUP(Healthcare!$A1972,hospital_details,2,0)</f>
        <v>14-Sep-1987</v>
      </c>
      <c r="M1972" s="5">
        <f t="shared" ref="M1972:M2035" ca="1" si="11817">VLOOKUP(A1972,hospital_details,3,0)</f>
        <v>39</v>
      </c>
      <c r="N1972" s="5">
        <f t="shared" ref="N1972:N2035" si="11818">VLOOKUP($A1972,hospital_details,4,0)</f>
        <v>3</v>
      </c>
      <c r="O1972" s="6">
        <f t="shared" ref="O1972:O2035" si="11819">VLOOKUP($A1972,hospital_details,5,0)</f>
        <v>3453.77</v>
      </c>
      <c r="P1972" s="5" t="str">
        <f t="shared" ref="P1972:P2035" si="11820">VLOOKUP($A1972,hospital_details,6,0)</f>
        <v>tier - 2</v>
      </c>
      <c r="Q1972" s="5" t="str">
        <f t="shared" ref="Q1972:Q2035" si="11821">VLOOKUP($A1972,hospital_details,7,0)</f>
        <v>tier - 1</v>
      </c>
      <c r="R1972" s="5" t="str">
        <f t="shared" ref="R1972:R2035" si="11822">VLOOKUP($A1972,hospital_details,8,0)</f>
        <v>R1011</v>
      </c>
    </row>
    <row r="1973" spans="1:18" ht="14.4" customHeight="1" x14ac:dyDescent="0.3">
      <c r="A1973" s="7" t="s">
        <v>1993</v>
      </c>
      <c r="B1973" s="7" t="str">
        <f>VLOOKUP($A1973,[1]!Customer_Names[#Data],3,0)</f>
        <v xml:space="preserve">  Joshua</v>
      </c>
      <c r="C1973" s="7">
        <v>34.799999999999997</v>
      </c>
      <c r="D1973" s="7" t="str" cm="1">
        <f t="array" ref="D1973">_xlfn.IFS(Healthcare!$C1973&lt;18.5,"under weight",Healthcare!$C1973&lt;=24.9,"Normal Weight",Healthcare!$C1973&gt;=25,"overweight",Healthcare!$C1973&gt;=30,"obese")</f>
        <v>overweight</v>
      </c>
      <c r="E1973" s="7">
        <v>4.42</v>
      </c>
      <c r="F1973" s="7" t="str" cm="1">
        <f t="array" ref="F1973">_xlfn.IFS(Healthcare!$E1973&lt;5.7,"normal",Healthcare!$E1973&lt;=6.4,"prediabetes",Healthcare!$E1973&gt;=6.5,"diabetes")</f>
        <v>normal</v>
      </c>
      <c r="G1973" s="7" t="s">
        <v>20</v>
      </c>
      <c r="H1973" s="7" t="s">
        <v>20</v>
      </c>
      <c r="I1973" s="7" t="s">
        <v>19</v>
      </c>
      <c r="J1973" s="7">
        <v>2</v>
      </c>
      <c r="K1973" s="7" t="s">
        <v>19</v>
      </c>
      <c r="L1973" s="7" t="str">
        <f>VLOOKUP(Healthcare!$A1973,hospital_details,2,0)</f>
        <v>20-Jun-2000</v>
      </c>
      <c r="M1973" s="7">
        <f t="shared" ref="M1973:M2036" ca="1" si="11823">VLOOKUP(A1973,hospital_details,3,0)</f>
        <v>26</v>
      </c>
      <c r="N1973" s="7">
        <f t="shared" ref="N1973:N2036" si="11824">VLOOKUP($A1973,hospital_details,4,0)</f>
        <v>3</v>
      </c>
      <c r="O1973" s="8">
        <f t="shared" ref="O1973:O2036" si="11825">VLOOKUP($A1973,hospital_details,5,0)</f>
        <v>3443.06</v>
      </c>
      <c r="P1973" s="7" t="str">
        <f t="shared" ref="P1973:P2036" si="11826">VLOOKUP($A1973,hospital_details,6,0)</f>
        <v>tier - 2</v>
      </c>
      <c r="Q1973" s="7" t="str">
        <f t="shared" ref="Q1973:Q2036" si="11827">VLOOKUP($A1973,hospital_details,7,0)</f>
        <v>tier - 1</v>
      </c>
      <c r="R1973" s="7" t="str">
        <f t="shared" ref="R1973:R2036" si="11828">VLOOKUP($A1973,hospital_details,8,0)</f>
        <v>R1011</v>
      </c>
    </row>
    <row r="1974" spans="1:18" ht="14.4" customHeight="1" x14ac:dyDescent="0.3">
      <c r="A1974" s="5" t="s">
        <v>1994</v>
      </c>
      <c r="B1974" s="5" t="str">
        <f>VLOOKUP($A1974,[1]!Customer_Names[#Data],3,0)</f>
        <v xml:space="preserve">  Chuy</v>
      </c>
      <c r="C1974" s="5">
        <v>17.3</v>
      </c>
      <c r="D1974" s="5" t="str" cm="1">
        <f t="array" ref="D1974">_xlfn.IFS(Healthcare!$C1974&lt;18.5,"under weight",Healthcare!$C1974&lt;=24.9,"Normal Weight",Healthcare!$C1974&gt;=25,"overweight",Healthcare!$C1974&gt;=30,"obese")</f>
        <v>under weight</v>
      </c>
      <c r="E1974" s="5">
        <v>7.66</v>
      </c>
      <c r="F1974" s="5" t="str" cm="1">
        <f t="array" ref="F1974">_xlfn.IFS(Healthcare!$E1974&lt;5.7,"normal",Healthcare!$E1974&lt;=6.4,"prediabetes",Healthcare!$E1974&gt;=6.5,"diabetes")</f>
        <v>diabetes</v>
      </c>
      <c r="G1974" s="5" t="s">
        <v>20</v>
      </c>
      <c r="H1974" s="5" t="s">
        <v>19</v>
      </c>
      <c r="I1974" s="5" t="s">
        <v>19</v>
      </c>
      <c r="J1974" s="5">
        <v>1</v>
      </c>
      <c r="K1974" s="5" t="s">
        <v>19</v>
      </c>
      <c r="L1974" s="5" t="str">
        <f>VLOOKUP(Healthcare!$A1974,hospital_details,2,0)</f>
        <v>27-Aug-1986</v>
      </c>
      <c r="M1974" s="5">
        <f t="shared" ref="M1974:M2037" ca="1" si="11829">VLOOKUP(A1974,hospital_details,3,0)</f>
        <v>40</v>
      </c>
      <c r="N1974" s="5">
        <f t="shared" ref="N1974:N2037" si="11830">VLOOKUP($A1974,hospital_details,4,0)</f>
        <v>3</v>
      </c>
      <c r="O1974" s="6">
        <f t="shared" ref="O1974:O2037" si="11831">VLOOKUP($A1974,hospital_details,5,0)</f>
        <v>3436.5</v>
      </c>
      <c r="P1974" s="5" t="str">
        <f t="shared" ref="P1974:P2037" si="11832">VLOOKUP($A1974,hospital_details,6,0)</f>
        <v>tier - 2</v>
      </c>
      <c r="Q1974" s="5" t="str">
        <f t="shared" ref="Q1974:Q2037" si="11833">VLOOKUP($A1974,hospital_details,7,0)</f>
        <v>tier - 1</v>
      </c>
      <c r="R1974" s="5" t="str">
        <f t="shared" ref="R1974:R2037" si="11834">VLOOKUP($A1974,hospital_details,8,0)</f>
        <v>R1013</v>
      </c>
    </row>
    <row r="1975" spans="1:18" ht="14.4" customHeight="1" x14ac:dyDescent="0.3">
      <c r="A1975" s="7" t="s">
        <v>1995</v>
      </c>
      <c r="B1975" s="7" t="str">
        <f>VLOOKUP($A1975,[1]!Customer_Names[#Data],3,0)</f>
        <v xml:space="preserve">  Laurie B</v>
      </c>
      <c r="C1975" s="7">
        <v>32.25</v>
      </c>
      <c r="D1975" s="7" t="str" cm="1">
        <f t="array" ref="D1975">_xlfn.IFS(Healthcare!$C1975&lt;18.5,"under weight",Healthcare!$C1975&lt;=24.9,"Normal Weight",Healthcare!$C1975&gt;=25,"overweight",Healthcare!$C1975&gt;=30,"obese")</f>
        <v>overweight</v>
      </c>
      <c r="E1975" s="7">
        <v>5.2</v>
      </c>
      <c r="F1975" s="7" t="str" cm="1">
        <f t="array" ref="F1975">_xlfn.IFS(Healthcare!$E1975&lt;5.7,"normal",Healthcare!$E1975&lt;=6.4,"prediabetes",Healthcare!$E1975&gt;=6.5,"diabetes")</f>
        <v>normal</v>
      </c>
      <c r="G1975" s="7" t="s">
        <v>20</v>
      </c>
      <c r="H1975" s="7" t="s">
        <v>19</v>
      </c>
      <c r="I1975" s="7" t="s">
        <v>19</v>
      </c>
      <c r="J1975" s="7">
        <v>0</v>
      </c>
      <c r="K1975" s="7" t="s">
        <v>19</v>
      </c>
      <c r="L1975" s="7" t="str">
        <f>VLOOKUP(Healthcare!$A1975,hospital_details,2,0)</f>
        <v>26-Dec-2001</v>
      </c>
      <c r="M1975" s="7">
        <f t="shared" ref="M1975:M2038" ca="1" si="11835">VLOOKUP(A1975,hospital_details,3,0)</f>
        <v>24</v>
      </c>
      <c r="N1975" s="7">
        <f t="shared" ref="N1975:N2038" si="11836">VLOOKUP($A1975,hospital_details,4,0)</f>
        <v>0</v>
      </c>
      <c r="O1975" s="8">
        <f t="shared" ref="O1975:O2038" si="11837">VLOOKUP($A1975,hospital_details,5,0)</f>
        <v>3434.38</v>
      </c>
      <c r="P1975" s="7" t="str">
        <f t="shared" ref="P1975:P2038" si="11838">VLOOKUP($A1975,hospital_details,6,0)</f>
        <v>tier - 2</v>
      </c>
      <c r="Q1975" s="7" t="str">
        <f t="shared" ref="Q1975:Q2038" si="11839">VLOOKUP($A1975,hospital_details,7,0)</f>
        <v>tier - 2</v>
      </c>
      <c r="R1975" s="7" t="str">
        <f t="shared" ref="R1975:R2038" si="11840">VLOOKUP($A1975,hospital_details,8,0)</f>
        <v>R1011</v>
      </c>
    </row>
    <row r="1976" spans="1:18" ht="14.4" customHeight="1" x14ac:dyDescent="0.3">
      <c r="A1976" s="5" t="s">
        <v>1996</v>
      </c>
      <c r="B1976" s="5" t="str">
        <f>VLOOKUP($A1976,[1]!Customer_Names[#Data],3,0)</f>
        <v xml:space="preserve">  Rachel B</v>
      </c>
      <c r="C1976" s="5">
        <v>42.4</v>
      </c>
      <c r="D1976" s="5" t="str" cm="1">
        <f t="array" ref="D1976">_xlfn.IFS(Healthcare!$C1976&lt;18.5,"under weight",Healthcare!$C1976&lt;=24.9,"Normal Weight",Healthcare!$C1976&gt;=25,"overweight",Healthcare!$C1976&gt;=30,"obese")</f>
        <v>overweight</v>
      </c>
      <c r="E1976" s="5">
        <v>5.53</v>
      </c>
      <c r="F1976" s="5" t="str" cm="1">
        <f t="array" ref="F1976">_xlfn.IFS(Healthcare!$E1976&lt;5.7,"normal",Healthcare!$E1976&lt;=6.4,"prediabetes",Healthcare!$E1976&gt;=6.5,"diabetes")</f>
        <v>normal</v>
      </c>
      <c r="G1976" s="5" t="s">
        <v>20</v>
      </c>
      <c r="H1976" s="5" t="s">
        <v>19</v>
      </c>
      <c r="I1976" s="5" t="s">
        <v>19</v>
      </c>
      <c r="J1976" s="5">
        <v>0</v>
      </c>
      <c r="K1976" s="5" t="s">
        <v>19</v>
      </c>
      <c r="L1976" s="5" t="str">
        <f>VLOOKUP(Healthcare!$A1976,hospital_details,2,0)</f>
        <v>19-Dec-1996</v>
      </c>
      <c r="M1976" s="5">
        <f t="shared" ref="M1976:M2039" ca="1" si="11841">VLOOKUP(A1976,hospital_details,3,0)</f>
        <v>29</v>
      </c>
      <c r="N1976" s="5">
        <f t="shared" ref="N1976:N2039" si="11842">VLOOKUP($A1976,hospital_details,4,0)</f>
        <v>1</v>
      </c>
      <c r="O1976" s="6">
        <f t="shared" ref="O1976:O2039" si="11843">VLOOKUP($A1976,hospital_details,5,0)</f>
        <v>3410.32</v>
      </c>
      <c r="P1976" s="5" t="str">
        <f t="shared" ref="P1976:P2039" si="11844">VLOOKUP($A1976,hospital_details,6,0)</f>
        <v>tier - 2</v>
      </c>
      <c r="Q1976" s="5" t="str">
        <f t="shared" ref="Q1976:Q2039" si="11845">VLOOKUP($A1976,hospital_details,7,0)</f>
        <v>tier - 2</v>
      </c>
      <c r="R1976" s="5" t="str">
        <f t="shared" ref="R1976:R2039" si="11846">VLOOKUP($A1976,hospital_details,8,0)</f>
        <v>R1011</v>
      </c>
    </row>
    <row r="1977" spans="1:18" ht="14.4" customHeight="1" x14ac:dyDescent="0.3">
      <c r="A1977" s="7" t="s">
        <v>1997</v>
      </c>
      <c r="B1977" s="7" t="str">
        <f>VLOOKUP($A1977,[1]!Customer_Names[#Data],3,0)</f>
        <v xml:space="preserve">  Liza</v>
      </c>
      <c r="C1977" s="7">
        <v>38.664999999999999</v>
      </c>
      <c r="D1977" s="7" t="str" cm="1">
        <f t="array" ref="D1977">_xlfn.IFS(Healthcare!$C1977&lt;18.5,"under weight",Healthcare!$C1977&lt;=24.9,"Normal Weight",Healthcare!$C1977&gt;=25,"overweight",Healthcare!$C1977&gt;=30,"obese")</f>
        <v>overweight</v>
      </c>
      <c r="E1977" s="7">
        <v>4.8600000000000003</v>
      </c>
      <c r="F1977" s="7" t="str" cm="1">
        <f t="array" ref="F1977">_xlfn.IFS(Healthcare!$E1977&lt;5.7,"normal",Healthcare!$E1977&lt;=6.4,"prediabetes",Healthcare!$E1977&gt;=6.5,"diabetes")</f>
        <v>normal</v>
      </c>
      <c r="G1977" s="7" t="s">
        <v>19</v>
      </c>
      <c r="H1977" s="7" t="s">
        <v>20</v>
      </c>
      <c r="I1977" s="7" t="s">
        <v>19</v>
      </c>
      <c r="J1977" s="7">
        <v>1</v>
      </c>
      <c r="K1977" s="7" t="s">
        <v>19</v>
      </c>
      <c r="L1977" s="7" t="str">
        <f>VLOOKUP(Healthcare!$A1977,hospital_details,2,0)</f>
        <v>16-Jul-2004</v>
      </c>
      <c r="M1977" s="7">
        <f t="shared" ref="M1977:M2040" ca="1" si="11847">VLOOKUP(A1977,hospital_details,3,0)</f>
        <v>22</v>
      </c>
      <c r="N1977" s="7">
        <f t="shared" ref="N1977:N2040" si="11848">VLOOKUP($A1977,hospital_details,4,0)</f>
        <v>2</v>
      </c>
      <c r="O1977" s="8">
        <f t="shared" ref="O1977:O2040" si="11849">VLOOKUP($A1977,hospital_details,5,0)</f>
        <v>3393.36</v>
      </c>
      <c r="P1977" s="7" t="str">
        <f t="shared" ref="P1977:P2040" si="11850">VLOOKUP($A1977,hospital_details,6,0)</f>
        <v>tier - 2</v>
      </c>
      <c r="Q1977" s="7" t="str">
        <f t="shared" ref="Q1977:Q2040" si="11851">VLOOKUP($A1977,hospital_details,7,0)</f>
        <v>tier - 2</v>
      </c>
      <c r="R1977" s="7" t="str">
        <f t="shared" ref="R1977:R2040" si="11852">VLOOKUP($A1977,hospital_details,8,0)</f>
        <v>R1023</v>
      </c>
    </row>
    <row r="1978" spans="1:18" ht="14.4" customHeight="1" x14ac:dyDescent="0.3">
      <c r="A1978" s="5" t="s">
        <v>1998</v>
      </c>
      <c r="B1978" s="5" t="str">
        <f>VLOOKUP($A1978,[1]!Customer_Names[#Data],3,0)</f>
        <v xml:space="preserve">  Lindsey</v>
      </c>
      <c r="C1978" s="5">
        <v>29.92</v>
      </c>
      <c r="D1978" s="5" t="str" cm="1">
        <f t="array" ref="D1978">_xlfn.IFS(Healthcare!$C1978&lt;18.5,"under weight",Healthcare!$C1978&lt;=24.9,"Normal Weight",Healthcare!$C1978&gt;=25,"overweight",Healthcare!$C1978&gt;=30,"obese")</f>
        <v>overweight</v>
      </c>
      <c r="E1978" s="5">
        <v>5.49</v>
      </c>
      <c r="F1978" s="5" t="str" cm="1">
        <f t="array" ref="F1978">_xlfn.IFS(Healthcare!$E1978&lt;5.7,"normal",Healthcare!$E1978&lt;=6.4,"prediabetes",Healthcare!$E1978&gt;=6.5,"diabetes")</f>
        <v>normal</v>
      </c>
      <c r="G1978" s="5" t="s">
        <v>20</v>
      </c>
      <c r="H1978" s="5" t="s">
        <v>19</v>
      </c>
      <c r="I1978" s="5" t="s">
        <v>19</v>
      </c>
      <c r="J1978" s="5">
        <v>0</v>
      </c>
      <c r="K1978" s="5" t="s">
        <v>19</v>
      </c>
      <c r="L1978" s="5" t="str">
        <f>VLOOKUP(Healthcare!$A1978,hospital_details,2,0)</f>
        <v>27-Oct-1996</v>
      </c>
      <c r="M1978" s="5">
        <f t="shared" ref="M1978:M2041" ca="1" si="11853">VLOOKUP(A1978,hospital_details,3,0)</f>
        <v>29</v>
      </c>
      <c r="N1978" s="5">
        <f t="shared" ref="N1978:N2041" si="11854">VLOOKUP($A1978,hospital_details,4,0)</f>
        <v>1</v>
      </c>
      <c r="O1978" s="6">
        <f t="shared" ref="O1978:O2041" si="11855">VLOOKUP($A1978,hospital_details,5,0)</f>
        <v>3392.98</v>
      </c>
      <c r="P1978" s="5" t="str">
        <f t="shared" ref="P1978:P2041" si="11856">VLOOKUP($A1978,hospital_details,6,0)</f>
        <v>tier - 2</v>
      </c>
      <c r="Q1978" s="5" t="str">
        <f t="shared" ref="Q1978:Q2041" si="11857">VLOOKUP($A1978,hospital_details,7,0)</f>
        <v>tier - 3</v>
      </c>
      <c r="R1978" s="5" t="str">
        <f t="shared" ref="R1978:R2041" si="11858">VLOOKUP($A1978,hospital_details,8,0)</f>
        <v>R1013</v>
      </c>
    </row>
    <row r="1979" spans="1:18" ht="14.4" customHeight="1" x14ac:dyDescent="0.3">
      <c r="A1979" s="7" t="s">
        <v>1999</v>
      </c>
      <c r="B1979" s="7" t="str">
        <f>VLOOKUP($A1979,[1]!Customer_Names[#Data],3,0)</f>
        <v xml:space="preserve">  Lindsay E</v>
      </c>
      <c r="C1979" s="7">
        <v>29.48</v>
      </c>
      <c r="D1979" s="7" t="str" cm="1">
        <f t="array" ref="D1979">_xlfn.IFS(Healthcare!$C1979&lt;18.5,"under weight",Healthcare!$C1979&lt;=24.9,"Normal Weight",Healthcare!$C1979&gt;=25,"overweight",Healthcare!$C1979&gt;=30,"obese")</f>
        <v>overweight</v>
      </c>
      <c r="E1979" s="7">
        <v>4.09</v>
      </c>
      <c r="F1979" s="7" t="str" cm="1">
        <f t="array" ref="F1979">_xlfn.IFS(Healthcare!$E1979&lt;5.7,"normal",Healthcare!$E1979&lt;=6.4,"prediabetes",Healthcare!$E1979&gt;=6.5,"diabetes")</f>
        <v>normal</v>
      </c>
      <c r="G1979" s="7" t="s">
        <v>20</v>
      </c>
      <c r="H1979" s="7" t="s">
        <v>19</v>
      </c>
      <c r="I1979" s="7" t="s">
        <v>19</v>
      </c>
      <c r="J1979" s="7">
        <v>0</v>
      </c>
      <c r="K1979" s="7" t="s">
        <v>19</v>
      </c>
      <c r="L1979" s="7" t="str">
        <f>VLOOKUP(Healthcare!$A1979,hospital_details,2,0)</f>
        <v>10-Aug-1996</v>
      </c>
      <c r="M1979" s="7">
        <f t="shared" ref="M1979:M2042" ca="1" si="11859">VLOOKUP(A1979,hospital_details,3,0)</f>
        <v>30</v>
      </c>
      <c r="N1979" s="7">
        <f t="shared" ref="N1979:N2042" si="11860">VLOOKUP($A1979,hospital_details,4,0)</f>
        <v>1</v>
      </c>
      <c r="O1979" s="8">
        <f t="shared" ref="O1979:O2042" si="11861">VLOOKUP($A1979,hospital_details,5,0)</f>
        <v>3392.37</v>
      </c>
      <c r="P1979" s="7" t="str">
        <f t="shared" ref="P1979:P2042" si="11862">VLOOKUP($A1979,hospital_details,6,0)</f>
        <v>tier - 2</v>
      </c>
      <c r="Q1979" s="7" t="str">
        <f t="shared" ref="Q1979:Q2042" si="11863">VLOOKUP($A1979,hospital_details,7,0)</f>
        <v>tier - 3</v>
      </c>
      <c r="R1979" s="7" t="str">
        <f t="shared" ref="R1979:R2042" si="11864">VLOOKUP($A1979,hospital_details,8,0)</f>
        <v>R1013</v>
      </c>
    </row>
    <row r="1980" spans="1:18" ht="14.4" customHeight="1" x14ac:dyDescent="0.3">
      <c r="A1980" s="5" t="s">
        <v>2000</v>
      </c>
      <c r="B1980" s="5" t="str">
        <f>VLOOKUP($A1980,[1]!Customer_Names[#Data],3,0)</f>
        <v xml:space="preserve">  Kathleen M</v>
      </c>
      <c r="C1980" s="5">
        <v>28.785</v>
      </c>
      <c r="D1980" s="5" t="str" cm="1">
        <f t="array" ref="D1980">_xlfn.IFS(Healthcare!$C1980&lt;18.5,"under weight",Healthcare!$C1980&lt;=24.9,"Normal Weight",Healthcare!$C1980&gt;=25,"overweight",Healthcare!$C1980&gt;=30,"obese")</f>
        <v>overweight</v>
      </c>
      <c r="E1980" s="5">
        <v>4.3099999999999996</v>
      </c>
      <c r="F1980" s="5" t="str" cm="1">
        <f t="array" ref="F1980">_xlfn.IFS(Healthcare!$E1980&lt;5.7,"normal",Healthcare!$E1980&lt;=6.4,"prediabetes",Healthcare!$E1980&gt;=6.5,"diabetes")</f>
        <v>normal</v>
      </c>
      <c r="G1980" s="5" t="s">
        <v>20</v>
      </c>
      <c r="H1980" s="5" t="s">
        <v>19</v>
      </c>
      <c r="I1980" s="5" t="s">
        <v>19</v>
      </c>
      <c r="J1980" s="5">
        <v>0</v>
      </c>
      <c r="K1980" s="5" t="s">
        <v>19</v>
      </c>
      <c r="L1980" s="5" t="str">
        <f>VLOOKUP(Healthcare!$A1980,hospital_details,2,0)</f>
        <v>13-Nov-1996</v>
      </c>
      <c r="M1980" s="5">
        <f t="shared" ref="M1980:M2043" ca="1" si="11865">VLOOKUP(A1980,hospital_details,3,0)</f>
        <v>29</v>
      </c>
      <c r="N1980" s="5">
        <f t="shared" ref="N1980:N2043" si="11866">VLOOKUP($A1980,hospital_details,4,0)</f>
        <v>0</v>
      </c>
      <c r="O1980" s="6">
        <f t="shared" ref="O1980:O2043" si="11867">VLOOKUP($A1980,hospital_details,5,0)</f>
        <v>3385.4</v>
      </c>
      <c r="P1980" s="5" t="str">
        <f t="shared" ref="P1980:P2043" si="11868">VLOOKUP($A1980,hospital_details,6,0)</f>
        <v>tier - 2</v>
      </c>
      <c r="Q1980" s="5" t="str">
        <f t="shared" ref="Q1980:Q2043" si="11869">VLOOKUP($A1980,hospital_details,7,0)</f>
        <v>tier - 2</v>
      </c>
      <c r="R1980" s="5" t="str">
        <f t="shared" ref="R1980:R2043" si="11870">VLOOKUP($A1980,hospital_details,8,0)</f>
        <v>R1024</v>
      </c>
    </row>
    <row r="1981" spans="1:18" ht="14.4" customHeight="1" x14ac:dyDescent="0.3">
      <c r="A1981" s="7" t="s">
        <v>2001</v>
      </c>
      <c r="B1981" s="7" t="str">
        <f>VLOOKUP($A1981,[1]!Customer_Names[#Data],3,0)</f>
        <v xml:space="preserve">  Aya</v>
      </c>
      <c r="C1981" s="7">
        <v>19.8</v>
      </c>
      <c r="D1981" s="7" t="str" cm="1">
        <f t="array" ref="D1981">_xlfn.IFS(Healthcare!$C1981&lt;18.5,"under weight",Healthcare!$C1981&lt;=24.9,"Normal Weight",Healthcare!$C1981&gt;=25,"overweight",Healthcare!$C1981&gt;=30,"obese")</f>
        <v>Normal Weight</v>
      </c>
      <c r="E1981" s="7">
        <v>4</v>
      </c>
      <c r="F1981" s="7" t="str" cm="1">
        <f t="array" ref="F1981">_xlfn.IFS(Healthcare!$E1981&lt;5.7,"normal",Healthcare!$E1981&lt;=6.4,"prediabetes",Healthcare!$E1981&gt;=6.5,"diabetes")</f>
        <v>normal</v>
      </c>
      <c r="G1981" s="7" t="s">
        <v>20</v>
      </c>
      <c r="H1981" s="7" t="s">
        <v>19</v>
      </c>
      <c r="I1981" s="7" t="s">
        <v>19</v>
      </c>
      <c r="J1981" s="7">
        <v>0</v>
      </c>
      <c r="K1981" s="7" t="s">
        <v>19</v>
      </c>
      <c r="L1981" s="7" t="str">
        <f>VLOOKUP(Healthcare!$A1981,hospital_details,2,0)</f>
        <v>14-Dec-1996</v>
      </c>
      <c r="M1981" s="7">
        <f t="shared" ref="M1981:M2044" ca="1" si="11871">VLOOKUP(A1981,hospital_details,3,0)</f>
        <v>29</v>
      </c>
      <c r="N1981" s="7">
        <f t="shared" ref="N1981:N2044" si="11872">VLOOKUP($A1981,hospital_details,4,0)</f>
        <v>1</v>
      </c>
      <c r="O1981" s="8">
        <f t="shared" ref="O1981:O2044" si="11873">VLOOKUP($A1981,hospital_details,5,0)</f>
        <v>3378.91</v>
      </c>
      <c r="P1981" s="7" t="str">
        <f t="shared" ref="P1981:P2044" si="11874">VLOOKUP($A1981,hospital_details,6,0)</f>
        <v>tier - 2</v>
      </c>
      <c r="Q1981" s="7" t="str">
        <f t="shared" ref="Q1981:Q2044" si="11875">VLOOKUP($A1981,hospital_details,7,0)</f>
        <v>tier - 1</v>
      </c>
      <c r="R1981" s="7" t="str">
        <f t="shared" ref="R1981:R2044" si="11876">VLOOKUP($A1981,hospital_details,8,0)</f>
        <v>R1011</v>
      </c>
    </row>
    <row r="1982" spans="1:18" ht="14.4" customHeight="1" x14ac:dyDescent="0.3">
      <c r="A1982" s="5" t="s">
        <v>2002</v>
      </c>
      <c r="B1982" s="5" t="str">
        <f>VLOOKUP($A1982,[1]!Customer_Names[#Data],3,0)</f>
        <v xml:space="preserve">  Carolyn R</v>
      </c>
      <c r="C1982" s="5">
        <v>35.53</v>
      </c>
      <c r="D1982" s="5" t="str" cm="1">
        <f t="array" ref="D1982">_xlfn.IFS(Healthcare!$C1982&lt;18.5,"under weight",Healthcare!$C1982&lt;=24.9,"Normal Weight",Healthcare!$C1982&gt;=25,"overweight",Healthcare!$C1982&gt;=30,"obese")</f>
        <v>overweight</v>
      </c>
      <c r="E1982" s="5">
        <v>4.68</v>
      </c>
      <c r="F1982" s="5" t="str" cm="1">
        <f t="array" ref="F1982">_xlfn.IFS(Healthcare!$E1982&lt;5.7,"normal",Healthcare!$E1982&lt;=6.4,"prediabetes",Healthcare!$E1982&gt;=6.5,"diabetes")</f>
        <v>normal</v>
      </c>
      <c r="G1982" s="5" t="s">
        <v>19</v>
      </c>
      <c r="H1982" s="5" t="s">
        <v>19</v>
      </c>
      <c r="I1982" s="5" t="s">
        <v>29</v>
      </c>
      <c r="J1982" s="5">
        <v>1</v>
      </c>
      <c r="K1982" s="5" t="s">
        <v>19</v>
      </c>
      <c r="L1982" s="5" t="str">
        <f>VLOOKUP(Healthcare!$A1982,hospital_details,2,0)</f>
        <v>7-Oct-1993</v>
      </c>
      <c r="M1982" s="5">
        <f t="shared" ref="M1982:M2045" ca="1" si="11877">VLOOKUP(A1982,hospital_details,3,0)</f>
        <v>33</v>
      </c>
      <c r="N1982" s="5">
        <f t="shared" ref="N1982:N2045" si="11878">VLOOKUP($A1982,hospital_details,4,0)</f>
        <v>0</v>
      </c>
      <c r="O1982" s="6">
        <f t="shared" ref="O1982:O2045" si="11879">VLOOKUP($A1982,hospital_details,5,0)</f>
        <v>3366.67</v>
      </c>
      <c r="P1982" s="5" t="str">
        <f t="shared" ref="P1982:P2045" si="11880">VLOOKUP($A1982,hospital_details,6,0)</f>
        <v>tier - 2</v>
      </c>
      <c r="Q1982" s="5" t="str">
        <f t="shared" ref="Q1982:Q2045" si="11881">VLOOKUP($A1982,hospital_details,7,0)</f>
        <v>tier - 2</v>
      </c>
      <c r="R1982" s="5" t="str">
        <f t="shared" ref="R1982:R2045" si="11882">VLOOKUP($A1982,hospital_details,8,0)</f>
        <v>R1013</v>
      </c>
    </row>
    <row r="1983" spans="1:18" ht="14.4" customHeight="1" x14ac:dyDescent="0.3">
      <c r="A1983" s="7" t="s">
        <v>2003</v>
      </c>
      <c r="B1983" s="7" t="str">
        <f>VLOOKUP($A1983,[1]!Customer_Names[#Data],3,0)</f>
        <v xml:space="preserve">  Bethany</v>
      </c>
      <c r="C1983" s="7">
        <v>21.47</v>
      </c>
      <c r="D1983" s="7" t="str" cm="1">
        <f t="array" ref="D1983">_xlfn.IFS(Healthcare!$C1983&lt;18.5,"under weight",Healthcare!$C1983&lt;=24.9,"Normal Weight",Healthcare!$C1983&gt;=25,"overweight",Healthcare!$C1983&gt;=30,"obese")</f>
        <v>Normal Weight</v>
      </c>
      <c r="E1983" s="7">
        <v>4.0199999999999996</v>
      </c>
      <c r="F1983" s="7" t="str" cm="1">
        <f t="array" ref="F1983">_xlfn.IFS(Healthcare!$E1983&lt;5.7,"normal",Healthcare!$E1983&lt;=6.4,"prediabetes",Healthcare!$E1983&gt;=6.5,"diabetes")</f>
        <v>normal</v>
      </c>
      <c r="G1983" s="7" t="s">
        <v>20</v>
      </c>
      <c r="H1983" s="7" t="s">
        <v>19</v>
      </c>
      <c r="I1983" s="7" t="s">
        <v>19</v>
      </c>
      <c r="J1983" s="7">
        <v>1</v>
      </c>
      <c r="K1983" s="7" t="s">
        <v>19</v>
      </c>
      <c r="L1983" s="7" t="str">
        <f>VLOOKUP(Healthcare!$A1983,hospital_details,2,0)</f>
        <v>23-Jun-1995</v>
      </c>
      <c r="M1983" s="7">
        <f t="shared" ref="M1983:M2046" ca="1" si="11883">VLOOKUP(A1983,hospital_details,3,0)</f>
        <v>31</v>
      </c>
      <c r="N1983" s="7">
        <f t="shared" ref="N1983:N2046" si="11884">VLOOKUP($A1983,hospital_details,4,0)</f>
        <v>0</v>
      </c>
      <c r="O1983" s="8">
        <f t="shared" ref="O1983:O2046" si="11885">VLOOKUP($A1983,hospital_details,5,0)</f>
        <v>3353.47</v>
      </c>
      <c r="P1983" s="7" t="str">
        <f t="shared" ref="P1983:P2046" si="11886">VLOOKUP($A1983,hospital_details,6,0)</f>
        <v>tier - 2</v>
      </c>
      <c r="Q1983" s="7" t="str">
        <f t="shared" ref="Q1983:Q2046" si="11887">VLOOKUP($A1983,hospital_details,7,0)</f>
        <v>tier - 3</v>
      </c>
      <c r="R1983" s="7" t="str">
        <f t="shared" ref="R1983:R2046" si="11888">VLOOKUP($A1983,hospital_details,8,0)</f>
        <v>R1012</v>
      </c>
    </row>
    <row r="1984" spans="1:18" ht="14.4" customHeight="1" x14ac:dyDescent="0.3">
      <c r="A1984" s="5" t="s">
        <v>2004</v>
      </c>
      <c r="B1984" s="5" t="str">
        <f>VLOOKUP($A1984,[1]!Customer_Names[#Data],3,0)</f>
        <v xml:space="preserve">  Holly A</v>
      </c>
      <c r="C1984" s="5">
        <v>25.9</v>
      </c>
      <c r="D1984" s="5" t="str" cm="1">
        <f t="array" ref="D1984">_xlfn.IFS(Healthcare!$C1984&lt;18.5,"under weight",Healthcare!$C1984&lt;=24.9,"Normal Weight",Healthcare!$C1984&gt;=25,"overweight",Healthcare!$C1984&gt;=30,"obese")</f>
        <v>overweight</v>
      </c>
      <c r="E1984" s="5">
        <v>5.12</v>
      </c>
      <c r="F1984" s="5" t="str" cm="1">
        <f t="array" ref="F1984">_xlfn.IFS(Healthcare!$E1984&lt;5.7,"normal",Healthcare!$E1984&lt;=6.4,"prediabetes",Healthcare!$E1984&gt;=6.5,"diabetes")</f>
        <v>normal</v>
      </c>
      <c r="G1984" s="5" t="s">
        <v>19</v>
      </c>
      <c r="H1984" s="5" t="s">
        <v>19</v>
      </c>
      <c r="I1984" s="5" t="s">
        <v>29</v>
      </c>
      <c r="J1984" s="5">
        <v>1</v>
      </c>
      <c r="K1984" s="5" t="s">
        <v>19</v>
      </c>
      <c r="L1984" s="5" t="str">
        <f>VLOOKUP(Healthcare!$A1984,hospital_details,2,0)</f>
        <v>28-Oct-1993</v>
      </c>
      <c r="M1984" s="5">
        <f t="shared" ref="M1984:M2047" ca="1" si="11889">VLOOKUP(A1984,hospital_details,3,0)</f>
        <v>32</v>
      </c>
      <c r="N1984" s="5">
        <f t="shared" ref="N1984:N2047" si="11890">VLOOKUP($A1984,hospital_details,4,0)</f>
        <v>0</v>
      </c>
      <c r="O1984" s="6">
        <f t="shared" ref="O1984:O2047" si="11891">VLOOKUP($A1984,hospital_details,5,0)</f>
        <v>3353.28</v>
      </c>
      <c r="P1984" s="5" t="str">
        <f t="shared" ref="P1984:P2047" si="11892">VLOOKUP($A1984,hospital_details,6,0)</f>
        <v>tier - 2</v>
      </c>
      <c r="Q1984" s="5" t="str">
        <f t="shared" ref="Q1984:Q2047" si="11893">VLOOKUP($A1984,hospital_details,7,0)</f>
        <v>tier - 1</v>
      </c>
      <c r="R1984" s="5" t="str">
        <f t="shared" ref="R1984:R2047" si="11894">VLOOKUP($A1984,hospital_details,8,0)</f>
        <v>R1011</v>
      </c>
    </row>
    <row r="1985" spans="1:18" ht="14.4" customHeight="1" x14ac:dyDescent="0.3">
      <c r="A1985" s="7" t="s">
        <v>2005</v>
      </c>
      <c r="B1985" s="7" t="str">
        <f>VLOOKUP($A1985,[1]!Customer_Names[#Data],3,0)</f>
        <v xml:space="preserve">  Ping</v>
      </c>
      <c r="C1985" s="7">
        <v>20.81</v>
      </c>
      <c r="D1985" s="7" t="str" cm="1">
        <f t="array" ref="D1985">_xlfn.IFS(Healthcare!$C1985&lt;18.5,"under weight",Healthcare!$C1985&lt;=24.9,"Normal Weight",Healthcare!$C1985&gt;=25,"overweight",Healthcare!$C1985&gt;=30,"obese")</f>
        <v>Normal Weight</v>
      </c>
      <c r="E1985" s="7">
        <v>5.52</v>
      </c>
      <c r="F1985" s="7" t="str" cm="1">
        <f t="array" ref="F1985">_xlfn.IFS(Healthcare!$E1985&lt;5.7,"normal",Healthcare!$E1985&lt;=6.4,"prediabetes",Healthcare!$E1985&gt;=6.5,"diabetes")</f>
        <v>normal</v>
      </c>
      <c r="G1985" s="7" t="s">
        <v>19</v>
      </c>
      <c r="H1985" s="7" t="s">
        <v>19</v>
      </c>
      <c r="I1985" s="7" t="s">
        <v>19</v>
      </c>
      <c r="J1985" s="7">
        <v>0</v>
      </c>
      <c r="K1985" s="7" t="s">
        <v>19</v>
      </c>
      <c r="L1985" s="7" t="str">
        <f>VLOOKUP(Healthcare!$A1985,hospital_details,2,0)</f>
        <v>1-Sep-1991</v>
      </c>
      <c r="M1985" s="7">
        <f t="shared" ref="M1985:M2048" ca="1" si="11895">VLOOKUP(A1985,hospital_details,3,0)</f>
        <v>35</v>
      </c>
      <c r="N1985" s="7">
        <f t="shared" ref="N1985:N2048" si="11896">VLOOKUP($A1985,hospital_details,4,0)</f>
        <v>3</v>
      </c>
      <c r="O1985" s="8">
        <f t="shared" ref="O1985:O2048" si="11897">VLOOKUP($A1985,hospital_details,5,0)</f>
        <v>3342.79</v>
      </c>
      <c r="P1985" s="7" t="str">
        <f t="shared" ref="P1985:P2048" si="11898">VLOOKUP($A1985,hospital_details,6,0)</f>
        <v>tier - 2</v>
      </c>
      <c r="Q1985" s="7" t="str">
        <f t="shared" ref="Q1985:Q2048" si="11899">VLOOKUP($A1985,hospital_details,7,0)</f>
        <v>tier - 1</v>
      </c>
      <c r="R1985" s="7" t="str">
        <f t="shared" ref="R1985:R2048" si="11900">VLOOKUP($A1985,hospital_details,8,0)</f>
        <v>R1013</v>
      </c>
    </row>
    <row r="1986" spans="1:18" ht="14.4" customHeight="1" x14ac:dyDescent="0.3">
      <c r="A1986" s="5" t="s">
        <v>2006</v>
      </c>
      <c r="B1986" s="5" t="str">
        <f>VLOOKUP($A1986,[1]!Customer_Names[#Data],3,0)</f>
        <v xml:space="preserve">  Tim</v>
      </c>
      <c r="C1986" s="5">
        <v>25.84</v>
      </c>
      <c r="D1986" s="5" t="str" cm="1">
        <f t="array" ref="D1986">_xlfn.IFS(Healthcare!$C1986&lt;18.5,"under weight",Healthcare!$C1986&lt;=24.9,"Normal Weight",Healthcare!$C1986&gt;=25,"overweight",Healthcare!$C1986&gt;=30,"obese")</f>
        <v>overweight</v>
      </c>
      <c r="E1986" s="5">
        <v>5.81</v>
      </c>
      <c r="F1986" s="5" t="str" cm="1">
        <f t="array" ref="F1986">_xlfn.IFS(Healthcare!$E1986&lt;5.7,"normal",Healthcare!$E1986&lt;=6.4,"prediabetes",Healthcare!$E1986&gt;=6.5,"diabetes")</f>
        <v>prediabetes</v>
      </c>
      <c r="G1986" s="5" t="s">
        <v>20</v>
      </c>
      <c r="H1986" s="5" t="s">
        <v>19</v>
      </c>
      <c r="I1986" s="5" t="s">
        <v>29</v>
      </c>
      <c r="J1986" s="5">
        <v>1</v>
      </c>
      <c r="K1986" s="5" t="s">
        <v>19</v>
      </c>
      <c r="L1986" s="5" t="str">
        <f>VLOOKUP(Healthcare!$A1986,hospital_details,2,0)</f>
        <v>20-Jun-1997</v>
      </c>
      <c r="M1986" s="5">
        <f t="shared" ref="M1986:M2049" ca="1" si="11901">VLOOKUP(A1986,hospital_details,3,0)</f>
        <v>29</v>
      </c>
      <c r="N1986" s="5">
        <f t="shared" ref="N1986:N2049" si="11902">VLOOKUP($A1986,hospital_details,4,0)</f>
        <v>1</v>
      </c>
      <c r="O1986" s="6">
        <f t="shared" ref="O1986:O2049" si="11903">VLOOKUP($A1986,hospital_details,5,0)</f>
        <v>3309.79</v>
      </c>
      <c r="P1986" s="5" t="str">
        <f t="shared" ref="P1986:P2049" si="11904">VLOOKUP($A1986,hospital_details,6,0)</f>
        <v>tier - 3</v>
      </c>
      <c r="Q1986" s="5" t="str">
        <f t="shared" ref="Q1986:Q2049" si="11905">VLOOKUP($A1986,hospital_details,7,0)</f>
        <v>tier - 3</v>
      </c>
      <c r="R1986" s="5" t="str">
        <f t="shared" ref="R1986:R2049" si="11906">VLOOKUP($A1986,hospital_details,8,0)</f>
        <v>R1017</v>
      </c>
    </row>
    <row r="1987" spans="1:18" ht="14.4" customHeight="1" x14ac:dyDescent="0.3">
      <c r="A1987" s="7" t="s">
        <v>2007</v>
      </c>
      <c r="B1987" s="7" t="str">
        <f>VLOOKUP($A1987,[1]!Customer_Names[#Data],3,0)</f>
        <v xml:space="preserve">  John</v>
      </c>
      <c r="C1987" s="7">
        <v>30.95</v>
      </c>
      <c r="D1987" s="7" t="str" cm="1">
        <f t="array" ref="D1987">_xlfn.IFS(Healthcare!$C1987&lt;18.5,"under weight",Healthcare!$C1987&lt;=24.9,"Normal Weight",Healthcare!$C1987&gt;=25,"overweight",Healthcare!$C1987&gt;=30,"obese")</f>
        <v>overweight</v>
      </c>
      <c r="E1987" s="7">
        <v>5.16</v>
      </c>
      <c r="F1987" s="7" t="str" cm="1">
        <f t="array" ref="F1987">_xlfn.IFS(Healthcare!$E1987&lt;5.7,"normal",Healthcare!$E1987&lt;=6.4,"prediabetes",Healthcare!$E1987&gt;=6.5,"diabetes")</f>
        <v>normal</v>
      </c>
      <c r="G1987" s="7" t="s">
        <v>19</v>
      </c>
      <c r="H1987" s="7" t="s">
        <v>19</v>
      </c>
      <c r="I1987" s="7" t="s">
        <v>29</v>
      </c>
      <c r="J1987" s="7">
        <v>1</v>
      </c>
      <c r="K1987" s="7" t="s">
        <v>19</v>
      </c>
      <c r="L1987" s="7" t="str">
        <f>VLOOKUP(Healthcare!$A1987,hospital_details,2,0)</f>
        <v>18-Nov-2003</v>
      </c>
      <c r="M1987" s="7">
        <f t="shared" ref="M1987:M2050" ca="1" si="11907">VLOOKUP(A1987,hospital_details,3,0)</f>
        <v>22</v>
      </c>
      <c r="N1987" s="7">
        <f t="shared" ref="N1987:N2050" si="11908">VLOOKUP($A1987,hospital_details,4,0)</f>
        <v>0</v>
      </c>
      <c r="O1987" s="8">
        <f t="shared" ref="O1987:O2050" si="11909">VLOOKUP($A1987,hospital_details,5,0)</f>
        <v>3308.46</v>
      </c>
      <c r="P1987" s="7" t="str">
        <f t="shared" ref="P1987:P2050" si="11910">VLOOKUP($A1987,hospital_details,6,0)</f>
        <v>tier - 2</v>
      </c>
      <c r="Q1987" s="7" t="str">
        <f t="shared" ref="Q1987:Q2050" si="11911">VLOOKUP($A1987,hospital_details,7,0)</f>
        <v>tier - 1</v>
      </c>
      <c r="R1987" s="7" t="str">
        <f t="shared" ref="R1987:R2050" si="11912">VLOOKUP($A1987,hospital_details,8,0)</f>
        <v>R1021</v>
      </c>
    </row>
    <row r="1988" spans="1:18" ht="14.4" customHeight="1" x14ac:dyDescent="0.3">
      <c r="A1988" s="5" t="s">
        <v>2008</v>
      </c>
      <c r="B1988" s="5" t="str">
        <f>VLOOKUP($A1988,[1]!Customer_Names[#Data],3,0)</f>
        <v xml:space="preserve">  Cynthia</v>
      </c>
      <c r="C1988" s="5">
        <v>30.54</v>
      </c>
      <c r="D1988" s="5" t="str" cm="1">
        <f t="array" ref="D1988">_xlfn.IFS(Healthcare!$C1988&lt;18.5,"under weight",Healthcare!$C1988&lt;=24.9,"Normal Weight",Healthcare!$C1988&gt;=25,"overweight",Healthcare!$C1988&gt;=30,"obese")</f>
        <v>overweight</v>
      </c>
      <c r="E1988" s="5">
        <v>5</v>
      </c>
      <c r="F1988" s="5" t="str" cm="1">
        <f t="array" ref="F1988">_xlfn.IFS(Healthcare!$E1988&lt;5.7,"normal",Healthcare!$E1988&lt;=6.4,"prediabetes",Healthcare!$E1988&gt;=6.5,"diabetes")</f>
        <v>normal</v>
      </c>
      <c r="G1988" s="5" t="s">
        <v>19</v>
      </c>
      <c r="H1988" s="5" t="s">
        <v>19</v>
      </c>
      <c r="I1988" s="5" t="s">
        <v>29</v>
      </c>
      <c r="J1988" s="5">
        <v>1</v>
      </c>
      <c r="K1988" s="5" t="s">
        <v>19</v>
      </c>
      <c r="L1988" s="5" t="str">
        <f>VLOOKUP(Healthcare!$A1988,hospital_details,2,0)</f>
        <v>5-Dec-2003</v>
      </c>
      <c r="M1988" s="5">
        <f t="shared" ref="M1988:M2051" ca="1" si="11913">VLOOKUP(A1988,hospital_details,3,0)</f>
        <v>22</v>
      </c>
      <c r="N1988" s="5">
        <f t="shared" ref="N1988:N2051" si="11914">VLOOKUP($A1988,hospital_details,4,0)</f>
        <v>0</v>
      </c>
      <c r="O1988" s="6">
        <f t="shared" ref="O1988:O2051" si="11915">VLOOKUP($A1988,hospital_details,5,0)</f>
        <v>3300.7</v>
      </c>
      <c r="P1988" s="5" t="str">
        <f t="shared" ref="P1988:P2051" si="11916">VLOOKUP($A1988,hospital_details,6,0)</f>
        <v>tier - 2</v>
      </c>
      <c r="Q1988" s="5" t="str">
        <f t="shared" ref="Q1988:Q2051" si="11917">VLOOKUP($A1988,hospital_details,7,0)</f>
        <v>tier - 2</v>
      </c>
      <c r="R1988" s="5" t="str">
        <f t="shared" ref="R1988:R2051" si="11918">VLOOKUP($A1988,hospital_details,8,0)</f>
        <v>R1025</v>
      </c>
    </row>
    <row r="1989" spans="1:18" ht="14.4" customHeight="1" x14ac:dyDescent="0.3">
      <c r="A1989" s="7" t="s">
        <v>2009</v>
      </c>
      <c r="B1989" s="7" t="str">
        <f>VLOOKUP($A1989,[1]!Customer_Names[#Data],3,0)</f>
        <v xml:space="preserve">  Emmett</v>
      </c>
      <c r="C1989" s="7">
        <v>33.914999999999999</v>
      </c>
      <c r="D1989" s="7" t="str" cm="1">
        <f t="array" ref="D1989">_xlfn.IFS(Healthcare!$C1989&lt;18.5,"under weight",Healthcare!$C1989&lt;=24.9,"Normal Weight",Healthcare!$C1989&gt;=25,"overweight",Healthcare!$C1989&gt;=30,"obese")</f>
        <v>overweight</v>
      </c>
      <c r="E1989" s="7">
        <v>5.84</v>
      </c>
      <c r="F1989" s="7" t="str" cm="1">
        <f t="array" ref="F1989">_xlfn.IFS(Healthcare!$E1989&lt;5.7,"normal",Healthcare!$E1989&lt;=6.4,"prediabetes",Healthcare!$E1989&gt;=6.5,"diabetes")</f>
        <v>prediabetes</v>
      </c>
      <c r="G1989" s="7" t="s">
        <v>20</v>
      </c>
      <c r="H1989" s="7" t="s">
        <v>19</v>
      </c>
      <c r="I1989" s="7" t="s">
        <v>19</v>
      </c>
      <c r="J1989" s="7">
        <v>0</v>
      </c>
      <c r="K1989" s="7" t="s">
        <v>19</v>
      </c>
      <c r="L1989" s="7" t="str">
        <f>VLOOKUP(Healthcare!$A1989,hospital_details,2,0)</f>
        <v>17-Nov-1996</v>
      </c>
      <c r="M1989" s="7">
        <f t="shared" ref="M1989:M2052" ca="1" si="11919">VLOOKUP(A1989,hospital_details,3,0)</f>
        <v>29</v>
      </c>
      <c r="N1989" s="7">
        <f t="shared" ref="N1989:N2052" si="11920">VLOOKUP($A1989,hospital_details,4,0)</f>
        <v>1</v>
      </c>
      <c r="O1989" s="8">
        <f t="shared" ref="O1989:O2052" si="11921">VLOOKUP($A1989,hospital_details,5,0)</f>
        <v>3292.53</v>
      </c>
      <c r="P1989" s="7" t="str">
        <f t="shared" ref="P1989:P2052" si="11922">VLOOKUP($A1989,hospital_details,6,0)</f>
        <v>tier - 2</v>
      </c>
      <c r="Q1989" s="7" t="str">
        <f t="shared" ref="Q1989:Q2052" si="11923">VLOOKUP($A1989,hospital_details,7,0)</f>
        <v>tier - 2</v>
      </c>
      <c r="R1989" s="7" t="str">
        <f t="shared" ref="R1989:R2052" si="11924">VLOOKUP($A1989,hospital_details,8,0)</f>
        <v>R1012</v>
      </c>
    </row>
    <row r="1990" spans="1:18" ht="14.4" customHeight="1" x14ac:dyDescent="0.3">
      <c r="A1990" s="5" t="s">
        <v>2010</v>
      </c>
      <c r="B1990" s="5" t="str">
        <f>VLOOKUP($A1990,[1]!Customer_Names[#Data],3,0)</f>
        <v xml:space="preserve">  Kate</v>
      </c>
      <c r="C1990" s="5">
        <v>33.31</v>
      </c>
      <c r="D1990" s="5" t="str" cm="1">
        <f t="array" ref="D1990">_xlfn.IFS(Healthcare!$C1990&lt;18.5,"under weight",Healthcare!$C1990&lt;=24.9,"Normal Weight",Healthcare!$C1990&gt;=25,"overweight",Healthcare!$C1990&gt;=30,"obese")</f>
        <v>overweight</v>
      </c>
      <c r="E1990" s="5">
        <v>4.1900000000000004</v>
      </c>
      <c r="F1990" s="5" t="str" cm="1">
        <f t="array" ref="F1990">_xlfn.IFS(Healthcare!$E1990&lt;5.7,"normal",Healthcare!$E1990&lt;=6.4,"prediabetes",Healthcare!$E1990&gt;=6.5,"diabetes")</f>
        <v>normal</v>
      </c>
      <c r="G1990" s="5" t="s">
        <v>19</v>
      </c>
      <c r="H1990" s="5" t="s">
        <v>19</v>
      </c>
      <c r="I1990" s="5" t="s">
        <v>29</v>
      </c>
      <c r="J1990" s="5">
        <v>1</v>
      </c>
      <c r="K1990" s="5" t="s">
        <v>19</v>
      </c>
      <c r="L1990" s="5" t="str">
        <f>VLOOKUP(Healthcare!$A1990,hospital_details,2,0)</f>
        <v>3-Jul-2003</v>
      </c>
      <c r="M1990" s="5">
        <f t="shared" ref="M1990:M2053" ca="1" si="11925">VLOOKUP(A1990,hospital_details,3,0)</f>
        <v>23</v>
      </c>
      <c r="N1990" s="5">
        <f t="shared" ref="N1990:N2053" si="11926">VLOOKUP($A1990,hospital_details,4,0)</f>
        <v>0</v>
      </c>
      <c r="O1990" s="6">
        <f t="shared" ref="O1990:O2053" si="11927">VLOOKUP($A1990,hospital_details,5,0)</f>
        <v>3280.22</v>
      </c>
      <c r="P1990" s="5" t="str">
        <f t="shared" ref="P1990:P2053" si="11928">VLOOKUP($A1990,hospital_details,6,0)</f>
        <v>tier - 2</v>
      </c>
      <c r="Q1990" s="5" t="str">
        <f t="shared" ref="Q1990:Q2053" si="11929">VLOOKUP($A1990,hospital_details,7,0)</f>
        <v>tier - 3</v>
      </c>
      <c r="R1990" s="5" t="str">
        <f t="shared" ref="R1990:R2053" si="11930">VLOOKUP($A1990,hospital_details,8,0)</f>
        <v>R1011</v>
      </c>
    </row>
    <row r="1991" spans="1:18" ht="14.4" customHeight="1" x14ac:dyDescent="0.3">
      <c r="A1991" s="7" t="s">
        <v>2011</v>
      </c>
      <c r="B1991" s="7" t="str">
        <f>VLOOKUP($A1991,[1]!Customer_Names[#Data],3,0)</f>
        <v xml:space="preserve">  Christopher L</v>
      </c>
      <c r="C1991" s="7">
        <v>25.745000000000001</v>
      </c>
      <c r="D1991" s="7" t="str" cm="1">
        <f t="array" ref="D1991">_xlfn.IFS(Healthcare!$C1991&lt;18.5,"under weight",Healthcare!$C1991&lt;=24.9,"Normal Weight",Healthcare!$C1991&gt;=25,"overweight",Healthcare!$C1991&gt;=30,"obese")</f>
        <v>overweight</v>
      </c>
      <c r="E1991" s="7">
        <v>4.62</v>
      </c>
      <c r="F1991" s="7" t="str" cm="1">
        <f t="array" ref="F1991">_xlfn.IFS(Healthcare!$E1991&lt;5.7,"normal",Healthcare!$E1991&lt;=6.4,"prediabetes",Healthcare!$E1991&gt;=6.5,"diabetes")</f>
        <v>normal</v>
      </c>
      <c r="G1991" s="7" t="s">
        <v>20</v>
      </c>
      <c r="H1991" s="7" t="s">
        <v>19</v>
      </c>
      <c r="I1991" s="7" t="s">
        <v>19</v>
      </c>
      <c r="J1991" s="7">
        <v>0</v>
      </c>
      <c r="K1991" s="7" t="s">
        <v>19</v>
      </c>
      <c r="L1991" s="7" t="str">
        <f>VLOOKUP(Healthcare!$A1991,hospital_details,2,0)</f>
        <v>6-Oct-2001</v>
      </c>
      <c r="M1991" s="7">
        <f t="shared" ref="M1991:M2054" ca="1" si="11931">VLOOKUP(A1991,hospital_details,3,0)</f>
        <v>25</v>
      </c>
      <c r="N1991" s="7">
        <f t="shared" ref="N1991:N2054" si="11932">VLOOKUP($A1991,hospital_details,4,0)</f>
        <v>2</v>
      </c>
      <c r="O1991" s="8">
        <f t="shared" ref="O1991:O2054" si="11933">VLOOKUP($A1991,hospital_details,5,0)</f>
        <v>3279.87</v>
      </c>
      <c r="P1991" s="7" t="str">
        <f t="shared" ref="P1991:P2054" si="11934">VLOOKUP($A1991,hospital_details,6,0)</f>
        <v>tier - 2</v>
      </c>
      <c r="Q1991" s="7" t="str">
        <f t="shared" ref="Q1991:Q2054" si="11935">VLOOKUP($A1991,hospital_details,7,0)</f>
        <v>tier - 1</v>
      </c>
      <c r="R1991" s="7" t="str">
        <f t="shared" ref="R1991:R2054" si="11936">VLOOKUP($A1991,hospital_details,8,0)</f>
        <v>R1017</v>
      </c>
    </row>
    <row r="1992" spans="1:18" ht="14.4" customHeight="1" x14ac:dyDescent="0.3">
      <c r="A1992" s="5" t="s">
        <v>2012</v>
      </c>
      <c r="B1992" s="5" t="str">
        <f>VLOOKUP($A1992,[1]!Customer_Names[#Data],3,0)</f>
        <v xml:space="preserve">  Christopher P</v>
      </c>
      <c r="C1992" s="5">
        <v>37.1</v>
      </c>
      <c r="D1992" s="5" t="str" cm="1">
        <f t="array" ref="D1992">_xlfn.IFS(Healthcare!$C1992&lt;18.5,"under weight",Healthcare!$C1992&lt;=24.9,"Normal Weight",Healthcare!$C1992&gt;=25,"overweight",Healthcare!$C1992&gt;=30,"obese")</f>
        <v>overweight</v>
      </c>
      <c r="E1992" s="5">
        <v>6.24</v>
      </c>
      <c r="F1992" s="5" t="str" cm="1">
        <f t="array" ref="F1992">_xlfn.IFS(Healthcare!$E1992&lt;5.7,"normal",Healthcare!$E1992&lt;=6.4,"prediabetes",Healthcare!$E1992&gt;=6.5,"diabetes")</f>
        <v>prediabetes</v>
      </c>
      <c r="G1992" s="5" t="s">
        <v>19</v>
      </c>
      <c r="H1992" s="5" t="s">
        <v>19</v>
      </c>
      <c r="I1992" s="5" t="s">
        <v>19</v>
      </c>
      <c r="J1992" s="5">
        <v>0</v>
      </c>
      <c r="K1992" s="5" t="s">
        <v>19</v>
      </c>
      <c r="L1992" s="5" t="str">
        <f>VLOOKUP(Healthcare!$A1992,hospital_details,2,0)</f>
        <v>1-Jul-1994</v>
      </c>
      <c r="M1992" s="5">
        <f t="shared" ref="M1992:M2055" ca="1" si="11937">VLOOKUP(A1992,hospital_details,3,0)</f>
        <v>32</v>
      </c>
      <c r="N1992" s="5">
        <f t="shared" ref="N1992:N2055" si="11938">VLOOKUP($A1992,hospital_details,4,0)</f>
        <v>1</v>
      </c>
      <c r="O1992" s="6">
        <f t="shared" ref="O1992:O2055" si="11939">VLOOKUP($A1992,hospital_details,5,0)</f>
        <v>3277.16</v>
      </c>
      <c r="P1992" s="5" t="str">
        <f t="shared" ref="P1992:P2055" si="11940">VLOOKUP($A1992,hospital_details,6,0)</f>
        <v>tier - 2</v>
      </c>
      <c r="Q1992" s="5" t="str">
        <f t="shared" ref="Q1992:Q2055" si="11941">VLOOKUP($A1992,hospital_details,7,0)</f>
        <v>tier - 3</v>
      </c>
      <c r="R1992" s="5" t="str">
        <f t="shared" ref="R1992:R2055" si="11942">VLOOKUP($A1992,hospital_details,8,0)</f>
        <v>R1011</v>
      </c>
    </row>
    <row r="1993" spans="1:18" ht="14.4" customHeight="1" x14ac:dyDescent="0.3">
      <c r="A1993" s="7" t="s">
        <v>2013</v>
      </c>
      <c r="B1993" s="7" t="str">
        <f>VLOOKUP($A1993,[1]!Customer_Names[#Data],3,0)</f>
        <v xml:space="preserve">  Christopher W</v>
      </c>
      <c r="C1993" s="7">
        <v>35.435000000000002</v>
      </c>
      <c r="D1993" s="7" t="str" cm="1">
        <f t="array" ref="D1993">_xlfn.IFS(Healthcare!$C1993&lt;18.5,"under weight",Healthcare!$C1993&lt;=24.9,"Normal Weight",Healthcare!$C1993&gt;=25,"overweight",Healthcare!$C1993&gt;=30,"obese")</f>
        <v>overweight</v>
      </c>
      <c r="E1993" s="7">
        <v>5.81</v>
      </c>
      <c r="F1993" s="7" t="str" cm="1">
        <f t="array" ref="F1993">_xlfn.IFS(Healthcare!$E1993&lt;5.7,"normal",Healthcare!$E1993&lt;=6.4,"prediabetes",Healthcare!$E1993&gt;=6.5,"diabetes")</f>
        <v>prediabetes</v>
      </c>
      <c r="G1993" s="7" t="s">
        <v>19</v>
      </c>
      <c r="H1993" s="7" t="s">
        <v>19</v>
      </c>
      <c r="I1993" s="7" t="s">
        <v>19</v>
      </c>
      <c r="J1993" s="7">
        <v>0</v>
      </c>
      <c r="K1993" s="7" t="s">
        <v>19</v>
      </c>
      <c r="L1993" s="7" t="str">
        <f>VLOOKUP(Healthcare!$A1993,hospital_details,2,0)</f>
        <v>2-Dec-1994</v>
      </c>
      <c r="M1993" s="7">
        <f t="shared" ref="M1993:M2056" ca="1" si="11943">VLOOKUP(A1993,hospital_details,3,0)</f>
        <v>31</v>
      </c>
      <c r="N1993" s="7">
        <f t="shared" ref="N1993:N2056" si="11944">VLOOKUP($A1993,hospital_details,4,0)</f>
        <v>0</v>
      </c>
      <c r="O1993" s="8">
        <f t="shared" ref="O1993:O2056" si="11945">VLOOKUP($A1993,hospital_details,5,0)</f>
        <v>3268.85</v>
      </c>
      <c r="P1993" s="7" t="str">
        <f t="shared" ref="P1993:P2056" si="11946">VLOOKUP($A1993,hospital_details,6,0)</f>
        <v>tier - 3</v>
      </c>
      <c r="Q1993" s="7" t="str">
        <f t="shared" ref="Q1993:Q2056" si="11947">VLOOKUP($A1993,hospital_details,7,0)</f>
        <v>tier - 1</v>
      </c>
      <c r="R1993" s="7" t="str">
        <f t="shared" ref="R1993:R2056" si="11948">VLOOKUP($A1993,hospital_details,8,0)</f>
        <v>R1016</v>
      </c>
    </row>
    <row r="1994" spans="1:18" ht="14.4" customHeight="1" x14ac:dyDescent="0.3">
      <c r="A1994" s="5" t="s">
        <v>2014</v>
      </c>
      <c r="B1994" s="5" t="str">
        <f>VLOOKUP($A1994,[1]!Customer_Names[#Data],3,0)</f>
        <v xml:space="preserve">  Norman H</v>
      </c>
      <c r="C1994" s="5">
        <v>20.399999999999999</v>
      </c>
      <c r="D1994" s="5" t="str" cm="1">
        <f t="array" ref="D1994">_xlfn.IFS(Healthcare!$C1994&lt;18.5,"under weight",Healthcare!$C1994&lt;=24.9,"Normal Weight",Healthcare!$C1994&gt;=25,"overweight",Healthcare!$C1994&gt;=30,"obese")</f>
        <v>Normal Weight</v>
      </c>
      <c r="E1994" s="5">
        <v>4.83</v>
      </c>
      <c r="F1994" s="5" t="str" cm="1">
        <f t="array" ref="F1994">_xlfn.IFS(Healthcare!$E1994&lt;5.7,"normal",Healthcare!$E1994&lt;=6.4,"prediabetes",Healthcare!$E1994&gt;=6.5,"diabetes")</f>
        <v>normal</v>
      </c>
      <c r="G1994" s="5" t="s">
        <v>19</v>
      </c>
      <c r="H1994" s="5" t="s">
        <v>19</v>
      </c>
      <c r="I1994" s="5" t="s">
        <v>19</v>
      </c>
      <c r="J1994" s="5">
        <v>0</v>
      </c>
      <c r="K1994" s="5" t="s">
        <v>19</v>
      </c>
      <c r="L1994" s="5" t="str">
        <f>VLOOKUP(Healthcare!$A1994,hospital_details,2,0)</f>
        <v>13-Nov-1991</v>
      </c>
      <c r="M1994" s="5">
        <f t="shared" ref="M1994:M2057" ca="1" si="11949">VLOOKUP(A1994,hospital_details,3,0)</f>
        <v>34</v>
      </c>
      <c r="N1994" s="5">
        <f t="shared" ref="N1994:N2057" si="11950">VLOOKUP($A1994,hospital_details,4,0)</f>
        <v>0</v>
      </c>
      <c r="O1994" s="6">
        <f t="shared" ref="O1994:O2057" si="11951">VLOOKUP($A1994,hospital_details,5,0)</f>
        <v>3260.2</v>
      </c>
      <c r="P1994" s="5" t="str">
        <f t="shared" ref="P1994:P2057" si="11952">VLOOKUP($A1994,hospital_details,6,0)</f>
        <v>tier - 3</v>
      </c>
      <c r="Q1994" s="5" t="str">
        <f t="shared" ref="Q1994:Q2057" si="11953">VLOOKUP($A1994,hospital_details,7,0)</f>
        <v>tier - 2</v>
      </c>
      <c r="R1994" s="5" t="str">
        <f t="shared" ref="R1994:R2057" si="11954">VLOOKUP($A1994,hospital_details,8,0)</f>
        <v>R1011</v>
      </c>
    </row>
    <row r="1995" spans="1:18" ht="14.4" customHeight="1" x14ac:dyDescent="0.3">
      <c r="A1995" s="7" t="s">
        <v>2015</v>
      </c>
      <c r="B1995" s="7" t="str">
        <f>VLOOKUP($A1995,[1]!Customer_Names[#Data],3,0)</f>
        <v xml:space="preserve">  Susan</v>
      </c>
      <c r="C1995" s="7">
        <v>42.13</v>
      </c>
      <c r="D1995" s="7" t="str" cm="1">
        <f t="array" ref="D1995">_xlfn.IFS(Healthcare!$C1995&lt;18.5,"under weight",Healthcare!$C1995&lt;=24.9,"Normal Weight",Healthcare!$C1995&gt;=25,"overweight",Healthcare!$C1995&gt;=30,"obese")</f>
        <v>overweight</v>
      </c>
      <c r="E1995" s="7">
        <v>5.72</v>
      </c>
      <c r="F1995" s="7" t="str" cm="1">
        <f t="array" ref="F1995">_xlfn.IFS(Healthcare!$E1995&lt;5.7,"normal",Healthcare!$E1995&lt;=6.4,"prediabetes",Healthcare!$E1995&gt;=6.5,"diabetes")</f>
        <v>prediabetes</v>
      </c>
      <c r="G1995" s="7" t="s">
        <v>20</v>
      </c>
      <c r="H1995" s="7" t="s">
        <v>19</v>
      </c>
      <c r="I1995" s="7" t="s">
        <v>29</v>
      </c>
      <c r="J1995" s="7">
        <v>1</v>
      </c>
      <c r="K1995" s="7" t="s">
        <v>19</v>
      </c>
      <c r="L1995" s="7" t="str">
        <f>VLOOKUP(Healthcare!$A1995,hospital_details,2,0)</f>
        <v>2-Sep-1997</v>
      </c>
      <c r="M1995" s="7">
        <f t="shared" ref="M1995:M2058" ca="1" si="11955">VLOOKUP(A1995,hospital_details,3,0)</f>
        <v>29</v>
      </c>
      <c r="N1995" s="7">
        <f t="shared" ref="N1995:N2058" si="11956">VLOOKUP($A1995,hospital_details,4,0)</f>
        <v>1</v>
      </c>
      <c r="O1995" s="8">
        <f t="shared" ref="O1995:O2058" si="11957">VLOOKUP($A1995,hospital_details,5,0)</f>
        <v>3238.44</v>
      </c>
      <c r="P1995" s="7" t="str">
        <f t="shared" ref="P1995:P2058" si="11958">VLOOKUP($A1995,hospital_details,6,0)</f>
        <v>tier - 2</v>
      </c>
      <c r="Q1995" s="7" t="str">
        <f t="shared" ref="Q1995:Q2058" si="11959">VLOOKUP($A1995,hospital_details,7,0)</f>
        <v>tier - 3</v>
      </c>
      <c r="R1995" s="7" t="str">
        <f t="shared" ref="R1995:R2058" si="11960">VLOOKUP($A1995,hospital_details,8,0)</f>
        <v>R1013</v>
      </c>
    </row>
    <row r="1996" spans="1:18" ht="14.4" customHeight="1" x14ac:dyDescent="0.3">
      <c r="A1996" s="5" t="s">
        <v>2016</v>
      </c>
      <c r="B1996" s="5" t="str">
        <f>VLOOKUP($A1996,[1]!Customer_Names[#Data],3,0)</f>
        <v xml:space="preserve">  Tatyana K</v>
      </c>
      <c r="C1996" s="5">
        <v>33.99</v>
      </c>
      <c r="D1996" s="5" t="str" cm="1">
        <f t="array" ref="D1996">_xlfn.IFS(Healthcare!$C1996&lt;18.5,"under weight",Healthcare!$C1996&lt;=24.9,"Normal Weight",Healthcare!$C1996&gt;=25,"overweight",Healthcare!$C1996&gt;=30,"obese")</f>
        <v>overweight</v>
      </c>
      <c r="E1996" s="5">
        <v>4.83</v>
      </c>
      <c r="F1996" s="5" t="str" cm="1">
        <f t="array" ref="F1996">_xlfn.IFS(Healthcare!$E1996&lt;5.7,"normal",Healthcare!$E1996&lt;=6.4,"prediabetes",Healthcare!$E1996&gt;=6.5,"diabetes")</f>
        <v>normal</v>
      </c>
      <c r="G1996" s="5" t="s">
        <v>20</v>
      </c>
      <c r="H1996" s="5" t="s">
        <v>19</v>
      </c>
      <c r="I1996" s="5" t="s">
        <v>29</v>
      </c>
      <c r="J1996" s="5">
        <v>1</v>
      </c>
      <c r="K1996" s="5" t="s">
        <v>19</v>
      </c>
      <c r="L1996" s="5" t="str">
        <f>VLOOKUP(Healthcare!$A1996,hospital_details,2,0)</f>
        <v>2-Aug-1997</v>
      </c>
      <c r="M1996" s="5">
        <f t="shared" ref="M1996:M2059" ca="1" si="11961">VLOOKUP(A1996,hospital_details,3,0)</f>
        <v>29</v>
      </c>
      <c r="N1996" s="5">
        <f t="shared" ref="N1996:N2059" si="11962">VLOOKUP($A1996,hospital_details,4,0)</f>
        <v>1</v>
      </c>
      <c r="O1996" s="6">
        <f t="shared" ref="O1996:O2059" si="11963">VLOOKUP($A1996,hospital_details,5,0)</f>
        <v>3227.12</v>
      </c>
      <c r="P1996" s="5" t="str">
        <f t="shared" ref="P1996:P2059" si="11964">VLOOKUP($A1996,hospital_details,6,0)</f>
        <v>tier - 2</v>
      </c>
      <c r="Q1996" s="5" t="str">
        <f t="shared" ref="Q1996:Q2059" si="11965">VLOOKUP($A1996,hospital_details,7,0)</f>
        <v>tier - 3</v>
      </c>
      <c r="R1996" s="5" t="str">
        <f t="shared" ref="R1996:R2059" si="11966">VLOOKUP($A1996,hospital_details,8,0)</f>
        <v>R1013</v>
      </c>
    </row>
    <row r="1997" spans="1:18" ht="14.4" customHeight="1" x14ac:dyDescent="0.3">
      <c r="A1997" s="7" t="s">
        <v>2017</v>
      </c>
      <c r="B1997" s="7" t="str">
        <f>VLOOKUP($A1997,[1]!Customer_Names[#Data],3,0)</f>
        <v xml:space="preserve">  Chrissy</v>
      </c>
      <c r="C1997" s="7">
        <v>28.594999999999999</v>
      </c>
      <c r="D1997" s="7" t="str" cm="1">
        <f t="array" ref="D1997">_xlfn.IFS(Healthcare!$C1997&lt;18.5,"under weight",Healthcare!$C1997&lt;=24.9,"Normal Weight",Healthcare!$C1997&gt;=25,"overweight",Healthcare!$C1997&gt;=30,"obese")</f>
        <v>overweight</v>
      </c>
      <c r="E1997" s="7">
        <v>4.1399999999999997</v>
      </c>
      <c r="F1997" s="7" t="str" cm="1">
        <f t="array" ref="F1997">_xlfn.IFS(Healthcare!$E1997&lt;5.7,"normal",Healthcare!$E1997&lt;=6.4,"prediabetes",Healthcare!$E1997&gt;=6.5,"diabetes")</f>
        <v>normal</v>
      </c>
      <c r="G1997" s="7" t="s">
        <v>20</v>
      </c>
      <c r="H1997" s="7" t="s">
        <v>19</v>
      </c>
      <c r="I1997" s="7" t="s">
        <v>29</v>
      </c>
      <c r="J1997" s="7">
        <v>1</v>
      </c>
      <c r="K1997" s="7" t="s">
        <v>19</v>
      </c>
      <c r="L1997" s="7" t="str">
        <f>VLOOKUP(Healthcare!$A1997,hospital_details,2,0)</f>
        <v>6-Jul-1997</v>
      </c>
      <c r="M1997" s="7">
        <f t="shared" ref="M1997:M2060" ca="1" si="11967">VLOOKUP(A1997,hospital_details,3,0)</f>
        <v>29</v>
      </c>
      <c r="N1997" s="7">
        <f t="shared" ref="N1997:N2060" si="11968">VLOOKUP($A1997,hospital_details,4,0)</f>
        <v>0</v>
      </c>
      <c r="O1997" s="8">
        <f t="shared" ref="O1997:O2060" si="11969">VLOOKUP($A1997,hospital_details,5,0)</f>
        <v>3213.62</v>
      </c>
      <c r="P1997" s="7" t="str">
        <f t="shared" ref="P1997:P2060" si="11970">VLOOKUP($A1997,hospital_details,6,0)</f>
        <v>tier - 2</v>
      </c>
      <c r="Q1997" s="7" t="str">
        <f t="shared" ref="Q1997:Q2060" si="11971">VLOOKUP($A1997,hospital_details,7,0)</f>
        <v>tier - 2</v>
      </c>
      <c r="R1997" s="7" t="str">
        <f t="shared" ref="R1997:R2060" si="11972">VLOOKUP($A1997,hospital_details,8,0)</f>
        <v>R1024</v>
      </c>
    </row>
    <row r="1998" spans="1:18" ht="14.4" customHeight="1" x14ac:dyDescent="0.3">
      <c r="A1998" s="5" t="s">
        <v>2018</v>
      </c>
      <c r="B1998" s="5" t="str">
        <f>VLOOKUP($A1998,[1]!Customer_Names[#Data],3,0)</f>
        <v xml:space="preserve">  Carrie</v>
      </c>
      <c r="C1998" s="5">
        <v>20.8</v>
      </c>
      <c r="D1998" s="5" t="str" cm="1">
        <f t="array" ref="D1998">_xlfn.IFS(Healthcare!$C1998&lt;18.5,"under weight",Healthcare!$C1998&lt;=24.9,"Normal Weight",Healthcare!$C1998&gt;=25,"overweight",Healthcare!$C1998&gt;=30,"obese")</f>
        <v>Normal Weight</v>
      </c>
      <c r="E1998" s="5">
        <v>4.07</v>
      </c>
      <c r="F1998" s="5" t="str" cm="1">
        <f t="array" ref="F1998">_xlfn.IFS(Healthcare!$E1998&lt;5.7,"normal",Healthcare!$E1998&lt;=6.4,"prediabetes",Healthcare!$E1998&gt;=6.5,"diabetes")</f>
        <v>normal</v>
      </c>
      <c r="G1998" s="5" t="s">
        <v>20</v>
      </c>
      <c r="H1998" s="5" t="s">
        <v>19</v>
      </c>
      <c r="I1998" s="5" t="s">
        <v>29</v>
      </c>
      <c r="J1998" s="5">
        <v>1</v>
      </c>
      <c r="K1998" s="5" t="s">
        <v>19</v>
      </c>
      <c r="L1998" s="5" t="str">
        <f>VLOOKUP(Healthcare!$A1998,hospital_details,2,0)</f>
        <v>22-Dec-1997</v>
      </c>
      <c r="M1998" s="5">
        <f t="shared" ref="M1998:M2061" ca="1" si="11973">VLOOKUP(A1998,hospital_details,3,0)</f>
        <v>28</v>
      </c>
      <c r="N1998" s="5">
        <f t="shared" ref="N1998:N2061" si="11974">VLOOKUP($A1998,hospital_details,4,0)</f>
        <v>1</v>
      </c>
      <c r="O1998" s="6">
        <f t="shared" ref="O1998:O2061" si="11975">VLOOKUP($A1998,hospital_details,5,0)</f>
        <v>3208.79</v>
      </c>
      <c r="P1998" s="5" t="str">
        <f t="shared" ref="P1998:P2061" si="11976">VLOOKUP($A1998,hospital_details,6,0)</f>
        <v>tier - 2</v>
      </c>
      <c r="Q1998" s="5" t="str">
        <f t="shared" ref="Q1998:Q2061" si="11977">VLOOKUP($A1998,hospital_details,7,0)</f>
        <v>tier - 3</v>
      </c>
      <c r="R1998" s="5" t="str">
        <f t="shared" ref="R1998:R2061" si="11978">VLOOKUP($A1998,hospital_details,8,0)</f>
        <v>R1011</v>
      </c>
    </row>
    <row r="1999" spans="1:18" ht="14.4" customHeight="1" x14ac:dyDescent="0.3">
      <c r="A1999" s="7" t="s">
        <v>2019</v>
      </c>
      <c r="B1999" s="7" t="str">
        <f>VLOOKUP($A1999,[1]!Customer_Names[#Data],3,0)</f>
        <v xml:space="preserve">  Halle</v>
      </c>
      <c r="C1999" s="7">
        <v>23.465</v>
      </c>
      <c r="D1999" s="7" t="str" cm="1">
        <f t="array" ref="D1999">_xlfn.IFS(Healthcare!$C1999&lt;18.5,"under weight",Healthcare!$C1999&lt;=24.9,"Normal Weight",Healthcare!$C1999&gt;=25,"overweight",Healthcare!$C1999&gt;=30,"obese")</f>
        <v>Normal Weight</v>
      </c>
      <c r="E1999" s="7">
        <v>6.26</v>
      </c>
      <c r="F1999" s="7" t="str" cm="1">
        <f t="array" ref="F1999">_xlfn.IFS(Healthcare!$E1999&lt;5.7,"normal",Healthcare!$E1999&lt;=6.4,"prediabetes",Healthcare!$E1999&gt;=6.5,"diabetes")</f>
        <v>prediabetes</v>
      </c>
      <c r="G1999" s="7" t="s">
        <v>20</v>
      </c>
      <c r="H1999" s="7" t="s">
        <v>19</v>
      </c>
      <c r="I1999" s="7" t="s">
        <v>29</v>
      </c>
      <c r="J1999" s="7">
        <v>1</v>
      </c>
      <c r="K1999" s="7" t="s">
        <v>19</v>
      </c>
      <c r="L1999" s="7" t="str">
        <f>VLOOKUP(Healthcare!$A1999,hospital_details,2,0)</f>
        <v>5-Jul-1997</v>
      </c>
      <c r="M1999" s="7">
        <f t="shared" ref="M1999:M2062" ca="1" si="11979">VLOOKUP(A1999,hospital_details,3,0)</f>
        <v>29</v>
      </c>
      <c r="N1999" s="7">
        <f t="shared" ref="N1999:N2062" si="11980">VLOOKUP($A1999,hospital_details,4,0)</f>
        <v>0</v>
      </c>
      <c r="O1999" s="8">
        <f t="shared" ref="O1999:O2062" si="11981">VLOOKUP($A1999,hospital_details,5,0)</f>
        <v>3206.49</v>
      </c>
      <c r="P1999" s="7" t="str">
        <f t="shared" ref="P1999:P2062" si="11982">VLOOKUP($A1999,hospital_details,6,0)</f>
        <v>tier - 2</v>
      </c>
      <c r="Q1999" s="7" t="str">
        <f t="shared" ref="Q1999:Q2062" si="11983">VLOOKUP($A1999,hospital_details,7,0)</f>
        <v>tier - 3</v>
      </c>
      <c r="R1999" s="7" t="str">
        <f t="shared" ref="R1999:R2062" si="11984">VLOOKUP($A1999,hospital_details,8,0)</f>
        <v>R1024</v>
      </c>
    </row>
    <row r="2000" spans="1:18" ht="14.4" customHeight="1" x14ac:dyDescent="0.3">
      <c r="A2000" s="5" t="s">
        <v>2020</v>
      </c>
      <c r="B2000" s="5" t="str">
        <f>VLOOKUP($A2000,[1]!Customer_Names[#Data],3,0)</f>
        <v xml:space="preserve">  Carolyn</v>
      </c>
      <c r="C2000" s="5">
        <v>40.185000000000002</v>
      </c>
      <c r="D2000" s="5" t="str" cm="1">
        <f t="array" ref="D2000">_xlfn.IFS(Healthcare!$C2000&lt;18.5,"under weight",Healthcare!$C2000&lt;=24.9,"Normal Weight",Healthcare!$C2000&gt;=25,"overweight",Healthcare!$C2000&gt;=30,"obese")</f>
        <v>overweight</v>
      </c>
      <c r="E2000" s="5">
        <v>5.88</v>
      </c>
      <c r="F2000" s="5" t="str" cm="1">
        <f t="array" ref="F2000">_xlfn.IFS(Healthcare!$E2000&lt;5.7,"normal",Healthcare!$E2000&lt;=6.4,"prediabetes",Healthcare!$E2000&gt;=6.5,"diabetes")</f>
        <v>prediabetes</v>
      </c>
      <c r="G2000" s="5" t="s">
        <v>20</v>
      </c>
      <c r="H2000" s="5" t="s">
        <v>19</v>
      </c>
      <c r="I2000" s="5" t="s">
        <v>19</v>
      </c>
      <c r="J2000" s="5">
        <v>0</v>
      </c>
      <c r="K2000" s="5" t="s">
        <v>19</v>
      </c>
      <c r="L2000" s="5" t="str">
        <f>VLOOKUP(Healthcare!$A2000,hospital_details,2,0)</f>
        <v>11-Oct-1996</v>
      </c>
      <c r="M2000" s="5">
        <f t="shared" ref="M2000:M2063" ca="1" si="11985">VLOOKUP(A2000,hospital_details,3,0)</f>
        <v>30</v>
      </c>
      <c r="N2000" s="5">
        <f t="shared" ref="N2000:N2063" si="11986">VLOOKUP($A2000,hospital_details,4,0)</f>
        <v>0</v>
      </c>
      <c r="O2000" s="6">
        <f t="shared" ref="O2000:O2063" si="11987">VLOOKUP($A2000,hospital_details,5,0)</f>
        <v>3201.25</v>
      </c>
      <c r="P2000" s="5" t="str">
        <f t="shared" ref="P2000:P2063" si="11988">VLOOKUP($A2000,hospital_details,6,0)</f>
        <v>tier - 2</v>
      </c>
      <c r="Q2000" s="5" t="str">
        <f t="shared" ref="Q2000:Q2063" si="11989">VLOOKUP($A2000,hospital_details,7,0)</f>
        <v>tier - 3</v>
      </c>
      <c r="R2000" s="5" t="str">
        <f t="shared" ref="R2000:R2063" si="11990">VLOOKUP($A2000,hospital_details,8,0)</f>
        <v>R1012</v>
      </c>
    </row>
    <row r="2001" spans="1:18" ht="14.4" customHeight="1" x14ac:dyDescent="0.3">
      <c r="A2001" s="7" t="s">
        <v>2021</v>
      </c>
      <c r="B2001" s="7" t="str">
        <f>VLOOKUP($A2001,[1]!Customer_Names[#Data],3,0)</f>
        <v xml:space="preserve">  Tara D</v>
      </c>
      <c r="C2001" s="7">
        <v>21.89</v>
      </c>
      <c r="D2001" s="7" t="str" cm="1">
        <f t="array" ref="D2001">_xlfn.IFS(Healthcare!$C2001&lt;18.5,"under weight",Healthcare!$C2001&lt;=24.9,"Normal Weight",Healthcare!$C2001&gt;=25,"overweight",Healthcare!$C2001&gt;=30,"obese")</f>
        <v>Normal Weight</v>
      </c>
      <c r="E2001" s="7">
        <v>5.72</v>
      </c>
      <c r="F2001" s="7" t="str" cm="1">
        <f t="array" ref="F2001">_xlfn.IFS(Healthcare!$E2001&lt;5.7,"normal",Healthcare!$E2001&lt;=6.4,"prediabetes",Healthcare!$E2001&gt;=6.5,"diabetes")</f>
        <v>prediabetes</v>
      </c>
      <c r="G2001" s="7" t="s">
        <v>20</v>
      </c>
      <c r="H2001" s="7" t="s">
        <v>19</v>
      </c>
      <c r="I2001" s="7" t="s">
        <v>19</v>
      </c>
      <c r="J2001" s="7">
        <v>0</v>
      </c>
      <c r="K2001" s="7" t="s">
        <v>19</v>
      </c>
      <c r="L2001" s="7" t="str">
        <f>VLOOKUP(Healthcare!$A2001,hospital_details,2,0)</f>
        <v>2-Sep-2001</v>
      </c>
      <c r="M2001" s="7">
        <f t="shared" ref="M2001:M2064" ca="1" si="11991">VLOOKUP(A2001,hospital_details,3,0)</f>
        <v>25</v>
      </c>
      <c r="N2001" s="7">
        <f t="shared" ref="N2001:N2064" si="11992">VLOOKUP($A2001,hospital_details,4,0)</f>
        <v>2</v>
      </c>
      <c r="O2001" s="8">
        <f t="shared" ref="O2001:O2064" si="11993">VLOOKUP($A2001,hospital_details,5,0)</f>
        <v>3180.51</v>
      </c>
      <c r="P2001" s="7" t="str">
        <f t="shared" ref="P2001:P2064" si="11994">VLOOKUP($A2001,hospital_details,6,0)</f>
        <v>tier - 2</v>
      </c>
      <c r="Q2001" s="7" t="str">
        <f t="shared" ref="Q2001:Q2064" si="11995">VLOOKUP($A2001,hospital_details,7,0)</f>
        <v>tier - 2</v>
      </c>
      <c r="R2001" s="7" t="str">
        <f t="shared" ref="R2001:R2064" si="11996">VLOOKUP($A2001,hospital_details,8,0)</f>
        <v>R1013</v>
      </c>
    </row>
    <row r="2002" spans="1:18" ht="14.4" customHeight="1" x14ac:dyDescent="0.3">
      <c r="A2002" s="5" t="s">
        <v>2022</v>
      </c>
      <c r="B2002" s="5" t="str">
        <f>VLOOKUP($A2002,[1]!Customer_Names[#Data],3,0)</f>
        <v xml:space="preserve">  Rasim M</v>
      </c>
      <c r="C2002" s="5">
        <v>29.34</v>
      </c>
      <c r="D2002" s="5" t="str" cm="1">
        <f t="array" ref="D2002">_xlfn.IFS(Healthcare!$C2002&lt;18.5,"under weight",Healthcare!$C2002&lt;=24.9,"Normal Weight",Healthcare!$C2002&gt;=25,"overweight",Healthcare!$C2002&gt;=30,"obese")</f>
        <v>overweight</v>
      </c>
      <c r="E2002" s="5">
        <v>6.09</v>
      </c>
      <c r="F2002" s="5" t="str" cm="1">
        <f t="array" ref="F2002">_xlfn.IFS(Healthcare!$E2002&lt;5.7,"normal",Healthcare!$E2002&lt;=6.4,"prediabetes",Healthcare!$E2002&gt;=6.5,"diabetes")</f>
        <v>prediabetes</v>
      </c>
      <c r="G2002" s="5" t="s">
        <v>20</v>
      </c>
      <c r="H2002" s="5" t="s">
        <v>20</v>
      </c>
      <c r="I2002" s="5" t="s">
        <v>19</v>
      </c>
      <c r="J2002" s="5">
        <v>2</v>
      </c>
      <c r="K2002" s="5" t="s">
        <v>19</v>
      </c>
      <c r="L2002" s="5" t="str">
        <f>VLOOKUP(Healthcare!$A2002,hospital_details,2,0)</f>
        <v>23-Sep-2000</v>
      </c>
      <c r="M2002" s="5">
        <f t="shared" ref="M2002:M2065" ca="1" si="11997">VLOOKUP(A2002,hospital_details,3,0)</f>
        <v>26</v>
      </c>
      <c r="N2002" s="5">
        <f t="shared" ref="N2002:N2065" si="11998">VLOOKUP($A2002,hospital_details,4,0)</f>
        <v>0</v>
      </c>
      <c r="O2002" s="6">
        <f t="shared" ref="O2002:O2065" si="11999">VLOOKUP($A2002,hospital_details,5,0)</f>
        <v>3179.96</v>
      </c>
      <c r="P2002" s="5" t="str">
        <f t="shared" ref="P2002:P2065" si="12000">VLOOKUP($A2002,hospital_details,6,0)</f>
        <v>tier - 2</v>
      </c>
      <c r="Q2002" s="5" t="str">
        <f t="shared" ref="Q2002:Q2065" si="12001">VLOOKUP($A2002,hospital_details,7,0)</f>
        <v>tier - 2</v>
      </c>
      <c r="R2002" s="5" t="str">
        <f t="shared" ref="R2002:R2065" si="12002">VLOOKUP($A2002,hospital_details,8,0)</f>
        <v>R1012</v>
      </c>
    </row>
    <row r="2003" spans="1:18" ht="14.4" customHeight="1" x14ac:dyDescent="0.3">
      <c r="A2003" s="7" t="s">
        <v>2023</v>
      </c>
      <c r="B2003" s="7" t="str">
        <f>VLOOKUP($A2003,[1]!Customer_Names[#Data],3,0)</f>
        <v xml:space="preserve">  Dina</v>
      </c>
      <c r="C2003" s="7">
        <v>22.61</v>
      </c>
      <c r="D2003" s="7" t="str" cm="1">
        <f t="array" ref="D2003">_xlfn.IFS(Healthcare!$C2003&lt;18.5,"under weight",Healthcare!$C2003&lt;=24.9,"Normal Weight",Healthcare!$C2003&gt;=25,"overweight",Healthcare!$C2003&gt;=30,"obese")</f>
        <v>Normal Weight</v>
      </c>
      <c r="E2003" s="7">
        <v>4.25</v>
      </c>
      <c r="F2003" s="7" t="str" cm="1">
        <f t="array" ref="F2003">_xlfn.IFS(Healthcare!$E2003&lt;5.7,"normal",Healthcare!$E2003&lt;=6.4,"prediabetes",Healthcare!$E2003&gt;=6.5,"diabetes")</f>
        <v>normal</v>
      </c>
      <c r="G2003" s="7" t="s">
        <v>20</v>
      </c>
      <c r="H2003" s="7" t="s">
        <v>19</v>
      </c>
      <c r="I2003" s="7" t="s">
        <v>19</v>
      </c>
      <c r="J2003" s="7">
        <v>0</v>
      </c>
      <c r="K2003" s="7" t="s">
        <v>19</v>
      </c>
      <c r="L2003" s="7" t="str">
        <f>VLOOKUP(Healthcare!$A2003,hospital_details,2,0)</f>
        <v>3-Jul-1996</v>
      </c>
      <c r="M2003" s="7">
        <f t="shared" ref="M2003:M2066" ca="1" si="12003">VLOOKUP(A2003,hospital_details,3,0)</f>
        <v>30</v>
      </c>
      <c r="N2003" s="7">
        <f t="shared" ref="N2003:N2066" si="12004">VLOOKUP($A2003,hospital_details,4,0)</f>
        <v>0</v>
      </c>
      <c r="O2003" s="8">
        <f t="shared" ref="O2003:O2066" si="12005">VLOOKUP($A2003,hospital_details,5,0)</f>
        <v>3176.82</v>
      </c>
      <c r="P2003" s="7" t="str">
        <f t="shared" ref="P2003:P2066" si="12006">VLOOKUP($A2003,hospital_details,6,0)</f>
        <v>tier - 2</v>
      </c>
      <c r="Q2003" s="7" t="str">
        <f t="shared" ref="Q2003:Q2066" si="12007">VLOOKUP($A2003,hospital_details,7,0)</f>
        <v>tier - 1</v>
      </c>
      <c r="R2003" s="7" t="str">
        <f t="shared" ref="R2003:R2066" si="12008">VLOOKUP($A2003,hospital_details,8,0)</f>
        <v>R1012</v>
      </c>
    </row>
    <row r="2004" spans="1:18" ht="14.4" customHeight="1" x14ac:dyDescent="0.3">
      <c r="A2004" s="5" t="s">
        <v>2024</v>
      </c>
      <c r="B2004" s="5" t="str">
        <f>VLOOKUP($A2004,[1]!Customer_Names[#Data],3,0)</f>
        <v xml:space="preserve">  Lisa</v>
      </c>
      <c r="C2004" s="5">
        <v>22.23</v>
      </c>
      <c r="D2004" s="5" t="str" cm="1">
        <f t="array" ref="D2004">_xlfn.IFS(Healthcare!$C2004&lt;18.5,"under weight",Healthcare!$C2004&lt;=24.9,"Normal Weight",Healthcare!$C2004&gt;=25,"overweight",Healthcare!$C2004&gt;=30,"obese")</f>
        <v>Normal Weight</v>
      </c>
      <c r="E2004" s="5">
        <v>6.09</v>
      </c>
      <c r="F2004" s="5" t="str" cm="1">
        <f t="array" ref="F2004">_xlfn.IFS(Healthcare!$E2004&lt;5.7,"normal",Healthcare!$E2004&lt;=6.4,"prediabetes",Healthcare!$E2004&gt;=6.5,"diabetes")</f>
        <v>prediabetes</v>
      </c>
      <c r="G2004" s="5" t="s">
        <v>20</v>
      </c>
      <c r="H2004" s="5" t="s">
        <v>19</v>
      </c>
      <c r="I2004" s="5" t="s">
        <v>19</v>
      </c>
      <c r="J2004" s="5">
        <v>0</v>
      </c>
      <c r="K2004" s="5" t="s">
        <v>19</v>
      </c>
      <c r="L2004" s="5" t="str">
        <f>VLOOKUP(Healthcare!$A2004,hospital_details,2,0)</f>
        <v>14-Aug-1996</v>
      </c>
      <c r="M2004" s="5">
        <f t="shared" ref="M2004:M2067" ca="1" si="12009">VLOOKUP(A2004,hospital_details,3,0)</f>
        <v>30</v>
      </c>
      <c r="N2004" s="5">
        <f t="shared" ref="N2004:N2067" si="12010">VLOOKUP($A2004,hospital_details,4,0)</f>
        <v>0</v>
      </c>
      <c r="O2004" s="6">
        <f t="shared" ref="O2004:O2067" si="12011">VLOOKUP($A2004,hospital_details,5,0)</f>
        <v>3176.29</v>
      </c>
      <c r="P2004" s="5" t="str">
        <f t="shared" ref="P2004:P2067" si="12012">VLOOKUP($A2004,hospital_details,6,0)</f>
        <v>tier - 2</v>
      </c>
      <c r="Q2004" s="5" t="str">
        <f t="shared" ref="Q2004:Q2067" si="12013">VLOOKUP($A2004,hospital_details,7,0)</f>
        <v>tier - 2</v>
      </c>
      <c r="R2004" s="5" t="str">
        <f t="shared" ref="R2004:R2067" si="12014">VLOOKUP($A2004,hospital_details,8,0)</f>
        <v>R1012</v>
      </c>
    </row>
    <row r="2005" spans="1:18" ht="14.4" customHeight="1" x14ac:dyDescent="0.3">
      <c r="A2005" s="7" t="s">
        <v>2025</v>
      </c>
      <c r="B2005" s="7" t="str">
        <f>VLOOKUP($A2005,[1]!Customer_Names[#Data],3,0)</f>
        <v xml:space="preserve">  Caitrin</v>
      </c>
      <c r="C2005" s="7">
        <v>33.4</v>
      </c>
      <c r="D2005" s="7" t="str" cm="1">
        <f t="array" ref="D2005">_xlfn.IFS(Healthcare!$C2005&lt;18.5,"under weight",Healthcare!$C2005&lt;=24.9,"Normal Weight",Healthcare!$C2005&gt;=25,"overweight",Healthcare!$C2005&gt;=30,"obese")</f>
        <v>overweight</v>
      </c>
      <c r="E2005" s="7">
        <v>5.51</v>
      </c>
      <c r="F2005" s="7" t="str" cm="1">
        <f t="array" ref="F2005">_xlfn.IFS(Healthcare!$E2005&lt;5.7,"normal",Healthcare!$E2005&lt;=6.4,"prediabetes",Healthcare!$E2005&gt;=6.5,"diabetes")</f>
        <v>normal</v>
      </c>
      <c r="G2005" s="7" t="s">
        <v>19</v>
      </c>
      <c r="H2005" s="7" t="s">
        <v>19</v>
      </c>
      <c r="I2005" s="7" t="s">
        <v>19</v>
      </c>
      <c r="J2005" s="7">
        <v>0</v>
      </c>
      <c r="K2005" s="7" t="s">
        <v>19</v>
      </c>
      <c r="L2005" s="7" t="str">
        <f>VLOOKUP(Healthcare!$A2005,hospital_details,2,0)</f>
        <v>6-Jul-1994</v>
      </c>
      <c r="M2005" s="7">
        <f t="shared" ref="M2005:M2068" ca="1" si="12015">VLOOKUP(A2005,hospital_details,3,0)</f>
        <v>32</v>
      </c>
      <c r="N2005" s="7">
        <f t="shared" ref="N2005:N2068" si="12016">VLOOKUP($A2005,hospital_details,4,0)</f>
        <v>0</v>
      </c>
      <c r="O2005" s="8">
        <f t="shared" ref="O2005:O2068" si="12017">VLOOKUP($A2005,hospital_details,5,0)</f>
        <v>3172.02</v>
      </c>
      <c r="P2005" s="7" t="str">
        <f t="shared" ref="P2005:P2068" si="12018">VLOOKUP($A2005,hospital_details,6,0)</f>
        <v>tier - 2</v>
      </c>
      <c r="Q2005" s="7" t="str">
        <f t="shared" ref="Q2005:Q2068" si="12019">VLOOKUP($A2005,hospital_details,7,0)</f>
        <v>tier - 1</v>
      </c>
      <c r="R2005" s="7" t="str">
        <f t="shared" ref="R2005:R2068" si="12020">VLOOKUP($A2005,hospital_details,8,0)</f>
        <v>R1011</v>
      </c>
    </row>
    <row r="2006" spans="1:18" ht="14.4" customHeight="1" x14ac:dyDescent="0.3">
      <c r="A2006" s="5" t="s">
        <v>2026</v>
      </c>
      <c r="B2006" s="5" t="str">
        <f>VLOOKUP($A2006,[1]!Customer_Names[#Data],3,0)</f>
        <v xml:space="preserve">  Adriana S</v>
      </c>
      <c r="C2006" s="5">
        <v>33.11</v>
      </c>
      <c r="D2006" s="5" t="str" cm="1">
        <f t="array" ref="D2006">_xlfn.IFS(Healthcare!$C2006&lt;18.5,"under weight",Healthcare!$C2006&lt;=24.9,"Normal Weight",Healthcare!$C2006&gt;=25,"overweight",Healthcare!$C2006&gt;=30,"obese")</f>
        <v>overweight</v>
      </c>
      <c r="E2006" s="5">
        <v>5.63</v>
      </c>
      <c r="F2006" s="5" t="str" cm="1">
        <f t="array" ref="F2006">_xlfn.IFS(Healthcare!$E2006&lt;5.7,"normal",Healthcare!$E2006&lt;=6.4,"prediabetes",Healthcare!$E2006&gt;=6.5,"diabetes")</f>
        <v>normal</v>
      </c>
      <c r="G2006" s="5" t="s">
        <v>19</v>
      </c>
      <c r="H2006" s="5" t="s">
        <v>19</v>
      </c>
      <c r="I2006" s="5" t="s">
        <v>19</v>
      </c>
      <c r="J2006" s="5">
        <v>0</v>
      </c>
      <c r="K2006" s="5" t="s">
        <v>19</v>
      </c>
      <c r="L2006" s="5" t="str">
        <f>VLOOKUP(Healthcare!$A2006,hospital_details,2,0)</f>
        <v>25-Oct-1994</v>
      </c>
      <c r="M2006" s="5">
        <f t="shared" ref="M2006:M2069" ca="1" si="12021">VLOOKUP(A2006,hospital_details,3,0)</f>
        <v>31</v>
      </c>
      <c r="N2006" s="5">
        <f t="shared" ref="N2006:N2069" si="12022">VLOOKUP($A2006,hospital_details,4,0)</f>
        <v>0</v>
      </c>
      <c r="O2006" s="6">
        <f t="shared" ref="O2006:O2069" si="12023">VLOOKUP($A2006,hospital_details,5,0)</f>
        <v>3171.61</v>
      </c>
      <c r="P2006" s="5" t="str">
        <f t="shared" ref="P2006:P2069" si="12024">VLOOKUP($A2006,hospital_details,6,0)</f>
        <v>tier - 2</v>
      </c>
      <c r="Q2006" s="5" t="str">
        <f t="shared" ref="Q2006:Q2069" si="12025">VLOOKUP($A2006,hospital_details,7,0)</f>
        <v>tier - 3</v>
      </c>
      <c r="R2006" s="5" t="str">
        <f t="shared" ref="R2006:R2069" si="12026">VLOOKUP($A2006,hospital_details,8,0)</f>
        <v>R1013</v>
      </c>
    </row>
    <row r="2007" spans="1:18" ht="14.4" customHeight="1" x14ac:dyDescent="0.3">
      <c r="A2007" s="7" t="s">
        <v>2027</v>
      </c>
      <c r="B2007" s="7" t="str">
        <f>VLOOKUP($A2007,[1]!Customer_Names[#Data],3,0)</f>
        <v xml:space="preserve">  Megan</v>
      </c>
      <c r="C2007" s="7">
        <v>16.815000000000001</v>
      </c>
      <c r="D2007" s="7" t="str" cm="1">
        <f t="array" ref="D2007">_xlfn.IFS(Healthcare!$C2007&lt;18.5,"under weight",Healthcare!$C2007&lt;=24.9,"Normal Weight",Healthcare!$C2007&gt;=25,"overweight",Healthcare!$C2007&gt;=30,"obese")</f>
        <v>under weight</v>
      </c>
      <c r="E2007" s="7">
        <v>5.29</v>
      </c>
      <c r="F2007" s="7" t="str" cm="1">
        <f t="array" ref="F2007">_xlfn.IFS(Healthcare!$E2007&lt;5.7,"normal",Healthcare!$E2007&lt;=6.4,"prediabetes",Healthcare!$E2007&gt;=6.5,"diabetes")</f>
        <v>normal</v>
      </c>
      <c r="G2007" s="7" t="s">
        <v>20</v>
      </c>
      <c r="H2007" s="7" t="s">
        <v>19</v>
      </c>
      <c r="I2007" s="7" t="s">
        <v>19</v>
      </c>
      <c r="J2007" s="7">
        <v>0</v>
      </c>
      <c r="K2007" s="7" t="s">
        <v>19</v>
      </c>
      <c r="L2007" s="7" t="str">
        <f>VLOOKUP(Healthcare!$A2007,hospital_details,2,0)</f>
        <v>29-Aug-2001</v>
      </c>
      <c r="M2007" s="7">
        <f t="shared" ref="M2007:M2070" ca="1" si="12027">VLOOKUP(A2007,hospital_details,3,0)</f>
        <v>25</v>
      </c>
      <c r="N2007" s="7">
        <f t="shared" ref="N2007:N2070" si="12028">VLOOKUP($A2007,hospital_details,4,0)</f>
        <v>1</v>
      </c>
      <c r="O2007" s="8">
        <f t="shared" ref="O2007:O2070" si="12029">VLOOKUP($A2007,hospital_details,5,0)</f>
        <v>3167.46</v>
      </c>
      <c r="P2007" s="7" t="str">
        <f t="shared" ref="P2007:P2070" si="12030">VLOOKUP($A2007,hospital_details,6,0)</f>
        <v>tier - 2</v>
      </c>
      <c r="Q2007" s="7" t="str">
        <f t="shared" ref="Q2007:Q2070" si="12031">VLOOKUP($A2007,hospital_details,7,0)</f>
        <v>tier - 3</v>
      </c>
      <c r="R2007" s="7" t="str">
        <f t="shared" ref="R2007:R2070" si="12032">VLOOKUP($A2007,hospital_details,8,0)</f>
        <v>R1024</v>
      </c>
    </row>
    <row r="2008" spans="1:18" ht="14.4" customHeight="1" x14ac:dyDescent="0.3">
      <c r="A2008" s="5" t="s">
        <v>2028</v>
      </c>
      <c r="B2008" s="5" t="str">
        <f>VLOOKUP($A2008,[1]!Customer_Names[#Data],3,0)</f>
        <v xml:space="preserve">  Kristen M</v>
      </c>
      <c r="C2008" s="5">
        <v>25.61</v>
      </c>
      <c r="D2008" s="5" t="str" cm="1">
        <f t="array" ref="D2008">_xlfn.IFS(Healthcare!$C2008&lt;18.5,"under weight",Healthcare!$C2008&lt;=24.9,"Normal Weight",Healthcare!$C2008&gt;=25,"overweight",Healthcare!$C2008&gt;=30,"obese")</f>
        <v>overweight</v>
      </c>
      <c r="E2008" s="5">
        <v>4</v>
      </c>
      <c r="F2008" s="5" t="str" cm="1">
        <f t="array" ref="F2008">_xlfn.IFS(Healthcare!$E2008&lt;5.7,"normal",Healthcare!$E2008&lt;=6.4,"prediabetes",Healthcare!$E2008&gt;=6.5,"diabetes")</f>
        <v>normal</v>
      </c>
      <c r="G2008" s="5" t="s">
        <v>19</v>
      </c>
      <c r="H2008" s="5" t="s">
        <v>19</v>
      </c>
      <c r="I2008" s="5" t="s">
        <v>29</v>
      </c>
      <c r="J2008" s="5">
        <v>1</v>
      </c>
      <c r="K2008" s="5" t="s">
        <v>19</v>
      </c>
      <c r="L2008" s="5" t="str">
        <f>VLOOKUP(Healthcare!$A2008,hospital_details,2,0)</f>
        <v>25-Sep-1993</v>
      </c>
      <c r="M2008" s="5">
        <f t="shared" ref="M2008:M2071" ca="1" si="12033">VLOOKUP(A2008,hospital_details,3,0)</f>
        <v>33</v>
      </c>
      <c r="N2008" s="5">
        <f t="shared" ref="N2008:N2071" si="12034">VLOOKUP($A2008,hospital_details,4,0)</f>
        <v>0</v>
      </c>
      <c r="O2008" s="6">
        <f t="shared" ref="O2008:O2071" si="12035">VLOOKUP($A2008,hospital_details,5,0)</f>
        <v>3162.02</v>
      </c>
      <c r="P2008" s="5" t="str">
        <f t="shared" ref="P2008:P2071" si="12036">VLOOKUP($A2008,hospital_details,6,0)</f>
        <v>tier - 2</v>
      </c>
      <c r="Q2008" s="5" t="str">
        <f t="shared" ref="Q2008:Q2071" si="12037">VLOOKUP($A2008,hospital_details,7,0)</f>
        <v>tier - 3</v>
      </c>
      <c r="R2008" s="5" t="str">
        <f t="shared" ref="R2008:R2071" si="12038">VLOOKUP($A2008,hospital_details,8,0)</f>
        <v>R1013</v>
      </c>
    </row>
    <row r="2009" spans="1:18" ht="14.4" customHeight="1" x14ac:dyDescent="0.3">
      <c r="A2009" s="7" t="s">
        <v>2029</v>
      </c>
      <c r="B2009" s="7" t="str">
        <f>VLOOKUP($A2009,[1]!Customer_Names[#Data],3,0)</f>
        <v xml:space="preserve">  Alix</v>
      </c>
      <c r="C2009" s="7">
        <v>25.8</v>
      </c>
      <c r="D2009" s="7" t="str" cm="1">
        <f t="array" ref="D2009">_xlfn.IFS(Healthcare!$C2009&lt;18.5,"under weight",Healthcare!$C2009&lt;=24.9,"Normal Weight",Healthcare!$C2009&gt;=25,"overweight",Healthcare!$C2009&gt;=30,"obese")</f>
        <v>overweight</v>
      </c>
      <c r="E2009" s="7">
        <v>5.49</v>
      </c>
      <c r="F2009" s="7" t="str" cm="1">
        <f t="array" ref="F2009">_xlfn.IFS(Healthcare!$E2009&lt;5.7,"normal",Healthcare!$E2009&lt;=6.4,"prediabetes",Healthcare!$E2009&gt;=6.5,"diabetes")</f>
        <v>normal</v>
      </c>
      <c r="G2009" s="7" t="s">
        <v>19</v>
      </c>
      <c r="H2009" s="7" t="s">
        <v>19</v>
      </c>
      <c r="I2009" s="7" t="s">
        <v>19</v>
      </c>
      <c r="J2009" s="7">
        <v>0</v>
      </c>
      <c r="K2009" s="7" t="s">
        <v>19</v>
      </c>
      <c r="L2009" s="7" t="str">
        <f>VLOOKUP(Healthcare!$A2009,hospital_details,2,0)</f>
        <v>10-Jul-1994</v>
      </c>
      <c r="M2009" s="7">
        <f t="shared" ref="M2009:M2072" ca="1" si="12039">VLOOKUP(A2009,hospital_details,3,0)</f>
        <v>32</v>
      </c>
      <c r="N2009" s="7">
        <f t="shared" ref="N2009:N2072" si="12040">VLOOKUP($A2009,hospital_details,4,0)</f>
        <v>0</v>
      </c>
      <c r="O2009" s="8">
        <f t="shared" ref="O2009:O2072" si="12041">VLOOKUP($A2009,hospital_details,5,0)</f>
        <v>3161.45</v>
      </c>
      <c r="P2009" s="7" t="str">
        <f t="shared" ref="P2009:P2072" si="12042">VLOOKUP($A2009,hospital_details,6,0)</f>
        <v>tier - 2</v>
      </c>
      <c r="Q2009" s="7" t="str">
        <f t="shared" ref="Q2009:Q2072" si="12043">VLOOKUP($A2009,hospital_details,7,0)</f>
        <v>tier - 1</v>
      </c>
      <c r="R2009" s="7" t="str">
        <f t="shared" ref="R2009:R2072" si="12044">VLOOKUP($A2009,hospital_details,8,0)</f>
        <v>R1011</v>
      </c>
    </row>
    <row r="2010" spans="1:18" ht="14.4" customHeight="1" x14ac:dyDescent="0.3">
      <c r="A2010" s="5" t="s">
        <v>2030</v>
      </c>
      <c r="B2010" s="5" t="str">
        <f>VLOOKUP($A2010,[1]!Customer_Names[#Data],3,0)</f>
        <v xml:space="preserve">  Kakushin</v>
      </c>
      <c r="C2010" s="5">
        <v>27.39</v>
      </c>
      <c r="D2010" s="5" t="str" cm="1">
        <f t="array" ref="D2010">_xlfn.IFS(Healthcare!$C2010&lt;18.5,"under weight",Healthcare!$C2010&lt;=24.9,"Normal Weight",Healthcare!$C2010&gt;=25,"overweight",Healthcare!$C2010&gt;=30,"obese")</f>
        <v>overweight</v>
      </c>
      <c r="E2010" s="5">
        <v>5.34</v>
      </c>
      <c r="F2010" s="5" t="str" cm="1">
        <f t="array" ref="F2010">_xlfn.IFS(Healthcare!$E2010&lt;5.7,"normal",Healthcare!$E2010&lt;=6.4,"prediabetes",Healthcare!$E2010&gt;=6.5,"diabetes")</f>
        <v>normal</v>
      </c>
      <c r="G2010" s="5" t="s">
        <v>19</v>
      </c>
      <c r="H2010" s="5" t="s">
        <v>19</v>
      </c>
      <c r="I2010" s="5" t="s">
        <v>19</v>
      </c>
      <c r="J2010" s="5">
        <v>0</v>
      </c>
      <c r="K2010" s="5" t="s">
        <v>19</v>
      </c>
      <c r="L2010" s="5" t="str">
        <f>VLOOKUP(Healthcare!$A2010,hospital_details,2,0)</f>
        <v>25-Jun-1999</v>
      </c>
      <c r="M2010" s="5">
        <f t="shared" ref="M2010:M2073" ca="1" si="12045">VLOOKUP(A2010,hospital_details,3,0)</f>
        <v>27</v>
      </c>
      <c r="N2010" s="5">
        <f t="shared" ref="N2010:N2073" si="12046">VLOOKUP($A2010,hospital_details,4,0)</f>
        <v>0</v>
      </c>
      <c r="O2010" s="6">
        <f t="shared" ref="O2010:O2073" si="12047">VLOOKUP($A2010,hospital_details,5,0)</f>
        <v>3128.35</v>
      </c>
      <c r="P2010" s="5" t="str">
        <f t="shared" ref="P2010:P2073" si="12048">VLOOKUP($A2010,hospital_details,6,0)</f>
        <v>tier - 2</v>
      </c>
      <c r="Q2010" s="5" t="str">
        <f t="shared" ref="Q2010:Q2073" si="12049">VLOOKUP($A2010,hospital_details,7,0)</f>
        <v>tier - 3</v>
      </c>
      <c r="R2010" s="5" t="str">
        <f t="shared" ref="R2010:R2073" si="12050">VLOOKUP($A2010,hospital_details,8,0)</f>
        <v>R1021</v>
      </c>
    </row>
    <row r="2011" spans="1:18" ht="14.4" customHeight="1" x14ac:dyDescent="0.3">
      <c r="A2011" s="7" t="s">
        <v>2031</v>
      </c>
      <c r="B2011" s="7" t="str">
        <f>VLOOKUP($A2011,[1]!Customer_Names[#Data],3,0)</f>
        <v xml:space="preserve">  Michael J</v>
      </c>
      <c r="C2011" s="7">
        <v>17.03</v>
      </c>
      <c r="D2011" s="7" t="str" cm="1">
        <f t="array" ref="D2011">_xlfn.IFS(Healthcare!$C2011&lt;18.5,"under weight",Healthcare!$C2011&lt;=24.9,"Normal Weight",Healthcare!$C2011&gt;=25,"overweight",Healthcare!$C2011&gt;=30,"obese")</f>
        <v>under weight</v>
      </c>
      <c r="E2011" s="7">
        <v>4.12</v>
      </c>
      <c r="F2011" s="7" t="str" cm="1">
        <f t="array" ref="F2011">_xlfn.IFS(Healthcare!$E2011&lt;5.7,"normal",Healthcare!$E2011&lt;=6.4,"prediabetes",Healthcare!$E2011&gt;=6.5,"diabetes")</f>
        <v>normal</v>
      </c>
      <c r="G2011" s="7" t="s">
        <v>19</v>
      </c>
      <c r="H2011" s="7" t="s">
        <v>19</v>
      </c>
      <c r="I2011" s="7" t="s">
        <v>19</v>
      </c>
      <c r="J2011" s="7">
        <v>1</v>
      </c>
      <c r="K2011" s="7" t="s">
        <v>19</v>
      </c>
      <c r="L2011" s="7" t="str">
        <f>VLOOKUP(Healthcare!$A2011,hospital_details,2,0)</f>
        <v>1-Aug-1987</v>
      </c>
      <c r="M2011" s="7">
        <f t="shared" ref="M2011:M2074" ca="1" si="12051">VLOOKUP(A2011,hospital_details,3,0)</f>
        <v>39</v>
      </c>
      <c r="N2011" s="7">
        <f t="shared" ref="N2011:N2074" si="12052">VLOOKUP($A2011,hospital_details,4,0)</f>
        <v>3</v>
      </c>
      <c r="O2011" s="8">
        <f t="shared" ref="O2011:O2074" si="12053">VLOOKUP($A2011,hospital_details,5,0)</f>
        <v>3088.06</v>
      </c>
      <c r="P2011" s="7" t="str">
        <f t="shared" ref="P2011:P2074" si="12054">VLOOKUP($A2011,hospital_details,6,0)</f>
        <v>tier - 2</v>
      </c>
      <c r="Q2011" s="7" t="str">
        <f t="shared" ref="Q2011:Q2074" si="12055">VLOOKUP($A2011,hospital_details,7,0)</f>
        <v>tier - 2</v>
      </c>
      <c r="R2011" s="7" t="str">
        <f t="shared" ref="R2011:R2074" si="12056">VLOOKUP($A2011,hospital_details,8,0)</f>
        <v>R1013</v>
      </c>
    </row>
    <row r="2012" spans="1:18" ht="14.4" customHeight="1" x14ac:dyDescent="0.3">
      <c r="A2012" s="5" t="s">
        <v>2032</v>
      </c>
      <c r="B2012" s="5" t="str">
        <f>VLOOKUP($A2012,[1]!Customer_Names[#Data],3,0)</f>
        <v xml:space="preserve">  Bradley</v>
      </c>
      <c r="C2012" s="5">
        <v>23.75</v>
      </c>
      <c r="D2012" s="5" t="str" cm="1">
        <f t="array" ref="D2012">_xlfn.IFS(Healthcare!$C2012&lt;18.5,"under weight",Healthcare!$C2012&lt;=24.9,"Normal Weight",Healthcare!$C2012&gt;=25,"overweight",Healthcare!$C2012&gt;=30,"obese")</f>
        <v>Normal Weight</v>
      </c>
      <c r="E2012" s="5">
        <v>5.49</v>
      </c>
      <c r="F2012" s="5" t="str" cm="1">
        <f t="array" ref="F2012">_xlfn.IFS(Healthcare!$E2012&lt;5.7,"normal",Healthcare!$E2012&lt;=6.4,"prediabetes",Healthcare!$E2012&gt;=6.5,"diabetes")</f>
        <v>normal</v>
      </c>
      <c r="G2012" s="5" t="s">
        <v>20</v>
      </c>
      <c r="H2012" s="5" t="s">
        <v>19</v>
      </c>
      <c r="I2012" s="5" t="s">
        <v>19</v>
      </c>
      <c r="J2012" s="5">
        <v>0</v>
      </c>
      <c r="K2012" s="5" t="s">
        <v>19</v>
      </c>
      <c r="L2012" s="5" t="str">
        <f>VLOOKUP(Healthcare!$A2012,hospital_details,2,0)</f>
        <v>13-Oct-2001</v>
      </c>
      <c r="M2012" s="5">
        <f t="shared" ref="M2012:M2075" ca="1" si="12057">VLOOKUP(A2012,hospital_details,3,0)</f>
        <v>25</v>
      </c>
      <c r="N2012" s="5">
        <f t="shared" ref="N2012:N2075" si="12058">VLOOKUP($A2012,hospital_details,4,0)</f>
        <v>2</v>
      </c>
      <c r="O2012" s="6">
        <f t="shared" ref="O2012:O2075" si="12059">VLOOKUP($A2012,hospital_details,5,0)</f>
        <v>3077.1</v>
      </c>
      <c r="P2012" s="5" t="str">
        <f t="shared" ref="P2012:P2075" si="12060">VLOOKUP($A2012,hospital_details,6,0)</f>
        <v>tier - 2</v>
      </c>
      <c r="Q2012" s="5" t="str">
        <f t="shared" ref="Q2012:Q2075" si="12061">VLOOKUP($A2012,hospital_details,7,0)</f>
        <v>tier - 1</v>
      </c>
      <c r="R2012" s="5" t="str">
        <f t="shared" ref="R2012:R2075" si="12062">VLOOKUP($A2012,hospital_details,8,0)</f>
        <v>R1012</v>
      </c>
    </row>
    <row r="2013" spans="1:18" ht="14.4" customHeight="1" x14ac:dyDescent="0.3">
      <c r="A2013" s="7" t="s">
        <v>2033</v>
      </c>
      <c r="B2013" s="7" t="str">
        <f>VLOOKUP($A2013,[1]!Customer_Names[#Data],3,0)</f>
        <v xml:space="preserve">  Matt</v>
      </c>
      <c r="C2013" s="7">
        <v>26.03</v>
      </c>
      <c r="D2013" s="7" t="str" cm="1">
        <f t="array" ref="D2013">_xlfn.IFS(Healthcare!$C2013&lt;18.5,"under weight",Healthcare!$C2013&lt;=24.9,"Normal Weight",Healthcare!$C2013&gt;=25,"overweight",Healthcare!$C2013&gt;=30,"obese")</f>
        <v>overweight</v>
      </c>
      <c r="E2013" s="7">
        <v>5.1100000000000003</v>
      </c>
      <c r="F2013" s="7" t="str" cm="1">
        <f t="array" ref="F2013">_xlfn.IFS(Healthcare!$E2013&lt;5.7,"normal",Healthcare!$E2013&lt;=6.4,"prediabetes",Healthcare!$E2013&gt;=6.5,"diabetes")</f>
        <v>normal</v>
      </c>
      <c r="G2013" s="7" t="s">
        <v>20</v>
      </c>
      <c r="H2013" s="7" t="s">
        <v>19</v>
      </c>
      <c r="I2013" s="7" t="s">
        <v>19</v>
      </c>
      <c r="J2013" s="7">
        <v>1</v>
      </c>
      <c r="K2013" s="7" t="s">
        <v>19</v>
      </c>
      <c r="L2013" s="7" t="str">
        <f>VLOOKUP(Healthcare!$A2013,hospital_details,2,0)</f>
        <v>10-Sep-1995</v>
      </c>
      <c r="M2013" s="7">
        <f t="shared" ref="M2013:M2076" ca="1" si="12063">VLOOKUP(A2013,hospital_details,3,0)</f>
        <v>31</v>
      </c>
      <c r="N2013" s="7">
        <f t="shared" ref="N2013:N2076" si="12064">VLOOKUP($A2013,hospital_details,4,0)</f>
        <v>0</v>
      </c>
      <c r="O2013" s="8">
        <f t="shared" ref="O2013:O2076" si="12065">VLOOKUP($A2013,hospital_details,5,0)</f>
        <v>3070.81</v>
      </c>
      <c r="P2013" s="7" t="str">
        <f t="shared" ref="P2013:P2076" si="12066">VLOOKUP($A2013,hospital_details,6,0)</f>
        <v>tier - 3</v>
      </c>
      <c r="Q2013" s="7" t="str">
        <f t="shared" ref="Q2013:Q2076" si="12067">VLOOKUP($A2013,hospital_details,7,0)</f>
        <v>tier - 1</v>
      </c>
      <c r="R2013" s="7" t="str">
        <f t="shared" ref="R2013:R2076" si="12068">VLOOKUP($A2013,hospital_details,8,0)</f>
        <v>R1017</v>
      </c>
    </row>
    <row r="2014" spans="1:18" ht="14.4" customHeight="1" x14ac:dyDescent="0.3">
      <c r="A2014" s="5" t="s">
        <v>2034</v>
      </c>
      <c r="B2014" s="5" t="str">
        <f>VLOOKUP($A2014,[1]!Customer_Names[#Data],3,0)</f>
        <v xml:space="preserve">  Amanda C</v>
      </c>
      <c r="C2014" s="5">
        <v>16.079999999999998</v>
      </c>
      <c r="D2014" s="5" t="str" cm="1">
        <f t="array" ref="D2014">_xlfn.IFS(Healthcare!$C2014&lt;18.5,"under weight",Healthcare!$C2014&lt;=24.9,"Normal Weight",Healthcare!$C2014&gt;=25,"overweight",Healthcare!$C2014&gt;=30,"obese")</f>
        <v>under weight</v>
      </c>
      <c r="E2014" s="5">
        <v>5.94</v>
      </c>
      <c r="F2014" s="5" t="str" cm="1">
        <f t="array" ref="F2014">_xlfn.IFS(Healthcare!$E2014&lt;5.7,"normal",Healthcare!$E2014&lt;=6.4,"prediabetes",Healthcare!$E2014&gt;=6.5,"diabetes")</f>
        <v>prediabetes</v>
      </c>
      <c r="G2014" s="5" t="s">
        <v>19</v>
      </c>
      <c r="H2014" s="5" t="s">
        <v>19</v>
      </c>
      <c r="I2014" s="5" t="s">
        <v>19</v>
      </c>
      <c r="J2014" s="5">
        <v>0</v>
      </c>
      <c r="K2014" s="5" t="s">
        <v>19</v>
      </c>
      <c r="L2014" s="5" t="str">
        <f>VLOOKUP(Healthcare!$A2014,hospital_details,2,0)</f>
        <v>1-Oct-1989</v>
      </c>
      <c r="M2014" s="5">
        <f t="shared" ref="M2014:M2077" ca="1" si="12069">VLOOKUP(A2014,hospital_details,3,0)</f>
        <v>37</v>
      </c>
      <c r="N2014" s="5">
        <f t="shared" ref="N2014:N2077" si="12070">VLOOKUP($A2014,hospital_details,4,0)</f>
        <v>3</v>
      </c>
      <c r="O2014" s="6">
        <f t="shared" ref="O2014:O2077" si="12071">VLOOKUP($A2014,hospital_details,5,0)</f>
        <v>3065.49</v>
      </c>
      <c r="P2014" s="5" t="str">
        <f t="shared" ref="P2014:P2077" si="12072">VLOOKUP($A2014,hospital_details,6,0)</f>
        <v>tier - 2</v>
      </c>
      <c r="Q2014" s="5" t="str">
        <f t="shared" ref="Q2014:Q2077" si="12073">VLOOKUP($A2014,hospital_details,7,0)</f>
        <v>tier - 1</v>
      </c>
      <c r="R2014" s="5" t="str">
        <f t="shared" ref="R2014:R2077" si="12074">VLOOKUP($A2014,hospital_details,8,0)</f>
        <v>R1012</v>
      </c>
    </row>
    <row r="2015" spans="1:18" ht="14.4" customHeight="1" x14ac:dyDescent="0.3">
      <c r="A2015" s="7" t="s">
        <v>2035</v>
      </c>
      <c r="B2015" s="7" t="str">
        <f>VLOOKUP($A2015,[1]!Customer_Names[#Data],3,0)</f>
        <v xml:space="preserve">  Valur</v>
      </c>
      <c r="C2015" s="7">
        <v>30.875</v>
      </c>
      <c r="D2015" s="7" t="str" cm="1">
        <f t="array" ref="D2015">_xlfn.IFS(Healthcare!$C2015&lt;18.5,"under weight",Healthcare!$C2015&lt;=24.9,"Normal Weight",Healthcare!$C2015&gt;=25,"overweight",Healthcare!$C2015&gt;=30,"obese")</f>
        <v>overweight</v>
      </c>
      <c r="E2015" s="7">
        <v>5.54</v>
      </c>
      <c r="F2015" s="7" t="str" cm="1">
        <f t="array" ref="F2015">_xlfn.IFS(Healthcare!$E2015&lt;5.7,"normal",Healthcare!$E2015&lt;=6.4,"prediabetes",Healthcare!$E2015&gt;=6.5,"diabetes")</f>
        <v>normal</v>
      </c>
      <c r="G2015" s="7" t="s">
        <v>19</v>
      </c>
      <c r="H2015" s="7" t="s">
        <v>19</v>
      </c>
      <c r="I2015" s="7" t="s">
        <v>19</v>
      </c>
      <c r="J2015" s="7">
        <v>0</v>
      </c>
      <c r="K2015" s="7" t="s">
        <v>19</v>
      </c>
      <c r="L2015" s="7" t="str">
        <f>VLOOKUP(Healthcare!$A2015,hospital_details,2,0)</f>
        <v>26-Sep-1994</v>
      </c>
      <c r="M2015" s="7">
        <f t="shared" ref="M2015:M2078" ca="1" si="12075">VLOOKUP(A2015,hospital_details,3,0)</f>
        <v>32</v>
      </c>
      <c r="N2015" s="7">
        <f t="shared" ref="N2015:N2078" si="12076">VLOOKUP($A2015,hospital_details,4,0)</f>
        <v>0</v>
      </c>
      <c r="O2015" s="8">
        <f t="shared" ref="O2015:O2078" si="12077">VLOOKUP($A2015,hospital_details,5,0)</f>
        <v>3062.51</v>
      </c>
      <c r="P2015" s="7" t="str">
        <f t="shared" ref="P2015:P2078" si="12078">VLOOKUP($A2015,hospital_details,6,0)</f>
        <v>tier - 3</v>
      </c>
      <c r="Q2015" s="7" t="str">
        <f t="shared" ref="Q2015:Q2078" si="12079">VLOOKUP($A2015,hospital_details,7,0)</f>
        <v>tier - 1</v>
      </c>
      <c r="R2015" s="7" t="str">
        <f t="shared" ref="R2015:R2078" si="12080">VLOOKUP($A2015,hospital_details,8,0)</f>
        <v>R1012</v>
      </c>
    </row>
    <row r="2016" spans="1:18" ht="14.4" customHeight="1" x14ac:dyDescent="0.3">
      <c r="A2016" s="5" t="s">
        <v>2036</v>
      </c>
      <c r="B2016" s="5" t="str">
        <f>VLOOKUP($A2016,[1]!Customer_Names[#Data],3,0)</f>
        <v xml:space="preserve">  Erica J</v>
      </c>
      <c r="C2016" s="5">
        <v>31.79</v>
      </c>
      <c r="D2016" s="5" t="str" cm="1">
        <f t="array" ref="D2016">_xlfn.IFS(Healthcare!$C2016&lt;18.5,"under weight",Healthcare!$C2016&lt;=24.9,"Normal Weight",Healthcare!$C2016&gt;=25,"overweight",Healthcare!$C2016&gt;=30,"obese")</f>
        <v>overweight</v>
      </c>
      <c r="E2016" s="5">
        <v>7.09</v>
      </c>
      <c r="F2016" s="5" t="str" cm="1">
        <f t="array" ref="F2016">_xlfn.IFS(Healthcare!$E2016&lt;5.7,"normal",Healthcare!$E2016&lt;=6.4,"prediabetes",Healthcare!$E2016&gt;=6.5,"diabetes")</f>
        <v>diabetes</v>
      </c>
      <c r="G2016" s="5" t="s">
        <v>19</v>
      </c>
      <c r="H2016" s="5" t="s">
        <v>19</v>
      </c>
      <c r="I2016" s="5" t="s">
        <v>19</v>
      </c>
      <c r="J2016" s="5">
        <v>0</v>
      </c>
      <c r="K2016" s="5" t="s">
        <v>19</v>
      </c>
      <c r="L2016" s="5" t="str">
        <f>VLOOKUP(Healthcare!$A2016,hospital_details,2,0)</f>
        <v>21-Jun-2002</v>
      </c>
      <c r="M2016" s="5">
        <f t="shared" ref="M2016:M2079" ca="1" si="12081">VLOOKUP(A2016,hospital_details,3,0)</f>
        <v>24</v>
      </c>
      <c r="N2016" s="5">
        <f t="shared" ref="N2016:N2079" si="12082">VLOOKUP($A2016,hospital_details,4,0)</f>
        <v>2</v>
      </c>
      <c r="O2016" s="6">
        <f t="shared" ref="O2016:O2079" si="12083">VLOOKUP($A2016,hospital_details,5,0)</f>
        <v>3056.39</v>
      </c>
      <c r="P2016" s="5" t="str">
        <f t="shared" ref="P2016:P2079" si="12084">VLOOKUP($A2016,hospital_details,6,0)</f>
        <v>tier - 2</v>
      </c>
      <c r="Q2016" s="5" t="str">
        <f t="shared" ref="Q2016:Q2079" si="12085">VLOOKUP($A2016,hospital_details,7,0)</f>
        <v>tier - 3</v>
      </c>
      <c r="R2016" s="5" t="str">
        <f t="shared" ref="R2016:R2079" si="12086">VLOOKUP($A2016,hospital_details,8,0)</f>
        <v>R1013</v>
      </c>
    </row>
    <row r="2017" spans="1:18" ht="14.4" customHeight="1" x14ac:dyDescent="0.3">
      <c r="A2017" s="7" t="s">
        <v>2037</v>
      </c>
      <c r="B2017" s="7" t="str">
        <f>VLOOKUP($A2017,[1]!Customer_Names[#Data],3,0)</f>
        <v xml:space="preserve">  Stephen F</v>
      </c>
      <c r="C2017" s="7">
        <v>28.48</v>
      </c>
      <c r="D2017" s="7" t="str" cm="1">
        <f t="array" ref="D2017">_xlfn.IFS(Healthcare!$C2017&lt;18.5,"under weight",Healthcare!$C2017&lt;=24.9,"Normal Weight",Healthcare!$C2017&gt;=25,"overweight",Healthcare!$C2017&gt;=30,"obese")</f>
        <v>overweight</v>
      </c>
      <c r="E2017" s="7">
        <v>6.22</v>
      </c>
      <c r="F2017" s="7" t="str" cm="1">
        <f t="array" ref="F2017">_xlfn.IFS(Healthcare!$E2017&lt;5.7,"normal",Healthcare!$E2017&lt;=6.4,"prediabetes",Healthcare!$E2017&gt;=6.5,"diabetes")</f>
        <v>prediabetes</v>
      </c>
      <c r="G2017" s="7" t="s">
        <v>20</v>
      </c>
      <c r="H2017" s="7" t="s">
        <v>19</v>
      </c>
      <c r="I2017" s="7" t="s">
        <v>29</v>
      </c>
      <c r="J2017" s="7">
        <v>1</v>
      </c>
      <c r="K2017" s="7" t="s">
        <v>19</v>
      </c>
      <c r="L2017" s="7" t="str">
        <f>VLOOKUP(Healthcare!$A2017,hospital_details,2,0)</f>
        <v>22-Dec-1997</v>
      </c>
      <c r="M2017" s="7">
        <f t="shared" ref="M2017:M2080" ca="1" si="12087">VLOOKUP(A2017,hospital_details,3,0)</f>
        <v>28</v>
      </c>
      <c r="N2017" s="7">
        <f t="shared" ref="N2017:N2080" si="12088">VLOOKUP($A2017,hospital_details,4,0)</f>
        <v>0</v>
      </c>
      <c r="O2017" s="8">
        <f t="shared" ref="O2017:O2080" si="12089">VLOOKUP($A2017,hospital_details,5,0)</f>
        <v>3051.73</v>
      </c>
      <c r="P2017" s="7" t="str">
        <f t="shared" ref="P2017:P2080" si="12090">VLOOKUP($A2017,hospital_details,6,0)</f>
        <v>tier - 2</v>
      </c>
      <c r="Q2017" s="7" t="str">
        <f t="shared" ref="Q2017:Q2080" si="12091">VLOOKUP($A2017,hospital_details,7,0)</f>
        <v>tier - 2</v>
      </c>
      <c r="R2017" s="7" t="str">
        <f t="shared" ref="R2017:R2080" si="12092">VLOOKUP($A2017,hospital_details,8,0)</f>
        <v>R1011</v>
      </c>
    </row>
    <row r="2018" spans="1:18" ht="14.4" customHeight="1" x14ac:dyDescent="0.3">
      <c r="A2018" s="5" t="s">
        <v>2038</v>
      </c>
      <c r="B2018" s="5" t="str">
        <f>VLOOKUP($A2018,[1]!Customer_Names[#Data],3,0)</f>
        <v xml:space="preserve">  Lissa</v>
      </c>
      <c r="C2018" s="5">
        <v>26.6</v>
      </c>
      <c r="D2018" s="5" t="str" cm="1">
        <f t="array" ref="D2018">_xlfn.IFS(Healthcare!$C2018&lt;18.5,"under weight",Healthcare!$C2018&lt;=24.9,"Normal Weight",Healthcare!$C2018&gt;=25,"overweight",Healthcare!$C2018&gt;=30,"obese")</f>
        <v>overweight</v>
      </c>
      <c r="E2018" s="5">
        <v>4.33</v>
      </c>
      <c r="F2018" s="5" t="str" cm="1">
        <f t="array" ref="F2018">_xlfn.IFS(Healthcare!$E2018&lt;5.7,"normal",Healthcare!$E2018&lt;=6.4,"prediabetes",Healthcare!$E2018&gt;=6.5,"diabetes")</f>
        <v>normal</v>
      </c>
      <c r="G2018" s="5" t="s">
        <v>19</v>
      </c>
      <c r="H2018" s="5" t="s">
        <v>19</v>
      </c>
      <c r="I2018" s="5" t="s">
        <v>19</v>
      </c>
      <c r="J2018" s="5">
        <v>1</v>
      </c>
      <c r="K2018" s="5" t="s">
        <v>19</v>
      </c>
      <c r="L2018" s="5" t="str">
        <f>VLOOKUP(Healthcare!$A2018,hospital_details,2,0)</f>
        <v>9-Aug-1998</v>
      </c>
      <c r="M2018" s="5">
        <f t="shared" ref="M2018:M2081" ca="1" si="12093">VLOOKUP(A2018,hospital_details,3,0)</f>
        <v>28</v>
      </c>
      <c r="N2018" s="5">
        <f t="shared" ref="N2018:N2081" si="12094">VLOOKUP($A2018,hospital_details,4,0)</f>
        <v>0</v>
      </c>
      <c r="O2018" s="6">
        <f t="shared" ref="O2018:O2081" si="12095">VLOOKUP($A2018,hospital_details,5,0)</f>
        <v>3046.06</v>
      </c>
      <c r="P2018" s="5" t="str">
        <f t="shared" ref="P2018:P2081" si="12096">VLOOKUP($A2018,hospital_details,6,0)</f>
        <v>tier - 2</v>
      </c>
      <c r="Q2018" s="5" t="str">
        <f t="shared" ref="Q2018:Q2081" si="12097">VLOOKUP($A2018,hospital_details,7,0)</f>
        <v>tier - 1</v>
      </c>
      <c r="R2018" s="5" t="str">
        <f t="shared" ref="R2018:R2081" si="12098">VLOOKUP($A2018,hospital_details,8,0)</f>
        <v>R1023</v>
      </c>
    </row>
    <row r="2019" spans="1:18" ht="14.4" customHeight="1" x14ac:dyDescent="0.3">
      <c r="A2019" s="7" t="s">
        <v>2039</v>
      </c>
      <c r="B2019" s="7" t="str">
        <f>VLOOKUP($A2019,[1]!Customer_Names[#Data],3,0)</f>
        <v xml:space="preserve">  Megan</v>
      </c>
      <c r="C2019" s="7">
        <v>25.27</v>
      </c>
      <c r="D2019" s="7" t="str" cm="1">
        <f t="array" ref="D2019">_xlfn.IFS(Healthcare!$C2019&lt;18.5,"under weight",Healthcare!$C2019&lt;=24.9,"Normal Weight",Healthcare!$C2019&gt;=25,"overweight",Healthcare!$C2019&gt;=30,"obese")</f>
        <v>overweight</v>
      </c>
      <c r="E2019" s="7">
        <v>5.83</v>
      </c>
      <c r="F2019" s="7" t="str" cm="1">
        <f t="array" ref="F2019">_xlfn.IFS(Healthcare!$E2019&lt;5.7,"normal",Healthcare!$E2019&lt;=6.4,"prediabetes",Healthcare!$E2019&gt;=6.5,"diabetes")</f>
        <v>prediabetes</v>
      </c>
      <c r="G2019" s="7" t="s">
        <v>19</v>
      </c>
      <c r="H2019" s="7" t="s">
        <v>19</v>
      </c>
      <c r="I2019" s="7" t="s">
        <v>19</v>
      </c>
      <c r="J2019" s="7">
        <v>1</v>
      </c>
      <c r="K2019" s="7" t="s">
        <v>19</v>
      </c>
      <c r="L2019" s="7" t="str">
        <f>VLOOKUP(Healthcare!$A2019,hospital_details,2,0)</f>
        <v>15-Sep-1998</v>
      </c>
      <c r="M2019" s="7">
        <f t="shared" ref="M2019:M2082" ca="1" si="12099">VLOOKUP(A2019,hospital_details,3,0)</f>
        <v>28</v>
      </c>
      <c r="N2019" s="7">
        <f t="shared" ref="N2019:N2082" si="12100">VLOOKUP($A2019,hospital_details,4,0)</f>
        <v>0</v>
      </c>
      <c r="O2019" s="8">
        <f t="shared" ref="O2019:O2082" si="12101">VLOOKUP($A2019,hospital_details,5,0)</f>
        <v>3044.21</v>
      </c>
      <c r="P2019" s="7" t="str">
        <f t="shared" ref="P2019:P2082" si="12102">VLOOKUP($A2019,hospital_details,6,0)</f>
        <v>tier - 2</v>
      </c>
      <c r="Q2019" s="7" t="str">
        <f t="shared" ref="Q2019:Q2082" si="12103">VLOOKUP($A2019,hospital_details,7,0)</f>
        <v>tier - 3</v>
      </c>
      <c r="R2019" s="7" t="str">
        <f t="shared" ref="R2019:R2082" si="12104">VLOOKUP($A2019,hospital_details,8,0)</f>
        <v>R1024</v>
      </c>
    </row>
    <row r="2020" spans="1:18" ht="14.4" customHeight="1" x14ac:dyDescent="0.3">
      <c r="A2020" s="5" t="s">
        <v>2040</v>
      </c>
      <c r="B2020" s="5" t="str">
        <f>VLOOKUP($A2020,[1]!Customer_Names[#Data],3,0)</f>
        <v xml:space="preserve">  Alyson</v>
      </c>
      <c r="C2020" s="5">
        <v>34.484999999999999</v>
      </c>
      <c r="D2020" s="5" t="str" cm="1">
        <f t="array" ref="D2020">_xlfn.IFS(Healthcare!$C2020&lt;18.5,"under weight",Healthcare!$C2020&lt;=24.9,"Normal Weight",Healthcare!$C2020&gt;=25,"overweight",Healthcare!$C2020&gt;=30,"obese")</f>
        <v>overweight</v>
      </c>
      <c r="E2020" s="5">
        <v>4.7</v>
      </c>
      <c r="F2020" s="5" t="str" cm="1">
        <f t="array" ref="F2020">_xlfn.IFS(Healthcare!$E2020&lt;5.7,"normal",Healthcare!$E2020&lt;=6.4,"prediabetes",Healthcare!$E2020&gt;=6.5,"diabetes")</f>
        <v>normal</v>
      </c>
      <c r="G2020" s="5" t="s">
        <v>20</v>
      </c>
      <c r="H2020" s="5" t="s">
        <v>19</v>
      </c>
      <c r="I2020" s="5" t="s">
        <v>29</v>
      </c>
      <c r="J2020" s="5">
        <v>1</v>
      </c>
      <c r="K2020" s="5" t="s">
        <v>19</v>
      </c>
      <c r="L2020" s="5" t="str">
        <f>VLOOKUP(Healthcare!$A2020,hospital_details,2,0)</f>
        <v>19-Dec-1997</v>
      </c>
      <c r="M2020" s="5">
        <f t="shared" ref="M2020:M2083" ca="1" si="12105">VLOOKUP(A2020,hospital_details,3,0)</f>
        <v>28</v>
      </c>
      <c r="N2020" s="5">
        <f t="shared" ref="N2020:N2083" si="12106">VLOOKUP($A2020,hospital_details,4,0)</f>
        <v>0</v>
      </c>
      <c r="O2020" s="6">
        <f t="shared" ref="O2020:O2083" si="12107">VLOOKUP($A2020,hospital_details,5,0)</f>
        <v>3021.81</v>
      </c>
      <c r="P2020" s="5" t="str">
        <f t="shared" ref="P2020:P2083" si="12108">VLOOKUP($A2020,hospital_details,6,0)</f>
        <v>tier - 2</v>
      </c>
      <c r="Q2020" s="5" t="str">
        <f t="shared" ref="Q2020:Q2083" si="12109">VLOOKUP($A2020,hospital_details,7,0)</f>
        <v>tier - 3</v>
      </c>
      <c r="R2020" s="5" t="str">
        <f t="shared" ref="R2020:R2083" si="12110">VLOOKUP($A2020,hospital_details,8,0)</f>
        <v>R1012</v>
      </c>
    </row>
    <row r="2021" spans="1:18" ht="14.4" customHeight="1" x14ac:dyDescent="0.3">
      <c r="A2021" s="7" t="s">
        <v>2041</v>
      </c>
      <c r="B2021" s="7" t="str">
        <f>VLOOKUP($A2021,[1]!Customer_Names[#Data],3,0)</f>
        <v xml:space="preserve">  Chance B</v>
      </c>
      <c r="C2021" s="7">
        <v>15.57</v>
      </c>
      <c r="D2021" s="7" t="str" cm="1">
        <f t="array" ref="D2021">_xlfn.IFS(Healthcare!$C2021&lt;18.5,"under weight",Healthcare!$C2021&lt;=24.9,"Normal Weight",Healthcare!$C2021&gt;=25,"overweight",Healthcare!$C2021&gt;=30,"obese")</f>
        <v>under weight</v>
      </c>
      <c r="E2021" s="7">
        <v>4.07</v>
      </c>
      <c r="F2021" s="7" t="str" cm="1">
        <f t="array" ref="F2021">_xlfn.IFS(Healthcare!$E2021&lt;5.7,"normal",Healthcare!$E2021&lt;=6.4,"prediabetes",Healthcare!$E2021&gt;=6.5,"diabetes")</f>
        <v>normal</v>
      </c>
      <c r="G2021" s="7" t="s">
        <v>20</v>
      </c>
      <c r="H2021" s="7" t="s">
        <v>19</v>
      </c>
      <c r="I2021" s="7" t="s">
        <v>19</v>
      </c>
      <c r="J2021" s="7">
        <v>1</v>
      </c>
      <c r="K2021" s="7" t="s">
        <v>19</v>
      </c>
      <c r="L2021" s="7" t="str">
        <f>VLOOKUP(Healthcare!$A2021,hospital_details,2,0)</f>
        <v>28-Sep-1988</v>
      </c>
      <c r="M2021" s="7">
        <f t="shared" ref="M2021:M2084" ca="1" si="12111">VLOOKUP(A2021,hospital_details,3,0)</f>
        <v>38</v>
      </c>
      <c r="N2021" s="7">
        <f t="shared" ref="N2021:N2084" si="12112">VLOOKUP($A2021,hospital_details,4,0)</f>
        <v>3</v>
      </c>
      <c r="O2021" s="8">
        <f t="shared" ref="O2021:O2084" si="12113">VLOOKUP($A2021,hospital_details,5,0)</f>
        <v>3018.04</v>
      </c>
      <c r="P2021" s="7" t="str">
        <f t="shared" ref="P2021:P2084" si="12114">VLOOKUP($A2021,hospital_details,6,0)</f>
        <v>tier - 2</v>
      </c>
      <c r="Q2021" s="7" t="str">
        <f t="shared" ref="Q2021:Q2084" si="12115">VLOOKUP($A2021,hospital_details,7,0)</f>
        <v>tier - 2</v>
      </c>
      <c r="R2021" s="7" t="str">
        <f t="shared" ref="R2021:R2084" si="12116">VLOOKUP($A2021,hospital_details,8,0)</f>
        <v>R1012</v>
      </c>
    </row>
    <row r="2022" spans="1:18" ht="14.4" customHeight="1" x14ac:dyDescent="0.3">
      <c r="A2022" s="5" t="s">
        <v>2042</v>
      </c>
      <c r="B2022" s="5" t="str">
        <f>VLOOKUP($A2022,[1]!Customer_Names[#Data],3,0)</f>
        <v xml:space="preserve">  Sean P</v>
      </c>
      <c r="C2022" s="5">
        <v>30.36</v>
      </c>
      <c r="D2022" s="5" t="str" cm="1">
        <f t="array" ref="D2022">_xlfn.IFS(Healthcare!$C2022&lt;18.5,"under weight",Healthcare!$C2022&lt;=24.9,"Normal Weight",Healthcare!$C2022&gt;=25,"overweight",Healthcare!$C2022&gt;=30,"obese")</f>
        <v>overweight</v>
      </c>
      <c r="E2022" s="5">
        <v>9.39</v>
      </c>
      <c r="F2022" s="5" t="str" cm="1">
        <f t="array" ref="F2022">_xlfn.IFS(Healthcare!$E2022&lt;5.7,"normal",Healthcare!$E2022&lt;=6.4,"prediabetes",Healthcare!$E2022&gt;=6.5,"diabetes")</f>
        <v>diabetes</v>
      </c>
      <c r="G2022" s="5" t="s">
        <v>19</v>
      </c>
      <c r="H2022" s="5" t="s">
        <v>19</v>
      </c>
      <c r="I2022" s="5" t="s">
        <v>19</v>
      </c>
      <c r="J2022" s="5">
        <v>0</v>
      </c>
      <c r="K2022" s="5" t="s">
        <v>19</v>
      </c>
      <c r="L2022" s="5" t="str">
        <f>VLOOKUP(Healthcare!$A2022,hospital_details,2,0)</f>
        <v>15-Dec-2002</v>
      </c>
      <c r="M2022" s="5">
        <f t="shared" ref="M2022:M2085" ca="1" si="12117">VLOOKUP(A2022,hospital_details,3,0)</f>
        <v>23</v>
      </c>
      <c r="N2022" s="5">
        <f t="shared" ref="N2022:N2085" si="12118">VLOOKUP($A2022,hospital_details,4,0)</f>
        <v>0</v>
      </c>
      <c r="O2022" s="6">
        <f t="shared" ref="O2022:O2085" si="12119">VLOOKUP($A2022,hospital_details,5,0)</f>
        <v>3012.22</v>
      </c>
      <c r="P2022" s="5" t="str">
        <f t="shared" ref="P2022:P2085" si="12120">VLOOKUP($A2022,hospital_details,6,0)</f>
        <v>tier - 2</v>
      </c>
      <c r="Q2022" s="5" t="str">
        <f t="shared" ref="Q2022:Q2085" si="12121">VLOOKUP($A2022,hospital_details,7,0)</f>
        <v>tier - 3</v>
      </c>
      <c r="R2022" s="5" t="str">
        <f t="shared" ref="R2022:R2085" si="12122">VLOOKUP($A2022,hospital_details,8,0)</f>
        <v>R1012</v>
      </c>
    </row>
    <row r="2023" spans="1:18" ht="14.4" customHeight="1" x14ac:dyDescent="0.3">
      <c r="A2023" s="7" t="s">
        <v>2043</v>
      </c>
      <c r="B2023" s="7" t="str">
        <f>VLOOKUP($A2023,[1]!Customer_Names[#Data],3,0)</f>
        <v xml:space="preserve">  Therese</v>
      </c>
      <c r="C2023" s="7">
        <v>19.37</v>
      </c>
      <c r="D2023" s="7" t="str" cm="1">
        <f t="array" ref="D2023">_xlfn.IFS(Healthcare!$C2023&lt;18.5,"under weight",Healthcare!$C2023&lt;=24.9,"Normal Weight",Healthcare!$C2023&gt;=25,"overweight",Healthcare!$C2023&gt;=30,"obese")</f>
        <v>Normal Weight</v>
      </c>
      <c r="E2023" s="7">
        <v>4.18</v>
      </c>
      <c r="F2023" s="7" t="str" cm="1">
        <f t="array" ref="F2023">_xlfn.IFS(Healthcare!$E2023&lt;5.7,"normal",Healthcare!$E2023&lt;=6.4,"prediabetes",Healthcare!$E2023&gt;=6.5,"diabetes")</f>
        <v>normal</v>
      </c>
      <c r="G2023" s="7" t="s">
        <v>19</v>
      </c>
      <c r="H2023" s="7" t="s">
        <v>19</v>
      </c>
      <c r="I2023" s="7" t="s">
        <v>19</v>
      </c>
      <c r="J2023" s="7">
        <v>0</v>
      </c>
      <c r="K2023" s="7" t="s">
        <v>19</v>
      </c>
      <c r="L2023" s="7" t="str">
        <f>VLOOKUP(Healthcare!$A2023,hospital_details,2,0)</f>
        <v>20-Nov-1991</v>
      </c>
      <c r="M2023" s="7">
        <f t="shared" ref="M2023:M2086" ca="1" si="12123">VLOOKUP(A2023,hospital_details,3,0)</f>
        <v>34</v>
      </c>
      <c r="N2023" s="7">
        <f t="shared" ref="N2023:N2086" si="12124">VLOOKUP($A2023,hospital_details,4,0)</f>
        <v>3</v>
      </c>
      <c r="O2023" s="8">
        <f t="shared" ref="O2023:O2086" si="12125">VLOOKUP($A2023,hospital_details,5,0)</f>
        <v>2985.67</v>
      </c>
      <c r="P2023" s="7" t="str">
        <f t="shared" ref="P2023:P2086" si="12126">VLOOKUP($A2023,hospital_details,6,0)</f>
        <v>tier - 2</v>
      </c>
      <c r="Q2023" s="7" t="str">
        <f t="shared" ref="Q2023:Q2086" si="12127">VLOOKUP($A2023,hospital_details,7,0)</f>
        <v>tier - 2</v>
      </c>
      <c r="R2023" s="7" t="str">
        <f t="shared" ref="R2023:R2086" si="12128">VLOOKUP($A2023,hospital_details,8,0)</f>
        <v>R1013</v>
      </c>
    </row>
    <row r="2024" spans="1:18" ht="14.4" customHeight="1" x14ac:dyDescent="0.3">
      <c r="A2024" s="5" t="s">
        <v>2044</v>
      </c>
      <c r="B2024" s="5" t="str">
        <f>VLOOKUP($A2024,[1]!Customer_Names[#Data],3,0)</f>
        <v xml:space="preserve">  Beau</v>
      </c>
      <c r="C2024" s="5">
        <v>16.71</v>
      </c>
      <c r="D2024" s="5" t="str" cm="1">
        <f t="array" ref="D2024">_xlfn.IFS(Healthcare!$C2024&lt;18.5,"under weight",Healthcare!$C2024&lt;=24.9,"Normal Weight",Healthcare!$C2024&gt;=25,"overweight",Healthcare!$C2024&gt;=30,"obese")</f>
        <v>under weight</v>
      </c>
      <c r="E2024" s="5">
        <v>4.18</v>
      </c>
      <c r="F2024" s="5" t="str" cm="1">
        <f t="array" ref="F2024">_xlfn.IFS(Healthcare!$E2024&lt;5.7,"normal",Healthcare!$E2024&lt;=6.4,"prediabetes",Healthcare!$E2024&gt;=6.5,"diabetes")</f>
        <v>normal</v>
      </c>
      <c r="G2024" s="5" t="s">
        <v>19</v>
      </c>
      <c r="H2024" s="5" t="s">
        <v>19</v>
      </c>
      <c r="I2024" s="5" t="s">
        <v>19</v>
      </c>
      <c r="J2024" s="5">
        <v>1</v>
      </c>
      <c r="K2024" s="5" t="s">
        <v>19</v>
      </c>
      <c r="L2024" s="5" t="str">
        <f>VLOOKUP(Healthcare!$A2024,hospital_details,2,0)</f>
        <v>18-Jun-1987</v>
      </c>
      <c r="M2024" s="5">
        <f t="shared" ref="M2024:M2087" ca="1" si="12129">VLOOKUP(A2024,hospital_details,3,0)</f>
        <v>39</v>
      </c>
      <c r="N2024" s="5">
        <f t="shared" ref="N2024:N2087" si="12130">VLOOKUP($A2024,hospital_details,4,0)</f>
        <v>3</v>
      </c>
      <c r="O2024" s="6">
        <f t="shared" ref="O2024:O2087" si="12131">VLOOKUP($A2024,hospital_details,5,0)</f>
        <v>2979.52</v>
      </c>
      <c r="P2024" s="5" t="str">
        <f t="shared" ref="P2024:P2087" si="12132">VLOOKUP($A2024,hospital_details,6,0)</f>
        <v>tier - 2</v>
      </c>
      <c r="Q2024" s="5" t="str">
        <f t="shared" ref="Q2024:Q2087" si="12133">VLOOKUP($A2024,hospital_details,7,0)</f>
        <v>tier - 3</v>
      </c>
      <c r="R2024" s="5" t="str">
        <f t="shared" ref="R2024:R2087" si="12134">VLOOKUP($A2024,hospital_details,8,0)</f>
        <v>R1013</v>
      </c>
    </row>
    <row r="2025" spans="1:18" ht="14.4" customHeight="1" x14ac:dyDescent="0.3">
      <c r="A2025" s="7" t="s">
        <v>2045</v>
      </c>
      <c r="B2025" s="7" t="str">
        <f>VLOOKUP($A2025,[1]!Customer_Names[#Data],3,0)</f>
        <v xml:space="preserve">  Kelsey M</v>
      </c>
      <c r="C2025" s="7">
        <v>24.1</v>
      </c>
      <c r="D2025" s="7" t="str" cm="1">
        <f t="array" ref="D2025">_xlfn.IFS(Healthcare!$C2025&lt;18.5,"under weight",Healthcare!$C2025&lt;=24.9,"Normal Weight",Healthcare!$C2025&gt;=25,"overweight",Healthcare!$C2025&gt;=30,"obese")</f>
        <v>Normal Weight</v>
      </c>
      <c r="E2025" s="7">
        <v>4.4000000000000004</v>
      </c>
      <c r="F2025" s="7" t="str" cm="1">
        <f t="array" ref="F2025">_xlfn.IFS(Healthcare!$E2025&lt;5.7,"normal",Healthcare!$E2025&lt;=6.4,"prediabetes",Healthcare!$E2025&gt;=6.5,"diabetes")</f>
        <v>normal</v>
      </c>
      <c r="G2025" s="7" t="s">
        <v>20</v>
      </c>
      <c r="H2025" s="7" t="s">
        <v>19</v>
      </c>
      <c r="I2025" s="7" t="s">
        <v>19</v>
      </c>
      <c r="J2025" s="7">
        <v>1</v>
      </c>
      <c r="K2025" s="7" t="s">
        <v>19</v>
      </c>
      <c r="L2025" s="7" t="str">
        <f>VLOOKUP(Healthcare!$A2025,hospital_details,2,0)</f>
        <v>24-Sep-1995</v>
      </c>
      <c r="M2025" s="7">
        <f t="shared" ref="M2025:M2088" ca="1" si="12135">VLOOKUP(A2025,hospital_details,3,0)</f>
        <v>31</v>
      </c>
      <c r="N2025" s="7">
        <f t="shared" ref="N2025:N2088" si="12136">VLOOKUP($A2025,hospital_details,4,0)</f>
        <v>0</v>
      </c>
      <c r="O2025" s="8">
        <f t="shared" ref="O2025:O2088" si="12137">VLOOKUP($A2025,hospital_details,5,0)</f>
        <v>2974.13</v>
      </c>
      <c r="P2025" s="7" t="str">
        <f t="shared" ref="P2025:P2088" si="12138">VLOOKUP($A2025,hospital_details,6,0)</f>
        <v>tier - 2</v>
      </c>
      <c r="Q2025" s="7" t="str">
        <f t="shared" ref="Q2025:Q2088" si="12139">VLOOKUP($A2025,hospital_details,7,0)</f>
        <v>tier - 1</v>
      </c>
      <c r="R2025" s="7" t="str">
        <f t="shared" ref="R2025:R2088" si="12140">VLOOKUP($A2025,hospital_details,8,0)</f>
        <v>R1011</v>
      </c>
    </row>
    <row r="2026" spans="1:18" ht="14.4" customHeight="1" x14ac:dyDescent="0.3">
      <c r="A2026" s="5" t="s">
        <v>2046</v>
      </c>
      <c r="B2026" s="5" t="str">
        <f>VLOOKUP($A2026,[1]!Customer_Names[#Data],3,0)</f>
        <v xml:space="preserve">  Gretchen</v>
      </c>
      <c r="C2026" s="5">
        <v>29.77</v>
      </c>
      <c r="D2026" s="5" t="str" cm="1">
        <f t="array" ref="D2026">_xlfn.IFS(Healthcare!$C2026&lt;18.5,"under weight",Healthcare!$C2026&lt;=24.9,"Normal Weight",Healthcare!$C2026&gt;=25,"overweight",Healthcare!$C2026&gt;=30,"obese")</f>
        <v>overweight</v>
      </c>
      <c r="E2026" s="5">
        <v>9.9</v>
      </c>
      <c r="F2026" s="5" t="str" cm="1">
        <f t="array" ref="F2026">_xlfn.IFS(Healthcare!$E2026&lt;5.7,"normal",Healthcare!$E2026&lt;=6.4,"prediabetes",Healthcare!$E2026&gt;=6.5,"diabetes")</f>
        <v>diabetes</v>
      </c>
      <c r="G2026" s="5" t="s">
        <v>19</v>
      </c>
      <c r="H2026" s="5" t="s">
        <v>19</v>
      </c>
      <c r="I2026" s="5" t="s">
        <v>19</v>
      </c>
      <c r="J2026" s="5">
        <v>0</v>
      </c>
      <c r="K2026" s="5" t="s">
        <v>19</v>
      </c>
      <c r="L2026" s="5" t="str">
        <f>VLOOKUP(Healthcare!$A2026,hospital_details,2,0)</f>
        <v>30-Sep-2002</v>
      </c>
      <c r="M2026" s="5">
        <f t="shared" ref="M2026:M2089" ca="1" si="12141">VLOOKUP(A2026,hospital_details,3,0)</f>
        <v>24</v>
      </c>
      <c r="N2026" s="5">
        <f t="shared" ref="N2026:N2089" si="12142">VLOOKUP($A2026,hospital_details,4,0)</f>
        <v>0</v>
      </c>
      <c r="O2026" s="6">
        <f t="shared" ref="O2026:O2089" si="12143">VLOOKUP($A2026,hospital_details,5,0)</f>
        <v>2943.41</v>
      </c>
      <c r="P2026" s="5" t="str">
        <f t="shared" ref="P2026:P2089" si="12144">VLOOKUP($A2026,hospital_details,6,0)</f>
        <v>tier - 2</v>
      </c>
      <c r="Q2026" s="5" t="str">
        <f t="shared" ref="Q2026:Q2089" si="12145">VLOOKUP($A2026,hospital_details,7,0)</f>
        <v>tier - 3</v>
      </c>
      <c r="R2026" s="5" t="str">
        <f t="shared" ref="R2026:R2089" si="12146">VLOOKUP($A2026,hospital_details,8,0)</f>
        <v>R1012</v>
      </c>
    </row>
    <row r="2027" spans="1:18" ht="14.4" customHeight="1" x14ac:dyDescent="0.3">
      <c r="A2027" s="7" t="s">
        <v>2047</v>
      </c>
      <c r="B2027" s="7" t="str">
        <f>VLOOKUP($A2027,[1]!Customer_Names[#Data],3,0)</f>
        <v xml:space="preserve">  Nicholas E</v>
      </c>
      <c r="C2027" s="7">
        <v>46.53</v>
      </c>
      <c r="D2027" s="7" t="str" cm="1">
        <f t="array" ref="D2027">_xlfn.IFS(Healthcare!$C2027&lt;18.5,"under weight",Healthcare!$C2027&lt;=24.9,"Normal Weight",Healthcare!$C2027&gt;=25,"overweight",Healthcare!$C2027&gt;=30,"obese")</f>
        <v>overweight</v>
      </c>
      <c r="E2027" s="7">
        <v>4.84</v>
      </c>
      <c r="F2027" s="7" t="str" cm="1">
        <f t="array" ref="F2027">_xlfn.IFS(Healthcare!$E2027&lt;5.7,"normal",Healthcare!$E2027&lt;=6.4,"prediabetes",Healthcare!$E2027&gt;=6.5,"diabetes")</f>
        <v>normal</v>
      </c>
      <c r="G2027" s="7" t="s">
        <v>20</v>
      </c>
      <c r="H2027" s="7" t="s">
        <v>19</v>
      </c>
      <c r="I2027" s="7" t="s">
        <v>19</v>
      </c>
      <c r="J2027" s="7">
        <v>0</v>
      </c>
      <c r="K2027" s="7" t="s">
        <v>19</v>
      </c>
      <c r="L2027" s="7" t="str">
        <f>VLOOKUP(Healthcare!$A2027,hospital_details,2,0)</f>
        <v>30-Jun-1996</v>
      </c>
      <c r="M2027" s="7">
        <f t="shared" ref="M2027:M2090" ca="1" si="12147">VLOOKUP(A2027,hospital_details,3,0)</f>
        <v>30</v>
      </c>
      <c r="N2027" s="7">
        <f t="shared" ref="N2027:N2090" si="12148">VLOOKUP($A2027,hospital_details,4,0)</f>
        <v>1</v>
      </c>
      <c r="O2027" s="8">
        <f t="shared" ref="O2027:O2090" si="12149">VLOOKUP($A2027,hospital_details,5,0)</f>
        <v>2927.06</v>
      </c>
      <c r="P2027" s="7" t="str">
        <f t="shared" ref="P2027:P2090" si="12150">VLOOKUP($A2027,hospital_details,6,0)</f>
        <v>tier - 2</v>
      </c>
      <c r="Q2027" s="7" t="str">
        <f t="shared" ref="Q2027:Q2090" si="12151">VLOOKUP($A2027,hospital_details,7,0)</f>
        <v>tier - 2</v>
      </c>
      <c r="R2027" s="7" t="str">
        <f t="shared" ref="R2027:R2090" si="12152">VLOOKUP($A2027,hospital_details,8,0)</f>
        <v>R1013</v>
      </c>
    </row>
    <row r="2028" spans="1:18" ht="14.4" customHeight="1" x14ac:dyDescent="0.3">
      <c r="A2028" s="5" t="s">
        <v>2048</v>
      </c>
      <c r="B2028" s="5" t="str">
        <f>VLOOKUP($A2028,[1]!Customer_Names[#Data],3,0)</f>
        <v xml:space="preserve">  Deborah</v>
      </c>
      <c r="C2028" s="5">
        <v>23.4</v>
      </c>
      <c r="D2028" s="5" t="str" cm="1">
        <f t="array" ref="D2028">_xlfn.IFS(Healthcare!$C2028&lt;18.5,"under weight",Healthcare!$C2028&lt;=24.9,"Normal Weight",Healthcare!$C2028&gt;=25,"overweight",Healthcare!$C2028&gt;=30,"obese")</f>
        <v>Normal Weight</v>
      </c>
      <c r="E2028" s="5">
        <v>5.53</v>
      </c>
      <c r="F2028" s="5" t="str" cm="1">
        <f t="array" ref="F2028">_xlfn.IFS(Healthcare!$E2028&lt;5.7,"normal",Healthcare!$E2028&lt;=6.4,"prediabetes",Healthcare!$E2028&gt;=6.5,"diabetes")</f>
        <v>normal</v>
      </c>
      <c r="G2028" s="5" t="s">
        <v>19</v>
      </c>
      <c r="H2028" s="5" t="s">
        <v>19</v>
      </c>
      <c r="I2028" s="5" t="s">
        <v>29</v>
      </c>
      <c r="J2028" s="5">
        <v>1</v>
      </c>
      <c r="K2028" s="5" t="s">
        <v>19</v>
      </c>
      <c r="L2028" s="5" t="str">
        <f>VLOOKUP(Healthcare!$A2028,hospital_details,2,0)</f>
        <v>5-Jun-2003</v>
      </c>
      <c r="M2028" s="5">
        <f t="shared" ref="M2028:M2091" ca="1" si="12153">VLOOKUP(A2028,hospital_details,3,0)</f>
        <v>23</v>
      </c>
      <c r="N2028" s="5">
        <f t="shared" ref="N2028:N2091" si="12154">VLOOKUP($A2028,hospital_details,4,0)</f>
        <v>2</v>
      </c>
      <c r="O2028" s="6">
        <f t="shared" ref="O2028:O2091" si="12155">VLOOKUP($A2028,hospital_details,5,0)</f>
        <v>2913.57</v>
      </c>
      <c r="P2028" s="5" t="str">
        <f t="shared" ref="P2028:P2091" si="12156">VLOOKUP($A2028,hospital_details,6,0)</f>
        <v>tier - 2</v>
      </c>
      <c r="Q2028" s="5" t="str">
        <f t="shared" ref="Q2028:Q2091" si="12157">VLOOKUP($A2028,hospital_details,7,0)</f>
        <v>tier - 2</v>
      </c>
      <c r="R2028" s="5" t="str">
        <f t="shared" ref="R2028:R2091" si="12158">VLOOKUP($A2028,hospital_details,8,0)</f>
        <v>R1011</v>
      </c>
    </row>
    <row r="2029" spans="1:18" ht="14.4" customHeight="1" x14ac:dyDescent="0.3">
      <c r="A2029" s="7" t="s">
        <v>2049</v>
      </c>
      <c r="B2029" s="7" t="str">
        <f>VLOOKUP($A2029,[1]!Customer_Names[#Data],3,0)</f>
        <v xml:space="preserve">  Chuck W</v>
      </c>
      <c r="C2029" s="7">
        <v>30</v>
      </c>
      <c r="D2029" s="7" t="str" cm="1">
        <f t="array" ref="D2029">_xlfn.IFS(Healthcare!$C2029&lt;18.5,"under weight",Healthcare!$C2029&lt;=24.9,"Normal Weight",Healthcare!$C2029&gt;=25,"overweight",Healthcare!$C2029&gt;=30,"obese")</f>
        <v>overweight</v>
      </c>
      <c r="E2029" s="7">
        <v>4.33</v>
      </c>
      <c r="F2029" s="7" t="str" cm="1">
        <f t="array" ref="F2029">_xlfn.IFS(Healthcare!$E2029&lt;5.7,"normal",Healthcare!$E2029&lt;=6.4,"prediabetes",Healthcare!$E2029&gt;=6.5,"diabetes")</f>
        <v>normal</v>
      </c>
      <c r="G2029" s="7" t="s">
        <v>20</v>
      </c>
      <c r="H2029" s="7" t="s">
        <v>19</v>
      </c>
      <c r="I2029" s="7" t="s">
        <v>19</v>
      </c>
      <c r="J2029" s="7">
        <v>0</v>
      </c>
      <c r="K2029" s="7" t="s">
        <v>19</v>
      </c>
      <c r="L2029" s="7" t="str">
        <f>VLOOKUP(Healthcare!$A2029,hospital_details,2,0)</f>
        <v>13-Jun-1996</v>
      </c>
      <c r="M2029" s="7">
        <f t="shared" ref="M2029:M2092" ca="1" si="12159">VLOOKUP(A2029,hospital_details,3,0)</f>
        <v>30</v>
      </c>
      <c r="N2029" s="7">
        <f t="shared" ref="N2029:N2092" si="12160">VLOOKUP($A2029,hospital_details,4,0)</f>
        <v>1</v>
      </c>
      <c r="O2029" s="8">
        <f t="shared" ref="O2029:O2092" si="12161">VLOOKUP($A2029,hospital_details,5,0)</f>
        <v>2904.09</v>
      </c>
      <c r="P2029" s="7" t="str">
        <f t="shared" ref="P2029:P2092" si="12162">VLOOKUP($A2029,hospital_details,6,0)</f>
        <v>tier - 2</v>
      </c>
      <c r="Q2029" s="7" t="str">
        <f t="shared" ref="Q2029:Q2092" si="12163">VLOOKUP($A2029,hospital_details,7,0)</f>
        <v>tier - 2</v>
      </c>
      <c r="R2029" s="7" t="str">
        <f t="shared" ref="R2029:R2092" si="12164">VLOOKUP($A2029,hospital_details,8,0)</f>
        <v>R1011</v>
      </c>
    </row>
    <row r="2030" spans="1:18" ht="14.4" customHeight="1" x14ac:dyDescent="0.3">
      <c r="A2030" s="5" t="s">
        <v>2050</v>
      </c>
      <c r="B2030" s="5" t="str">
        <f>VLOOKUP($A2030,[1]!Customer_Names[#Data],3,0)</f>
        <v xml:space="preserve">  Daniel</v>
      </c>
      <c r="C2030" s="5">
        <v>29.15</v>
      </c>
      <c r="D2030" s="5" t="str" cm="1">
        <f t="array" ref="D2030">_xlfn.IFS(Healthcare!$C2030&lt;18.5,"under weight",Healthcare!$C2030&lt;=24.9,"Normal Weight",Healthcare!$C2030&gt;=25,"overweight",Healthcare!$C2030&gt;=30,"obese")</f>
        <v>overweight</v>
      </c>
      <c r="E2030" s="5">
        <v>4.91</v>
      </c>
      <c r="F2030" s="5" t="str" cm="1">
        <f t="array" ref="F2030">_xlfn.IFS(Healthcare!$E2030&lt;5.7,"normal",Healthcare!$E2030&lt;=6.4,"prediabetes",Healthcare!$E2030&gt;=6.5,"diabetes")</f>
        <v>normal</v>
      </c>
      <c r="G2030" s="5" t="s">
        <v>20</v>
      </c>
      <c r="H2030" s="5" t="s">
        <v>19</v>
      </c>
      <c r="I2030" s="5" t="s">
        <v>19</v>
      </c>
      <c r="J2030" s="5">
        <v>0</v>
      </c>
      <c r="K2030" s="5" t="s">
        <v>19</v>
      </c>
      <c r="L2030" s="5" t="str">
        <f>VLOOKUP(Healthcare!$A2030,hospital_details,2,0)</f>
        <v>24-Oct-1996</v>
      </c>
      <c r="M2030" s="5">
        <f t="shared" ref="M2030:M2093" ca="1" si="12165">VLOOKUP(A2030,hospital_details,3,0)</f>
        <v>29</v>
      </c>
      <c r="N2030" s="5">
        <f t="shared" ref="N2030:N2093" si="12166">VLOOKUP($A2030,hospital_details,4,0)</f>
        <v>1</v>
      </c>
      <c r="O2030" s="6">
        <f t="shared" ref="O2030:O2093" si="12167">VLOOKUP($A2030,hospital_details,5,0)</f>
        <v>2902.91</v>
      </c>
      <c r="P2030" s="5" t="str">
        <f t="shared" ref="P2030:P2093" si="12168">VLOOKUP($A2030,hospital_details,6,0)</f>
        <v>tier - 2</v>
      </c>
      <c r="Q2030" s="5" t="str">
        <f t="shared" ref="Q2030:Q2093" si="12169">VLOOKUP($A2030,hospital_details,7,0)</f>
        <v>tier - 2</v>
      </c>
      <c r="R2030" s="5" t="str">
        <f t="shared" ref="R2030:R2093" si="12170">VLOOKUP($A2030,hospital_details,8,0)</f>
        <v>R1013</v>
      </c>
    </row>
    <row r="2031" spans="1:18" ht="14.4" customHeight="1" x14ac:dyDescent="0.3">
      <c r="A2031" s="7" t="s">
        <v>2051</v>
      </c>
      <c r="B2031" s="7" t="str">
        <f>VLOOKUP($A2031,[1]!Customer_Names[#Data],3,0)</f>
        <v xml:space="preserve">  Amany</v>
      </c>
      <c r="C2031" s="7">
        <v>34.865000000000002</v>
      </c>
      <c r="D2031" s="7" t="str" cm="1">
        <f t="array" ref="D2031">_xlfn.IFS(Healthcare!$C2031&lt;18.5,"under weight",Healthcare!$C2031&lt;=24.9,"Normal Weight",Healthcare!$C2031&gt;=25,"overweight",Healthcare!$C2031&gt;=30,"obese")</f>
        <v>overweight</v>
      </c>
      <c r="E2031" s="7">
        <v>4.8</v>
      </c>
      <c r="F2031" s="7" t="str" cm="1">
        <f t="array" ref="F2031">_xlfn.IFS(Healthcare!$E2031&lt;5.7,"normal",Healthcare!$E2031&lt;=6.4,"prediabetes",Healthcare!$E2031&gt;=6.5,"diabetes")</f>
        <v>normal</v>
      </c>
      <c r="G2031" s="7" t="s">
        <v>19</v>
      </c>
      <c r="H2031" s="7" t="s">
        <v>19</v>
      </c>
      <c r="I2031" s="7" t="s">
        <v>19</v>
      </c>
      <c r="J2031" s="7">
        <v>0</v>
      </c>
      <c r="K2031" s="7" t="s">
        <v>19</v>
      </c>
      <c r="L2031" s="7" t="str">
        <f>VLOOKUP(Healthcare!$A2031,hospital_details,2,0)</f>
        <v>1-Nov-1999</v>
      </c>
      <c r="M2031" s="7">
        <f t="shared" ref="M2031:M2094" ca="1" si="12171">VLOOKUP(A2031,hospital_details,3,0)</f>
        <v>26</v>
      </c>
      <c r="N2031" s="7">
        <f t="shared" ref="N2031:N2094" si="12172">VLOOKUP($A2031,hospital_details,4,0)</f>
        <v>0</v>
      </c>
      <c r="O2031" s="8">
        <f t="shared" ref="O2031:O2094" si="12173">VLOOKUP($A2031,hospital_details,5,0)</f>
        <v>2899.49</v>
      </c>
      <c r="P2031" s="7" t="str">
        <f t="shared" ref="P2031:P2094" si="12174">VLOOKUP($A2031,hospital_details,6,0)</f>
        <v>tier - 2</v>
      </c>
      <c r="Q2031" s="7" t="str">
        <f t="shared" ref="Q2031:Q2094" si="12175">VLOOKUP($A2031,hospital_details,7,0)</f>
        <v>tier - 2</v>
      </c>
      <c r="R2031" s="7" t="str">
        <f t="shared" ref="R2031:R2094" si="12176">VLOOKUP($A2031,hospital_details,8,0)</f>
        <v>R1024</v>
      </c>
    </row>
    <row r="2032" spans="1:18" ht="14.4" customHeight="1" x14ac:dyDescent="0.3">
      <c r="A2032" s="5" t="s">
        <v>2052</v>
      </c>
      <c r="B2032" s="5" t="str">
        <f>VLOOKUP($A2032,[1]!Customer_Names[#Data],3,0)</f>
        <v xml:space="preserve">  Kipling</v>
      </c>
      <c r="C2032" s="5">
        <v>28.12</v>
      </c>
      <c r="D2032" s="5" t="str" cm="1">
        <f t="array" ref="D2032">_xlfn.IFS(Healthcare!$C2032&lt;18.5,"under weight",Healthcare!$C2032&lt;=24.9,"Normal Weight",Healthcare!$C2032&gt;=25,"overweight",Healthcare!$C2032&gt;=30,"obese")</f>
        <v>overweight</v>
      </c>
      <c r="E2032" s="5">
        <v>5.55</v>
      </c>
      <c r="F2032" s="5" t="str" cm="1">
        <f t="array" ref="F2032">_xlfn.IFS(Healthcare!$E2032&lt;5.7,"normal",Healthcare!$E2032&lt;=6.4,"prediabetes",Healthcare!$E2032&gt;=6.5,"diabetes")</f>
        <v>normal</v>
      </c>
      <c r="G2032" s="5" t="s">
        <v>20</v>
      </c>
      <c r="H2032" s="5" t="s">
        <v>20</v>
      </c>
      <c r="I2032" s="5" t="s">
        <v>19</v>
      </c>
      <c r="J2032" s="5">
        <v>2</v>
      </c>
      <c r="K2032" s="5" t="s">
        <v>19</v>
      </c>
      <c r="L2032" s="5" t="str">
        <f>VLOOKUP(Healthcare!$A2032,hospital_details,2,0)</f>
        <v>14-Jul-2000</v>
      </c>
      <c r="M2032" s="5">
        <f t="shared" ref="M2032:M2095" ca="1" si="12177">VLOOKUP(A2032,hospital_details,3,0)</f>
        <v>26</v>
      </c>
      <c r="N2032" s="5">
        <f t="shared" ref="N2032:N2095" si="12178">VLOOKUP($A2032,hospital_details,4,0)</f>
        <v>0</v>
      </c>
      <c r="O2032" s="6">
        <f t="shared" ref="O2032:O2095" si="12179">VLOOKUP($A2032,hospital_details,5,0)</f>
        <v>2897.46</v>
      </c>
      <c r="P2032" s="5" t="str">
        <f t="shared" ref="P2032:P2095" si="12180">VLOOKUP($A2032,hospital_details,6,0)</f>
        <v>tier - 2</v>
      </c>
      <c r="Q2032" s="5" t="str">
        <f t="shared" ref="Q2032:Q2095" si="12181">VLOOKUP($A2032,hospital_details,7,0)</f>
        <v>tier - 1</v>
      </c>
      <c r="R2032" s="5" t="str">
        <f t="shared" ref="R2032:R2095" si="12182">VLOOKUP($A2032,hospital_details,8,0)</f>
        <v>R1012</v>
      </c>
    </row>
    <row r="2033" spans="1:18" ht="14.4" customHeight="1" x14ac:dyDescent="0.3">
      <c r="A2033" s="7" t="s">
        <v>2053</v>
      </c>
      <c r="B2033" s="7" t="str">
        <f>VLOOKUP($A2033,[1]!Customer_Names[#Data],3,0)</f>
        <v xml:space="preserve">  Duncan</v>
      </c>
      <c r="C2033" s="7">
        <v>29.45</v>
      </c>
      <c r="D2033" s="7" t="str" cm="1">
        <f t="array" ref="D2033">_xlfn.IFS(Healthcare!$C2033&lt;18.5,"under weight",Healthcare!$C2033&lt;=24.9,"Normal Weight",Healthcare!$C2033&gt;=25,"overweight",Healthcare!$C2033&gt;=30,"obese")</f>
        <v>overweight</v>
      </c>
      <c r="E2033" s="7">
        <v>5.24</v>
      </c>
      <c r="F2033" s="7" t="str" cm="1">
        <f t="array" ref="F2033">_xlfn.IFS(Healthcare!$E2033&lt;5.7,"normal",Healthcare!$E2033&lt;=6.4,"prediabetes",Healthcare!$E2033&gt;=6.5,"diabetes")</f>
        <v>normal</v>
      </c>
      <c r="G2033" s="7" t="s">
        <v>20</v>
      </c>
      <c r="H2033" s="7" t="s">
        <v>19</v>
      </c>
      <c r="I2033" s="7" t="s">
        <v>19</v>
      </c>
      <c r="J2033" s="7">
        <v>0</v>
      </c>
      <c r="K2033" s="7" t="s">
        <v>19</v>
      </c>
      <c r="L2033" s="7" t="str">
        <f>VLOOKUP(Healthcare!$A2033,hospital_details,2,0)</f>
        <v>21-Jun-1996</v>
      </c>
      <c r="M2033" s="7">
        <f t="shared" ref="M2033:M2096" ca="1" si="12183">VLOOKUP(A2033,hospital_details,3,0)</f>
        <v>30</v>
      </c>
      <c r="N2033" s="7">
        <f t="shared" ref="N2033:N2096" si="12184">VLOOKUP($A2033,hospital_details,4,0)</f>
        <v>0</v>
      </c>
      <c r="O2033" s="8">
        <f t="shared" ref="O2033:O2096" si="12185">VLOOKUP($A2033,hospital_details,5,0)</f>
        <v>2897.32</v>
      </c>
      <c r="P2033" s="7" t="str">
        <f t="shared" ref="P2033:P2096" si="12186">VLOOKUP($A2033,hospital_details,6,0)</f>
        <v>tier - 3</v>
      </c>
      <c r="Q2033" s="7" t="str">
        <f t="shared" ref="Q2033:Q2096" si="12187">VLOOKUP($A2033,hospital_details,7,0)</f>
        <v>tier - 3</v>
      </c>
      <c r="R2033" s="7" t="str">
        <f t="shared" ref="R2033:R2096" si="12188">VLOOKUP($A2033,hospital_details,8,0)</f>
        <v>R1016</v>
      </c>
    </row>
    <row r="2034" spans="1:18" ht="14.4" customHeight="1" x14ac:dyDescent="0.3">
      <c r="A2034" s="5" t="s">
        <v>2054</v>
      </c>
      <c r="B2034" s="5" t="str">
        <f>VLOOKUP($A2034,[1]!Customer_Names[#Data],3,0)</f>
        <v xml:space="preserve">  Louis C</v>
      </c>
      <c r="C2034" s="5">
        <v>27.94</v>
      </c>
      <c r="D2034" s="5" t="str" cm="1">
        <f t="array" ref="D2034">_xlfn.IFS(Healthcare!$C2034&lt;18.5,"under weight",Healthcare!$C2034&lt;=24.9,"Normal Weight",Healthcare!$C2034&gt;=25,"overweight",Healthcare!$C2034&gt;=30,"obese")</f>
        <v>overweight</v>
      </c>
      <c r="E2034" s="5">
        <v>6.08</v>
      </c>
      <c r="F2034" s="5" t="str" cm="1">
        <f t="array" ref="F2034">_xlfn.IFS(Healthcare!$E2034&lt;5.7,"normal",Healthcare!$E2034&lt;=6.4,"prediabetes",Healthcare!$E2034&gt;=6.5,"diabetes")</f>
        <v>prediabetes</v>
      </c>
      <c r="G2034" s="5" t="s">
        <v>19</v>
      </c>
      <c r="H2034" s="5" t="s">
        <v>19</v>
      </c>
      <c r="I2034" s="5" t="s">
        <v>29</v>
      </c>
      <c r="J2034" s="5">
        <v>1</v>
      </c>
      <c r="K2034" s="5" t="s">
        <v>19</v>
      </c>
      <c r="L2034" s="5" t="str">
        <f>VLOOKUP(Healthcare!$A2034,hospital_details,2,0)</f>
        <v>12-Aug-1993</v>
      </c>
      <c r="M2034" s="5">
        <f t="shared" ref="M2034:M2097" ca="1" si="12189">VLOOKUP(A2034,hospital_details,3,0)</f>
        <v>33</v>
      </c>
      <c r="N2034" s="5">
        <f t="shared" ref="N2034:N2097" si="12190">VLOOKUP($A2034,hospital_details,4,0)</f>
        <v>0</v>
      </c>
      <c r="O2034" s="6">
        <f t="shared" ref="O2034:O2097" si="12191">VLOOKUP($A2034,hospital_details,5,0)</f>
        <v>2867.12</v>
      </c>
      <c r="P2034" s="5" t="str">
        <f t="shared" ref="P2034:P2097" si="12192">VLOOKUP($A2034,hospital_details,6,0)</f>
        <v>tier - 1</v>
      </c>
      <c r="Q2034" s="5" t="str">
        <f t="shared" ref="Q2034:Q2097" si="12193">VLOOKUP($A2034,hospital_details,7,0)</f>
        <v>tier - 3</v>
      </c>
      <c r="R2034" s="5" t="str">
        <f t="shared" ref="R2034:R2097" si="12194">VLOOKUP($A2034,hospital_details,8,0)</f>
        <v>R1013</v>
      </c>
    </row>
    <row r="2035" spans="1:18" ht="14.4" customHeight="1" x14ac:dyDescent="0.3">
      <c r="A2035" s="7" t="s">
        <v>2055</v>
      </c>
      <c r="B2035" s="7" t="str">
        <f>VLOOKUP($A2035,[1]!Customer_Names[#Data],3,0)</f>
        <v xml:space="preserve">  Daniel J</v>
      </c>
      <c r="C2035" s="7">
        <v>27.2</v>
      </c>
      <c r="D2035" s="7" t="str" cm="1">
        <f t="array" ref="D2035">_xlfn.IFS(Healthcare!$C2035&lt;18.5,"under weight",Healthcare!$C2035&lt;=24.9,"Normal Weight",Healthcare!$C2035&gt;=25,"overweight",Healthcare!$C2035&gt;=30,"obese")</f>
        <v>overweight</v>
      </c>
      <c r="E2035" s="7">
        <v>5.83</v>
      </c>
      <c r="F2035" s="7" t="str" cm="1">
        <f t="array" ref="F2035">_xlfn.IFS(Healthcare!$E2035&lt;5.7,"normal",Healthcare!$E2035&lt;=6.4,"prediabetes",Healthcare!$E2035&gt;=6.5,"diabetes")</f>
        <v>prediabetes</v>
      </c>
      <c r="G2035" s="7" t="s">
        <v>19</v>
      </c>
      <c r="H2035" s="7" t="s">
        <v>19</v>
      </c>
      <c r="I2035" s="7" t="s">
        <v>29</v>
      </c>
      <c r="J2035" s="7">
        <v>1</v>
      </c>
      <c r="K2035" s="7" t="s">
        <v>19</v>
      </c>
      <c r="L2035" s="7" t="str">
        <f>VLOOKUP(Healthcare!$A2035,hospital_details,2,0)</f>
        <v>1-Nov-1993</v>
      </c>
      <c r="M2035" s="7">
        <f t="shared" ref="M2035:M2098" ca="1" si="12195">VLOOKUP(A2035,hospital_details,3,0)</f>
        <v>32</v>
      </c>
      <c r="N2035" s="7">
        <f t="shared" ref="N2035:N2098" si="12196">VLOOKUP($A2035,hospital_details,4,0)</f>
        <v>0</v>
      </c>
      <c r="O2035" s="8">
        <f t="shared" ref="O2035:O2098" si="12197">VLOOKUP($A2035,hospital_details,5,0)</f>
        <v>2866.09</v>
      </c>
      <c r="P2035" s="7" t="str">
        <f t="shared" ref="P2035:P2098" si="12198">VLOOKUP($A2035,hospital_details,6,0)</f>
        <v>tier - 3</v>
      </c>
      <c r="Q2035" s="7" t="str">
        <f t="shared" ref="Q2035:Q2098" si="12199">VLOOKUP($A2035,hospital_details,7,0)</f>
        <v>tier - 3</v>
      </c>
      <c r="R2035" s="7" t="str">
        <f t="shared" ref="R2035:R2098" si="12200">VLOOKUP($A2035,hospital_details,8,0)</f>
        <v>R1011</v>
      </c>
    </row>
    <row r="2036" spans="1:18" ht="14.4" customHeight="1" x14ac:dyDescent="0.3">
      <c r="A2036" s="5" t="s">
        <v>2056</v>
      </c>
      <c r="B2036" s="5" t="str">
        <f>VLOOKUP($A2036,[1]!Customer_Names[#Data],3,0)</f>
        <v xml:space="preserve">  Ildiko M</v>
      </c>
      <c r="C2036" s="5">
        <v>33.344999999999999</v>
      </c>
      <c r="D2036" s="5" t="str" cm="1">
        <f t="array" ref="D2036">_xlfn.IFS(Healthcare!$C2036&lt;18.5,"under weight",Healthcare!$C2036&lt;=24.9,"Normal Weight",Healthcare!$C2036&gt;=25,"overweight",Healthcare!$C2036&gt;=30,"obese")</f>
        <v>overweight</v>
      </c>
      <c r="E2036" s="5">
        <v>4.29</v>
      </c>
      <c r="F2036" s="5" t="str" cm="1">
        <f t="array" ref="F2036">_xlfn.IFS(Healthcare!$E2036&lt;5.7,"normal",Healthcare!$E2036&lt;=6.4,"prediabetes",Healthcare!$E2036&gt;=6.5,"diabetes")</f>
        <v>normal</v>
      </c>
      <c r="G2036" s="5" t="s">
        <v>19</v>
      </c>
      <c r="H2036" s="5" t="s">
        <v>19</v>
      </c>
      <c r="I2036" s="5" t="s">
        <v>19</v>
      </c>
      <c r="J2036" s="5">
        <v>1</v>
      </c>
      <c r="K2036" s="5" t="s">
        <v>19</v>
      </c>
      <c r="L2036" s="5" t="str">
        <f>VLOOKUP(Healthcare!$A2036,hospital_details,2,0)</f>
        <v>4-Sep-1998</v>
      </c>
      <c r="M2036" s="5">
        <f t="shared" ref="M2036:M2099" ca="1" si="12201">VLOOKUP(A2036,hospital_details,3,0)</f>
        <v>28</v>
      </c>
      <c r="N2036" s="5">
        <f t="shared" ref="N2036:N2099" si="12202">VLOOKUP($A2036,hospital_details,4,0)</f>
        <v>0</v>
      </c>
      <c r="O2036" s="6">
        <f t="shared" ref="O2036:O2099" si="12203">VLOOKUP($A2036,hospital_details,5,0)</f>
        <v>2855.44</v>
      </c>
      <c r="P2036" s="5" t="str">
        <f t="shared" ref="P2036:P2099" si="12204">VLOOKUP($A2036,hospital_details,6,0)</f>
        <v>tier - 2</v>
      </c>
      <c r="Q2036" s="5" t="str">
        <f t="shared" ref="Q2036:Q2099" si="12205">VLOOKUP($A2036,hospital_details,7,0)</f>
        <v>tier - 3</v>
      </c>
      <c r="R2036" s="5" t="str">
        <f t="shared" ref="R2036:R2099" si="12206">VLOOKUP($A2036,hospital_details,8,0)</f>
        <v>R1012</v>
      </c>
    </row>
    <row r="2037" spans="1:18" ht="14.4" customHeight="1" x14ac:dyDescent="0.3">
      <c r="A2037" s="7" t="s">
        <v>2057</v>
      </c>
      <c r="B2037" s="7" t="str">
        <f>VLOOKUP($A2037,[1]!Customer_Names[#Data],3,0)</f>
        <v xml:space="preserve">  Melinda E</v>
      </c>
      <c r="C2037" s="7">
        <v>29.925000000000001</v>
      </c>
      <c r="D2037" s="7" t="str" cm="1">
        <f t="array" ref="D2037">_xlfn.IFS(Healthcare!$C2037&lt;18.5,"under weight",Healthcare!$C2037&lt;=24.9,"Normal Weight",Healthcare!$C2037&gt;=25,"overweight",Healthcare!$C2037&gt;=30,"obese")</f>
        <v>overweight</v>
      </c>
      <c r="E2037" s="7">
        <v>5.3</v>
      </c>
      <c r="F2037" s="7" t="str" cm="1">
        <f t="array" ref="F2037">_xlfn.IFS(Healthcare!$E2037&lt;5.7,"normal",Healthcare!$E2037&lt;=6.4,"prediabetes",Healthcare!$E2037&gt;=6.5,"diabetes")</f>
        <v>normal</v>
      </c>
      <c r="G2037" s="7" t="s">
        <v>19</v>
      </c>
      <c r="H2037" s="7" t="s">
        <v>19</v>
      </c>
      <c r="I2037" s="7" t="s">
        <v>19</v>
      </c>
      <c r="J2037" s="7">
        <v>1</v>
      </c>
      <c r="K2037" s="7" t="s">
        <v>19</v>
      </c>
      <c r="L2037" s="7" t="str">
        <f>VLOOKUP(Healthcare!$A2037,hospital_details,2,0)</f>
        <v>17-Jun-1998</v>
      </c>
      <c r="M2037" s="7">
        <f t="shared" ref="M2037:M2100" ca="1" si="12207">VLOOKUP(A2037,hospital_details,3,0)</f>
        <v>28</v>
      </c>
      <c r="N2037" s="7">
        <f t="shared" ref="N2037:N2100" si="12208">VLOOKUP($A2037,hospital_details,4,0)</f>
        <v>0</v>
      </c>
      <c r="O2037" s="8">
        <f t="shared" ref="O2037:O2100" si="12209">VLOOKUP($A2037,hospital_details,5,0)</f>
        <v>2850.68</v>
      </c>
      <c r="P2037" s="7" t="str">
        <f t="shared" ref="P2037:P2100" si="12210">VLOOKUP($A2037,hospital_details,6,0)</f>
        <v>tier - 2</v>
      </c>
      <c r="Q2037" s="7" t="str">
        <f t="shared" ref="Q2037:Q2100" si="12211">VLOOKUP($A2037,hospital_details,7,0)</f>
        <v>tier - 3</v>
      </c>
      <c r="R2037" s="7" t="str">
        <f t="shared" ref="R2037:R2100" si="12212">VLOOKUP($A2037,hospital_details,8,0)</f>
        <v>R1012</v>
      </c>
    </row>
    <row r="2038" spans="1:18" ht="14.4" customHeight="1" x14ac:dyDescent="0.3">
      <c r="A2038" s="5" t="s">
        <v>2058</v>
      </c>
      <c r="B2038" s="5" t="str">
        <f>VLOOKUP($A2038,[1]!Customer_Names[#Data],3,0)</f>
        <v xml:space="preserve">  Ashley M</v>
      </c>
      <c r="C2038" s="5">
        <v>24.225000000000001</v>
      </c>
      <c r="D2038" s="5" t="str" cm="1">
        <f t="array" ref="D2038">_xlfn.IFS(Healthcare!$C2038&lt;18.5,"under weight",Healthcare!$C2038&lt;=24.9,"Normal Weight",Healthcare!$C2038&gt;=25,"overweight",Healthcare!$C2038&gt;=30,"obese")</f>
        <v>Normal Weight</v>
      </c>
      <c r="E2038" s="5">
        <v>4.42</v>
      </c>
      <c r="F2038" s="5" t="str" cm="1">
        <f t="array" ref="F2038">_xlfn.IFS(Healthcare!$E2038&lt;5.7,"normal",Healthcare!$E2038&lt;=6.4,"prediabetes",Healthcare!$E2038&gt;=6.5,"diabetes")</f>
        <v>normal</v>
      </c>
      <c r="G2038" s="5" t="s">
        <v>19</v>
      </c>
      <c r="H2038" s="5" t="s">
        <v>19</v>
      </c>
      <c r="I2038" s="5" t="s">
        <v>19</v>
      </c>
      <c r="J2038" s="5">
        <v>1</v>
      </c>
      <c r="K2038" s="5" t="s">
        <v>19</v>
      </c>
      <c r="L2038" s="5" t="str">
        <f>VLOOKUP(Healthcare!$A2038,hospital_details,2,0)</f>
        <v>15-Nov-1998</v>
      </c>
      <c r="M2038" s="5">
        <f t="shared" ref="M2038:M2101" ca="1" si="12213">VLOOKUP(A2038,hospital_details,3,0)</f>
        <v>27</v>
      </c>
      <c r="N2038" s="5">
        <f t="shared" ref="N2038:N2101" si="12214">VLOOKUP($A2038,hospital_details,4,0)</f>
        <v>0</v>
      </c>
      <c r="O2038" s="6">
        <f t="shared" ref="O2038:O2101" si="12215">VLOOKUP($A2038,hospital_details,5,0)</f>
        <v>2842.76</v>
      </c>
      <c r="P2038" s="5" t="str">
        <f t="shared" ref="P2038:P2101" si="12216">VLOOKUP($A2038,hospital_details,6,0)</f>
        <v>tier - 2</v>
      </c>
      <c r="Q2038" s="5" t="str">
        <f t="shared" ref="Q2038:Q2101" si="12217">VLOOKUP($A2038,hospital_details,7,0)</f>
        <v>tier - 3</v>
      </c>
      <c r="R2038" s="5" t="str">
        <f t="shared" ref="R2038:R2101" si="12218">VLOOKUP($A2038,hospital_details,8,0)</f>
        <v>R1012</v>
      </c>
    </row>
    <row r="2039" spans="1:18" ht="14.4" customHeight="1" x14ac:dyDescent="0.3">
      <c r="A2039" s="7" t="s">
        <v>2059</v>
      </c>
      <c r="B2039" s="7" t="str">
        <f>VLOOKUP($A2039,[1]!Customer_Names[#Data],3,0)</f>
        <v xml:space="preserve">  Stephanie</v>
      </c>
      <c r="C2039" s="7">
        <v>29.68</v>
      </c>
      <c r="D2039" s="7" t="str" cm="1">
        <f t="array" ref="D2039">_xlfn.IFS(Healthcare!$C2039&lt;18.5,"under weight",Healthcare!$C2039&lt;=24.9,"Normal Weight",Healthcare!$C2039&gt;=25,"overweight",Healthcare!$C2039&gt;=30,"obese")</f>
        <v>overweight</v>
      </c>
      <c r="E2039" s="7">
        <v>5.68</v>
      </c>
      <c r="F2039" s="7" t="str" cm="1">
        <f t="array" ref="F2039">_xlfn.IFS(Healthcare!$E2039&lt;5.7,"normal",Healthcare!$E2039&lt;=6.4,"prediabetes",Healthcare!$E2039&gt;=6.5,"diabetes")</f>
        <v>normal</v>
      </c>
      <c r="G2039" s="7" t="s">
        <v>19</v>
      </c>
      <c r="H2039" s="7" t="s">
        <v>20</v>
      </c>
      <c r="I2039" s="7" t="s">
        <v>19</v>
      </c>
      <c r="J2039" s="7">
        <v>1</v>
      </c>
      <c r="K2039" s="7" t="s">
        <v>19</v>
      </c>
      <c r="L2039" s="7" t="str">
        <f>VLOOKUP(Healthcare!$A2039,hospital_details,2,0)</f>
        <v>1-Oct-2000</v>
      </c>
      <c r="M2039" s="7">
        <f t="shared" ref="M2039:M2102" ca="1" si="12219">VLOOKUP(A2039,hospital_details,3,0)</f>
        <v>26</v>
      </c>
      <c r="N2039" s="7">
        <f t="shared" ref="N2039:N2102" si="12220">VLOOKUP($A2039,hospital_details,4,0)</f>
        <v>0</v>
      </c>
      <c r="O2039" s="8">
        <f t="shared" ref="O2039:O2102" si="12221">VLOOKUP($A2039,hospital_details,5,0)</f>
        <v>2819.51</v>
      </c>
      <c r="P2039" s="7" t="str">
        <f t="shared" ref="P2039:P2102" si="12222">VLOOKUP($A2039,hospital_details,6,0)</f>
        <v>tier - 2</v>
      </c>
      <c r="Q2039" s="7" t="str">
        <f t="shared" ref="Q2039:Q2102" si="12223">VLOOKUP($A2039,hospital_details,7,0)</f>
        <v>tier - 3</v>
      </c>
      <c r="R2039" s="7" t="str">
        <f t="shared" ref="R2039:R2102" si="12224">VLOOKUP($A2039,hospital_details,8,0)</f>
        <v>R1011</v>
      </c>
    </row>
    <row r="2040" spans="1:18" ht="14.4" customHeight="1" x14ac:dyDescent="0.3">
      <c r="A2040" s="5" t="s">
        <v>2060</v>
      </c>
      <c r="B2040" s="5" t="str">
        <f>VLOOKUP($A2040,[1]!Customer_Names[#Data],3,0)</f>
        <v xml:space="preserve">  Sean P</v>
      </c>
      <c r="C2040" s="5">
        <v>20.614999999999998</v>
      </c>
      <c r="D2040" s="5" t="str" cm="1">
        <f t="array" ref="D2040">_xlfn.IFS(Healthcare!$C2040&lt;18.5,"under weight",Healthcare!$C2040&lt;=24.9,"Normal Weight",Healthcare!$C2040&gt;=25,"overweight",Healthcare!$C2040&gt;=30,"obese")</f>
        <v>Normal Weight</v>
      </c>
      <c r="E2040" s="5">
        <v>6.05</v>
      </c>
      <c r="F2040" s="5" t="str" cm="1">
        <f t="array" ref="F2040">_xlfn.IFS(Healthcare!$E2040&lt;5.7,"normal",Healthcare!$E2040&lt;=6.4,"prediabetes",Healthcare!$E2040&gt;=6.5,"diabetes")</f>
        <v>prediabetes</v>
      </c>
      <c r="G2040" s="5" t="s">
        <v>19</v>
      </c>
      <c r="H2040" s="5" t="s">
        <v>19</v>
      </c>
      <c r="I2040" s="5" t="s">
        <v>29</v>
      </c>
      <c r="J2040" s="5">
        <v>1</v>
      </c>
      <c r="K2040" s="5" t="s">
        <v>19</v>
      </c>
      <c r="L2040" s="5" t="str">
        <f>VLOOKUP(Healthcare!$A2040,hospital_details,2,0)</f>
        <v>23-Sep-2003</v>
      </c>
      <c r="M2040" s="5">
        <f t="shared" ref="M2040:M2103" ca="1" si="12225">VLOOKUP(A2040,hospital_details,3,0)</f>
        <v>23</v>
      </c>
      <c r="N2040" s="5">
        <f t="shared" ref="N2040:N2103" si="12226">VLOOKUP($A2040,hospital_details,4,0)</f>
        <v>2</v>
      </c>
      <c r="O2040" s="6">
        <f t="shared" ref="O2040:O2103" si="12227">VLOOKUP($A2040,hospital_details,5,0)</f>
        <v>2803.7</v>
      </c>
      <c r="P2040" s="5" t="str">
        <f t="shared" ref="P2040:P2103" si="12228">VLOOKUP($A2040,hospital_details,6,0)</f>
        <v>tier - 2</v>
      </c>
      <c r="Q2040" s="5" t="str">
        <f t="shared" ref="Q2040:Q2103" si="12229">VLOOKUP($A2040,hospital_details,7,0)</f>
        <v>tier - 1</v>
      </c>
      <c r="R2040" s="5" t="str">
        <f t="shared" ref="R2040:R2103" si="12230">VLOOKUP($A2040,hospital_details,8,0)</f>
        <v>R1012</v>
      </c>
    </row>
    <row r="2041" spans="1:18" ht="14.4" customHeight="1" x14ac:dyDescent="0.3">
      <c r="A2041" s="7" t="s">
        <v>2061</v>
      </c>
      <c r="B2041" s="7" t="str">
        <f>VLOOKUP($A2041,[1]!Customer_Names[#Data],3,0)</f>
        <v xml:space="preserve">  Emily G</v>
      </c>
      <c r="C2041" s="7">
        <v>32.119999999999997</v>
      </c>
      <c r="D2041" s="7" t="str" cm="1">
        <f t="array" ref="D2041">_xlfn.IFS(Healthcare!$C2041&lt;18.5,"under weight",Healthcare!$C2041&lt;=24.9,"Normal Weight",Healthcare!$C2041&gt;=25,"overweight",Healthcare!$C2041&gt;=30,"obese")</f>
        <v>overweight</v>
      </c>
      <c r="E2041" s="7">
        <v>5.33</v>
      </c>
      <c r="F2041" s="7" t="str" cm="1">
        <f t="array" ref="F2041">_xlfn.IFS(Healthcare!$E2041&lt;5.7,"normal",Healthcare!$E2041&lt;=6.4,"prediabetes",Healthcare!$E2041&gt;=6.5,"diabetes")</f>
        <v>normal</v>
      </c>
      <c r="G2041" s="7" t="s">
        <v>19</v>
      </c>
      <c r="H2041" s="7" t="s">
        <v>20</v>
      </c>
      <c r="I2041" s="7" t="s">
        <v>19</v>
      </c>
      <c r="J2041" s="7">
        <v>1</v>
      </c>
      <c r="K2041" s="7" t="s">
        <v>19</v>
      </c>
      <c r="L2041" s="7" t="str">
        <f>VLOOKUP(Healthcare!$A2041,hospital_details,2,0)</f>
        <v>4-Aug-2004</v>
      </c>
      <c r="M2041" s="7">
        <f t="shared" ref="M2041:M2104" ca="1" si="12231">VLOOKUP(A2041,hospital_details,3,0)</f>
        <v>22</v>
      </c>
      <c r="N2041" s="7">
        <f t="shared" ref="N2041:N2104" si="12232">VLOOKUP($A2041,hospital_details,4,0)</f>
        <v>2</v>
      </c>
      <c r="O2041" s="8">
        <f t="shared" ref="O2041:O2104" si="12233">VLOOKUP($A2041,hospital_details,5,0)</f>
        <v>2801.26</v>
      </c>
      <c r="P2041" s="7" t="str">
        <f t="shared" ref="P2041:P2104" si="12234">VLOOKUP($A2041,hospital_details,6,0)</f>
        <v>tier - 2</v>
      </c>
      <c r="Q2041" s="7" t="str">
        <f t="shared" ref="Q2041:Q2104" si="12235">VLOOKUP($A2041,hospital_details,7,0)</f>
        <v>tier - 3</v>
      </c>
      <c r="R2041" s="7" t="str">
        <f t="shared" ref="R2041:R2104" si="12236">VLOOKUP($A2041,hospital_details,8,0)</f>
        <v>R1013</v>
      </c>
    </row>
    <row r="2042" spans="1:18" ht="14.4" customHeight="1" x14ac:dyDescent="0.3">
      <c r="A2042" s="5" t="s">
        <v>2062</v>
      </c>
      <c r="B2042" s="5" t="str">
        <f>VLOOKUP($A2042,[1]!Customer_Names[#Data],3,0)</f>
        <v xml:space="preserve">  Malcolm</v>
      </c>
      <c r="C2042" s="5">
        <v>27.36</v>
      </c>
      <c r="D2042" s="5" t="str" cm="1">
        <f t="array" ref="D2042">_xlfn.IFS(Healthcare!$C2042&lt;18.5,"under weight",Healthcare!$C2042&lt;=24.9,"Normal Weight",Healthcare!$C2042&gt;=25,"overweight",Healthcare!$C2042&gt;=30,"obese")</f>
        <v>overweight</v>
      </c>
      <c r="E2042" s="5">
        <v>6.22</v>
      </c>
      <c r="F2042" s="5" t="str" cm="1">
        <f t="array" ref="F2042">_xlfn.IFS(Healthcare!$E2042&lt;5.7,"normal",Healthcare!$E2042&lt;=6.4,"prediabetes",Healthcare!$E2042&gt;=6.5,"diabetes")</f>
        <v>prediabetes</v>
      </c>
      <c r="G2042" s="5" t="s">
        <v>19</v>
      </c>
      <c r="H2042" s="5" t="s">
        <v>19</v>
      </c>
      <c r="I2042" s="5" t="s">
        <v>19</v>
      </c>
      <c r="J2042" s="5">
        <v>0</v>
      </c>
      <c r="K2042" s="5" t="s">
        <v>19</v>
      </c>
      <c r="L2042" s="5" t="str">
        <f>VLOOKUP(Healthcare!$A2042,hospital_details,2,0)</f>
        <v>24-Dec-1999</v>
      </c>
      <c r="M2042" s="5">
        <f t="shared" ref="M2042:M2105" ca="1" si="12237">VLOOKUP(A2042,hospital_details,3,0)</f>
        <v>26</v>
      </c>
      <c r="N2042" s="5">
        <f t="shared" ref="N2042:N2105" si="12238">VLOOKUP($A2042,hospital_details,4,0)</f>
        <v>1</v>
      </c>
      <c r="O2042" s="6">
        <f t="shared" ref="O2042:O2105" si="12239">VLOOKUP($A2042,hospital_details,5,0)</f>
        <v>2789.06</v>
      </c>
      <c r="P2042" s="5" t="str">
        <f t="shared" ref="P2042:P2105" si="12240">VLOOKUP($A2042,hospital_details,6,0)</f>
        <v>tier - 2</v>
      </c>
      <c r="Q2042" s="5" t="str">
        <f t="shared" ref="Q2042:Q2105" si="12241">VLOOKUP($A2042,hospital_details,7,0)</f>
        <v>tier - 3</v>
      </c>
      <c r="R2042" s="5" t="str">
        <f t="shared" ref="R2042:R2105" si="12242">VLOOKUP($A2042,hospital_details,8,0)</f>
        <v>R1012</v>
      </c>
    </row>
    <row r="2043" spans="1:18" ht="14.4" customHeight="1" x14ac:dyDescent="0.3">
      <c r="A2043" s="7" t="s">
        <v>2063</v>
      </c>
      <c r="B2043" s="7" t="str">
        <f>VLOOKUP($A2043,[1]!Customer_Names[#Data],3,0)</f>
        <v xml:space="preserve">  Danilo</v>
      </c>
      <c r="C2043" s="7">
        <v>17.385000000000002</v>
      </c>
      <c r="D2043" s="7" t="str" cm="1">
        <f t="array" ref="D2043">_xlfn.IFS(Healthcare!$C2043&lt;18.5,"under weight",Healthcare!$C2043&lt;=24.9,"Normal Weight",Healthcare!$C2043&gt;=25,"overweight",Healthcare!$C2043&gt;=30,"obese")</f>
        <v>under weight</v>
      </c>
      <c r="E2043" s="7">
        <v>5.84</v>
      </c>
      <c r="F2043" s="7" t="str" cm="1">
        <f t="array" ref="F2043">_xlfn.IFS(Healthcare!$E2043&lt;5.7,"normal",Healthcare!$E2043&lt;=6.4,"prediabetes",Healthcare!$E2043&gt;=6.5,"diabetes")</f>
        <v>prediabetes</v>
      </c>
      <c r="G2043" s="7" t="s">
        <v>19</v>
      </c>
      <c r="H2043" s="7" t="s">
        <v>19</v>
      </c>
      <c r="I2043" s="7" t="s">
        <v>19</v>
      </c>
      <c r="J2043" s="7">
        <v>0</v>
      </c>
      <c r="K2043" s="7" t="s">
        <v>19</v>
      </c>
      <c r="L2043" s="7" t="str">
        <f>VLOOKUP(Healthcare!$A2043,hospital_details,2,0)</f>
        <v>29-Aug-1999</v>
      </c>
      <c r="M2043" s="7">
        <f t="shared" ref="M2043:M2106" ca="1" si="12243">VLOOKUP(A2043,hospital_details,3,0)</f>
        <v>27</v>
      </c>
      <c r="N2043" s="7">
        <f t="shared" ref="N2043:N2106" si="12244">VLOOKUP($A2043,hospital_details,4,0)</f>
        <v>1</v>
      </c>
      <c r="O2043" s="8">
        <f t="shared" ref="O2043:O2106" si="12245">VLOOKUP($A2043,hospital_details,5,0)</f>
        <v>2775.19</v>
      </c>
      <c r="P2043" s="7" t="str">
        <f t="shared" ref="P2043:P2106" si="12246">VLOOKUP($A2043,hospital_details,6,0)</f>
        <v>tier - 2</v>
      </c>
      <c r="Q2043" s="7" t="str">
        <f t="shared" ref="Q2043:Q2106" si="12247">VLOOKUP($A2043,hospital_details,7,0)</f>
        <v>tier - 1</v>
      </c>
      <c r="R2043" s="7" t="str">
        <f t="shared" ref="R2043:R2106" si="12248">VLOOKUP($A2043,hospital_details,8,0)</f>
        <v>R1012</v>
      </c>
    </row>
    <row r="2044" spans="1:18" ht="14.4" customHeight="1" x14ac:dyDescent="0.3">
      <c r="A2044" s="5" t="s">
        <v>2064</v>
      </c>
      <c r="B2044" s="5" t="str">
        <f>VLOOKUP($A2044,[1]!Customer_Names[#Data],3,0)</f>
        <v xml:space="preserve">  Mikko</v>
      </c>
      <c r="C2044" s="5">
        <v>30.13</v>
      </c>
      <c r="D2044" s="5" t="str" cm="1">
        <f t="array" ref="D2044">_xlfn.IFS(Healthcare!$C2044&lt;18.5,"under weight",Healthcare!$C2044&lt;=24.9,"Normal Weight",Healthcare!$C2044&gt;=25,"overweight",Healthcare!$C2044&gt;=30,"obese")</f>
        <v>overweight</v>
      </c>
      <c r="E2044" s="5">
        <v>5.71</v>
      </c>
      <c r="F2044" s="5" t="str" cm="1">
        <f t="array" ref="F2044">_xlfn.IFS(Healthcare!$E2044&lt;5.7,"normal",Healthcare!$E2044&lt;=6.4,"prediabetes",Healthcare!$E2044&gt;=6.5,"diabetes")</f>
        <v>prediabetes</v>
      </c>
      <c r="G2044" s="5" t="s">
        <v>19</v>
      </c>
      <c r="H2044" s="5" t="s">
        <v>20</v>
      </c>
      <c r="I2044" s="5" t="s">
        <v>19</v>
      </c>
      <c r="J2044" s="5">
        <v>1</v>
      </c>
      <c r="K2044" s="5" t="s">
        <v>19</v>
      </c>
      <c r="L2044" s="5" t="str">
        <f>VLOOKUP(Healthcare!$A2044,hospital_details,2,0)</f>
        <v>14-Nov-2004</v>
      </c>
      <c r="M2044" s="5">
        <f t="shared" ref="M2044:M2107" ca="1" si="12249">VLOOKUP(A2044,hospital_details,3,0)</f>
        <v>21</v>
      </c>
      <c r="N2044" s="5">
        <f t="shared" ref="N2044:N2107" si="12250">VLOOKUP($A2044,hospital_details,4,0)</f>
        <v>0</v>
      </c>
      <c r="O2044" s="6">
        <f t="shared" ref="O2044:O2107" si="12251">VLOOKUP($A2044,hospital_details,5,0)</f>
        <v>2773.46</v>
      </c>
      <c r="P2044" s="5" t="str">
        <f t="shared" ref="P2044:P2107" si="12252">VLOOKUP($A2044,hospital_details,6,0)</f>
        <v>tier - 2</v>
      </c>
      <c r="Q2044" s="5" t="str">
        <f t="shared" ref="Q2044:Q2107" si="12253">VLOOKUP($A2044,hospital_details,7,0)</f>
        <v>tier - 1</v>
      </c>
      <c r="R2044" s="5" t="str">
        <f t="shared" ref="R2044:R2107" si="12254">VLOOKUP($A2044,hospital_details,8,0)</f>
        <v>R1021</v>
      </c>
    </row>
    <row r="2045" spans="1:18" ht="14.4" customHeight="1" x14ac:dyDescent="0.3">
      <c r="A2045" s="7" t="s">
        <v>2065</v>
      </c>
      <c r="B2045" s="7" t="str">
        <f>VLOOKUP($A2045,[1]!Customer_Names[#Data],3,0)</f>
        <v xml:space="preserve">  Paula C</v>
      </c>
      <c r="C2045" s="7">
        <v>25.44</v>
      </c>
      <c r="D2045" s="7" t="str" cm="1">
        <f t="array" ref="D2045">_xlfn.IFS(Healthcare!$C2045&lt;18.5,"under weight",Healthcare!$C2045&lt;=24.9,"Normal Weight",Healthcare!$C2045&gt;=25,"overweight",Healthcare!$C2045&gt;=30,"obese")</f>
        <v>overweight</v>
      </c>
      <c r="E2045" s="7">
        <v>6.04</v>
      </c>
      <c r="F2045" s="7" t="str" cm="1">
        <f t="array" ref="F2045">_xlfn.IFS(Healthcare!$E2045&lt;5.7,"normal",Healthcare!$E2045&lt;=6.4,"prediabetes",Healthcare!$E2045&gt;=6.5,"diabetes")</f>
        <v>prediabetes</v>
      </c>
      <c r="G2045" s="7" t="s">
        <v>20</v>
      </c>
      <c r="H2045" s="7" t="s">
        <v>19</v>
      </c>
      <c r="I2045" s="7" t="s">
        <v>29</v>
      </c>
      <c r="J2045" s="7">
        <v>1</v>
      </c>
      <c r="K2045" s="7" t="s">
        <v>19</v>
      </c>
      <c r="L2045" s="7" t="str">
        <f>VLOOKUP(Healthcare!$A2045,hospital_details,2,0)</f>
        <v>10-Aug-1997</v>
      </c>
      <c r="M2045" s="7">
        <f t="shared" ref="M2045:M2108" ca="1" si="12255">VLOOKUP(A2045,hospital_details,3,0)</f>
        <v>29</v>
      </c>
      <c r="N2045" s="7">
        <f t="shared" ref="N2045:N2108" si="12256">VLOOKUP($A2045,hospital_details,4,0)</f>
        <v>0</v>
      </c>
      <c r="O2045" s="8">
        <f t="shared" ref="O2045:O2108" si="12257">VLOOKUP($A2045,hospital_details,5,0)</f>
        <v>2758.99</v>
      </c>
      <c r="P2045" s="7" t="str">
        <f t="shared" ref="P2045:P2108" si="12258">VLOOKUP($A2045,hospital_details,6,0)</f>
        <v>tier - 2</v>
      </c>
      <c r="Q2045" s="7" t="str">
        <f t="shared" ref="Q2045:Q2108" si="12259">VLOOKUP($A2045,hospital_details,7,0)</f>
        <v>tier - 1</v>
      </c>
      <c r="R2045" s="7" t="str">
        <f t="shared" ref="R2045:R2108" si="12260">VLOOKUP($A2045,hospital_details,8,0)</f>
        <v>R1012</v>
      </c>
    </row>
    <row r="2046" spans="1:18" ht="14.4" customHeight="1" x14ac:dyDescent="0.3">
      <c r="A2046" s="5" t="s">
        <v>2066</v>
      </c>
      <c r="B2046" s="5" t="str">
        <f>VLOOKUP($A2046,[1]!Customer_Names[#Data],3,0)</f>
        <v xml:space="preserve">  Kirsten N</v>
      </c>
      <c r="C2046" s="5">
        <v>39.805</v>
      </c>
      <c r="D2046" s="5" t="str" cm="1">
        <f t="array" ref="D2046">_xlfn.IFS(Healthcare!$C2046&lt;18.5,"under weight",Healthcare!$C2046&lt;=24.9,"Normal Weight",Healthcare!$C2046&gt;=25,"overweight",Healthcare!$C2046&gt;=30,"obese")</f>
        <v>overweight</v>
      </c>
      <c r="E2046" s="5">
        <v>4.38</v>
      </c>
      <c r="F2046" s="5" t="str" cm="1">
        <f t="array" ref="F2046">_xlfn.IFS(Healthcare!$E2046&lt;5.7,"normal",Healthcare!$E2046&lt;=6.4,"prediabetes",Healthcare!$E2046&gt;=6.5,"diabetes")</f>
        <v>normal</v>
      </c>
      <c r="G2046" s="5" t="s">
        <v>19</v>
      </c>
      <c r="H2046" s="5" t="s">
        <v>20</v>
      </c>
      <c r="I2046" s="5" t="s">
        <v>19</v>
      </c>
      <c r="J2046" s="5">
        <v>1</v>
      </c>
      <c r="K2046" s="5" t="s">
        <v>19</v>
      </c>
      <c r="L2046" s="5" t="str">
        <f>VLOOKUP(Healthcare!$A2046,hospital_details,2,0)</f>
        <v>11-Oct-2000</v>
      </c>
      <c r="M2046" s="5">
        <f t="shared" ref="M2046:M2109" ca="1" si="12261">VLOOKUP(A2046,hospital_details,3,0)</f>
        <v>26</v>
      </c>
      <c r="N2046" s="5">
        <f t="shared" ref="N2046:N2109" si="12262">VLOOKUP($A2046,hospital_details,4,0)</f>
        <v>0</v>
      </c>
      <c r="O2046" s="6">
        <f t="shared" ref="O2046:O2109" si="12263">VLOOKUP($A2046,hospital_details,5,0)</f>
        <v>2755.02</v>
      </c>
      <c r="P2046" s="5" t="str">
        <f t="shared" ref="P2046:P2109" si="12264">VLOOKUP($A2046,hospital_details,6,0)</f>
        <v>tier - 2</v>
      </c>
      <c r="Q2046" s="5" t="str">
        <f t="shared" ref="Q2046:Q2109" si="12265">VLOOKUP($A2046,hospital_details,7,0)</f>
        <v>tier - 1</v>
      </c>
      <c r="R2046" s="5" t="str">
        <f t="shared" ref="R2046:R2109" si="12266">VLOOKUP($A2046,hospital_details,8,0)</f>
        <v>R1024</v>
      </c>
    </row>
    <row r="2047" spans="1:18" ht="14.4" customHeight="1" x14ac:dyDescent="0.3">
      <c r="A2047" s="7" t="s">
        <v>2067</v>
      </c>
      <c r="B2047" s="7" t="str">
        <f>VLOOKUP($A2047,[1]!Customer_Names[#Data],3,0)</f>
        <v xml:space="preserve">  Christy</v>
      </c>
      <c r="C2047" s="7">
        <v>30.4</v>
      </c>
      <c r="D2047" s="7" t="str" cm="1">
        <f t="array" ref="D2047">_xlfn.IFS(Healthcare!$C2047&lt;18.5,"under weight",Healthcare!$C2047&lt;=24.9,"Normal Weight",Healthcare!$C2047&gt;=25,"overweight",Healthcare!$C2047&gt;=30,"obese")</f>
        <v>overweight</v>
      </c>
      <c r="E2047" s="7">
        <v>5.56</v>
      </c>
      <c r="F2047" s="7" t="str" cm="1">
        <f t="array" ref="F2047">_xlfn.IFS(Healthcare!$E2047&lt;5.7,"normal",Healthcare!$E2047&lt;=6.4,"prediabetes",Healthcare!$E2047&gt;=6.5,"diabetes")</f>
        <v>normal</v>
      </c>
      <c r="G2047" s="7" t="s">
        <v>20</v>
      </c>
      <c r="H2047" s="7" t="s">
        <v>20</v>
      </c>
      <c r="I2047" s="7" t="s">
        <v>19</v>
      </c>
      <c r="J2047" s="7">
        <v>1</v>
      </c>
      <c r="K2047" s="7" t="s">
        <v>19</v>
      </c>
      <c r="L2047" s="7" t="str">
        <f>VLOOKUP(Healthcare!$A2047,hospital_details,2,0)</f>
        <v>3-Oct-2000</v>
      </c>
      <c r="M2047" s="7">
        <f t="shared" ref="M2047:M2110" ca="1" si="12267">VLOOKUP(A2047,hospital_details,3,0)</f>
        <v>26</v>
      </c>
      <c r="N2047" s="7">
        <f t="shared" ref="N2047:N2110" si="12268">VLOOKUP($A2047,hospital_details,4,0)</f>
        <v>0</v>
      </c>
      <c r="O2047" s="8">
        <f t="shared" ref="O2047:O2110" si="12269">VLOOKUP($A2047,hospital_details,5,0)</f>
        <v>2741.95</v>
      </c>
      <c r="P2047" s="7" t="str">
        <f t="shared" ref="P2047:P2110" si="12270">VLOOKUP($A2047,hospital_details,6,0)</f>
        <v>tier - 2</v>
      </c>
      <c r="Q2047" s="7" t="str">
        <f t="shared" ref="Q2047:Q2110" si="12271">VLOOKUP($A2047,hospital_details,7,0)</f>
        <v>tier - 3</v>
      </c>
      <c r="R2047" s="7" t="str">
        <f t="shared" ref="R2047:R2110" si="12272">VLOOKUP($A2047,hospital_details,8,0)</f>
        <v>R1024</v>
      </c>
    </row>
    <row r="2048" spans="1:18" ht="14.4" customHeight="1" x14ac:dyDescent="0.3">
      <c r="A2048" s="5" t="s">
        <v>2068</v>
      </c>
      <c r="B2048" s="5" t="str">
        <f>VLOOKUP($A2048,[1]!Customer_Names[#Data],3,0)</f>
        <v xml:space="preserve">  Jennifer</v>
      </c>
      <c r="C2048" s="5">
        <v>23.18</v>
      </c>
      <c r="D2048" s="5" t="str" cm="1">
        <f t="array" ref="D2048">_xlfn.IFS(Healthcare!$C2048&lt;18.5,"under weight",Healthcare!$C2048&lt;=24.9,"Normal Weight",Healthcare!$C2048&gt;=25,"overweight",Healthcare!$C2048&gt;=30,"obese")</f>
        <v>Normal Weight</v>
      </c>
      <c r="E2048" s="5">
        <v>4.24</v>
      </c>
      <c r="F2048" s="5" t="str" cm="1">
        <f t="array" ref="F2048">_xlfn.IFS(Healthcare!$E2048&lt;5.7,"normal",Healthcare!$E2048&lt;=6.4,"prediabetes",Healthcare!$E2048&gt;=6.5,"diabetes")</f>
        <v>normal</v>
      </c>
      <c r="G2048" s="5" t="s">
        <v>19</v>
      </c>
      <c r="H2048" s="5" t="s">
        <v>20</v>
      </c>
      <c r="I2048" s="5" t="s">
        <v>19</v>
      </c>
      <c r="J2048" s="5">
        <v>1</v>
      </c>
      <c r="K2048" s="5" t="s">
        <v>19</v>
      </c>
      <c r="L2048" s="5" t="str">
        <f>VLOOKUP(Healthcare!$A2048,hospital_details,2,0)</f>
        <v>17-Dec-2000</v>
      </c>
      <c r="M2048" s="5">
        <f t="shared" ref="M2048:M2111" ca="1" si="12273">VLOOKUP(A2048,hospital_details,3,0)</f>
        <v>25</v>
      </c>
      <c r="N2048" s="5">
        <f t="shared" ref="N2048:N2111" si="12274">VLOOKUP($A2048,hospital_details,4,0)</f>
        <v>0</v>
      </c>
      <c r="O2048" s="6">
        <f t="shared" ref="O2048:O2111" si="12275">VLOOKUP($A2048,hospital_details,5,0)</f>
        <v>2731.91</v>
      </c>
      <c r="P2048" s="5" t="str">
        <f t="shared" ref="P2048:P2111" si="12276">VLOOKUP($A2048,hospital_details,6,0)</f>
        <v>tier - 2</v>
      </c>
      <c r="Q2048" s="5" t="str">
        <f t="shared" ref="Q2048:Q2111" si="12277">VLOOKUP($A2048,hospital_details,7,0)</f>
        <v>tier - 3</v>
      </c>
      <c r="R2048" s="5" t="str">
        <f t="shared" ref="R2048:R2111" si="12278">VLOOKUP($A2048,hospital_details,8,0)</f>
        <v>R1024</v>
      </c>
    </row>
    <row r="2049" spans="1:18" ht="14.4" customHeight="1" x14ac:dyDescent="0.3">
      <c r="A2049" s="7" t="s">
        <v>2069</v>
      </c>
      <c r="B2049" s="7" t="str">
        <f>VLOOKUP($A2049,[1]!Customer_Names[#Data],3,0)</f>
        <v xml:space="preserve">  Jingjing</v>
      </c>
      <c r="C2049" s="7">
        <v>39.615000000000002</v>
      </c>
      <c r="D2049" s="7" t="str" cm="1">
        <f t="array" ref="D2049">_xlfn.IFS(Healthcare!$C2049&lt;18.5,"under weight",Healthcare!$C2049&lt;=24.9,"Normal Weight",Healthcare!$C2049&gt;=25,"overweight",Healthcare!$C2049&gt;=30,"obese")</f>
        <v>overweight</v>
      </c>
      <c r="E2049" s="7">
        <v>6.32</v>
      </c>
      <c r="F2049" s="7" t="str" cm="1">
        <f t="array" ref="F2049">_xlfn.IFS(Healthcare!$E2049&lt;5.7,"normal",Healthcare!$E2049&lt;=6.4,"prediabetes",Healthcare!$E2049&gt;=6.5,"diabetes")</f>
        <v>prediabetes</v>
      </c>
      <c r="G2049" s="7" t="s">
        <v>19</v>
      </c>
      <c r="H2049" s="7" t="s">
        <v>19</v>
      </c>
      <c r="I2049" s="7" t="s">
        <v>29</v>
      </c>
      <c r="J2049" s="7">
        <v>1</v>
      </c>
      <c r="K2049" s="7" t="s">
        <v>19</v>
      </c>
      <c r="L2049" s="7" t="str">
        <f>VLOOKUP(Healthcare!$A2049,hospital_details,2,0)</f>
        <v>3-Dec-2003</v>
      </c>
      <c r="M2049" s="7">
        <f t="shared" ref="M2049:M2112" ca="1" si="12279">VLOOKUP(A2049,hospital_details,3,0)</f>
        <v>22</v>
      </c>
      <c r="N2049" s="7">
        <f t="shared" ref="N2049:N2112" si="12280">VLOOKUP($A2049,hospital_details,4,0)</f>
        <v>1</v>
      </c>
      <c r="O2049" s="8">
        <f t="shared" ref="O2049:O2112" si="12281">VLOOKUP($A2049,hospital_details,5,0)</f>
        <v>2730.11</v>
      </c>
      <c r="P2049" s="7" t="str">
        <f t="shared" ref="P2049:P2112" si="12282">VLOOKUP($A2049,hospital_details,6,0)</f>
        <v>tier - 2</v>
      </c>
      <c r="Q2049" s="7" t="str">
        <f t="shared" ref="Q2049:Q2112" si="12283">VLOOKUP($A2049,hospital_details,7,0)</f>
        <v>tier - 3</v>
      </c>
      <c r="R2049" s="7" t="str">
        <f t="shared" ref="R2049:R2112" si="12284">VLOOKUP($A2049,hospital_details,8,0)</f>
        <v>R1012</v>
      </c>
    </row>
    <row r="2050" spans="1:18" ht="14.4" customHeight="1" x14ac:dyDescent="0.3">
      <c r="A2050" s="5" t="s">
        <v>2070</v>
      </c>
      <c r="B2050" s="5" t="str">
        <f>VLOOKUP($A2050,[1]!Customer_Names[#Data],3,0)</f>
        <v xml:space="preserve">  Morgan</v>
      </c>
      <c r="C2050" s="5">
        <v>30.59</v>
      </c>
      <c r="D2050" s="5" t="str" cm="1">
        <f t="array" ref="D2050">_xlfn.IFS(Healthcare!$C2050&lt;18.5,"under weight",Healthcare!$C2050&lt;=24.9,"Normal Weight",Healthcare!$C2050&gt;=25,"overweight",Healthcare!$C2050&gt;=30,"obese")</f>
        <v>overweight</v>
      </c>
      <c r="E2050" s="5">
        <v>6.3</v>
      </c>
      <c r="F2050" s="5" t="str" cm="1">
        <f t="array" ref="F2050">_xlfn.IFS(Healthcare!$E2050&lt;5.7,"normal",Healthcare!$E2050&lt;=6.4,"prediabetes",Healthcare!$E2050&gt;=6.5,"diabetes")</f>
        <v>prediabetes</v>
      </c>
      <c r="G2050" s="5" t="s">
        <v>20</v>
      </c>
      <c r="H2050" s="5" t="s">
        <v>19</v>
      </c>
      <c r="I2050" s="5" t="s">
        <v>29</v>
      </c>
      <c r="J2050" s="5">
        <v>1</v>
      </c>
      <c r="K2050" s="5" t="s">
        <v>19</v>
      </c>
      <c r="L2050" s="5" t="str">
        <f>VLOOKUP(Healthcare!$A2050,hospital_details,2,0)</f>
        <v>6-Oct-1997</v>
      </c>
      <c r="M2050" s="5">
        <f t="shared" ref="M2050:M2113" ca="1" si="12285">VLOOKUP(A2050,hospital_details,3,0)</f>
        <v>29</v>
      </c>
      <c r="N2050" s="5">
        <f t="shared" ref="N2050:N2113" si="12286">VLOOKUP($A2050,hospital_details,4,0)</f>
        <v>0</v>
      </c>
      <c r="O2050" s="6">
        <f t="shared" ref="O2050:O2113" si="12287">VLOOKUP($A2050,hospital_details,5,0)</f>
        <v>2727.4</v>
      </c>
      <c r="P2050" s="5" t="str">
        <f t="shared" ref="P2050:P2113" si="12288">VLOOKUP($A2050,hospital_details,6,0)</f>
        <v>tier - 3</v>
      </c>
      <c r="Q2050" s="5" t="str">
        <f t="shared" ref="Q2050:Q2113" si="12289">VLOOKUP($A2050,hospital_details,7,0)</f>
        <v>tier - 3</v>
      </c>
      <c r="R2050" s="5" t="str">
        <f t="shared" ref="R2050:R2113" si="12290">VLOOKUP($A2050,hospital_details,8,0)</f>
        <v>R1016</v>
      </c>
    </row>
    <row r="2051" spans="1:18" ht="14.4" customHeight="1" x14ac:dyDescent="0.3">
      <c r="A2051" s="7" t="s">
        <v>2071</v>
      </c>
      <c r="B2051" s="7" t="str">
        <f>VLOOKUP($A2051,[1]!Customer_Names[#Data],3,0)</f>
        <v xml:space="preserve">  Patrick J</v>
      </c>
      <c r="C2051" s="7">
        <v>16.72</v>
      </c>
      <c r="D2051" s="7" t="str" cm="1">
        <f t="array" ref="D2051">_xlfn.IFS(Healthcare!$C2051&lt;18.5,"under weight",Healthcare!$C2051&lt;=24.9,"Normal Weight",Healthcare!$C2051&gt;=25,"overweight",Healthcare!$C2051&gt;=30,"obese")</f>
        <v>under weight</v>
      </c>
      <c r="E2051" s="7">
        <v>4.38</v>
      </c>
      <c r="F2051" s="7" t="str" cm="1">
        <f t="array" ref="F2051">_xlfn.IFS(Healthcare!$E2051&lt;5.7,"normal",Healthcare!$E2051&lt;=6.4,"prediabetes",Healthcare!$E2051&gt;=6.5,"diabetes")</f>
        <v>normal</v>
      </c>
      <c r="G2051" s="7" t="s">
        <v>20</v>
      </c>
      <c r="H2051" s="7" t="s">
        <v>19</v>
      </c>
      <c r="I2051" s="7" t="s">
        <v>19</v>
      </c>
      <c r="J2051" s="7">
        <v>1</v>
      </c>
      <c r="K2051" s="7" t="s">
        <v>19</v>
      </c>
      <c r="L2051" s="7" t="str">
        <f>VLOOKUP(Healthcare!$A2051,hospital_details,2,0)</f>
        <v>20-Aug-1988</v>
      </c>
      <c r="M2051" s="7">
        <f t="shared" ref="M2051:M2114" ca="1" si="12291">VLOOKUP(A2051,hospital_details,3,0)</f>
        <v>38</v>
      </c>
      <c r="N2051" s="7">
        <f t="shared" ref="N2051:N2114" si="12292">VLOOKUP($A2051,hospital_details,4,0)</f>
        <v>3</v>
      </c>
      <c r="O2051" s="8">
        <f t="shared" ref="O2051:O2114" si="12293">VLOOKUP($A2051,hospital_details,5,0)</f>
        <v>2726.06</v>
      </c>
      <c r="P2051" s="7" t="str">
        <f t="shared" ref="P2051:P2114" si="12294">VLOOKUP($A2051,hospital_details,6,0)</f>
        <v>tier - 2</v>
      </c>
      <c r="Q2051" s="7" t="str">
        <f t="shared" ref="Q2051:Q2114" si="12295">VLOOKUP($A2051,hospital_details,7,0)</f>
        <v>tier - 2</v>
      </c>
      <c r="R2051" s="7" t="str">
        <f t="shared" ref="R2051:R2114" si="12296">VLOOKUP($A2051,hospital_details,8,0)</f>
        <v>R1013</v>
      </c>
    </row>
    <row r="2052" spans="1:18" ht="14.4" customHeight="1" x14ac:dyDescent="0.3">
      <c r="A2052" s="5" t="s">
        <v>2072</v>
      </c>
      <c r="B2052" s="5" t="str">
        <f>VLOOKUP($A2052,[1]!Customer_Names[#Data],3,0)</f>
        <v xml:space="preserve">  Frankline</v>
      </c>
      <c r="C2052" s="5">
        <v>26.22</v>
      </c>
      <c r="D2052" s="5" t="str" cm="1">
        <f t="array" ref="D2052">_xlfn.IFS(Healthcare!$C2052&lt;18.5,"under weight",Healthcare!$C2052&lt;=24.9,"Normal Weight",Healthcare!$C2052&gt;=25,"overweight",Healthcare!$C2052&gt;=30,"obese")</f>
        <v>overweight</v>
      </c>
      <c r="E2052" s="5">
        <v>4.6500000000000004</v>
      </c>
      <c r="F2052" s="5" t="str" cm="1">
        <f t="array" ref="F2052">_xlfn.IFS(Healthcare!$E2052&lt;5.7,"normal",Healthcare!$E2052&lt;=6.4,"prediabetes",Healthcare!$E2052&gt;=6.5,"diabetes")</f>
        <v>normal</v>
      </c>
      <c r="G2052" s="5" t="s">
        <v>20</v>
      </c>
      <c r="H2052" s="5" t="s">
        <v>19</v>
      </c>
      <c r="I2052" s="5" t="s">
        <v>29</v>
      </c>
      <c r="J2052" s="5">
        <v>1</v>
      </c>
      <c r="K2052" s="5" t="s">
        <v>19</v>
      </c>
      <c r="L2052" s="5" t="str">
        <f>VLOOKUP(Healthcare!$A2052,hospital_details,2,0)</f>
        <v>30-Oct-1997</v>
      </c>
      <c r="M2052" s="5">
        <f t="shared" ref="M2052:M2115" ca="1" si="12297">VLOOKUP(A2052,hospital_details,3,0)</f>
        <v>28</v>
      </c>
      <c r="N2052" s="5">
        <f t="shared" ref="N2052:N2115" si="12298">VLOOKUP($A2052,hospital_details,4,0)</f>
        <v>0</v>
      </c>
      <c r="O2052" s="6">
        <f t="shared" ref="O2052:O2115" si="12299">VLOOKUP($A2052,hospital_details,5,0)</f>
        <v>2721.32</v>
      </c>
      <c r="P2052" s="5" t="str">
        <f t="shared" ref="P2052:P2115" si="12300">VLOOKUP($A2052,hospital_details,6,0)</f>
        <v>tier - 1</v>
      </c>
      <c r="Q2052" s="5" t="str">
        <f t="shared" ref="Q2052:Q2115" si="12301">VLOOKUP($A2052,hospital_details,7,0)</f>
        <v>tier - 3</v>
      </c>
      <c r="R2052" s="5" t="str">
        <f t="shared" ref="R2052:R2115" si="12302">VLOOKUP($A2052,hospital_details,8,0)</f>
        <v>R1014</v>
      </c>
    </row>
    <row r="2053" spans="1:18" ht="14.4" customHeight="1" x14ac:dyDescent="0.3">
      <c r="A2053" s="7" t="s">
        <v>2073</v>
      </c>
      <c r="B2053" s="7" t="str">
        <f>VLOOKUP($A2053,[1]!Customer_Names[#Data],3,0)</f>
        <v xml:space="preserve">  Laura T</v>
      </c>
      <c r="C2053" s="7">
        <v>31.824999999999999</v>
      </c>
      <c r="D2053" s="7" t="str" cm="1">
        <f t="array" ref="D2053">_xlfn.IFS(Healthcare!$C2053&lt;18.5,"under weight",Healthcare!$C2053&lt;=24.9,"Normal Weight",Healthcare!$C2053&gt;=25,"overweight",Healthcare!$C2053&gt;=30,"obese")</f>
        <v>overweight</v>
      </c>
      <c r="E2053" s="7">
        <v>4.7</v>
      </c>
      <c r="F2053" s="7" t="str" cm="1">
        <f t="array" ref="F2053">_xlfn.IFS(Healthcare!$E2053&lt;5.7,"normal",Healthcare!$E2053&lt;=6.4,"prediabetes",Healthcare!$E2053&gt;=6.5,"diabetes")</f>
        <v>normal</v>
      </c>
      <c r="G2053" s="7" t="s">
        <v>19</v>
      </c>
      <c r="H2053" s="7" t="s">
        <v>19</v>
      </c>
      <c r="I2053" s="7" t="s">
        <v>29</v>
      </c>
      <c r="J2053" s="7">
        <v>1</v>
      </c>
      <c r="K2053" s="7" t="s">
        <v>19</v>
      </c>
      <c r="L2053" s="7" t="str">
        <f>VLOOKUP(Healthcare!$A2053,hospital_details,2,0)</f>
        <v>6-Aug-2003</v>
      </c>
      <c r="M2053" s="7">
        <f t="shared" ref="M2053:M2116" ca="1" si="12303">VLOOKUP(A2053,hospital_details,3,0)</f>
        <v>23</v>
      </c>
      <c r="N2053" s="7">
        <f t="shared" ref="N2053:N2116" si="12304">VLOOKUP($A2053,hospital_details,4,0)</f>
        <v>1</v>
      </c>
      <c r="O2053" s="8">
        <f t="shared" ref="O2053:O2116" si="12305">VLOOKUP($A2053,hospital_details,5,0)</f>
        <v>2719.28</v>
      </c>
      <c r="P2053" s="7" t="str">
        <f t="shared" ref="P2053:P2116" si="12306">VLOOKUP($A2053,hospital_details,6,0)</f>
        <v>tier - 2</v>
      </c>
      <c r="Q2053" s="7" t="str">
        <f t="shared" ref="Q2053:Q2116" si="12307">VLOOKUP($A2053,hospital_details,7,0)</f>
        <v>tier - 2</v>
      </c>
      <c r="R2053" s="7" t="str">
        <f t="shared" ref="R2053:R2116" si="12308">VLOOKUP($A2053,hospital_details,8,0)</f>
        <v>R1012</v>
      </c>
    </row>
    <row r="2054" spans="1:18" ht="14.4" customHeight="1" x14ac:dyDescent="0.3">
      <c r="A2054" s="5" t="s">
        <v>2074</v>
      </c>
      <c r="B2054" s="5" t="str">
        <f>VLOOKUP($A2054,[1]!Customer_Names[#Data],3,0)</f>
        <v xml:space="preserve">  Natalia</v>
      </c>
      <c r="C2054" s="5">
        <v>25.745000000000001</v>
      </c>
      <c r="D2054" s="5" t="str" cm="1">
        <f t="array" ref="D2054">_xlfn.IFS(Healthcare!$C2054&lt;18.5,"under weight",Healthcare!$C2054&lt;=24.9,"Normal Weight",Healthcare!$C2054&gt;=25,"overweight",Healthcare!$C2054&gt;=30,"obese")</f>
        <v>overweight</v>
      </c>
      <c r="E2054" s="5">
        <v>4.34</v>
      </c>
      <c r="F2054" s="5" t="str" cm="1">
        <f t="array" ref="F2054">_xlfn.IFS(Healthcare!$E2054&lt;5.7,"normal",Healthcare!$E2054&lt;=6.4,"prediabetes",Healthcare!$E2054&gt;=6.5,"diabetes")</f>
        <v>normal</v>
      </c>
      <c r="G2054" s="5" t="s">
        <v>19</v>
      </c>
      <c r="H2054" s="5" t="s">
        <v>19</v>
      </c>
      <c r="I2054" s="5" t="s">
        <v>29</v>
      </c>
      <c r="J2054" s="5">
        <v>1</v>
      </c>
      <c r="K2054" s="5" t="s">
        <v>19</v>
      </c>
      <c r="L2054" s="5" t="str">
        <f>VLOOKUP(Healthcare!$A2054,hospital_details,2,0)</f>
        <v>1-Dec-2003</v>
      </c>
      <c r="M2054" s="5">
        <f t="shared" ref="M2054:M2117" ca="1" si="12309">VLOOKUP(A2054,hospital_details,3,0)</f>
        <v>22</v>
      </c>
      <c r="N2054" s="5">
        <f t="shared" ref="N2054:N2117" si="12310">VLOOKUP($A2054,hospital_details,4,0)</f>
        <v>1</v>
      </c>
      <c r="O2054" s="6">
        <f t="shared" ref="O2054:O2117" si="12311">VLOOKUP($A2054,hospital_details,5,0)</f>
        <v>2710.83</v>
      </c>
      <c r="P2054" s="5" t="str">
        <f t="shared" ref="P2054:P2117" si="12312">VLOOKUP($A2054,hospital_details,6,0)</f>
        <v>tier - 2</v>
      </c>
      <c r="Q2054" s="5" t="str">
        <f t="shared" ref="Q2054:Q2117" si="12313">VLOOKUP($A2054,hospital_details,7,0)</f>
        <v>tier - 3</v>
      </c>
      <c r="R2054" s="5" t="str">
        <f t="shared" ref="R2054:R2117" si="12314">VLOOKUP($A2054,hospital_details,8,0)</f>
        <v>R1012</v>
      </c>
    </row>
    <row r="2055" spans="1:18" ht="14.4" customHeight="1" x14ac:dyDescent="0.3">
      <c r="A2055" s="7" t="s">
        <v>2075</v>
      </c>
      <c r="B2055" s="7" t="str">
        <f>VLOOKUP($A2055,[1]!Customer_Names[#Data],3,0)</f>
        <v xml:space="preserve">  Jennifer L</v>
      </c>
      <c r="C2055" s="7">
        <v>24.605</v>
      </c>
      <c r="D2055" s="7" t="str" cm="1">
        <f t="array" ref="D2055">_xlfn.IFS(Healthcare!$C2055&lt;18.5,"under weight",Healthcare!$C2055&lt;=24.9,"Normal Weight",Healthcare!$C2055&gt;=25,"overweight",Healthcare!$C2055&gt;=30,"obese")</f>
        <v>Normal Weight</v>
      </c>
      <c r="E2055" s="7">
        <v>5.62</v>
      </c>
      <c r="F2055" s="7" t="str" cm="1">
        <f t="array" ref="F2055">_xlfn.IFS(Healthcare!$E2055&lt;5.7,"normal",Healthcare!$E2055&lt;=6.4,"prediabetes",Healthcare!$E2055&gt;=6.5,"diabetes")</f>
        <v>normal</v>
      </c>
      <c r="G2055" s="7" t="s">
        <v>19</v>
      </c>
      <c r="H2055" s="7" t="s">
        <v>19</v>
      </c>
      <c r="I2055" s="7" t="s">
        <v>29</v>
      </c>
      <c r="J2055" s="7">
        <v>1</v>
      </c>
      <c r="K2055" s="7" t="s">
        <v>19</v>
      </c>
      <c r="L2055" s="7" t="str">
        <f>VLOOKUP(Healthcare!$A2055,hospital_details,2,0)</f>
        <v>21-Nov-2003</v>
      </c>
      <c r="M2055" s="7">
        <f t="shared" ref="M2055:M2118" ca="1" si="12315">VLOOKUP(A2055,hospital_details,3,0)</f>
        <v>22</v>
      </c>
      <c r="N2055" s="7">
        <f t="shared" ref="N2055:N2118" si="12316">VLOOKUP($A2055,hospital_details,4,0)</f>
        <v>1</v>
      </c>
      <c r="O2055" s="8">
        <f t="shared" ref="O2055:O2118" si="12317">VLOOKUP($A2055,hospital_details,5,0)</f>
        <v>2709.24</v>
      </c>
      <c r="P2055" s="7" t="str">
        <f t="shared" ref="P2055:P2118" si="12318">VLOOKUP($A2055,hospital_details,6,0)</f>
        <v>tier - 2</v>
      </c>
      <c r="Q2055" s="7" t="str">
        <f t="shared" ref="Q2055:Q2118" si="12319">VLOOKUP($A2055,hospital_details,7,0)</f>
        <v>tier - 2</v>
      </c>
      <c r="R2055" s="7" t="str">
        <f t="shared" ref="R2055:R2118" si="12320">VLOOKUP($A2055,hospital_details,8,0)</f>
        <v>R1012</v>
      </c>
    </row>
    <row r="2056" spans="1:18" ht="14.4" customHeight="1" x14ac:dyDescent="0.3">
      <c r="A2056" s="5" t="s">
        <v>2076</v>
      </c>
      <c r="B2056" s="5" t="str">
        <f>VLOOKUP($A2056,[1]!Customer_Names[#Data],3,0)</f>
        <v xml:space="preserve">  Brooke</v>
      </c>
      <c r="C2056" s="5">
        <v>24.51</v>
      </c>
      <c r="D2056" s="5" t="str" cm="1">
        <f t="array" ref="D2056">_xlfn.IFS(Healthcare!$C2056&lt;18.5,"under weight",Healthcare!$C2056&lt;=24.9,"Normal Weight",Healthcare!$C2056&gt;=25,"overweight",Healthcare!$C2056&gt;=30,"obese")</f>
        <v>Normal Weight</v>
      </c>
      <c r="E2056" s="5">
        <v>4.24</v>
      </c>
      <c r="F2056" s="5" t="str" cm="1">
        <f t="array" ref="F2056">_xlfn.IFS(Healthcare!$E2056&lt;5.7,"normal",Healthcare!$E2056&lt;=6.4,"prediabetes",Healthcare!$E2056&gt;=6.5,"diabetes")</f>
        <v>normal</v>
      </c>
      <c r="G2056" s="5" t="s">
        <v>19</v>
      </c>
      <c r="H2056" s="5" t="s">
        <v>19</v>
      </c>
      <c r="I2056" s="5" t="s">
        <v>29</v>
      </c>
      <c r="J2056" s="5">
        <v>1</v>
      </c>
      <c r="K2056" s="5" t="s">
        <v>19</v>
      </c>
      <c r="L2056" s="5" t="str">
        <f>VLOOKUP(Healthcare!$A2056,hospital_details,2,0)</f>
        <v>17-Jul-2003</v>
      </c>
      <c r="M2056" s="5">
        <f t="shared" ref="M2056:M2119" ca="1" si="12321">VLOOKUP(A2056,hospital_details,3,0)</f>
        <v>23</v>
      </c>
      <c r="N2056" s="5">
        <f t="shared" ref="N2056:N2119" si="12322">VLOOKUP($A2056,hospital_details,4,0)</f>
        <v>1</v>
      </c>
      <c r="O2056" s="6">
        <f t="shared" ref="O2056:O2119" si="12323">VLOOKUP($A2056,hospital_details,5,0)</f>
        <v>2709.11</v>
      </c>
      <c r="P2056" s="5" t="str">
        <f t="shared" ref="P2056:P2119" si="12324">VLOOKUP($A2056,hospital_details,6,0)</f>
        <v>tier - 2</v>
      </c>
      <c r="Q2056" s="5" t="str">
        <f t="shared" ref="Q2056:Q2119" si="12325">VLOOKUP($A2056,hospital_details,7,0)</f>
        <v>tier - 2</v>
      </c>
      <c r="R2056" s="5" t="str">
        <f t="shared" ref="R2056:R2119" si="12326">VLOOKUP($A2056,hospital_details,8,0)</f>
        <v>R1012</v>
      </c>
    </row>
    <row r="2057" spans="1:18" ht="14.4" customHeight="1" x14ac:dyDescent="0.3">
      <c r="A2057" s="7" t="s">
        <v>2077</v>
      </c>
      <c r="B2057" s="7" t="str">
        <f>VLOOKUP($A2057,[1]!Customer_Names[#Data],3,0)</f>
        <v xml:space="preserve">  Jeremy M</v>
      </c>
      <c r="C2057" s="7">
        <v>31.065000000000001</v>
      </c>
      <c r="D2057" s="7" t="str" cm="1">
        <f t="array" ref="D2057">_xlfn.IFS(Healthcare!$C2057&lt;18.5,"under weight",Healthcare!$C2057&lt;=24.9,"Normal Weight",Healthcare!$C2057&gt;=25,"overweight",Healthcare!$C2057&gt;=30,"obese")</f>
        <v>overweight</v>
      </c>
      <c r="E2057" s="7">
        <v>4.57</v>
      </c>
      <c r="F2057" s="7" t="str" cm="1">
        <f t="array" ref="F2057">_xlfn.IFS(Healthcare!$E2057&lt;5.7,"normal",Healthcare!$E2057&lt;=6.4,"prediabetes",Healthcare!$E2057&gt;=6.5,"diabetes")</f>
        <v>normal</v>
      </c>
      <c r="G2057" s="7" t="s">
        <v>20</v>
      </c>
      <c r="H2057" s="7" t="s">
        <v>19</v>
      </c>
      <c r="I2057" s="7" t="s">
        <v>19</v>
      </c>
      <c r="J2057" s="7">
        <v>0</v>
      </c>
      <c r="K2057" s="7" t="s">
        <v>19</v>
      </c>
      <c r="L2057" s="7" t="str">
        <f>VLOOKUP(Healthcare!$A2057,hospital_details,2,0)</f>
        <v>13-Jun-1996</v>
      </c>
      <c r="M2057" s="7">
        <f t="shared" ref="M2057:M2120" ca="1" si="12327">VLOOKUP(A2057,hospital_details,3,0)</f>
        <v>30</v>
      </c>
      <c r="N2057" s="7">
        <f t="shared" ref="N2057:N2120" si="12328">VLOOKUP($A2057,hospital_details,4,0)</f>
        <v>0</v>
      </c>
      <c r="O2057" s="8">
        <f t="shared" ref="O2057:O2120" si="12329">VLOOKUP($A2057,hospital_details,5,0)</f>
        <v>2699.57</v>
      </c>
      <c r="P2057" s="7" t="str">
        <f t="shared" ref="P2057:P2120" si="12330">VLOOKUP($A2057,hospital_details,6,0)</f>
        <v>tier - 2</v>
      </c>
      <c r="Q2057" s="7" t="str">
        <f t="shared" ref="Q2057:Q2120" si="12331">VLOOKUP($A2057,hospital_details,7,0)</f>
        <v>tier - 1</v>
      </c>
      <c r="R2057" s="7" t="str">
        <f t="shared" ref="R2057:R2120" si="12332">VLOOKUP($A2057,hospital_details,8,0)</f>
        <v>R1012</v>
      </c>
    </row>
    <row r="2058" spans="1:18" ht="14.4" customHeight="1" x14ac:dyDescent="0.3">
      <c r="A2058" s="5" t="s">
        <v>2078</v>
      </c>
      <c r="B2058" s="5" t="str">
        <f>VLOOKUP($A2058,[1]!Customer_Names[#Data],3,0)</f>
        <v xml:space="preserve">  Megan L</v>
      </c>
      <c r="C2058" s="5">
        <v>28.12</v>
      </c>
      <c r="D2058" s="5" t="str" cm="1">
        <f t="array" ref="D2058">_xlfn.IFS(Healthcare!$C2058&lt;18.5,"under weight",Healthcare!$C2058&lt;=24.9,"Normal Weight",Healthcare!$C2058&gt;=25,"overweight",Healthcare!$C2058&gt;=30,"obese")</f>
        <v>overweight</v>
      </c>
      <c r="E2058" s="5">
        <v>5.05</v>
      </c>
      <c r="F2058" s="5" t="str" cm="1">
        <f t="array" ref="F2058">_xlfn.IFS(Healthcare!$E2058&lt;5.7,"normal",Healthcare!$E2058&lt;=6.4,"prediabetes",Healthcare!$E2058&gt;=6.5,"diabetes")</f>
        <v>normal</v>
      </c>
      <c r="G2058" s="5" t="s">
        <v>19</v>
      </c>
      <c r="H2058" s="5" t="s">
        <v>19</v>
      </c>
      <c r="I2058" s="5" t="s">
        <v>19</v>
      </c>
      <c r="J2058" s="5">
        <v>0</v>
      </c>
      <c r="K2058" s="5" t="s">
        <v>19</v>
      </c>
      <c r="L2058" s="5" t="str">
        <f>VLOOKUP(Healthcare!$A2058,hospital_details,2,0)</f>
        <v>11-Jun-1999</v>
      </c>
      <c r="M2058" s="5">
        <f t="shared" ref="M2058:M2121" ca="1" si="12333">VLOOKUP(A2058,hospital_details,3,0)</f>
        <v>27</v>
      </c>
      <c r="N2058" s="5">
        <f t="shared" ref="N2058:N2121" si="12334">VLOOKUP($A2058,hospital_details,4,0)</f>
        <v>0</v>
      </c>
      <c r="O2058" s="6">
        <f t="shared" ref="O2058:O2121" si="12335">VLOOKUP($A2058,hospital_details,5,0)</f>
        <v>2690.11</v>
      </c>
      <c r="P2058" s="5" t="str">
        <f t="shared" ref="P2058:P2121" si="12336">VLOOKUP($A2058,hospital_details,6,0)</f>
        <v>tier - 2</v>
      </c>
      <c r="Q2058" s="5" t="str">
        <f t="shared" ref="Q2058:Q2121" si="12337">VLOOKUP($A2058,hospital_details,7,0)</f>
        <v>tier - 2</v>
      </c>
      <c r="R2058" s="5" t="str">
        <f t="shared" ref="R2058:R2121" si="12338">VLOOKUP($A2058,hospital_details,8,0)</f>
        <v>R1012</v>
      </c>
    </row>
    <row r="2059" spans="1:18" ht="14.4" customHeight="1" x14ac:dyDescent="0.3">
      <c r="A2059" s="7" t="s">
        <v>2079</v>
      </c>
      <c r="B2059" s="7" t="str">
        <f>VLOOKUP($A2059,[1]!Customer_Names[#Data],3,0)</f>
        <v xml:space="preserve">  Bryan</v>
      </c>
      <c r="C2059" s="7">
        <v>38.06</v>
      </c>
      <c r="D2059" s="7" t="str" cm="1">
        <f t="array" ref="D2059">_xlfn.IFS(Healthcare!$C2059&lt;18.5,"under weight",Healthcare!$C2059&lt;=24.9,"Normal Weight",Healthcare!$C2059&gt;=25,"overweight",Healthcare!$C2059&gt;=30,"obese")</f>
        <v>overweight</v>
      </c>
      <c r="E2059" s="7">
        <v>6.16</v>
      </c>
      <c r="F2059" s="7" t="str" cm="1">
        <f t="array" ref="F2059">_xlfn.IFS(Healthcare!$E2059&lt;5.7,"normal",Healthcare!$E2059&lt;=6.4,"prediabetes",Healthcare!$E2059&gt;=6.5,"diabetes")</f>
        <v>prediabetes</v>
      </c>
      <c r="G2059" s="7" t="s">
        <v>19</v>
      </c>
      <c r="H2059" s="7" t="s">
        <v>19</v>
      </c>
      <c r="I2059" s="7" t="s">
        <v>19</v>
      </c>
      <c r="J2059" s="7">
        <v>0</v>
      </c>
      <c r="K2059" s="7" t="s">
        <v>19</v>
      </c>
      <c r="L2059" s="7" t="str">
        <f>VLOOKUP(Healthcare!$A2059,hospital_details,2,0)</f>
        <v>2-Oct-1994</v>
      </c>
      <c r="M2059" s="7">
        <f t="shared" ref="M2059:M2122" ca="1" si="12339">VLOOKUP(A2059,hospital_details,3,0)</f>
        <v>32</v>
      </c>
      <c r="N2059" s="7">
        <f t="shared" ref="N2059:N2122" si="12340">VLOOKUP($A2059,hospital_details,4,0)</f>
        <v>0</v>
      </c>
      <c r="O2059" s="8">
        <f t="shared" ref="O2059:O2122" si="12341">VLOOKUP($A2059,hospital_details,5,0)</f>
        <v>2689.5</v>
      </c>
      <c r="P2059" s="7" t="str">
        <f t="shared" ref="P2059:P2122" si="12342">VLOOKUP($A2059,hospital_details,6,0)</f>
        <v>tier - 3</v>
      </c>
      <c r="Q2059" s="7" t="str">
        <f t="shared" ref="Q2059:Q2122" si="12343">VLOOKUP($A2059,hospital_details,7,0)</f>
        <v>tier - 2</v>
      </c>
      <c r="R2059" s="7" t="str">
        <f t="shared" ref="R2059:R2122" si="12344">VLOOKUP($A2059,hospital_details,8,0)</f>
        <v>R1013</v>
      </c>
    </row>
    <row r="2060" spans="1:18" ht="14.4" customHeight="1" x14ac:dyDescent="0.3">
      <c r="A2060" s="5" t="s">
        <v>2080</v>
      </c>
      <c r="B2060" s="5" t="str">
        <f>VLOOKUP($A2060,[1]!Customer_Names[#Data],3,0)</f>
        <v xml:space="preserve">  Marny</v>
      </c>
      <c r="C2060" s="5">
        <v>24.96</v>
      </c>
      <c r="D2060" s="5" t="str" cm="1">
        <f t="array" ref="D2060">_xlfn.IFS(Healthcare!$C1074&lt;18.5,"under weight",Healthcare!$C1074&lt;=24.9,"Normal Weight",Healthcare!$C1074&gt;=25,"overweight",Healthcare!$C1074&gt;=30,"obese")</f>
        <v>overweight</v>
      </c>
      <c r="E2060" s="5">
        <v>4.57</v>
      </c>
      <c r="F2060" s="5" t="str" cm="1">
        <f t="array" ref="F2060">_xlfn.IFS(Healthcare!$E2060&lt;5.7,"normal",Healthcare!$E2060&lt;=6.4,"prediabetes",Healthcare!$E2060&gt;=6.5,"diabetes")</f>
        <v>normal</v>
      </c>
      <c r="G2060" s="5" t="s">
        <v>19</v>
      </c>
      <c r="H2060" s="5" t="s">
        <v>19</v>
      </c>
      <c r="I2060" s="5" t="s">
        <v>19</v>
      </c>
      <c r="J2060" s="5">
        <v>0</v>
      </c>
      <c r="K2060" s="5" t="s">
        <v>19</v>
      </c>
      <c r="L2060" s="5" t="str">
        <f>VLOOKUP(Healthcare!$A2060,hospital_details,2,0)</f>
        <v>17-Sep-1994</v>
      </c>
      <c r="M2060" s="5">
        <f t="shared" ref="M2060:M2123" ca="1" si="12345">VLOOKUP(A2060,hospital_details,3,0)</f>
        <v>32</v>
      </c>
      <c r="N2060" s="5">
        <f t="shared" ref="N2060:N2123" si="12346">VLOOKUP($A2060,hospital_details,4,0)</f>
        <v>0</v>
      </c>
      <c r="O2060" s="6">
        <f t="shared" ref="O2060:O2123" si="12347">VLOOKUP($A2060,hospital_details,5,0)</f>
        <v>2684.69</v>
      </c>
      <c r="P2060" s="5" t="str">
        <f t="shared" ref="P2060:P2123" si="12348">VLOOKUP($A2060,hospital_details,6,0)</f>
        <v>tier - 2</v>
      </c>
      <c r="Q2060" s="5" t="str">
        <f t="shared" ref="Q2060:Q2123" si="12349">VLOOKUP($A2060,hospital_details,7,0)</f>
        <v>tier - 2</v>
      </c>
      <c r="R2060" s="5" t="str">
        <f t="shared" ref="R2060:R2123" si="12350">VLOOKUP($A2060,hospital_details,8,0)</f>
        <v>R1013</v>
      </c>
    </row>
    <row r="2061" spans="1:18" ht="14.4" customHeight="1" x14ac:dyDescent="0.3">
      <c r="A2061" s="7" t="s">
        <v>2081</v>
      </c>
      <c r="B2061" s="7" t="str">
        <f>VLOOKUP($A2061,[1]!Customer_Names[#Data],3,0)</f>
        <v xml:space="preserve">  Marc</v>
      </c>
      <c r="C2061" s="7">
        <v>17.670000000000002</v>
      </c>
      <c r="D2061" s="7" t="str" cm="1">
        <f t="array" ref="D2061">_xlfn.IFS(Healthcare!$C2061&lt;18.5,"under weight",Healthcare!$C2061&lt;=24.9,"Normal Weight",Healthcare!$C2061&gt;=25,"overweight",Healthcare!$C2061&gt;=30,"obese")</f>
        <v>under weight</v>
      </c>
      <c r="E2061" s="7">
        <v>5.53</v>
      </c>
      <c r="F2061" s="7" t="str" cm="1">
        <f t="array" ref="F2061">_xlfn.IFS(Healthcare!$E2061&lt;5.7,"normal",Healthcare!$E2061&lt;=6.4,"prediabetes",Healthcare!$E2061&gt;=6.5,"diabetes")</f>
        <v>normal</v>
      </c>
      <c r="G2061" s="7" t="s">
        <v>20</v>
      </c>
      <c r="H2061" s="7" t="s">
        <v>19</v>
      </c>
      <c r="I2061" s="7" t="s">
        <v>19</v>
      </c>
      <c r="J2061" s="7">
        <v>0</v>
      </c>
      <c r="K2061" s="7" t="s">
        <v>19</v>
      </c>
      <c r="L2061" s="7" t="str">
        <f>VLOOKUP(Healthcare!$A2061,hospital_details,2,0)</f>
        <v>5-Aug-1996</v>
      </c>
      <c r="M2061" s="7">
        <f t="shared" ref="M2061:M2124" ca="1" si="12351">VLOOKUP(A2061,hospital_details,3,0)</f>
        <v>30</v>
      </c>
      <c r="N2061" s="7">
        <f t="shared" ref="N2061:N2124" si="12352">VLOOKUP($A2061,hospital_details,4,0)</f>
        <v>0</v>
      </c>
      <c r="O2061" s="8">
        <f t="shared" ref="O2061:O2124" si="12353">VLOOKUP($A2061,hospital_details,5,0)</f>
        <v>2680.95</v>
      </c>
      <c r="P2061" s="7" t="str">
        <f t="shared" ref="P2061:P2124" si="12354">VLOOKUP($A2061,hospital_details,6,0)</f>
        <v>tier - 3</v>
      </c>
      <c r="Q2061" s="7" t="str">
        <f t="shared" ref="Q2061:Q2124" si="12355">VLOOKUP($A2061,hospital_details,7,0)</f>
        <v>tier - 2</v>
      </c>
      <c r="R2061" s="7" t="str">
        <f t="shared" ref="R2061:R2124" si="12356">VLOOKUP($A2061,hospital_details,8,0)</f>
        <v>R1012</v>
      </c>
    </row>
    <row r="2062" spans="1:18" ht="14.4" customHeight="1" x14ac:dyDescent="0.3">
      <c r="A2062" s="5" t="s">
        <v>2082</v>
      </c>
      <c r="B2062" s="5" t="str">
        <f>VLOOKUP($A2062,[1]!Customer_Names[#Data],3,0)</f>
        <v xml:space="preserve">  Benjamin L</v>
      </c>
      <c r="C2062" s="5">
        <v>31.35</v>
      </c>
      <c r="D2062" s="5" t="str" cm="1">
        <f t="array" ref="D2062">_xlfn.IFS(Healthcare!$C2062&lt;18.5,"under weight",Healthcare!$C2062&lt;=24.9,"Normal Weight",Healthcare!$C2062&gt;=25,"overweight",Healthcare!$C2062&gt;=30,"obese")</f>
        <v>overweight</v>
      </c>
      <c r="E2062" s="5">
        <v>5.84</v>
      </c>
      <c r="F2062" s="5" t="str" cm="1">
        <f t="array" ref="F2062">_xlfn.IFS(Healthcare!$E2062&lt;5.7,"normal",Healthcare!$E2062&lt;=6.4,"prediabetes",Healthcare!$E2062&gt;=6.5,"diabetes")</f>
        <v>prediabetes</v>
      </c>
      <c r="G2062" s="5" t="s">
        <v>19</v>
      </c>
      <c r="H2062" s="5" t="s">
        <v>20</v>
      </c>
      <c r="I2062" s="5" t="s">
        <v>19</v>
      </c>
      <c r="J2062" s="5">
        <v>1</v>
      </c>
      <c r="K2062" s="5" t="s">
        <v>19</v>
      </c>
      <c r="L2062" s="5" t="str">
        <f>VLOOKUP(Healthcare!$A2062,hospital_details,2,0)</f>
        <v>9-Dec-2000</v>
      </c>
      <c r="M2062" s="5">
        <f t="shared" ref="M2062:M2125" ca="1" si="12357">VLOOKUP(A2062,hospital_details,3,0)</f>
        <v>25</v>
      </c>
      <c r="N2062" s="5">
        <f t="shared" ref="N2062:N2125" si="12358">VLOOKUP($A2062,hospital_details,4,0)</f>
        <v>1</v>
      </c>
      <c r="O2062" s="6">
        <f t="shared" ref="O2062:O2125" si="12359">VLOOKUP($A2062,hospital_details,5,0)</f>
        <v>2643.27</v>
      </c>
      <c r="P2062" s="5" t="str">
        <f t="shared" ref="P2062:P2125" si="12360">VLOOKUP($A2062,hospital_details,6,0)</f>
        <v>tier - 2</v>
      </c>
      <c r="Q2062" s="5" t="str">
        <f t="shared" ref="Q2062:Q2125" si="12361">VLOOKUP($A2062,hospital_details,7,0)</f>
        <v>tier - 1</v>
      </c>
      <c r="R2062" s="5" t="str">
        <f t="shared" ref="R2062:R2125" si="12362">VLOOKUP($A2062,hospital_details,8,0)</f>
        <v>R1012</v>
      </c>
    </row>
    <row r="2063" spans="1:18" ht="14.4" customHeight="1" x14ac:dyDescent="0.3">
      <c r="A2063" s="7" t="s">
        <v>2083</v>
      </c>
      <c r="B2063" s="7" t="str">
        <f>VLOOKUP($A2063,[1]!Customer_Names[#Data],3,0)</f>
        <v xml:space="preserve">  Rob G</v>
      </c>
      <c r="C2063" s="7">
        <v>28.31</v>
      </c>
      <c r="D2063" s="7" t="str" cm="1">
        <f t="array" ref="D2063">_xlfn.IFS(Healthcare!$C2063&lt;18.5,"under weight",Healthcare!$C2063&lt;=24.9,"Normal Weight",Healthcare!$C2063&gt;=25,"overweight",Healthcare!$C2063&gt;=30,"obese")</f>
        <v>overweight</v>
      </c>
      <c r="E2063" s="7">
        <v>6.41</v>
      </c>
      <c r="F2063" s="5" t="str" cm="1">
        <f t="array" ref="F2063">_xlfn.IFS(Healthcare!$E1532&lt;5.7,"normal",Healthcare!$E1532&lt;=6.4,"prediabetes",Healthcare!$E1532&gt;=6.5,"diabetes")</f>
        <v>normal</v>
      </c>
      <c r="G2063" s="7" t="s">
        <v>19</v>
      </c>
      <c r="H2063" s="7" t="s">
        <v>20</v>
      </c>
      <c r="I2063" s="7" t="s">
        <v>19</v>
      </c>
      <c r="J2063" s="7">
        <v>1</v>
      </c>
      <c r="K2063" s="7" t="s">
        <v>19</v>
      </c>
      <c r="L2063" s="7" t="str">
        <f>VLOOKUP(Healthcare!$A2063,hospital_details,2,0)</f>
        <v>24-Jun-2000</v>
      </c>
      <c r="M2063" s="7">
        <f t="shared" ref="M2063:M2126" ca="1" si="12363">VLOOKUP(A2063,hospital_details,3,0)</f>
        <v>26</v>
      </c>
      <c r="N2063" s="7">
        <f t="shared" ref="N2063:N2126" si="12364">VLOOKUP($A2063,hospital_details,4,0)</f>
        <v>1</v>
      </c>
      <c r="O2063" s="8">
        <f t="shared" ref="O2063:O2126" si="12365">VLOOKUP($A2063,hospital_details,5,0)</f>
        <v>2639.04</v>
      </c>
      <c r="P2063" s="7" t="str">
        <f t="shared" ref="P2063:P2126" si="12366">VLOOKUP($A2063,hospital_details,6,0)</f>
        <v>tier - 2</v>
      </c>
      <c r="Q2063" s="7" t="str">
        <f t="shared" ref="Q2063:Q2126" si="12367">VLOOKUP($A2063,hospital_details,7,0)</f>
        <v>tier - 2</v>
      </c>
      <c r="R2063" s="7" t="str">
        <f t="shared" ref="R2063:R2126" si="12368">VLOOKUP($A2063,hospital_details,8,0)</f>
        <v>R1012</v>
      </c>
    </row>
    <row r="2064" spans="1:18" ht="14.4" customHeight="1" x14ac:dyDescent="0.3">
      <c r="A2064" s="5" t="s">
        <v>2084</v>
      </c>
      <c r="B2064" s="5" t="str">
        <f>VLOOKUP($A2064,[1]!Customer_Names[#Data],3,0)</f>
        <v xml:space="preserve">  Stefanie A</v>
      </c>
      <c r="C2064" s="5">
        <v>30.3</v>
      </c>
      <c r="D2064" s="5" t="str" cm="1">
        <f t="array" ref="D2064">_xlfn.IFS(Healthcare!$C2064&lt;18.5,"under weight",Healthcare!$C2064&lt;=24.9,"Normal Weight",Healthcare!$C2064&gt;=25,"overweight",Healthcare!$C2064&gt;=30,"obese")</f>
        <v>overweight</v>
      </c>
      <c r="E2064" s="5">
        <v>4.7300000000000004</v>
      </c>
      <c r="F2064" s="5" t="str" cm="1">
        <f t="array" ref="F2064">_xlfn.IFS(Healthcare!$E2064&lt;5.7,"normal",Healthcare!$E2064&lt;=6.4,"prediabetes",Healthcare!$E2064&gt;=6.5,"diabetes")</f>
        <v>normal</v>
      </c>
      <c r="G2064" s="5" t="s">
        <v>20</v>
      </c>
      <c r="H2064" s="5" t="s">
        <v>19</v>
      </c>
      <c r="I2064" s="5" t="s">
        <v>29</v>
      </c>
      <c r="J2064" s="5">
        <v>1</v>
      </c>
      <c r="K2064" s="5" t="s">
        <v>19</v>
      </c>
      <c r="L2064" s="5" t="str">
        <f>VLOOKUP(Healthcare!$A2064,hospital_details,2,0)</f>
        <v>26-Aug-1997</v>
      </c>
      <c r="M2064" s="5">
        <f t="shared" ref="M2064:M2127" ca="1" si="12369">VLOOKUP(A2064,hospital_details,3,0)</f>
        <v>29</v>
      </c>
      <c r="N2064" s="5">
        <f t="shared" ref="N2064:N2127" si="12370">VLOOKUP($A2064,hospital_details,4,0)</f>
        <v>0</v>
      </c>
      <c r="O2064" s="6">
        <f t="shared" ref="O2064:O2127" si="12371">VLOOKUP($A2064,hospital_details,5,0)</f>
        <v>2632.99</v>
      </c>
      <c r="P2064" s="5" t="str">
        <f t="shared" ref="P2064:P2127" si="12372">VLOOKUP($A2064,hospital_details,6,0)</f>
        <v>tier - 2</v>
      </c>
      <c r="Q2064" s="5" t="str">
        <f t="shared" ref="Q2064:Q2127" si="12373">VLOOKUP($A2064,hospital_details,7,0)</f>
        <v>tier - 1</v>
      </c>
      <c r="R2064" s="5" t="str">
        <f t="shared" ref="R2064:R2127" si="12374">VLOOKUP($A2064,hospital_details,8,0)</f>
        <v>R1011</v>
      </c>
    </row>
    <row r="2065" spans="1:18" ht="14.4" customHeight="1" x14ac:dyDescent="0.3">
      <c r="A2065" s="7" t="s">
        <v>2085</v>
      </c>
      <c r="B2065" s="7" t="str">
        <f>VLOOKUP($A2065,[1]!Customer_Names[#Data],3,0)</f>
        <v xml:space="preserve">  Stephanie</v>
      </c>
      <c r="C2065" s="7">
        <v>26.4</v>
      </c>
      <c r="D2065" s="7" t="str" cm="1">
        <f t="array" ref="D2065">_xlfn.IFS(Healthcare!$C2065&lt;18.5,"under weight",Healthcare!$C2065&lt;=24.9,"Normal Weight",Healthcare!$C2065&gt;=25,"overweight",Healthcare!$C2065&gt;=30,"obese")</f>
        <v>overweight</v>
      </c>
      <c r="E2065" s="7">
        <v>6.22</v>
      </c>
      <c r="F2065" s="7" t="str" cm="1">
        <f t="array" ref="F2065">_xlfn.IFS(Healthcare!$E2065&lt;5.7,"normal",Healthcare!$E2065&lt;=6.4,"prediabetes",Healthcare!$E2065&gt;=6.5,"diabetes")</f>
        <v>prediabetes</v>
      </c>
      <c r="G2065" s="7" t="s">
        <v>20</v>
      </c>
      <c r="H2065" s="7" t="s">
        <v>19</v>
      </c>
      <c r="I2065" s="7" t="s">
        <v>19</v>
      </c>
      <c r="J2065" s="7">
        <v>0</v>
      </c>
      <c r="K2065" s="7" t="s">
        <v>19</v>
      </c>
      <c r="L2065" s="7" t="str">
        <f>VLOOKUP(Healthcare!$A2065,hospital_details,2,0)</f>
        <v>26-Aug-2001</v>
      </c>
      <c r="M2065" s="7">
        <f t="shared" ref="M2065:M2128" ca="1" si="12375">VLOOKUP(A2065,hospital_details,3,0)</f>
        <v>25</v>
      </c>
      <c r="N2065" s="7">
        <f t="shared" ref="N2065:N2128" si="12376">VLOOKUP($A2065,hospital_details,4,0)</f>
        <v>1</v>
      </c>
      <c r="O2065" s="8">
        <f t="shared" ref="O2065:O2128" si="12377">VLOOKUP($A2065,hospital_details,5,0)</f>
        <v>2597.7800000000002</v>
      </c>
      <c r="P2065" s="7" t="str">
        <f t="shared" ref="P2065:P2128" si="12378">VLOOKUP($A2065,hospital_details,6,0)</f>
        <v>tier - 2</v>
      </c>
      <c r="Q2065" s="7" t="str">
        <f t="shared" ref="Q2065:Q2128" si="12379">VLOOKUP($A2065,hospital_details,7,0)</f>
        <v>tier - 1</v>
      </c>
      <c r="R2065" s="7" t="str">
        <f t="shared" ref="R2065:R2128" si="12380">VLOOKUP($A2065,hospital_details,8,0)</f>
        <v>R1011</v>
      </c>
    </row>
    <row r="2066" spans="1:18" ht="14.4" customHeight="1" x14ac:dyDescent="0.3">
      <c r="A2066" s="5" t="s">
        <v>2086</v>
      </c>
      <c r="B2066" s="5" t="str">
        <f>VLOOKUP($A2066,[1]!Customer_Names[#Data],3,0)</f>
        <v xml:space="preserve">  Caroline F</v>
      </c>
      <c r="C2066" s="5">
        <v>22.135000000000002</v>
      </c>
      <c r="D2066" s="5" t="str" cm="1">
        <f t="array" ref="D2066">_xlfn.IFS(Healthcare!$C2066&lt;18.5,"under weight",Healthcare!$C2066&lt;=24.9,"Normal Weight",Healthcare!$C2066&gt;=25,"overweight",Healthcare!$C2066&gt;=30,"obese")</f>
        <v>Normal Weight</v>
      </c>
      <c r="E2066" s="5">
        <v>4.46</v>
      </c>
      <c r="F2066" s="5" t="str" cm="1">
        <f t="array" ref="F2066">_xlfn.IFS(Healthcare!$E2066&lt;5.7,"normal",Healthcare!$E2066&lt;=6.4,"prediabetes",Healthcare!$E2066&gt;=6.5,"diabetes")</f>
        <v>normal</v>
      </c>
      <c r="G2066" s="5" t="s">
        <v>20</v>
      </c>
      <c r="H2066" s="5" t="s">
        <v>19</v>
      </c>
      <c r="I2066" s="5" t="s">
        <v>19</v>
      </c>
      <c r="J2066" s="5">
        <v>0</v>
      </c>
      <c r="K2066" s="5" t="s">
        <v>19</v>
      </c>
      <c r="L2066" s="5" t="str">
        <f>VLOOKUP(Healthcare!$A2066,hospital_details,2,0)</f>
        <v>28-Jul-2001</v>
      </c>
      <c r="M2066" s="5">
        <f t="shared" ref="M2066:M2129" ca="1" si="12381">VLOOKUP(A2066,hospital_details,3,0)</f>
        <v>25</v>
      </c>
      <c r="N2066" s="5">
        <f t="shared" ref="N2066:N2129" si="12382">VLOOKUP($A2066,hospital_details,4,0)</f>
        <v>0</v>
      </c>
      <c r="O2066" s="6">
        <f t="shared" ref="O2066:O2129" si="12383">VLOOKUP($A2066,hospital_details,5,0)</f>
        <v>2585.85</v>
      </c>
      <c r="P2066" s="5" t="str">
        <f t="shared" ref="P2066:P2129" si="12384">VLOOKUP($A2066,hospital_details,6,0)</f>
        <v>tier - 2</v>
      </c>
      <c r="Q2066" s="5" t="str">
        <f t="shared" ref="Q2066:Q2129" si="12385">VLOOKUP($A2066,hospital_details,7,0)</f>
        <v>tier - 2</v>
      </c>
      <c r="R2066" s="5" t="str">
        <f t="shared" ref="R2066:R2129" si="12386">VLOOKUP($A2066,hospital_details,8,0)</f>
        <v>R1024</v>
      </c>
    </row>
    <row r="2067" spans="1:18" ht="14.4" customHeight="1" x14ac:dyDescent="0.3">
      <c r="A2067" s="7" t="s">
        <v>2087</v>
      </c>
      <c r="B2067" s="7" t="str">
        <f>VLOOKUP($A2067,[1]!Customer_Names[#Data],3,0)</f>
        <v xml:space="preserve">  Julia J</v>
      </c>
      <c r="C2067" s="7">
        <v>17.399999999999999</v>
      </c>
      <c r="D2067" s="7" t="str" cm="1">
        <f t="array" ref="D2067">_xlfn.IFS(Healthcare!$C2067&lt;18.5,"under weight",Healthcare!$C2067&lt;=24.9,"Normal Weight",Healthcare!$C2067&gt;=25,"overweight",Healthcare!$C2067&gt;=30,"obese")</f>
        <v>under weight</v>
      </c>
      <c r="E2067" s="7">
        <v>4.5</v>
      </c>
      <c r="F2067" s="7" t="str" cm="1">
        <f t="array" ref="F2067">_xlfn.IFS(Healthcare!$E2067&lt;5.7,"normal",Healthcare!$E2067&lt;=6.4,"prediabetes",Healthcare!$E2067&gt;=6.5,"diabetes")</f>
        <v>normal</v>
      </c>
      <c r="G2067" s="7" t="s">
        <v>20</v>
      </c>
      <c r="H2067" s="7" t="s">
        <v>19</v>
      </c>
      <c r="I2067" s="7" t="s">
        <v>19</v>
      </c>
      <c r="J2067" s="7">
        <v>0</v>
      </c>
      <c r="K2067" s="7" t="s">
        <v>19</v>
      </c>
      <c r="L2067" s="7" t="str">
        <f>VLOOKUP(Healthcare!$A2067,hospital_details,2,0)</f>
        <v>15-Oct-2001</v>
      </c>
      <c r="M2067" s="7">
        <f t="shared" ref="M2067:M2130" ca="1" si="12387">VLOOKUP(A2067,hospital_details,3,0)</f>
        <v>25</v>
      </c>
      <c r="N2067" s="7">
        <f t="shared" ref="N2067:N2130" si="12388">VLOOKUP($A2067,hospital_details,4,0)</f>
        <v>1</v>
      </c>
      <c r="O2067" s="8">
        <f t="shared" ref="O2067:O2130" si="12389">VLOOKUP($A2067,hospital_details,5,0)</f>
        <v>2585.27</v>
      </c>
      <c r="P2067" s="7" t="str">
        <f t="shared" ref="P2067:P2130" si="12390">VLOOKUP($A2067,hospital_details,6,0)</f>
        <v>tier - 2</v>
      </c>
      <c r="Q2067" s="7" t="str">
        <f t="shared" ref="Q2067:Q2130" si="12391">VLOOKUP($A2067,hospital_details,7,0)</f>
        <v>tier - 3</v>
      </c>
      <c r="R2067" s="7" t="str">
        <f t="shared" ref="R2067:R2130" si="12392">VLOOKUP($A2067,hospital_details,8,0)</f>
        <v>R1011</v>
      </c>
    </row>
    <row r="2068" spans="1:18" ht="14.4" customHeight="1" x14ac:dyDescent="0.3">
      <c r="A2068" s="5" t="s">
        <v>2088</v>
      </c>
      <c r="B2068" s="5" t="str">
        <f>VLOOKUP($A2068,[1]!Customer_Names[#Data],3,0)</f>
        <v xml:space="preserve">  Jack</v>
      </c>
      <c r="C2068" s="5">
        <v>28.06</v>
      </c>
      <c r="D2068" s="5" t="str" cm="1">
        <f t="array" ref="D2068">_xlfn.IFS(Healthcare!$C2068&lt;18.5,"under weight",Healthcare!$C2068&lt;=24.9,"Normal Weight",Healthcare!$C2068&gt;=25,"overweight",Healthcare!$C2068&gt;=30,"obese")</f>
        <v>overweight</v>
      </c>
      <c r="E2068" s="5">
        <v>8.93</v>
      </c>
      <c r="F2068" s="5" t="str" cm="1">
        <f t="array" ref="F2068">_xlfn.IFS(Healthcare!$E2068&lt;5.7,"normal",Healthcare!$E2068&lt;=6.4,"prediabetes",Healthcare!$E2068&gt;=6.5,"diabetes")</f>
        <v>diabetes</v>
      </c>
      <c r="G2068" s="5" t="s">
        <v>19</v>
      </c>
      <c r="H2068" s="5" t="s">
        <v>19</v>
      </c>
      <c r="I2068" s="5" t="s">
        <v>19</v>
      </c>
      <c r="J2068" s="5">
        <v>0</v>
      </c>
      <c r="K2068" s="5" t="s">
        <v>19</v>
      </c>
      <c r="L2068" s="5" t="str">
        <f>VLOOKUP(Healthcare!$A2068,hospital_details,2,0)</f>
        <v>20-Jul-2002</v>
      </c>
      <c r="M2068" s="5">
        <f t="shared" ref="M2068:M2131" ca="1" si="12393">VLOOKUP(A2068,hospital_details,3,0)</f>
        <v>24</v>
      </c>
      <c r="N2068" s="5">
        <f t="shared" ref="N2068:N2131" si="12394">VLOOKUP($A2068,hospital_details,4,0)</f>
        <v>0</v>
      </c>
      <c r="O2068" s="6">
        <f t="shared" ref="O2068:O2131" si="12395">VLOOKUP($A2068,hospital_details,5,0)</f>
        <v>2585.04</v>
      </c>
      <c r="P2068" s="5" t="str">
        <f t="shared" ref="P2068:P2131" si="12396">VLOOKUP($A2068,hospital_details,6,0)</f>
        <v>tier - 2</v>
      </c>
      <c r="Q2068" s="5" t="str">
        <f t="shared" ref="Q2068:Q2131" si="12397">VLOOKUP($A2068,hospital_details,7,0)</f>
        <v>tier - 2</v>
      </c>
      <c r="R2068" s="5" t="str">
        <f t="shared" ref="R2068:R2131" si="12398">VLOOKUP($A2068,hospital_details,8,0)</f>
        <v>R1021</v>
      </c>
    </row>
    <row r="2069" spans="1:18" ht="14.4" customHeight="1" x14ac:dyDescent="0.3">
      <c r="A2069" s="7" t="s">
        <v>2089</v>
      </c>
      <c r="B2069" s="7" t="str">
        <f>VLOOKUP($A2069,[1]!Customer_Names[#Data],3,0)</f>
        <v xml:space="preserve">  Bernat</v>
      </c>
      <c r="C2069" s="7">
        <v>31.13</v>
      </c>
      <c r="D2069" s="7" t="str" cm="1">
        <f t="array" ref="D2069">_xlfn.IFS(Healthcare!$C2069&lt;18.5,"under weight",Healthcare!$C2069&lt;=24.9,"Normal Weight",Healthcare!$C2069&gt;=25,"overweight",Healthcare!$C2069&gt;=30,"obese")</f>
        <v>overweight</v>
      </c>
      <c r="E2069" s="7">
        <v>11.02</v>
      </c>
      <c r="F2069" s="7" t="str" cm="1">
        <f t="array" ref="F2069">_xlfn.IFS(Healthcare!$E2069&lt;5.7,"normal",Healthcare!$E2069&lt;=6.4,"prediabetes",Healthcare!$E2069&gt;=6.5,"diabetes")</f>
        <v>diabetes</v>
      </c>
      <c r="G2069" s="7" t="s">
        <v>19</v>
      </c>
      <c r="H2069" s="7" t="s">
        <v>19</v>
      </c>
      <c r="I2069" s="7" t="s">
        <v>19</v>
      </c>
      <c r="J2069" s="7">
        <v>0</v>
      </c>
      <c r="K2069" s="7" t="s">
        <v>19</v>
      </c>
      <c r="L2069" s="7" t="str">
        <f>VLOOKUP(Healthcare!$A2069,hospital_details,2,0)</f>
        <v>11-Oct-2002</v>
      </c>
      <c r="M2069" s="7">
        <f t="shared" ref="M2069:M2132" ca="1" si="12399">VLOOKUP(A2069,hospital_details,3,0)</f>
        <v>24</v>
      </c>
      <c r="N2069" s="7">
        <f t="shared" ref="N2069:N2132" si="12400">VLOOKUP($A2069,hospital_details,4,0)</f>
        <v>2</v>
      </c>
      <c r="O2069" s="8">
        <f t="shared" ref="O2069:O2132" si="12401">VLOOKUP($A2069,hospital_details,5,0)</f>
        <v>2566.4699999999998</v>
      </c>
      <c r="P2069" s="7" t="str">
        <f t="shared" ref="P2069:P2132" si="12402">VLOOKUP($A2069,hospital_details,6,0)</f>
        <v>tier - 2</v>
      </c>
      <c r="Q2069" s="7" t="str">
        <f t="shared" ref="Q2069:Q2132" si="12403">VLOOKUP($A2069,hospital_details,7,0)</f>
        <v>tier - 3</v>
      </c>
      <c r="R2069" s="7" t="str">
        <f t="shared" ref="R2069:R2132" si="12404">VLOOKUP($A2069,hospital_details,8,0)</f>
        <v>R1013</v>
      </c>
    </row>
    <row r="2070" spans="1:18" ht="14.4" customHeight="1" x14ac:dyDescent="0.3">
      <c r="A2070" s="5" t="s">
        <v>2090</v>
      </c>
      <c r="B2070" s="5" t="str">
        <f>VLOOKUP($A2070,[1]!Customer_Names[#Data],3,0)</f>
        <v xml:space="preserve">  Hicham</v>
      </c>
      <c r="C2070" s="5">
        <v>18.46</v>
      </c>
      <c r="D2070" s="5" t="str" cm="1">
        <f t="array" ref="D2070">_xlfn.IFS(Healthcare!$C2070&lt;18.5,"under weight",Healthcare!$C2070&lt;=24.9,"Normal Weight",Healthcare!$C2070&gt;=25,"overweight",Healthcare!$C2070&gt;=30,"obese")</f>
        <v>under weight</v>
      </c>
      <c r="E2070" s="5">
        <v>5.25</v>
      </c>
      <c r="F2070" s="5" t="str" cm="1">
        <f t="array" ref="F2070">_xlfn.IFS(Healthcare!$E2070&lt;5.7,"normal",Healthcare!$E2070&lt;=6.4,"prediabetes",Healthcare!$E2070&gt;=6.5,"diabetes")</f>
        <v>normal</v>
      </c>
      <c r="G2070" s="5" t="s">
        <v>19</v>
      </c>
      <c r="H2070" s="5" t="s">
        <v>19</v>
      </c>
      <c r="I2070" s="5" t="s">
        <v>19</v>
      </c>
      <c r="J2070" s="5">
        <v>0</v>
      </c>
      <c r="K2070" s="5" t="s">
        <v>19</v>
      </c>
      <c r="L2070" s="5" t="str">
        <f>VLOOKUP(Healthcare!$A2070,hospital_details,2,0)</f>
        <v>17-Nov-1991</v>
      </c>
      <c r="M2070" s="5">
        <f t="shared" ref="M2070:M2133" ca="1" si="12405">VLOOKUP(A2070,hospital_details,3,0)</f>
        <v>34</v>
      </c>
      <c r="N2070" s="5">
        <f t="shared" ref="N2070:N2133" si="12406">VLOOKUP($A2070,hospital_details,4,0)</f>
        <v>3</v>
      </c>
      <c r="O2070" s="6">
        <f t="shared" ref="O2070:O2133" si="12407">VLOOKUP($A2070,hospital_details,5,0)</f>
        <v>2545.6799999999998</v>
      </c>
      <c r="P2070" s="5" t="str">
        <f t="shared" ref="P2070:P2133" si="12408">VLOOKUP($A2070,hospital_details,6,0)</f>
        <v>tier - 2</v>
      </c>
      <c r="Q2070" s="5" t="str">
        <f t="shared" ref="Q2070:Q2133" si="12409">VLOOKUP($A2070,hospital_details,7,0)</f>
        <v>tier - 1</v>
      </c>
      <c r="R2070" s="5" t="str">
        <f t="shared" ref="R2070:R2133" si="12410">VLOOKUP($A2070,hospital_details,8,0)</f>
        <v>R1013</v>
      </c>
    </row>
    <row r="2071" spans="1:18" ht="14.4" customHeight="1" x14ac:dyDescent="0.3">
      <c r="A2071" s="7" t="s">
        <v>2091</v>
      </c>
      <c r="B2071" s="7" t="str">
        <f>VLOOKUP($A2071,[1]!Customer_Names[#Data],3,0)</f>
        <v xml:space="preserve">  Sarah</v>
      </c>
      <c r="C2071" s="7">
        <v>17.3</v>
      </c>
      <c r="D2071" s="7" t="str" cm="1">
        <f t="array" ref="D2071">_xlfn.IFS(Healthcare!$C2071&lt;18.5,"under weight",Healthcare!$C2071&lt;=24.9,"Normal Weight",Healthcare!$C2071&gt;=25,"overweight",Healthcare!$C2071&gt;=30,"obese")</f>
        <v>under weight</v>
      </c>
      <c r="E2071" s="7">
        <v>4.75</v>
      </c>
      <c r="F2071" s="7" t="str" cm="1">
        <f t="array" ref="F2071">_xlfn.IFS(Healthcare!$E2071&lt;5.7,"normal",Healthcare!$E2071&lt;=6.4,"prediabetes",Healthcare!$E2071&gt;=6.5,"diabetes")</f>
        <v>normal</v>
      </c>
      <c r="G2071" s="7" t="s">
        <v>19</v>
      </c>
      <c r="H2071" s="7" t="s">
        <v>19</v>
      </c>
      <c r="I2071" s="7" t="s">
        <v>19</v>
      </c>
      <c r="J2071" s="7">
        <v>0</v>
      </c>
      <c r="K2071" s="7" t="s">
        <v>19</v>
      </c>
      <c r="L2071" s="7" t="str">
        <f>VLOOKUP(Healthcare!$A2071,hospital_details,2,0)</f>
        <v>1-Oct-1990</v>
      </c>
      <c r="M2071" s="7">
        <f t="shared" ref="M2071:M2134" ca="1" si="12411">VLOOKUP(A2071,hospital_details,3,0)</f>
        <v>36</v>
      </c>
      <c r="N2071" s="7">
        <f t="shared" ref="N2071:N2134" si="12412">VLOOKUP($A2071,hospital_details,4,0)</f>
        <v>3</v>
      </c>
      <c r="O2071" s="8">
        <f t="shared" ref="O2071:O2134" si="12413">VLOOKUP($A2071,hospital_details,5,0)</f>
        <v>2540.39</v>
      </c>
      <c r="P2071" s="7" t="str">
        <f t="shared" ref="P2071:P2134" si="12414">VLOOKUP($A2071,hospital_details,6,0)</f>
        <v>tier - 2</v>
      </c>
      <c r="Q2071" s="7" t="str">
        <f t="shared" ref="Q2071:Q2134" si="12415">VLOOKUP($A2071,hospital_details,7,0)</f>
        <v>tier - 2</v>
      </c>
      <c r="R2071" s="7" t="str">
        <f t="shared" ref="R2071:R2134" si="12416">VLOOKUP($A2071,hospital_details,8,0)</f>
        <v>R1013</v>
      </c>
    </row>
    <row r="2072" spans="1:18" ht="14.4" customHeight="1" x14ac:dyDescent="0.3">
      <c r="A2072" s="5" t="s">
        <v>2092</v>
      </c>
      <c r="B2072" s="5" t="str">
        <f>VLOOKUP($A2072,[1]!Customer_Names[#Data],3,0)</f>
        <v xml:space="preserve">  Anthony S</v>
      </c>
      <c r="C2072" s="5">
        <v>35.625</v>
      </c>
      <c r="D2072" s="5" t="str" cm="1">
        <f t="array" ref="D2072">_xlfn.IFS(Healthcare!$C2072&lt;18.5,"under weight",Healthcare!$C2072&lt;=24.9,"Normal Weight",Healthcare!$C2072&gt;=25,"overweight",Healthcare!$C2072&gt;=30,"obese")</f>
        <v>overweight</v>
      </c>
      <c r="E2072" s="5">
        <v>4.68</v>
      </c>
      <c r="F2072" s="5" t="str" cm="1">
        <f t="array" ref="F2072">_xlfn.IFS(Healthcare!$E2072&lt;5.7,"normal",Healthcare!$E2072&lt;=6.4,"prediabetes",Healthcare!$E2072&gt;=6.5,"diabetes")</f>
        <v>normal</v>
      </c>
      <c r="G2072" s="5" t="s">
        <v>20</v>
      </c>
      <c r="H2072" s="5" t="s">
        <v>19</v>
      </c>
      <c r="I2072" s="5" t="s">
        <v>29</v>
      </c>
      <c r="J2072" s="5">
        <v>1</v>
      </c>
      <c r="K2072" s="5" t="s">
        <v>19</v>
      </c>
      <c r="L2072" s="5" t="str">
        <f>VLOOKUP(Healthcare!$A2072,hospital_details,2,0)</f>
        <v>28-Jul-1997</v>
      </c>
      <c r="M2072" s="5">
        <f t="shared" ref="M2072:M2135" ca="1" si="12417">VLOOKUP(A2072,hospital_details,3,0)</f>
        <v>29</v>
      </c>
      <c r="N2072" s="5">
        <f t="shared" ref="N2072:N2135" si="12418">VLOOKUP($A2072,hospital_details,4,0)</f>
        <v>0</v>
      </c>
      <c r="O2072" s="6">
        <f t="shared" ref="O2072:O2135" si="12419">VLOOKUP($A2072,hospital_details,5,0)</f>
        <v>2534.39</v>
      </c>
      <c r="P2072" s="5" t="str">
        <f t="shared" ref="P2072:P2135" si="12420">VLOOKUP($A2072,hospital_details,6,0)</f>
        <v>tier - 3</v>
      </c>
      <c r="Q2072" s="5" t="str">
        <f t="shared" ref="Q2072:Q2135" si="12421">VLOOKUP($A2072,hospital_details,7,0)</f>
        <v>tier - 3</v>
      </c>
      <c r="R2072" s="5" t="str">
        <f t="shared" ref="R2072:R2135" si="12422">VLOOKUP($A2072,hospital_details,8,0)</f>
        <v>R1012</v>
      </c>
    </row>
    <row r="2073" spans="1:18" ht="14.4" customHeight="1" x14ac:dyDescent="0.3">
      <c r="A2073" s="7" t="s">
        <v>2093</v>
      </c>
      <c r="B2073" s="7" t="str">
        <f>VLOOKUP($A2073,[1]!Customer_Names[#Data],3,0)</f>
        <v xml:space="preserve">  Elisabetta</v>
      </c>
      <c r="C2073" s="7">
        <v>20.234999999999999</v>
      </c>
      <c r="D2073" s="7" t="str" cm="1">
        <f t="array" ref="D2073">_xlfn.IFS(Healthcare!$C2073&lt;18.5,"under weight",Healthcare!$C2073&lt;=24.9,"Normal Weight",Healthcare!$C2073&gt;=25,"overweight",Healthcare!$C2073&gt;=30,"obese")</f>
        <v>Normal Weight</v>
      </c>
      <c r="E2073" s="7">
        <v>6.17</v>
      </c>
      <c r="F2073" s="7" t="str" cm="1">
        <f t="array" ref="F2073">_xlfn.IFS(Healthcare!$E2073&lt;5.7,"normal",Healthcare!$E2073&lt;=6.4,"prediabetes",Healthcare!$E2073&gt;=6.5,"diabetes")</f>
        <v>prediabetes</v>
      </c>
      <c r="G2073" s="7" t="s">
        <v>20</v>
      </c>
      <c r="H2073" s="7" t="s">
        <v>20</v>
      </c>
      <c r="I2073" s="7" t="s">
        <v>19</v>
      </c>
      <c r="J2073" s="7">
        <v>2</v>
      </c>
      <c r="K2073" s="7" t="s">
        <v>19</v>
      </c>
      <c r="L2073" s="7" t="str">
        <f>VLOOKUP(Healthcare!$A2073,hospital_details,2,0)</f>
        <v>25-Aug-2000</v>
      </c>
      <c r="M2073" s="7">
        <f t="shared" ref="M2073:M2136" ca="1" si="12423">VLOOKUP(A2073,hospital_details,3,0)</f>
        <v>26</v>
      </c>
      <c r="N2073" s="7">
        <f t="shared" ref="N2073:N2136" si="12424">VLOOKUP($A2073,hospital_details,4,0)</f>
        <v>0</v>
      </c>
      <c r="O2073" s="8">
        <f t="shared" ref="O2073:O2136" si="12425">VLOOKUP($A2073,hospital_details,5,0)</f>
        <v>2527.8200000000002</v>
      </c>
      <c r="P2073" s="7" t="str">
        <f t="shared" ref="P2073:P2136" si="12426">VLOOKUP($A2073,hospital_details,6,0)</f>
        <v>tier - 2</v>
      </c>
      <c r="Q2073" s="7" t="str">
        <f t="shared" ref="Q2073:Q2136" si="12427">VLOOKUP($A2073,hospital_details,7,0)</f>
        <v>tier - 3</v>
      </c>
      <c r="R2073" s="7" t="str">
        <f t="shared" ref="R2073:R2136" si="12428">VLOOKUP($A2073,hospital_details,8,0)</f>
        <v>R1012</v>
      </c>
    </row>
    <row r="2074" spans="1:18" ht="14.4" customHeight="1" x14ac:dyDescent="0.3">
      <c r="A2074" s="5" t="s">
        <v>2094</v>
      </c>
      <c r="B2074" s="5" t="str">
        <f>VLOOKUP($A2074,[1]!Customer_Names[#Data],3,0)</f>
        <v xml:space="preserve">  Trevor N</v>
      </c>
      <c r="C2074" s="5">
        <v>27.55</v>
      </c>
      <c r="D2074" s="5" t="str" cm="1">
        <f t="array" ref="D2074">_xlfn.IFS(Healthcare!$C2074&lt;18.5,"under weight",Healthcare!$C2074&lt;=24.9,"Normal Weight",Healthcare!$C2074&gt;=25,"overweight",Healthcare!$C2074&gt;=30,"obese")</f>
        <v>overweight</v>
      </c>
      <c r="E2074" s="5">
        <v>4.5599999999999996</v>
      </c>
      <c r="F2074" s="5" t="str" cm="1">
        <f t="array" ref="F2074">_xlfn.IFS(Healthcare!$E2074&lt;5.7,"normal",Healthcare!$E2074&lt;=6.4,"prediabetes",Healthcare!$E2074&gt;=6.5,"diabetes")</f>
        <v>normal</v>
      </c>
      <c r="G2074" s="5" t="s">
        <v>20</v>
      </c>
      <c r="H2074" s="5" t="s">
        <v>19</v>
      </c>
      <c r="I2074" s="5" t="s">
        <v>29</v>
      </c>
      <c r="J2074" s="5">
        <v>1</v>
      </c>
      <c r="K2074" s="5" t="s">
        <v>19</v>
      </c>
      <c r="L2074" s="5" t="str">
        <f>VLOOKUP(Healthcare!$A2074,hospital_details,2,0)</f>
        <v>2-Nov-1997</v>
      </c>
      <c r="M2074" s="5">
        <f t="shared" ref="M2074:M2137" ca="1" si="12429">VLOOKUP(A2074,hospital_details,3,0)</f>
        <v>28</v>
      </c>
      <c r="N2074" s="5">
        <f t="shared" ref="N2074:N2137" si="12430">VLOOKUP($A2074,hospital_details,4,0)</f>
        <v>0</v>
      </c>
      <c r="O2074" s="6">
        <f t="shared" ref="O2074:O2137" si="12431">VLOOKUP($A2074,hospital_details,5,0)</f>
        <v>2523.17</v>
      </c>
      <c r="P2074" s="5" t="str">
        <f t="shared" ref="P2074:P2137" si="12432">VLOOKUP($A2074,hospital_details,6,0)</f>
        <v>tier - 3</v>
      </c>
      <c r="Q2074" s="5" t="str">
        <f t="shared" ref="Q2074:Q2137" si="12433">VLOOKUP($A2074,hospital_details,7,0)</f>
        <v>tier - 1</v>
      </c>
      <c r="R2074" s="5" t="str">
        <f t="shared" ref="R2074:R2137" si="12434">VLOOKUP($A2074,hospital_details,8,0)</f>
        <v>R1012</v>
      </c>
    </row>
    <row r="2075" spans="1:18" ht="14.4" customHeight="1" x14ac:dyDescent="0.3">
      <c r="A2075" s="7" t="s">
        <v>2095</v>
      </c>
      <c r="B2075" s="7" t="str">
        <f>VLOOKUP($A2075,[1]!Customer_Names[#Data],3,0)</f>
        <v xml:space="preserve">  Nancy</v>
      </c>
      <c r="C2075" s="7">
        <v>17.97</v>
      </c>
      <c r="D2075" s="7" t="str" cm="1">
        <f t="array" ref="D2075">_xlfn.IFS(Healthcare!$C2075&lt;18.5,"under weight",Healthcare!$C2075&lt;=24.9,"Normal Weight",Healthcare!$C2075&gt;=25,"overweight",Healthcare!$C2075&gt;=30,"obese")</f>
        <v>under weight</v>
      </c>
      <c r="E2075" s="7">
        <v>6.3</v>
      </c>
      <c r="F2075" s="7" t="str" cm="1">
        <f t="array" ref="F2075">_xlfn.IFS(Healthcare!$E2075&lt;5.7,"normal",Healthcare!$E2075&lt;=6.4,"prediabetes",Healthcare!$E2075&gt;=6.5,"diabetes")</f>
        <v>prediabetes</v>
      </c>
      <c r="G2075" s="7" t="s">
        <v>19</v>
      </c>
      <c r="H2075" s="7" t="s">
        <v>19</v>
      </c>
      <c r="I2075" s="7" t="s">
        <v>19</v>
      </c>
      <c r="J2075" s="7">
        <v>0</v>
      </c>
      <c r="K2075" s="7" t="s">
        <v>19</v>
      </c>
      <c r="L2075" s="7" t="str">
        <f>VLOOKUP(Healthcare!$A2075,hospital_details,2,0)</f>
        <v>5-Aug-1991</v>
      </c>
      <c r="M2075" s="7">
        <f t="shared" ref="M2075:M2138" ca="1" si="12435">VLOOKUP(A2075,hospital_details,3,0)</f>
        <v>35</v>
      </c>
      <c r="N2075" s="7">
        <f t="shared" ref="N2075:N2138" si="12436">VLOOKUP($A2075,hospital_details,4,0)</f>
        <v>3</v>
      </c>
      <c r="O2075" s="8">
        <f t="shared" ref="O2075:O2138" si="12437">VLOOKUP($A2075,hospital_details,5,0)</f>
        <v>2510.79</v>
      </c>
      <c r="P2075" s="7" t="str">
        <f t="shared" ref="P2075:P2138" si="12438">VLOOKUP($A2075,hospital_details,6,0)</f>
        <v>tier - 2</v>
      </c>
      <c r="Q2075" s="7" t="str">
        <f t="shared" ref="Q2075:Q2138" si="12439">VLOOKUP($A2075,hospital_details,7,0)</f>
        <v>tier - 1</v>
      </c>
      <c r="R2075" s="7" t="str">
        <f t="shared" ref="R2075:R2138" si="12440">VLOOKUP($A2075,hospital_details,8,0)</f>
        <v>R1013</v>
      </c>
    </row>
    <row r="2076" spans="1:18" ht="14.4" customHeight="1" x14ac:dyDescent="0.3">
      <c r="A2076" s="5" t="s">
        <v>2096</v>
      </c>
      <c r="B2076" s="5" t="str">
        <f>VLOOKUP($A2076,[1]!Customer_Names[#Data],3,0)</f>
        <v xml:space="preserve">  Allison R</v>
      </c>
      <c r="C2076" s="5">
        <v>29.98</v>
      </c>
      <c r="D2076" s="5" t="str" cm="1">
        <f t="array" ref="D2076">_xlfn.IFS(Healthcare!$C2076&lt;18.5,"under weight",Healthcare!$C2076&lt;=24.9,"Normal Weight",Healthcare!$C2076&gt;=25,"overweight",Healthcare!$C2076&gt;=30,"obese")</f>
        <v>overweight</v>
      </c>
      <c r="E2076" s="5">
        <v>6.03</v>
      </c>
      <c r="F2076" s="5" t="str" cm="1">
        <f t="array" ref="F2076">_xlfn.IFS(Healthcare!$E2076&lt;5.7,"normal",Healthcare!$E2076&lt;=6.4,"prediabetes",Healthcare!$E2076&gt;=6.5,"diabetes")</f>
        <v>prediabetes</v>
      </c>
      <c r="G2076" s="5" t="s">
        <v>19</v>
      </c>
      <c r="H2076" s="5" t="s">
        <v>20</v>
      </c>
      <c r="I2076" s="5" t="s">
        <v>19</v>
      </c>
      <c r="J2076" s="5">
        <v>1</v>
      </c>
      <c r="K2076" s="5" t="s">
        <v>19</v>
      </c>
      <c r="L2076" s="5" t="str">
        <f>VLOOKUP(Healthcare!$A2076,hospital_details,2,0)</f>
        <v>6-Sep-2004</v>
      </c>
      <c r="M2076" s="5">
        <f t="shared" ref="M2076:M2139" ca="1" si="12441">VLOOKUP(A2076,hospital_details,3,0)</f>
        <v>22</v>
      </c>
      <c r="N2076" s="5">
        <f t="shared" ref="N2076:N2139" si="12442">VLOOKUP($A2076,hospital_details,4,0)</f>
        <v>0</v>
      </c>
      <c r="O2076" s="6">
        <f t="shared" ref="O2076:O2139" si="12443">VLOOKUP($A2076,hospital_details,5,0)</f>
        <v>2500.9299999999998</v>
      </c>
      <c r="P2076" s="5" t="str">
        <f t="shared" ref="P2076:P2139" si="12444">VLOOKUP($A2076,hospital_details,6,0)</f>
        <v>tier - 2</v>
      </c>
      <c r="Q2076" s="5" t="str">
        <f t="shared" ref="Q2076:Q2139" si="12445">VLOOKUP($A2076,hospital_details,7,0)</f>
        <v>tier - 2</v>
      </c>
      <c r="R2076" s="5" t="str">
        <f t="shared" ref="R2076:R2139" si="12446">VLOOKUP($A2076,hospital_details,8,0)</f>
        <v>R1012</v>
      </c>
    </row>
    <row r="2077" spans="1:18" ht="14.4" customHeight="1" x14ac:dyDescent="0.3">
      <c r="A2077" s="7" t="s">
        <v>2097</v>
      </c>
      <c r="B2077" s="7" t="str">
        <f>VLOOKUP($A2077,[1]!Customer_Names[#Data],3,0)</f>
        <v xml:space="preserve">  Robert J</v>
      </c>
      <c r="C2077" s="7">
        <v>33.659999999999997</v>
      </c>
      <c r="D2077" s="7" t="str" cm="1">
        <f t="array" ref="D2077">_xlfn.IFS(Healthcare!$C2077&lt;18.5,"under weight",Healthcare!$C2077&lt;=24.9,"Normal Weight",Healthcare!$C2077&gt;=25,"overweight",Healthcare!$C2077&gt;=30,"obese")</f>
        <v>overweight</v>
      </c>
      <c r="E2077" s="7">
        <v>4.2</v>
      </c>
      <c r="F2077" s="7" t="str" cm="1">
        <f t="array" ref="F2077">_xlfn.IFS(Healthcare!$E2077&lt;5.7,"normal",Healthcare!$E2077&lt;=6.4,"prediabetes",Healthcare!$E2077&gt;=6.5,"diabetes")</f>
        <v>normal</v>
      </c>
      <c r="G2077" s="7" t="s">
        <v>20</v>
      </c>
      <c r="H2077" s="7" t="s">
        <v>19</v>
      </c>
      <c r="I2077" s="7" t="s">
        <v>19</v>
      </c>
      <c r="J2077" s="7">
        <v>1</v>
      </c>
      <c r="K2077" s="7" t="s">
        <v>19</v>
      </c>
      <c r="L2077" s="7" t="str">
        <f>VLOOKUP(Healthcare!$A2077,hospital_details,2,0)</f>
        <v>15-Oct-1995</v>
      </c>
      <c r="M2077" s="7">
        <f t="shared" ref="M2077:M2140" ca="1" si="12447">VLOOKUP(A2077,hospital_details,3,0)</f>
        <v>31</v>
      </c>
      <c r="N2077" s="7">
        <f t="shared" ref="N2077:N2140" si="12448">VLOOKUP($A2077,hospital_details,4,0)</f>
        <v>0</v>
      </c>
      <c r="O2077" s="8">
        <f t="shared" ref="O2077:O2140" si="12449">VLOOKUP($A2077,hospital_details,5,0)</f>
        <v>2498.41</v>
      </c>
      <c r="P2077" s="7" t="str">
        <f t="shared" ref="P2077:P2140" si="12450">VLOOKUP($A2077,hospital_details,6,0)</f>
        <v>tier - 3</v>
      </c>
      <c r="Q2077" s="7" t="str">
        <f t="shared" ref="Q2077:Q2140" si="12451">VLOOKUP($A2077,hospital_details,7,0)</f>
        <v>tier - 3</v>
      </c>
      <c r="R2077" s="7" t="str">
        <f t="shared" ref="R2077:R2140" si="12452">VLOOKUP($A2077,hospital_details,8,0)</f>
        <v>R1013</v>
      </c>
    </row>
    <row r="2078" spans="1:18" ht="14.4" customHeight="1" x14ac:dyDescent="0.3">
      <c r="A2078" s="5" t="s">
        <v>2098</v>
      </c>
      <c r="B2078" s="5" t="str">
        <f>VLOOKUP($A2078,[1]!Customer_Names[#Data],3,0)</f>
        <v xml:space="preserve">  Nicholas</v>
      </c>
      <c r="C2078" s="5">
        <v>32.67</v>
      </c>
      <c r="D2078" s="5" t="str" cm="1">
        <f t="array" ref="D2078">_xlfn.IFS(Healthcare!$C2078&lt;18.5,"under weight",Healthcare!$C2078&lt;=24.9,"Normal Weight",Healthcare!$C2078&gt;=25,"overweight",Healthcare!$C2078&gt;=30,"obese")</f>
        <v>overweight</v>
      </c>
      <c r="E2078" s="5">
        <v>5.61</v>
      </c>
      <c r="F2078" s="5" t="str" cm="1">
        <f t="array" ref="F2078">_xlfn.IFS(Healthcare!$E2078&lt;5.7,"normal",Healthcare!$E2078&lt;=6.4,"prediabetes",Healthcare!$E2078&gt;=6.5,"diabetes")</f>
        <v>normal</v>
      </c>
      <c r="G2078" s="5" t="s">
        <v>20</v>
      </c>
      <c r="H2078" s="5" t="s">
        <v>19</v>
      </c>
      <c r="I2078" s="5" t="s">
        <v>19</v>
      </c>
      <c r="J2078" s="5">
        <v>1</v>
      </c>
      <c r="K2078" s="5" t="s">
        <v>19</v>
      </c>
      <c r="L2078" s="5" t="str">
        <f>VLOOKUP(Healthcare!$A2078,hospital_details,2,0)</f>
        <v>9-Jul-1995</v>
      </c>
      <c r="M2078" s="5">
        <f t="shared" ref="M2078:M2141" ca="1" si="12453">VLOOKUP(A2078,hospital_details,3,0)</f>
        <v>31</v>
      </c>
      <c r="N2078" s="5">
        <f t="shared" ref="N2078:N2141" si="12454">VLOOKUP($A2078,hospital_details,4,0)</f>
        <v>0</v>
      </c>
      <c r="O2078" s="6">
        <f t="shared" ref="O2078:O2141" si="12455">VLOOKUP($A2078,hospital_details,5,0)</f>
        <v>2497.04</v>
      </c>
      <c r="P2078" s="5" t="str">
        <f t="shared" ref="P2078:P2141" si="12456">VLOOKUP($A2078,hospital_details,6,0)</f>
        <v>tier - 3</v>
      </c>
      <c r="Q2078" s="5" t="str">
        <f t="shared" ref="Q2078:Q2141" si="12457">VLOOKUP($A2078,hospital_details,7,0)</f>
        <v>tier - 3</v>
      </c>
      <c r="R2078" s="5" t="str">
        <f t="shared" ref="R2078:R2141" si="12458">VLOOKUP($A2078,hospital_details,8,0)</f>
        <v>R1013</v>
      </c>
    </row>
    <row r="2079" spans="1:18" ht="14.4" customHeight="1" x14ac:dyDescent="0.3">
      <c r="A2079" s="7" t="s">
        <v>2099</v>
      </c>
      <c r="B2079" s="7" t="str">
        <f>VLOOKUP($A2079,[1]!Customer_Names[#Data],3,0)</f>
        <v xml:space="preserve">  Kevin L</v>
      </c>
      <c r="C2079" s="7">
        <v>30.5</v>
      </c>
      <c r="D2079" s="7" t="str" cm="1">
        <f t="array" ref="D2079">_xlfn.IFS(Healthcare!$C2079&lt;18.5,"under weight",Healthcare!$C2079&lt;=24.9,"Normal Weight",Healthcare!$C2079&gt;=25,"overweight",Healthcare!$C2079&gt;=30,"obese")</f>
        <v>overweight</v>
      </c>
      <c r="E2079" s="7">
        <v>5.88</v>
      </c>
      <c r="F2079" s="7" t="str" cm="1">
        <f t="array" ref="F2079">_xlfn.IFS(Healthcare!$E2079&lt;5.7,"normal",Healthcare!$E2079&lt;=6.4,"prediabetes",Healthcare!$E2079&gt;=6.5,"diabetes")</f>
        <v>prediabetes</v>
      </c>
      <c r="G2079" s="7" t="s">
        <v>20</v>
      </c>
      <c r="H2079" s="7" t="s">
        <v>19</v>
      </c>
      <c r="I2079" s="7" t="s">
        <v>19</v>
      </c>
      <c r="J2079" s="7">
        <v>1</v>
      </c>
      <c r="K2079" s="7" t="s">
        <v>19</v>
      </c>
      <c r="L2079" s="7" t="str">
        <f>VLOOKUP(Healthcare!$A2079,hospital_details,2,0)</f>
        <v>14-Oct-1995</v>
      </c>
      <c r="M2079" s="7">
        <f t="shared" ref="M2079:M2142" ca="1" si="12459">VLOOKUP(A2079,hospital_details,3,0)</f>
        <v>31</v>
      </c>
      <c r="N2079" s="7">
        <f t="shared" ref="N2079:N2142" si="12460">VLOOKUP($A2079,hospital_details,4,0)</f>
        <v>0</v>
      </c>
      <c r="O2079" s="8">
        <f t="shared" ref="O2079:O2142" si="12461">VLOOKUP($A2079,hospital_details,5,0)</f>
        <v>2494.02</v>
      </c>
      <c r="P2079" s="7" t="str">
        <f t="shared" ref="P2079:P2142" si="12462">VLOOKUP($A2079,hospital_details,6,0)</f>
        <v>tier - 3</v>
      </c>
      <c r="Q2079" s="7" t="str">
        <f t="shared" ref="Q2079:Q2142" si="12463">VLOOKUP($A2079,hospital_details,7,0)</f>
        <v>tier - 1</v>
      </c>
      <c r="R2079" s="7" t="str">
        <f t="shared" ref="R2079:R2142" si="12464">VLOOKUP($A2079,hospital_details,8,0)</f>
        <v>R1011</v>
      </c>
    </row>
    <row r="2080" spans="1:18" ht="14.4" customHeight="1" x14ac:dyDescent="0.3">
      <c r="A2080" s="5" t="s">
        <v>2100</v>
      </c>
      <c r="B2080" s="5" t="str">
        <f>VLOOKUP($A2080,[1]!Customer_Names[#Data],3,0)</f>
        <v xml:space="preserve">  Bryan</v>
      </c>
      <c r="C2080" s="5">
        <v>23.1</v>
      </c>
      <c r="D2080" s="5" t="str" cm="1">
        <f t="array" ref="D2080">_xlfn.IFS(Healthcare!$C2080&lt;18.5,"under weight",Healthcare!$C2080&lt;=24.9,"Normal Weight",Healthcare!$C2080&gt;=25,"overweight",Healthcare!$C2080&gt;=30,"obese")</f>
        <v>Normal Weight</v>
      </c>
      <c r="E2080" s="5">
        <v>5.92</v>
      </c>
      <c r="F2080" s="5" t="str" cm="1">
        <f t="array" ref="F2080">_xlfn.IFS(Healthcare!$E2080&lt;5.7,"normal",Healthcare!$E2080&lt;=6.4,"prediabetes",Healthcare!$E2080&gt;=6.5,"diabetes")</f>
        <v>prediabetes</v>
      </c>
      <c r="G2080" s="5" t="s">
        <v>20</v>
      </c>
      <c r="H2080" s="5" t="s">
        <v>19</v>
      </c>
      <c r="I2080" s="5" t="s">
        <v>19</v>
      </c>
      <c r="J2080" s="5">
        <v>1</v>
      </c>
      <c r="K2080" s="5" t="s">
        <v>19</v>
      </c>
      <c r="L2080" s="5" t="str">
        <f>VLOOKUP(Healthcare!$A2080,hospital_details,2,0)</f>
        <v>6-Nov-1995</v>
      </c>
      <c r="M2080" s="5">
        <f t="shared" ref="M2080:M2143" ca="1" si="12465">VLOOKUP(A2080,hospital_details,3,0)</f>
        <v>30</v>
      </c>
      <c r="N2080" s="5">
        <f t="shared" ref="N2080:N2143" si="12466">VLOOKUP($A2080,hospital_details,4,0)</f>
        <v>0</v>
      </c>
      <c r="O2080" s="6">
        <f t="shared" ref="O2080:O2143" si="12467">VLOOKUP($A2080,hospital_details,5,0)</f>
        <v>2483.7399999999998</v>
      </c>
      <c r="P2080" s="5" t="str">
        <f t="shared" ref="P2080:P2143" si="12468">VLOOKUP($A2080,hospital_details,6,0)</f>
        <v>tier - 3</v>
      </c>
      <c r="Q2080" s="5" t="str">
        <f t="shared" ref="Q2080:Q2143" si="12469">VLOOKUP($A2080,hospital_details,7,0)</f>
        <v>tier - 2</v>
      </c>
      <c r="R2080" s="5" t="str">
        <f t="shared" ref="R2080:R2143" si="12470">VLOOKUP($A2080,hospital_details,8,0)</f>
        <v>R1013</v>
      </c>
    </row>
    <row r="2081" spans="1:18" ht="14.4" customHeight="1" x14ac:dyDescent="0.3">
      <c r="A2081" s="7" t="s">
        <v>2101</v>
      </c>
      <c r="B2081" s="7" t="str">
        <f>VLOOKUP($A2081,[1]!Customer_Names[#Data],3,0)</f>
        <v xml:space="preserve">  Janae N</v>
      </c>
      <c r="C2081" s="7">
        <v>39.49</v>
      </c>
      <c r="D2081" s="7" t="str" cm="1">
        <f t="array" ref="D2081">_xlfn.IFS(Healthcare!$C2081&lt;18.5,"under weight",Healthcare!$C2081&lt;=24.9,"Normal Weight",Healthcare!$C2081&gt;=25,"overweight",Healthcare!$C2081&gt;=30,"obese")</f>
        <v>overweight</v>
      </c>
      <c r="E2081" s="7">
        <v>4.8099999999999996</v>
      </c>
      <c r="F2081" s="7" t="str" cm="1">
        <f t="array" ref="F2081">_xlfn.IFS(Healthcare!$E2081&lt;5.7,"normal",Healthcare!$E2081&lt;=6.4,"prediabetes",Healthcare!$E2081&gt;=6.5,"diabetes")</f>
        <v>normal</v>
      </c>
      <c r="G2081" s="7" t="s">
        <v>19</v>
      </c>
      <c r="H2081" s="7" t="s">
        <v>19</v>
      </c>
      <c r="I2081" s="7" t="s">
        <v>19</v>
      </c>
      <c r="J2081" s="7">
        <v>1</v>
      </c>
      <c r="K2081" s="7" t="s">
        <v>19</v>
      </c>
      <c r="L2081" s="7" t="str">
        <f>VLOOKUP(Healthcare!$A2081,hospital_details,2,0)</f>
        <v>20-Jun-1998</v>
      </c>
      <c r="M2081" s="7">
        <f t="shared" ref="M2081:M2144" ca="1" si="12471">VLOOKUP(A2081,hospital_details,3,0)</f>
        <v>28</v>
      </c>
      <c r="N2081" s="7">
        <f t="shared" ref="N2081:N2144" si="12472">VLOOKUP($A2081,hospital_details,4,0)</f>
        <v>0</v>
      </c>
      <c r="O2081" s="8">
        <f t="shared" ref="O2081:O2144" si="12473">VLOOKUP($A2081,hospital_details,5,0)</f>
        <v>2480.98</v>
      </c>
      <c r="P2081" s="7" t="str">
        <f t="shared" ref="P2081:P2144" si="12474">VLOOKUP($A2081,hospital_details,6,0)</f>
        <v>tier - 2</v>
      </c>
      <c r="Q2081" s="7" t="str">
        <f t="shared" ref="Q2081:Q2144" si="12475">VLOOKUP($A2081,hospital_details,7,0)</f>
        <v>tier - 2</v>
      </c>
      <c r="R2081" s="7" t="str">
        <f t="shared" ref="R2081:R2144" si="12476">VLOOKUP($A2081,hospital_details,8,0)</f>
        <v>R1013</v>
      </c>
    </row>
    <row r="2082" spans="1:18" ht="14.4" customHeight="1" x14ac:dyDescent="0.3">
      <c r="A2082" s="5" t="s">
        <v>2102</v>
      </c>
      <c r="B2082" s="5" t="str">
        <f>VLOOKUP($A2082,[1]!Customer_Names[#Data],3,0)</f>
        <v xml:space="preserve">  Audrey</v>
      </c>
      <c r="C2082" s="5">
        <v>33.99</v>
      </c>
      <c r="D2082" s="5" t="str" cm="1">
        <f t="array" ref="D2082">_xlfn.IFS(Healthcare!$C2082&lt;18.5,"under weight",Healthcare!$C2082&lt;=24.9,"Normal Weight",Healthcare!$C2082&gt;=25,"overweight",Healthcare!$C2082&gt;=30,"obese")</f>
        <v>overweight</v>
      </c>
      <c r="E2082" s="5">
        <v>4.55</v>
      </c>
      <c r="F2082" s="5" t="str" cm="1">
        <f t="array" ref="F2082">_xlfn.IFS(Healthcare!$E2082&lt;5.7,"normal",Healthcare!$E2082&lt;=6.4,"prediabetes",Healthcare!$E2082&gt;=6.5,"diabetes")</f>
        <v>normal</v>
      </c>
      <c r="G2082" s="5" t="s">
        <v>19</v>
      </c>
      <c r="H2082" s="5" t="s">
        <v>19</v>
      </c>
      <c r="I2082" s="5" t="s">
        <v>19</v>
      </c>
      <c r="J2082" s="5">
        <v>1</v>
      </c>
      <c r="K2082" s="5" t="s">
        <v>19</v>
      </c>
      <c r="L2082" s="5" t="str">
        <f>VLOOKUP(Healthcare!$A2082,hospital_details,2,0)</f>
        <v>2-Jul-1998</v>
      </c>
      <c r="M2082" s="5">
        <f t="shared" ref="M2082:M2145" ca="1" si="12477">VLOOKUP(A2082,hospital_details,3,0)</f>
        <v>28</v>
      </c>
      <c r="N2082" s="5">
        <f t="shared" ref="N2082:N2145" si="12478">VLOOKUP($A2082,hospital_details,4,0)</f>
        <v>0</v>
      </c>
      <c r="O2082" s="6">
        <f t="shared" ref="O2082:O2145" si="12479">VLOOKUP($A2082,hospital_details,5,0)</f>
        <v>2473.33</v>
      </c>
      <c r="P2082" s="5" t="str">
        <f t="shared" ref="P2082:P2145" si="12480">VLOOKUP($A2082,hospital_details,6,0)</f>
        <v>tier - 2</v>
      </c>
      <c r="Q2082" s="5" t="str">
        <f t="shared" ref="Q2082:Q2145" si="12481">VLOOKUP($A2082,hospital_details,7,0)</f>
        <v>tier - 3</v>
      </c>
      <c r="R2082" s="5" t="str">
        <f t="shared" ref="R2082:R2145" si="12482">VLOOKUP($A2082,hospital_details,8,0)</f>
        <v>R1013</v>
      </c>
    </row>
    <row r="2083" spans="1:18" ht="14.4" customHeight="1" x14ac:dyDescent="0.3">
      <c r="A2083" s="7" t="s">
        <v>2103</v>
      </c>
      <c r="B2083" s="7" t="str">
        <f>VLOOKUP($A2083,[1]!Customer_Names[#Data],3,0)</f>
        <v xml:space="preserve">  Laura</v>
      </c>
      <c r="C2083" s="7">
        <v>27.72</v>
      </c>
      <c r="D2083" s="7" t="str" cm="1">
        <f t="array" ref="D2083">_xlfn.IFS(Healthcare!$C2083&lt;18.5,"under weight",Healthcare!$C2083&lt;=24.9,"Normal Weight",Healthcare!$C2083&gt;=25,"overweight",Healthcare!$C2083&gt;=30,"obese")</f>
        <v>overweight</v>
      </c>
      <c r="E2083" s="7">
        <v>6.43</v>
      </c>
      <c r="F2083" s="5" t="str" cm="1">
        <f t="array" ref="F2083">_xlfn.IFS(Healthcare!$E1552&lt;5.7,"normal",Healthcare!$E1552&lt;=6.4,"prediabetes",Healthcare!$E1552&gt;=6.5,"diabetes")</f>
        <v>diabetes</v>
      </c>
      <c r="G2083" s="7" t="s">
        <v>19</v>
      </c>
      <c r="H2083" s="7" t="s">
        <v>19</v>
      </c>
      <c r="I2083" s="7" t="s">
        <v>19</v>
      </c>
      <c r="J2083" s="7">
        <v>1</v>
      </c>
      <c r="K2083" s="7" t="s">
        <v>19</v>
      </c>
      <c r="L2083" s="7" t="str">
        <f>VLOOKUP(Healthcare!$A2083,hospital_details,2,0)</f>
        <v>17-Aug-1998</v>
      </c>
      <c r="M2083" s="7">
        <f t="shared" ref="M2083:M2146" ca="1" si="12483">VLOOKUP(A2083,hospital_details,3,0)</f>
        <v>28</v>
      </c>
      <c r="N2083" s="7">
        <f t="shared" ref="N2083:N2146" si="12484">VLOOKUP($A2083,hospital_details,4,0)</f>
        <v>0</v>
      </c>
      <c r="O2083" s="8">
        <f t="shared" ref="O2083:O2146" si="12485">VLOOKUP($A2083,hospital_details,5,0)</f>
        <v>2464.62</v>
      </c>
      <c r="P2083" s="7" t="str">
        <f t="shared" ref="P2083:P2146" si="12486">VLOOKUP($A2083,hospital_details,6,0)</f>
        <v>tier - 2</v>
      </c>
      <c r="Q2083" s="7" t="str">
        <f t="shared" ref="Q2083:Q2146" si="12487">VLOOKUP($A2083,hospital_details,7,0)</f>
        <v>tier - 3</v>
      </c>
      <c r="R2083" s="7" t="str">
        <f t="shared" ref="R2083:R2146" si="12488">VLOOKUP($A2083,hospital_details,8,0)</f>
        <v>R1013</v>
      </c>
    </row>
    <row r="2084" spans="1:18" ht="14.4" customHeight="1" x14ac:dyDescent="0.3">
      <c r="A2084" s="5" t="s">
        <v>2104</v>
      </c>
      <c r="B2084" s="5" t="str">
        <f>VLOOKUP($A2084,[1]!Customer_Names[#Data],3,0)</f>
        <v xml:space="preserve">  Nicole F</v>
      </c>
      <c r="C2084" s="5">
        <v>30.59</v>
      </c>
      <c r="D2084" s="5" t="str" cm="1">
        <f t="array" ref="D2084">_xlfn.IFS(Healthcare!$C2084&lt;18.5,"under weight",Healthcare!$C2084&lt;=24.9,"Normal Weight",Healthcare!$C2084&gt;=25,"overweight",Healthcare!$C2084&gt;=30,"obese")</f>
        <v>overweight</v>
      </c>
      <c r="E2084" s="5">
        <v>11.62</v>
      </c>
      <c r="F2084" s="5" t="str" cm="1">
        <f t="array" ref="F2084">_xlfn.IFS(Healthcare!$E2084&lt;5.7,"normal",Healthcare!$E2084&lt;=6.4,"prediabetes",Healthcare!$E2084&gt;=6.5,"diabetes")</f>
        <v>diabetes</v>
      </c>
      <c r="G2084" s="5" t="s">
        <v>19</v>
      </c>
      <c r="H2084" s="5" t="s">
        <v>19</v>
      </c>
      <c r="I2084" s="5" t="s">
        <v>19</v>
      </c>
      <c r="J2084" s="5">
        <v>0</v>
      </c>
      <c r="K2084" s="5" t="s">
        <v>19</v>
      </c>
      <c r="L2084" s="5" t="str">
        <f>VLOOKUP(Healthcare!$A2084,hospital_details,2,0)</f>
        <v>11-Jul-2002</v>
      </c>
      <c r="M2084" s="5">
        <f t="shared" ref="M2084:M2147" ca="1" si="12489">VLOOKUP(A2084,hospital_details,3,0)</f>
        <v>24</v>
      </c>
      <c r="N2084" s="5">
        <f t="shared" ref="N2084:N2147" si="12490">VLOOKUP($A2084,hospital_details,4,0)</f>
        <v>0</v>
      </c>
      <c r="O2084" s="6">
        <f t="shared" ref="O2084:O2147" si="12491">VLOOKUP($A2084,hospital_details,5,0)</f>
        <v>2459.7199999999998</v>
      </c>
      <c r="P2084" s="5" t="str">
        <f t="shared" ref="P2084:P2147" si="12492">VLOOKUP($A2084,hospital_details,6,0)</f>
        <v>tier - 2</v>
      </c>
      <c r="Q2084" s="5" t="str">
        <f t="shared" ref="Q2084:Q2147" si="12493">VLOOKUP($A2084,hospital_details,7,0)</f>
        <v>tier - 2</v>
      </c>
      <c r="R2084" s="5" t="str">
        <f t="shared" ref="R2084:R2147" si="12494">VLOOKUP($A2084,hospital_details,8,0)</f>
        <v>R1024</v>
      </c>
    </row>
    <row r="2085" spans="1:18" ht="14.4" customHeight="1" x14ac:dyDescent="0.3">
      <c r="A2085" s="7" t="s">
        <v>2105</v>
      </c>
      <c r="B2085" s="7" t="str">
        <f>VLOOKUP($A2085,[1]!Customer_Names[#Data],3,0)</f>
        <v xml:space="preserve">  Krista L</v>
      </c>
      <c r="C2085" s="7">
        <v>22.6</v>
      </c>
      <c r="D2085" s="7" t="str" cm="1">
        <f t="array" ref="D2085">_xlfn.IFS(Healthcare!$C2085&lt;18.5,"under weight",Healthcare!$C2085&lt;=24.9,"Normal Weight",Healthcare!$C2085&gt;=25,"overweight",Healthcare!$C2085&gt;=30,"obese")</f>
        <v>Normal Weight</v>
      </c>
      <c r="E2085" s="7">
        <v>6.04</v>
      </c>
      <c r="F2085" s="7" t="str" cm="1">
        <f t="array" ref="F2085">_xlfn.IFS(Healthcare!$E2085&lt;5.7,"normal",Healthcare!$E2085&lt;=6.4,"prediabetes",Healthcare!$E2085&gt;=6.5,"diabetes")</f>
        <v>prediabetes</v>
      </c>
      <c r="G2085" s="7" t="s">
        <v>19</v>
      </c>
      <c r="H2085" s="7" t="s">
        <v>19</v>
      </c>
      <c r="I2085" s="7" t="s">
        <v>19</v>
      </c>
      <c r="J2085" s="7">
        <v>1</v>
      </c>
      <c r="K2085" s="7" t="s">
        <v>19</v>
      </c>
      <c r="L2085" s="7" t="str">
        <f>VLOOKUP(Healthcare!$A2085,hospital_details,2,0)</f>
        <v>19-Nov-1998</v>
      </c>
      <c r="M2085" s="7">
        <f t="shared" ref="M2085:M2148" ca="1" si="12495">VLOOKUP(A2085,hospital_details,3,0)</f>
        <v>27</v>
      </c>
      <c r="N2085" s="7">
        <f t="shared" ref="N2085:N2148" si="12496">VLOOKUP($A2085,hospital_details,4,0)</f>
        <v>0</v>
      </c>
      <c r="O2085" s="8">
        <f t="shared" ref="O2085:O2148" si="12497">VLOOKUP($A2085,hospital_details,5,0)</f>
        <v>2457.5</v>
      </c>
      <c r="P2085" s="7" t="str">
        <f t="shared" ref="P2085:P2148" si="12498">VLOOKUP($A2085,hospital_details,6,0)</f>
        <v>tier - 2</v>
      </c>
      <c r="Q2085" s="7" t="str">
        <f t="shared" ref="Q2085:Q2148" si="12499">VLOOKUP($A2085,hospital_details,7,0)</f>
        <v>tier - 1</v>
      </c>
      <c r="R2085" s="7" t="str">
        <f t="shared" ref="R2085:R2148" si="12500">VLOOKUP($A2085,hospital_details,8,0)</f>
        <v>R1011</v>
      </c>
    </row>
    <row r="2086" spans="1:18" ht="14.4" customHeight="1" x14ac:dyDescent="0.3">
      <c r="A2086" s="5" t="s">
        <v>2106</v>
      </c>
      <c r="B2086" s="5" t="str">
        <f>VLOOKUP($A2086,[1]!Customer_Names[#Data],3,0)</f>
        <v xml:space="preserve">  Denise</v>
      </c>
      <c r="C2086" s="5">
        <v>28.785</v>
      </c>
      <c r="D2086" s="5" t="str" cm="1">
        <f t="array" ref="D2086">_xlfn.IFS(Healthcare!$C2086&lt;18.5,"under weight",Healthcare!$C2086&lt;=24.9,"Normal Weight",Healthcare!$C2086&gt;=25,"overweight",Healthcare!$C2086&gt;=30,"obese")</f>
        <v>overweight</v>
      </c>
      <c r="E2086" s="5">
        <v>8.82</v>
      </c>
      <c r="F2086" s="5" t="str" cm="1">
        <f t="array" ref="F2086">_xlfn.IFS(Healthcare!$E2086&lt;5.7,"normal",Healthcare!$E2086&lt;=6.4,"prediabetes",Healthcare!$E2086&gt;=6.5,"diabetes")</f>
        <v>diabetes</v>
      </c>
      <c r="G2086" s="5" t="s">
        <v>19</v>
      </c>
      <c r="H2086" s="5" t="s">
        <v>19</v>
      </c>
      <c r="I2086" s="5" t="s">
        <v>19</v>
      </c>
      <c r="J2086" s="5">
        <v>0</v>
      </c>
      <c r="K2086" s="5" t="s">
        <v>19</v>
      </c>
      <c r="L2086" s="5" t="str">
        <f>VLOOKUP(Healthcare!$A2086,hospital_details,2,0)</f>
        <v>29-Jul-2002</v>
      </c>
      <c r="M2086" s="5">
        <f t="shared" ref="M2086:M2149" ca="1" si="12501">VLOOKUP(A2086,hospital_details,3,0)</f>
        <v>24</v>
      </c>
      <c r="N2086" s="5">
        <f t="shared" ref="N2086:N2149" si="12502">VLOOKUP($A2086,hospital_details,4,0)</f>
        <v>0</v>
      </c>
      <c r="O2086" s="6">
        <f t="shared" ref="O2086:O2149" si="12503">VLOOKUP($A2086,hospital_details,5,0)</f>
        <v>2457.21</v>
      </c>
      <c r="P2086" s="5" t="str">
        <f t="shared" ref="P2086:P2149" si="12504">VLOOKUP($A2086,hospital_details,6,0)</f>
        <v>tier - 2</v>
      </c>
      <c r="Q2086" s="5" t="str">
        <f t="shared" ref="Q2086:Q2149" si="12505">VLOOKUP($A2086,hospital_details,7,0)</f>
        <v>tier - 1</v>
      </c>
      <c r="R2086" s="5" t="str">
        <f t="shared" ref="R2086:R2149" si="12506">VLOOKUP($A2086,hospital_details,8,0)</f>
        <v>R1024</v>
      </c>
    </row>
    <row r="2087" spans="1:18" ht="14.4" customHeight="1" x14ac:dyDescent="0.3">
      <c r="A2087" s="7" t="s">
        <v>2107</v>
      </c>
      <c r="B2087" s="7" t="str">
        <f>VLOOKUP($A2087,[1]!Customer_Names[#Data],3,0)</f>
        <v xml:space="preserve">  Ariel</v>
      </c>
      <c r="C2087" s="7">
        <v>50.38</v>
      </c>
      <c r="D2087" s="7" t="str" cm="1">
        <f t="array" ref="D2087">_xlfn.IFS(Healthcare!$C2087&lt;18.5,"under weight",Healthcare!$C2087&lt;=24.9,"Normal Weight",Healthcare!$C2087&gt;=25,"overweight",Healthcare!$C2087&gt;=30,"obese")</f>
        <v>overweight</v>
      </c>
      <c r="E2087" s="7">
        <v>5.8</v>
      </c>
      <c r="F2087" s="7" t="str" cm="1">
        <f t="array" ref="F2087">_xlfn.IFS(Healthcare!$E2087&lt;5.7,"normal",Healthcare!$E2087&lt;=6.4,"prediabetes",Healthcare!$E2087&gt;=6.5,"diabetes")</f>
        <v>prediabetes</v>
      </c>
      <c r="G2087" s="7" t="s">
        <v>19</v>
      </c>
      <c r="H2087" s="7" t="s">
        <v>19</v>
      </c>
      <c r="I2087" s="7" t="s">
        <v>19</v>
      </c>
      <c r="J2087" s="7">
        <v>0</v>
      </c>
      <c r="K2087" s="7" t="s">
        <v>19</v>
      </c>
      <c r="L2087" s="7" t="str">
        <f>VLOOKUP(Healthcare!$A2087,hospital_details,2,0)</f>
        <v>21-Nov-1999</v>
      </c>
      <c r="M2087" s="7">
        <f t="shared" ref="M2087:M2150" ca="1" si="12507">VLOOKUP(A2087,hospital_details,3,0)</f>
        <v>26</v>
      </c>
      <c r="N2087" s="7">
        <f t="shared" ref="N2087:N2150" si="12508">VLOOKUP($A2087,hospital_details,4,0)</f>
        <v>1</v>
      </c>
      <c r="O2087" s="8">
        <f t="shared" ref="O2087:O2150" si="12509">VLOOKUP($A2087,hospital_details,5,0)</f>
        <v>2438.06</v>
      </c>
      <c r="P2087" s="7" t="str">
        <f t="shared" ref="P2087:P2150" si="12510">VLOOKUP($A2087,hospital_details,6,0)</f>
        <v>tier - 2</v>
      </c>
      <c r="Q2087" s="7" t="str">
        <f t="shared" ref="Q2087:Q2150" si="12511">VLOOKUP($A2087,hospital_details,7,0)</f>
        <v>tier - 2</v>
      </c>
      <c r="R2087" s="7" t="str">
        <f t="shared" ref="R2087:R2150" si="12512">VLOOKUP($A2087,hospital_details,8,0)</f>
        <v>R1013</v>
      </c>
    </row>
    <row r="2088" spans="1:18" ht="14.4" customHeight="1" x14ac:dyDescent="0.3">
      <c r="A2088" s="5" t="s">
        <v>2108</v>
      </c>
      <c r="B2088" s="5" t="str">
        <f>VLOOKUP($A2088,[1]!Customer_Names[#Data],3,0)</f>
        <v xml:space="preserve">  Jeremy</v>
      </c>
      <c r="C2088" s="5">
        <v>35.200000000000003</v>
      </c>
      <c r="D2088" s="5" t="str" cm="1">
        <f t="array" ref="D2088">_xlfn.IFS(Healthcare!$C2088&lt;18.5,"under weight",Healthcare!$C2088&lt;=24.9,"Normal Weight",Healthcare!$C2088&gt;=25,"overweight",Healthcare!$C2088&gt;=30,"obese")</f>
        <v>overweight</v>
      </c>
      <c r="E2088" s="5">
        <v>4.28</v>
      </c>
      <c r="F2088" s="5" t="str" cm="1">
        <f t="array" ref="F2088">_xlfn.IFS(Healthcare!$E2088&lt;5.7,"normal",Healthcare!$E2088&lt;=6.4,"prediabetes",Healthcare!$E2088&gt;=6.5,"diabetes")</f>
        <v>normal</v>
      </c>
      <c r="G2088" s="5" t="s">
        <v>19</v>
      </c>
      <c r="H2088" s="5" t="s">
        <v>19</v>
      </c>
      <c r="I2088" s="5" t="s">
        <v>19</v>
      </c>
      <c r="J2088" s="5">
        <v>0</v>
      </c>
      <c r="K2088" s="5" t="s">
        <v>19</v>
      </c>
      <c r="L2088" s="5" t="str">
        <f>VLOOKUP(Healthcare!$A2088,hospital_details,2,0)</f>
        <v>12-Nov-1999</v>
      </c>
      <c r="M2088" s="5">
        <f t="shared" ref="M2088:M2151" ca="1" si="12513">VLOOKUP(A2088,hospital_details,3,0)</f>
        <v>26</v>
      </c>
      <c r="N2088" s="5">
        <f t="shared" ref="N2088:N2151" si="12514">VLOOKUP($A2088,hospital_details,4,0)</f>
        <v>1</v>
      </c>
      <c r="O2088" s="6">
        <f t="shared" ref="O2088:O2151" si="12515">VLOOKUP($A2088,hospital_details,5,0)</f>
        <v>2416.96</v>
      </c>
      <c r="P2088" s="5" t="str">
        <f t="shared" ref="P2088:P2151" si="12516">VLOOKUP($A2088,hospital_details,6,0)</f>
        <v>tier - 2</v>
      </c>
      <c r="Q2088" s="5" t="str">
        <f t="shared" ref="Q2088:Q2151" si="12517">VLOOKUP($A2088,hospital_details,7,0)</f>
        <v>tier - 2</v>
      </c>
      <c r="R2088" s="5" t="str">
        <f t="shared" ref="R2088:R2151" si="12518">VLOOKUP($A2088,hospital_details,8,0)</f>
        <v>R1011</v>
      </c>
    </row>
    <row r="2089" spans="1:18" ht="14.4" customHeight="1" x14ac:dyDescent="0.3">
      <c r="A2089" s="7" t="s">
        <v>2109</v>
      </c>
      <c r="B2089" s="7" t="str">
        <f>VLOOKUP($A2089,[1]!Customer_Names[#Data],3,0)</f>
        <v xml:space="preserve">  Rosalie</v>
      </c>
      <c r="C2089" s="7">
        <v>35.72</v>
      </c>
      <c r="D2089" s="7" t="str" cm="1">
        <f t="array" ref="D2089">_xlfn.IFS(Healthcare!$C2089&lt;18.5,"under weight",Healthcare!$C2089&lt;=24.9,"Normal Weight",Healthcare!$C2089&gt;=25,"overweight",Healthcare!$C2089&gt;=30,"obese")</f>
        <v>overweight</v>
      </c>
      <c r="E2089" s="7">
        <v>5.5</v>
      </c>
      <c r="F2089" s="7" t="str" cm="1">
        <f t="array" ref="F2089">_xlfn.IFS(Healthcare!$E2089&lt;5.7,"normal",Healthcare!$E2089&lt;=6.4,"prediabetes",Healthcare!$E2089&gt;=6.5,"diabetes")</f>
        <v>normal</v>
      </c>
      <c r="G2089" s="7" t="s">
        <v>20</v>
      </c>
      <c r="H2089" s="7" t="s">
        <v>19</v>
      </c>
      <c r="I2089" s="7" t="s">
        <v>19</v>
      </c>
      <c r="J2089" s="7">
        <v>0</v>
      </c>
      <c r="K2089" s="7" t="s">
        <v>19</v>
      </c>
      <c r="L2089" s="7" t="str">
        <f>VLOOKUP(Healthcare!$A2089,hospital_details,2,0)</f>
        <v>3-Jun-2001</v>
      </c>
      <c r="M2089" s="7">
        <f t="shared" ref="M2089:M2152" ca="1" si="12519">VLOOKUP(A2089,hospital_details,3,0)</f>
        <v>25</v>
      </c>
      <c r="N2089" s="7">
        <f t="shared" ref="N2089:N2152" si="12520">VLOOKUP($A2089,hospital_details,4,0)</f>
        <v>0</v>
      </c>
      <c r="O2089" s="8">
        <f t="shared" ref="O2089:O2152" si="12521">VLOOKUP($A2089,hospital_details,5,0)</f>
        <v>2404.73</v>
      </c>
      <c r="P2089" s="7" t="str">
        <f t="shared" ref="P2089:P2152" si="12522">VLOOKUP($A2089,hospital_details,6,0)</f>
        <v>tier - 2</v>
      </c>
      <c r="Q2089" s="7" t="str">
        <f t="shared" ref="Q2089:Q2152" si="12523">VLOOKUP($A2089,hospital_details,7,0)</f>
        <v>tier - 3</v>
      </c>
      <c r="R2089" s="7" t="str">
        <f t="shared" ref="R2089:R2152" si="12524">VLOOKUP($A2089,hospital_details,8,0)</f>
        <v>R1012</v>
      </c>
    </row>
    <row r="2090" spans="1:18" ht="14.4" customHeight="1" x14ac:dyDescent="0.3">
      <c r="A2090" s="5" t="s">
        <v>2110</v>
      </c>
      <c r="B2090" s="5" t="str">
        <f>VLOOKUP($A2090,[1]!Customer_Names[#Data],3,0)</f>
        <v xml:space="preserve">  Jay</v>
      </c>
      <c r="C2090" s="5">
        <v>24.51</v>
      </c>
      <c r="D2090" s="5" t="str" cm="1">
        <f t="array" ref="D2090">_xlfn.IFS(Healthcare!$C2090&lt;18.5,"under weight",Healthcare!$C2090&lt;=24.9,"Normal Weight",Healthcare!$C2090&gt;=25,"overweight",Healthcare!$C2090&gt;=30,"obese")</f>
        <v>Normal Weight</v>
      </c>
      <c r="E2090" s="5">
        <v>4.6900000000000004</v>
      </c>
      <c r="F2090" s="5" t="str" cm="1">
        <f t="array" ref="F2090">_xlfn.IFS(Healthcare!$E2090&lt;5.7,"normal",Healthcare!$E2090&lt;=6.4,"prediabetes",Healthcare!$E2090&gt;=6.5,"diabetes")</f>
        <v>normal</v>
      </c>
      <c r="G2090" s="5" t="s">
        <v>19</v>
      </c>
      <c r="H2090" s="5" t="s">
        <v>19</v>
      </c>
      <c r="I2090" s="5" t="s">
        <v>19</v>
      </c>
      <c r="J2090" s="5">
        <v>0</v>
      </c>
      <c r="K2090" s="5" t="s">
        <v>19</v>
      </c>
      <c r="L2090" s="5" t="str">
        <f>VLOOKUP(Healthcare!$A2090,hospital_details,2,0)</f>
        <v>10-Aug-1999</v>
      </c>
      <c r="M2090" s="5">
        <f t="shared" ref="M2090:M2153" ca="1" si="12525">VLOOKUP(A2090,hospital_details,3,0)</f>
        <v>27</v>
      </c>
      <c r="N2090" s="5">
        <f t="shared" ref="N2090:N2153" si="12526">VLOOKUP($A2090,hospital_details,4,0)</f>
        <v>0</v>
      </c>
      <c r="O2090" s="6">
        <f t="shared" ref="O2090:O2153" si="12527">VLOOKUP($A2090,hospital_details,5,0)</f>
        <v>2396.1</v>
      </c>
      <c r="P2090" s="5" t="str">
        <f t="shared" ref="P2090:P2153" si="12528">VLOOKUP($A2090,hospital_details,6,0)</f>
        <v>tier - 2</v>
      </c>
      <c r="Q2090" s="5" t="str">
        <f t="shared" ref="Q2090:Q2153" si="12529">VLOOKUP($A2090,hospital_details,7,0)</f>
        <v>tier - 1</v>
      </c>
      <c r="R2090" s="5" t="str">
        <f t="shared" ref="R2090:R2153" si="12530">VLOOKUP($A2090,hospital_details,8,0)</f>
        <v>R1019</v>
      </c>
    </row>
    <row r="2091" spans="1:18" ht="14.4" customHeight="1" x14ac:dyDescent="0.3">
      <c r="A2091" s="7" t="s">
        <v>2111</v>
      </c>
      <c r="B2091" s="7" t="str">
        <f>VLOOKUP($A2091,[1]!Customer_Names[#Data],3,0)</f>
        <v xml:space="preserve">  Vitaliy</v>
      </c>
      <c r="C2091" s="7">
        <v>23.844999999999999</v>
      </c>
      <c r="D2091" s="7" t="str" cm="1">
        <f t="array" ref="D2091">_xlfn.IFS(Healthcare!$C2091&lt;18.5,"under weight",Healthcare!$C2091&lt;=24.9,"Normal Weight",Healthcare!$C2091&gt;=25,"overweight",Healthcare!$C2091&gt;=30,"obese")</f>
        <v>Normal Weight</v>
      </c>
      <c r="E2091" s="7">
        <v>4.43</v>
      </c>
      <c r="F2091" s="7" t="str" cm="1">
        <f t="array" ref="F2091">_xlfn.IFS(Healthcare!$E2091&lt;5.7,"normal",Healthcare!$E2091&lt;=6.4,"prediabetes",Healthcare!$E2091&gt;=6.5,"diabetes")</f>
        <v>normal</v>
      </c>
      <c r="G2091" s="7" t="s">
        <v>19</v>
      </c>
      <c r="H2091" s="7" t="s">
        <v>19</v>
      </c>
      <c r="I2091" s="7" t="s">
        <v>19</v>
      </c>
      <c r="J2091" s="7">
        <v>0</v>
      </c>
      <c r="K2091" s="7" t="s">
        <v>19</v>
      </c>
      <c r="L2091" s="7" t="str">
        <f>VLOOKUP(Healthcare!$A2091,hospital_details,2,0)</f>
        <v>17-Dec-1999</v>
      </c>
      <c r="M2091" s="7">
        <f t="shared" ref="M2091:M2154" ca="1" si="12531">VLOOKUP(A2091,hospital_details,3,0)</f>
        <v>26</v>
      </c>
      <c r="N2091" s="7">
        <f t="shared" ref="N2091:N2154" si="12532">VLOOKUP($A2091,hospital_details,4,0)</f>
        <v>0</v>
      </c>
      <c r="O2091" s="8">
        <f t="shared" ref="O2091:O2154" si="12533">VLOOKUP($A2091,hospital_details,5,0)</f>
        <v>2395.17</v>
      </c>
      <c r="P2091" s="7" t="str">
        <f t="shared" ref="P2091:P2154" si="12534">VLOOKUP($A2091,hospital_details,6,0)</f>
        <v>tier - 2</v>
      </c>
      <c r="Q2091" s="7" t="str">
        <f t="shared" ref="Q2091:Q2154" si="12535">VLOOKUP($A2091,hospital_details,7,0)</f>
        <v>tier - 1</v>
      </c>
      <c r="R2091" s="7" t="str">
        <f t="shared" ref="R2091:R2154" si="12536">VLOOKUP($A2091,hospital_details,8,0)</f>
        <v>R1014</v>
      </c>
    </row>
    <row r="2092" spans="1:18" ht="14.4" customHeight="1" x14ac:dyDescent="0.3">
      <c r="A2092" s="5" t="s">
        <v>2112</v>
      </c>
      <c r="B2092" s="5" t="str">
        <f>VLOOKUP($A2092,[1]!Customer_Names[#Data],3,0)</f>
        <v xml:space="preserve">  Benjamin W</v>
      </c>
      <c r="C2092" s="5">
        <v>15.68</v>
      </c>
      <c r="D2092" s="5" t="str" cm="1">
        <f t="array" ref="D2092">_xlfn.IFS(Healthcare!$C2092&lt;18.5,"under weight",Healthcare!$C2092&lt;=24.9,"Normal Weight",Healthcare!$C2092&gt;=25,"overweight",Healthcare!$C2092&gt;=30,"obese")</f>
        <v>under weight</v>
      </c>
      <c r="E2092" s="5">
        <v>6.16</v>
      </c>
      <c r="F2092" s="5" t="str" cm="1">
        <f t="array" ref="F2092">_xlfn.IFS(Healthcare!$E2092&lt;5.7,"normal",Healthcare!$E2092&lt;=6.4,"prediabetes",Healthcare!$E2092&gt;=6.5,"diabetes")</f>
        <v>prediabetes</v>
      </c>
      <c r="G2092" s="5" t="s">
        <v>20</v>
      </c>
      <c r="H2092" s="5" t="s">
        <v>19</v>
      </c>
      <c r="I2092" s="5" t="s">
        <v>19</v>
      </c>
      <c r="J2092" s="5">
        <v>1</v>
      </c>
      <c r="K2092" s="5" t="s">
        <v>19</v>
      </c>
      <c r="L2092" s="5" t="str">
        <f>VLOOKUP(Healthcare!$A2092,hospital_details,2,0)</f>
        <v>12-Dec-1988</v>
      </c>
      <c r="M2092" s="5">
        <f t="shared" ref="M2092:M2155" ca="1" si="12537">VLOOKUP(A2092,hospital_details,3,0)</f>
        <v>37</v>
      </c>
      <c r="N2092" s="5">
        <f t="shared" ref="N2092:N2155" si="12538">VLOOKUP($A2092,hospital_details,4,0)</f>
        <v>3</v>
      </c>
      <c r="O2092" s="6">
        <f t="shared" ref="O2092:O2155" si="12539">VLOOKUP($A2092,hospital_details,5,0)</f>
        <v>2373.3000000000002</v>
      </c>
      <c r="P2092" s="5" t="str">
        <f t="shared" ref="P2092:P2155" si="12540">VLOOKUP($A2092,hospital_details,6,0)</f>
        <v>tier - 2</v>
      </c>
      <c r="Q2092" s="5" t="str">
        <f t="shared" ref="Q2092:Q2155" si="12541">VLOOKUP($A2092,hospital_details,7,0)</f>
        <v>tier - 2</v>
      </c>
      <c r="R2092" s="5" t="str">
        <f t="shared" ref="R2092:R2155" si="12542">VLOOKUP($A2092,hospital_details,8,0)</f>
        <v>R1013</v>
      </c>
    </row>
    <row r="2093" spans="1:18" ht="14.4" customHeight="1" x14ac:dyDescent="0.3">
      <c r="A2093" s="7" t="s">
        <v>2113</v>
      </c>
      <c r="B2093" s="7" t="str">
        <f>VLOOKUP($A2093,[1]!Customer_Names[#Data],3,0)</f>
        <v xml:space="preserve">  Jesse</v>
      </c>
      <c r="C2093" s="7">
        <v>32.395000000000003</v>
      </c>
      <c r="D2093" s="7" t="str" cm="1">
        <f t="array" ref="D2093">_xlfn.IFS(Healthcare!$C2093&lt;18.5,"under weight",Healthcare!$C2093&lt;=24.9,"Normal Weight",Healthcare!$C2093&gt;=25,"overweight",Healthcare!$C2093&gt;=30,"obese")</f>
        <v>overweight</v>
      </c>
      <c r="E2093" s="7">
        <v>6.66</v>
      </c>
      <c r="F2093" s="7" t="str" cm="1">
        <f t="array" ref="F2093">_xlfn.IFS(Healthcare!$E2093&lt;5.7,"normal",Healthcare!$E2093&lt;=6.4,"prediabetes",Healthcare!$E2093&gt;=6.5,"diabetes")</f>
        <v>diabetes</v>
      </c>
      <c r="G2093" s="7" t="s">
        <v>19</v>
      </c>
      <c r="H2093" s="7" t="s">
        <v>19</v>
      </c>
      <c r="I2093" s="7" t="s">
        <v>19</v>
      </c>
      <c r="J2093" s="7">
        <v>0</v>
      </c>
      <c r="K2093" s="7" t="s">
        <v>19</v>
      </c>
      <c r="L2093" s="7" t="str">
        <f>VLOOKUP(Healthcare!$A2093,hospital_details,2,0)</f>
        <v>5-Nov-2002</v>
      </c>
      <c r="M2093" s="7">
        <f t="shared" ref="M2093:M2156" ca="1" si="12543">VLOOKUP(A2093,hospital_details,3,0)</f>
        <v>23</v>
      </c>
      <c r="N2093" s="7">
        <f t="shared" ref="N2093:N2156" si="12544">VLOOKUP($A2093,hospital_details,4,0)</f>
        <v>1</v>
      </c>
      <c r="O2093" s="8">
        <f t="shared" ref="O2093:O2156" si="12545">VLOOKUP($A2093,hospital_details,5,0)</f>
        <v>2362.23</v>
      </c>
      <c r="P2093" s="7" t="str">
        <f t="shared" ref="P2093:P2156" si="12546">VLOOKUP($A2093,hospital_details,6,0)</f>
        <v>tier - 2</v>
      </c>
      <c r="Q2093" s="7" t="str">
        <f t="shared" ref="Q2093:Q2156" si="12547">VLOOKUP($A2093,hospital_details,7,0)</f>
        <v>tier - 1</v>
      </c>
      <c r="R2093" s="7" t="str">
        <f t="shared" ref="R2093:R2156" si="12548">VLOOKUP($A2093,hospital_details,8,0)</f>
        <v>R1012</v>
      </c>
    </row>
    <row r="2094" spans="1:18" ht="14.4" customHeight="1" x14ac:dyDescent="0.3">
      <c r="A2094" s="5" t="s">
        <v>2114</v>
      </c>
      <c r="B2094" s="5" t="str">
        <f>VLOOKUP($A2094,[1]!Customer_Names[#Data],3,0)</f>
        <v xml:space="preserve">  Mark</v>
      </c>
      <c r="C2094" s="5">
        <v>23.655000000000001</v>
      </c>
      <c r="D2094" s="5" t="str" cm="1">
        <f t="array" ref="D2094">_xlfn.IFS(Healthcare!$C2094&lt;18.5,"under weight",Healthcare!$C2094&lt;=24.9,"Normal Weight",Healthcare!$C2094&gt;=25,"overweight",Healthcare!$C2094&gt;=30,"obese")</f>
        <v>Normal Weight</v>
      </c>
      <c r="E2094" s="5">
        <v>5.92</v>
      </c>
      <c r="F2094" s="5" t="str" cm="1">
        <f t="array" ref="F2094">_xlfn.IFS(Healthcare!$E2094&lt;5.7,"normal",Healthcare!$E2094&lt;=6.4,"prediabetes",Healthcare!$E2094&gt;=6.5,"diabetes")</f>
        <v>prediabetes</v>
      </c>
      <c r="G2094" s="5" t="s">
        <v>19</v>
      </c>
      <c r="H2094" s="5" t="s">
        <v>19</v>
      </c>
      <c r="I2094" s="5" t="s">
        <v>19</v>
      </c>
      <c r="J2094" s="5">
        <v>1</v>
      </c>
      <c r="K2094" s="5" t="s">
        <v>19</v>
      </c>
      <c r="L2094" s="5" t="str">
        <f>VLOOKUP(Healthcare!$A2094,hospital_details,2,0)</f>
        <v>21-Oct-1998</v>
      </c>
      <c r="M2094" s="5">
        <f t="shared" ref="M2094:M2157" ca="1" si="12549">VLOOKUP(A2094,hospital_details,3,0)</f>
        <v>27</v>
      </c>
      <c r="N2094" s="5">
        <f t="shared" ref="N2094:N2157" si="12550">VLOOKUP($A2094,hospital_details,4,0)</f>
        <v>0</v>
      </c>
      <c r="O2094" s="6">
        <f t="shared" ref="O2094:O2157" si="12551">VLOOKUP($A2094,hospital_details,5,0)</f>
        <v>2352.9699999999998</v>
      </c>
      <c r="P2094" s="5" t="str">
        <f t="shared" ref="P2094:P2157" si="12552">VLOOKUP($A2094,hospital_details,6,0)</f>
        <v>tier - 3</v>
      </c>
      <c r="Q2094" s="5" t="str">
        <f t="shared" ref="Q2094:Q2157" si="12553">VLOOKUP($A2094,hospital_details,7,0)</f>
        <v>tier - 3</v>
      </c>
      <c r="R2094" s="5" t="str">
        <f t="shared" ref="R2094:R2157" si="12554">VLOOKUP($A2094,hospital_details,8,0)</f>
        <v>R1012</v>
      </c>
    </row>
    <row r="2095" spans="1:18" ht="14.4" customHeight="1" x14ac:dyDescent="0.3">
      <c r="A2095" s="7" t="s">
        <v>2115</v>
      </c>
      <c r="B2095" s="7" t="str">
        <f>VLOOKUP($A2095,[1]!Customer_Names[#Data],3,0)</f>
        <v xml:space="preserve">  Lauren</v>
      </c>
      <c r="C2095" s="7">
        <v>28.4</v>
      </c>
      <c r="D2095" s="7" t="str" cm="1">
        <f t="array" ref="D2095">_xlfn.IFS(Healthcare!$C2095&lt;18.5,"under weight",Healthcare!$C2095&lt;=24.9,"Normal Weight",Healthcare!$C2095&gt;=25,"overweight",Healthcare!$C2095&gt;=30,"obese")</f>
        <v>overweight</v>
      </c>
      <c r="E2095" s="7">
        <v>5.97</v>
      </c>
      <c r="F2095" s="7" t="str" cm="1">
        <f t="array" ref="F2095">_xlfn.IFS(Healthcare!$E2095&lt;5.7,"normal",Healthcare!$E2095&lt;=6.4,"prediabetes",Healthcare!$E2095&gt;=6.5,"diabetes")</f>
        <v>prediabetes</v>
      </c>
      <c r="G2095" s="7" t="s">
        <v>19</v>
      </c>
      <c r="H2095" s="7" t="s">
        <v>19</v>
      </c>
      <c r="I2095" s="7" t="s">
        <v>29</v>
      </c>
      <c r="J2095" s="7">
        <v>1</v>
      </c>
      <c r="K2095" s="7" t="s">
        <v>19</v>
      </c>
      <c r="L2095" s="7" t="str">
        <f>VLOOKUP(Healthcare!$A2095,hospital_details,2,0)</f>
        <v>18-Nov-2003</v>
      </c>
      <c r="M2095" s="7">
        <f t="shared" ref="M2095:M2158" ca="1" si="12555">VLOOKUP(A2095,hospital_details,3,0)</f>
        <v>22</v>
      </c>
      <c r="N2095" s="7">
        <f t="shared" ref="N2095:N2158" si="12556">VLOOKUP($A2095,hospital_details,4,0)</f>
        <v>1</v>
      </c>
      <c r="O2095" s="8">
        <f t="shared" ref="O2095:O2158" si="12557">VLOOKUP($A2095,hospital_details,5,0)</f>
        <v>2331.52</v>
      </c>
      <c r="P2095" s="7" t="str">
        <f t="shared" ref="P2095:P2158" si="12558">VLOOKUP($A2095,hospital_details,6,0)</f>
        <v>tier - 2</v>
      </c>
      <c r="Q2095" s="7" t="str">
        <f t="shared" ref="Q2095:Q2158" si="12559">VLOOKUP($A2095,hospital_details,7,0)</f>
        <v>tier - 3</v>
      </c>
      <c r="R2095" s="7" t="str">
        <f t="shared" ref="R2095:R2158" si="12560">VLOOKUP($A2095,hospital_details,8,0)</f>
        <v>R1011</v>
      </c>
    </row>
    <row r="2096" spans="1:18" ht="14.4" customHeight="1" x14ac:dyDescent="0.3">
      <c r="A2096" s="5" t="s">
        <v>2116</v>
      </c>
      <c r="B2096" s="5" t="str">
        <f>VLOOKUP($A2096,[1]!Customer_Names[#Data],3,0)</f>
        <v xml:space="preserve">  Massimiliano</v>
      </c>
      <c r="C2096" s="5">
        <v>35.42</v>
      </c>
      <c r="D2096" s="5" t="str" cm="1">
        <f t="array" ref="D2096">_xlfn.IFS(Healthcare!$C2096&lt;18.5,"under weight",Healthcare!$C2096&lt;=24.9,"Normal Weight",Healthcare!$C2096&gt;=25,"overweight",Healthcare!$C2096&gt;=30,"obese")</f>
        <v>overweight</v>
      </c>
      <c r="E2096" s="5">
        <v>4.6399999999999997</v>
      </c>
      <c r="F2096" s="5" t="str" cm="1">
        <f t="array" ref="F2096">_xlfn.IFS(Healthcare!$E2096&lt;5.7,"normal",Healthcare!$E2096&lt;=6.4,"prediabetes",Healthcare!$E2096&gt;=6.5,"diabetes")</f>
        <v>normal</v>
      </c>
      <c r="G2096" s="5" t="s">
        <v>20</v>
      </c>
      <c r="H2096" s="5" t="s">
        <v>19</v>
      </c>
      <c r="I2096" s="5" t="s">
        <v>19</v>
      </c>
      <c r="J2096" s="5">
        <v>0</v>
      </c>
      <c r="K2096" s="5" t="s">
        <v>19</v>
      </c>
      <c r="L2096" s="5" t="str">
        <f>VLOOKUP(Healthcare!$A2096,hospital_details,2,0)</f>
        <v>17-Dec-1996</v>
      </c>
      <c r="M2096" s="5">
        <f t="shared" ref="M2096:M2159" ca="1" si="12561">VLOOKUP(A2096,hospital_details,3,0)</f>
        <v>29</v>
      </c>
      <c r="N2096" s="5">
        <f t="shared" ref="N2096:N2159" si="12562">VLOOKUP($A2096,hospital_details,4,0)</f>
        <v>0</v>
      </c>
      <c r="O2096" s="6">
        <f t="shared" ref="O2096:O2159" si="12563">VLOOKUP($A2096,hospital_details,5,0)</f>
        <v>2322.62</v>
      </c>
      <c r="P2096" s="5" t="str">
        <f t="shared" ref="P2096:P2159" si="12564">VLOOKUP($A2096,hospital_details,6,0)</f>
        <v>tier - 2</v>
      </c>
      <c r="Q2096" s="5" t="str">
        <f t="shared" ref="Q2096:Q2159" si="12565">VLOOKUP($A2096,hospital_details,7,0)</f>
        <v>tier - 1</v>
      </c>
      <c r="R2096" s="5" t="str">
        <f t="shared" ref="R2096:R2159" si="12566">VLOOKUP($A2096,hospital_details,8,0)</f>
        <v>R1013</v>
      </c>
    </row>
    <row r="2097" spans="1:18" ht="14.4" customHeight="1" x14ac:dyDescent="0.3">
      <c r="A2097" s="7" t="s">
        <v>2117</v>
      </c>
      <c r="B2097" s="7" t="str">
        <f>VLOOKUP($A2097,[1]!Customer_Names[#Data],3,0)</f>
        <v xml:space="preserve">  Josh</v>
      </c>
      <c r="C2097" s="7">
        <v>26.18</v>
      </c>
      <c r="D2097" s="7" t="str" cm="1">
        <f t="array" ref="D2097">_xlfn.IFS(Healthcare!$C2097&lt;18.5,"under weight",Healthcare!$C2097&lt;=24.9,"Normal Weight",Healthcare!$C2097&gt;=25,"overweight",Healthcare!$C2097&gt;=30,"obese")</f>
        <v>overweight</v>
      </c>
      <c r="E2097" s="7">
        <v>6.12</v>
      </c>
      <c r="F2097" s="7" t="str" cm="1">
        <f t="array" ref="F2097">_xlfn.IFS(Healthcare!$E2097&lt;5.7,"normal",Healthcare!$E2097&lt;=6.4,"prediabetes",Healthcare!$E2097&gt;=6.5,"diabetes")</f>
        <v>prediabetes</v>
      </c>
      <c r="G2097" s="7" t="s">
        <v>19</v>
      </c>
      <c r="H2097" s="7" t="s">
        <v>20</v>
      </c>
      <c r="I2097" s="7" t="s">
        <v>19</v>
      </c>
      <c r="J2097" s="7">
        <v>1</v>
      </c>
      <c r="K2097" s="7" t="s">
        <v>19</v>
      </c>
      <c r="L2097" s="7" t="str">
        <f>VLOOKUP(Healthcare!$A2097,hospital_details,2,0)</f>
        <v>6-Sep-2004</v>
      </c>
      <c r="M2097" s="7">
        <f t="shared" ref="M2097:M2160" ca="1" si="12567">VLOOKUP(A2097,hospital_details,3,0)</f>
        <v>22</v>
      </c>
      <c r="N2097" s="7">
        <f t="shared" ref="N2097:N2160" si="12568">VLOOKUP($A2097,hospital_details,4,0)</f>
        <v>2</v>
      </c>
      <c r="O2097" s="8">
        <f t="shared" ref="O2097:O2160" si="12569">VLOOKUP($A2097,hospital_details,5,0)</f>
        <v>2304</v>
      </c>
      <c r="P2097" s="7" t="str">
        <f t="shared" ref="P2097:P2160" si="12570">VLOOKUP($A2097,hospital_details,6,0)</f>
        <v>tier - 2</v>
      </c>
      <c r="Q2097" s="7" t="str">
        <f t="shared" ref="Q2097:Q2160" si="12571">VLOOKUP($A2097,hospital_details,7,0)</f>
        <v>tier - 3</v>
      </c>
      <c r="R2097" s="7" t="str">
        <f t="shared" ref="R2097:R2160" si="12572">VLOOKUP($A2097,hospital_details,8,0)</f>
        <v>R1013</v>
      </c>
    </row>
    <row r="2098" spans="1:18" ht="14.4" customHeight="1" x14ac:dyDescent="0.3">
      <c r="A2098" s="5" t="s">
        <v>2118</v>
      </c>
      <c r="B2098" s="5" t="str">
        <f>VLOOKUP($A2098,[1]!Customer_Names[#Data],3,0)</f>
        <v xml:space="preserve">  Kiyokatsu</v>
      </c>
      <c r="C2098" s="5">
        <v>20.8</v>
      </c>
      <c r="D2098" s="5" t="str" cm="1">
        <f t="array" ref="D2098">_xlfn.IFS(Healthcare!$C2098&lt;18.5,"under weight",Healthcare!$C2098&lt;=24.9,"Normal Weight",Healthcare!$C2098&gt;=25,"overweight",Healthcare!$C2098&gt;=30,"obese")</f>
        <v>Normal Weight</v>
      </c>
      <c r="E2098" s="5">
        <v>4.87</v>
      </c>
      <c r="F2098" s="5" t="str" cm="1">
        <f t="array" ref="F2098">_xlfn.IFS(Healthcare!$E2098&lt;5.7,"normal",Healthcare!$E2098&lt;=6.4,"prediabetes",Healthcare!$E2098&gt;=6.5,"diabetes")</f>
        <v>normal</v>
      </c>
      <c r="G2098" s="5" t="s">
        <v>20</v>
      </c>
      <c r="H2098" s="5" t="s">
        <v>19</v>
      </c>
      <c r="I2098" s="5" t="s">
        <v>19</v>
      </c>
      <c r="J2098" s="5">
        <v>0</v>
      </c>
      <c r="K2098" s="5" t="s">
        <v>19</v>
      </c>
      <c r="L2098" s="5" t="str">
        <f>VLOOKUP(Healthcare!$A2098,hospital_details,2,0)</f>
        <v>28-Nov-1996</v>
      </c>
      <c r="M2098" s="5">
        <f t="shared" ref="M2098:M2161" ca="1" si="12573">VLOOKUP(A2098,hospital_details,3,0)</f>
        <v>29</v>
      </c>
      <c r="N2098" s="5">
        <f t="shared" ref="N2098:N2161" si="12574">VLOOKUP($A2098,hospital_details,4,0)</f>
        <v>0</v>
      </c>
      <c r="O2098" s="6">
        <f t="shared" ref="O2098:O2161" si="12575">VLOOKUP($A2098,hospital_details,5,0)</f>
        <v>2302.3000000000002</v>
      </c>
      <c r="P2098" s="5" t="str">
        <f t="shared" ref="P2098:P2161" si="12576">VLOOKUP($A2098,hospital_details,6,0)</f>
        <v>tier - 1</v>
      </c>
      <c r="Q2098" s="5" t="str">
        <f t="shared" ref="Q2098:Q2161" si="12577">VLOOKUP($A2098,hospital_details,7,0)</f>
        <v>tier - 2</v>
      </c>
      <c r="R2098" s="5" t="str">
        <f t="shared" ref="R2098:R2161" si="12578">VLOOKUP($A2098,hospital_details,8,0)</f>
        <v>R1011</v>
      </c>
    </row>
    <row r="2099" spans="1:18" ht="14.4" customHeight="1" x14ac:dyDescent="0.3">
      <c r="A2099" s="7" t="s">
        <v>2119</v>
      </c>
      <c r="B2099" s="7" t="str">
        <f>VLOOKUP($A2099,[1]!Customer_Names[#Data],3,0)</f>
        <v xml:space="preserve">  Amanda L</v>
      </c>
      <c r="C2099" s="7">
        <v>15.82</v>
      </c>
      <c r="D2099" s="7" t="str" cm="1">
        <f t="array" ref="D2099">_xlfn.IFS(Healthcare!$C2099&lt;18.5,"under weight",Healthcare!$C2099&lt;=24.9,"Normal Weight",Healthcare!$C2099&gt;=25,"overweight",Healthcare!$C2099&gt;=30,"obese")</f>
        <v>under weight</v>
      </c>
      <c r="E2099" s="7">
        <v>4.5999999999999996</v>
      </c>
      <c r="F2099" s="7" t="str" cm="1">
        <f t="array" ref="F2099">_xlfn.IFS(Healthcare!$E2099&lt;5.7,"normal",Healthcare!$E2099&lt;=6.4,"prediabetes",Healthcare!$E2099&gt;=6.5,"diabetes")</f>
        <v>normal</v>
      </c>
      <c r="G2099" s="7" t="s">
        <v>19</v>
      </c>
      <c r="H2099" s="7" t="s">
        <v>19</v>
      </c>
      <c r="I2099" s="7" t="s">
        <v>19</v>
      </c>
      <c r="J2099" s="7">
        <v>0</v>
      </c>
      <c r="K2099" s="7" t="s">
        <v>19</v>
      </c>
      <c r="L2099" s="7" t="str">
        <f>VLOOKUP(Healthcare!$A2099,hospital_details,2,0)</f>
        <v>5-Oct-1989</v>
      </c>
      <c r="M2099" s="7">
        <f t="shared" ref="M2099:M2162" ca="1" si="12579">VLOOKUP(A2099,hospital_details,3,0)</f>
        <v>37</v>
      </c>
      <c r="N2099" s="7">
        <f t="shared" ref="N2099:N2162" si="12580">VLOOKUP($A2099,hospital_details,4,0)</f>
        <v>3</v>
      </c>
      <c r="O2099" s="8">
        <f t="shared" ref="O2099:O2162" si="12581">VLOOKUP($A2099,hospital_details,5,0)</f>
        <v>2295.2399999999998</v>
      </c>
      <c r="P2099" s="7" t="str">
        <f t="shared" ref="P2099:P2162" si="12582">VLOOKUP($A2099,hospital_details,6,0)</f>
        <v>tier - 2</v>
      </c>
      <c r="Q2099" s="7" t="str">
        <f t="shared" ref="Q2099:Q2162" si="12583">VLOOKUP($A2099,hospital_details,7,0)</f>
        <v>tier - 1</v>
      </c>
      <c r="R2099" s="7" t="str">
        <f t="shared" ref="R2099:R2162" si="12584">VLOOKUP($A2099,hospital_details,8,0)</f>
        <v>R1013</v>
      </c>
    </row>
    <row r="2100" spans="1:18" ht="14.4" customHeight="1" x14ac:dyDescent="0.3">
      <c r="A2100" s="5" t="s">
        <v>2120</v>
      </c>
      <c r="B2100" s="5" t="str">
        <f>VLOOKUP($A2100,[1]!Customer_Names[#Data],3,0)</f>
        <v xml:space="preserve">  Matthew</v>
      </c>
      <c r="C2100" s="5">
        <v>17.670000000000002</v>
      </c>
      <c r="D2100" s="5" t="str" cm="1">
        <f t="array" ref="D2100">_xlfn.IFS(Healthcare!$C2100&lt;18.5,"under weight",Healthcare!$C2100&lt;=24.9,"Normal Weight",Healthcare!$C2100&gt;=25,"overweight",Healthcare!$C2100&gt;=30,"obese")</f>
        <v>under weight</v>
      </c>
      <c r="E2100" s="5">
        <v>4.78</v>
      </c>
      <c r="F2100" s="5" t="str" cm="1">
        <f t="array" ref="F2100">_xlfn.IFS(Healthcare!$E2100&lt;5.7,"normal",Healthcare!$E2100&lt;=6.4,"prediabetes",Healthcare!$E2100&gt;=6.5,"diabetes")</f>
        <v>normal</v>
      </c>
      <c r="G2100" s="5" t="s">
        <v>19</v>
      </c>
      <c r="H2100" s="5" t="s">
        <v>19</v>
      </c>
      <c r="I2100" s="5" t="s">
        <v>19</v>
      </c>
      <c r="J2100" s="5">
        <v>0</v>
      </c>
      <c r="K2100" s="5" t="s">
        <v>19</v>
      </c>
      <c r="L2100" s="5" t="str">
        <f>VLOOKUP(Healthcare!$A2100,hospital_details,2,0)</f>
        <v>16-Jun-1991</v>
      </c>
      <c r="M2100" s="5">
        <f t="shared" ref="M2100:M2163" ca="1" si="12585">VLOOKUP(A2100,hospital_details,3,0)</f>
        <v>35</v>
      </c>
      <c r="N2100" s="5">
        <f t="shared" ref="N2100:N2163" si="12586">VLOOKUP($A2100,hospital_details,4,0)</f>
        <v>3</v>
      </c>
      <c r="O2100" s="6">
        <f t="shared" ref="O2100:O2163" si="12587">VLOOKUP($A2100,hospital_details,5,0)</f>
        <v>2277.7199999999998</v>
      </c>
      <c r="P2100" s="5" t="str">
        <f t="shared" ref="P2100:P2163" si="12588">VLOOKUP($A2100,hospital_details,6,0)</f>
        <v>tier - 2</v>
      </c>
      <c r="Q2100" s="5" t="str">
        <f t="shared" ref="Q2100:Q2163" si="12589">VLOOKUP($A2100,hospital_details,7,0)</f>
        <v>tier - 1</v>
      </c>
      <c r="R2100" s="5" t="str">
        <f t="shared" ref="R2100:R2163" si="12590">VLOOKUP($A2100,hospital_details,8,0)</f>
        <v>R1013</v>
      </c>
    </row>
    <row r="2101" spans="1:18" ht="14.4" customHeight="1" x14ac:dyDescent="0.3">
      <c r="A2101" s="7" t="s">
        <v>2121</v>
      </c>
      <c r="B2101" s="7" t="str">
        <f>VLOOKUP($A2101,[1]!Customer_Names[#Data],3,0)</f>
        <v xml:space="preserve">  Julia M</v>
      </c>
      <c r="C2101" s="7">
        <v>31.92</v>
      </c>
      <c r="D2101" s="7" t="str" cm="1">
        <f t="array" ref="D2101">_xlfn.IFS(Healthcare!$C2101&lt;18.5,"under weight",Healthcare!$C2101&lt;=24.9,"Normal Weight",Healthcare!$C2101&gt;=25,"overweight",Healthcare!$C2101&gt;=30,"obese")</f>
        <v>overweight</v>
      </c>
      <c r="E2101" s="7">
        <v>11.05</v>
      </c>
      <c r="F2101" s="7" t="str" cm="1">
        <f t="array" ref="F2101">_xlfn.IFS(Healthcare!$E2101&lt;5.7,"normal",Healthcare!$E2101&lt;=6.4,"prediabetes",Healthcare!$E2101&gt;=6.5,"diabetes")</f>
        <v>diabetes</v>
      </c>
      <c r="G2101" s="7" t="s">
        <v>19</v>
      </c>
      <c r="H2101" s="7" t="s">
        <v>19</v>
      </c>
      <c r="I2101" s="7" t="s">
        <v>19</v>
      </c>
      <c r="J2101" s="7">
        <v>0</v>
      </c>
      <c r="K2101" s="7" t="s">
        <v>19</v>
      </c>
      <c r="L2101" s="7" t="str">
        <f>VLOOKUP(Healthcare!$A2101,hospital_details,2,0)</f>
        <v>12-Nov-2002</v>
      </c>
      <c r="M2101" s="7">
        <f t="shared" ref="M2101:M2164" ca="1" si="12591">VLOOKUP(A2101,hospital_details,3,0)</f>
        <v>23</v>
      </c>
      <c r="N2101" s="7">
        <f t="shared" ref="N2101:N2164" si="12592">VLOOKUP($A2101,hospital_details,4,0)</f>
        <v>0</v>
      </c>
      <c r="O2101" s="8">
        <f t="shared" ref="O2101:O2164" si="12593">VLOOKUP($A2101,hospital_details,5,0)</f>
        <v>2261.5700000000002</v>
      </c>
      <c r="P2101" s="7" t="str">
        <f t="shared" ref="P2101:P2164" si="12594">VLOOKUP($A2101,hospital_details,6,0)</f>
        <v>tier - 2</v>
      </c>
      <c r="Q2101" s="7" t="str">
        <f t="shared" ref="Q2101:Q2164" si="12595">VLOOKUP($A2101,hospital_details,7,0)</f>
        <v>tier - 1</v>
      </c>
      <c r="R2101" s="7" t="str">
        <f t="shared" ref="R2101:R2164" si="12596">VLOOKUP($A2101,hospital_details,8,0)</f>
        <v>R1012</v>
      </c>
    </row>
    <row r="2102" spans="1:18" ht="14.4" customHeight="1" x14ac:dyDescent="0.3">
      <c r="A2102" s="5" t="s">
        <v>2122</v>
      </c>
      <c r="B2102" s="5" t="str">
        <f>VLOOKUP($A2102,[1]!Customer_Names[#Data],3,0)</f>
        <v xml:space="preserve">  Rhea</v>
      </c>
      <c r="C2102" s="5">
        <v>28.975000000000001</v>
      </c>
      <c r="D2102" s="5" t="str" cm="1">
        <f t="array" ref="D2102">_xlfn.IFS(Healthcare!$C2102&lt;18.5,"under weight",Healthcare!$C2102&lt;=24.9,"Normal Weight",Healthcare!$C2102&gt;=25,"overweight",Healthcare!$C2102&gt;=30,"obese")</f>
        <v>overweight</v>
      </c>
      <c r="E2102" s="5">
        <v>7.62</v>
      </c>
      <c r="F2102" s="5" t="str" cm="1">
        <f t="array" ref="F2102">_xlfn.IFS(Healthcare!$E2102&lt;5.7,"normal",Healthcare!$E2102&lt;=6.4,"prediabetes",Healthcare!$E2102&gt;=6.5,"diabetes")</f>
        <v>diabetes</v>
      </c>
      <c r="G2102" s="5" t="s">
        <v>19</v>
      </c>
      <c r="H2102" s="5" t="s">
        <v>19</v>
      </c>
      <c r="I2102" s="5" t="s">
        <v>19</v>
      </c>
      <c r="J2102" s="5">
        <v>0</v>
      </c>
      <c r="K2102" s="5" t="s">
        <v>19</v>
      </c>
      <c r="L2102" s="5" t="str">
        <f>VLOOKUP(Healthcare!$A2102,hospital_details,2,0)</f>
        <v>15-Jul-2002</v>
      </c>
      <c r="M2102" s="5">
        <f t="shared" ref="M2102:M2165" ca="1" si="12597">VLOOKUP(A2102,hospital_details,3,0)</f>
        <v>24</v>
      </c>
      <c r="N2102" s="5">
        <f t="shared" ref="N2102:N2165" si="12598">VLOOKUP($A2102,hospital_details,4,0)</f>
        <v>0</v>
      </c>
      <c r="O2102" s="6">
        <f t="shared" ref="O2102:O2165" si="12599">VLOOKUP($A2102,hospital_details,5,0)</f>
        <v>2257.48</v>
      </c>
      <c r="P2102" s="5" t="str">
        <f t="shared" ref="P2102:P2165" si="12600">VLOOKUP($A2102,hospital_details,6,0)</f>
        <v>tier - 2</v>
      </c>
      <c r="Q2102" s="5" t="str">
        <f t="shared" ref="Q2102:Q2165" si="12601">VLOOKUP($A2102,hospital_details,7,0)</f>
        <v>tier - 1</v>
      </c>
      <c r="R2102" s="5" t="str">
        <f t="shared" ref="R2102:R2165" si="12602">VLOOKUP($A2102,hospital_details,8,0)</f>
        <v>R1012</v>
      </c>
    </row>
    <row r="2103" spans="1:18" ht="14.4" customHeight="1" x14ac:dyDescent="0.3">
      <c r="A2103" s="7" t="s">
        <v>2123</v>
      </c>
      <c r="B2103" s="7" t="str">
        <f>VLOOKUP($A2103,[1]!Customer_Names[#Data],3,0)</f>
        <v xml:space="preserve">  Justin</v>
      </c>
      <c r="C2103" s="7">
        <v>31.73</v>
      </c>
      <c r="D2103" s="7" t="str" cm="1">
        <f t="array" ref="D2103">_xlfn.IFS(Healthcare!$C2103&lt;18.5,"under weight",Healthcare!$C2103&lt;=24.9,"Normal Weight",Healthcare!$C2103&gt;=25,"overweight",Healthcare!$C2103&gt;=30,"obese")</f>
        <v>overweight</v>
      </c>
      <c r="E2103" s="7">
        <v>4.78</v>
      </c>
      <c r="F2103" s="7" t="str" cm="1">
        <f t="array" ref="F2103">_xlfn.IFS(Healthcare!$E2103&lt;5.7,"normal",Healthcare!$E2103&lt;=6.4,"prediabetes",Healthcare!$E2103&gt;=6.5,"diabetes")</f>
        <v>normal</v>
      </c>
      <c r="G2103" s="7" t="s">
        <v>20</v>
      </c>
      <c r="H2103" s="7" t="s">
        <v>20</v>
      </c>
      <c r="I2103" s="7" t="s">
        <v>19</v>
      </c>
      <c r="J2103" s="7">
        <v>2</v>
      </c>
      <c r="K2103" s="7" t="s">
        <v>19</v>
      </c>
      <c r="L2103" s="7" t="str">
        <f>VLOOKUP(Healthcare!$A2103,hospital_details,2,0)</f>
        <v>11-Dec-2000</v>
      </c>
      <c r="M2103" s="7">
        <f t="shared" ref="M2103:M2166" ca="1" si="12603">VLOOKUP(A2103,hospital_details,3,0)</f>
        <v>25</v>
      </c>
      <c r="N2103" s="7">
        <f t="shared" ref="N2103:N2166" si="12604">VLOOKUP($A2103,hospital_details,4,0)</f>
        <v>0</v>
      </c>
      <c r="O2103" s="8">
        <f t="shared" ref="O2103:O2166" si="12605">VLOOKUP($A2103,hospital_details,5,0)</f>
        <v>2254.8000000000002</v>
      </c>
      <c r="P2103" s="7" t="str">
        <f t="shared" ref="P2103:P2166" si="12606">VLOOKUP($A2103,hospital_details,6,0)</f>
        <v>tier - 2</v>
      </c>
      <c r="Q2103" s="7" t="str">
        <f t="shared" ref="Q2103:Q2166" si="12607">VLOOKUP($A2103,hospital_details,7,0)</f>
        <v>tier - 3</v>
      </c>
      <c r="R2103" s="7" t="str">
        <f t="shared" ref="R2103:R2166" si="12608">VLOOKUP($A2103,hospital_details,8,0)</f>
        <v>R1016</v>
      </c>
    </row>
    <row r="2104" spans="1:18" ht="14.4" customHeight="1" x14ac:dyDescent="0.3">
      <c r="A2104" s="5" t="s">
        <v>2124</v>
      </c>
      <c r="B2104" s="5" t="str">
        <f>VLOOKUP($A2104,[1]!Customer_Names[#Data],3,0)</f>
        <v xml:space="preserve">  Shamus M</v>
      </c>
      <c r="C2104" s="5">
        <v>28.88</v>
      </c>
      <c r="D2104" s="5" t="str" cm="1">
        <f t="array" ref="D2104">_xlfn.IFS(Healthcare!$C2104&lt;18.5,"under weight",Healthcare!$C2104&lt;=24.9,"Normal Weight",Healthcare!$C2104&gt;=25,"overweight",Healthcare!$C2104&gt;=30,"obese")</f>
        <v>overweight</v>
      </c>
      <c r="E2104" s="5">
        <v>6.09</v>
      </c>
      <c r="F2104" s="5" t="str" cm="1">
        <f t="array" ref="F2104">_xlfn.IFS(Healthcare!$E2104&lt;5.7,"normal",Healthcare!$E2104&lt;=6.4,"prediabetes",Healthcare!$E2104&gt;=6.5,"diabetes")</f>
        <v>prediabetes</v>
      </c>
      <c r="G2104" s="5" t="s">
        <v>20</v>
      </c>
      <c r="H2104" s="5" t="s">
        <v>20</v>
      </c>
      <c r="I2104" s="5" t="s">
        <v>19</v>
      </c>
      <c r="J2104" s="5">
        <v>2</v>
      </c>
      <c r="K2104" s="5" t="s">
        <v>19</v>
      </c>
      <c r="L2104" s="5" t="str">
        <f>VLOOKUP(Healthcare!$A2104,hospital_details,2,0)</f>
        <v>30-Jun-2000</v>
      </c>
      <c r="M2104" s="5">
        <f t="shared" ref="M2104:M2167" ca="1" si="12609">VLOOKUP(A2104,hospital_details,3,0)</f>
        <v>26</v>
      </c>
      <c r="N2104" s="5">
        <f t="shared" ref="N2104:N2167" si="12610">VLOOKUP($A2104,hospital_details,4,0)</f>
        <v>0</v>
      </c>
      <c r="O2104" s="6">
        <f t="shared" ref="O2104:O2167" si="12611">VLOOKUP($A2104,hospital_details,5,0)</f>
        <v>2250.84</v>
      </c>
      <c r="P2104" s="5" t="str">
        <f t="shared" ref="P2104:P2167" si="12612">VLOOKUP($A2104,hospital_details,6,0)</f>
        <v>tier - 2</v>
      </c>
      <c r="Q2104" s="5" t="str">
        <f t="shared" ref="Q2104:Q2167" si="12613">VLOOKUP($A2104,hospital_details,7,0)</f>
        <v>tier - 2</v>
      </c>
      <c r="R2104" s="5" t="str">
        <f t="shared" ref="R2104:R2167" si="12614">VLOOKUP($A2104,hospital_details,8,0)</f>
        <v>R1018</v>
      </c>
    </row>
    <row r="2105" spans="1:18" ht="14.4" customHeight="1" x14ac:dyDescent="0.3">
      <c r="A2105" s="7" t="s">
        <v>2125</v>
      </c>
      <c r="B2105" s="7" t="str">
        <f>VLOOKUP($A2105,[1]!Customer_Names[#Data],3,0)</f>
        <v xml:space="preserve">  Mike</v>
      </c>
      <c r="C2105" s="7">
        <v>25.555</v>
      </c>
      <c r="D2105" s="7" t="str" cm="1">
        <f t="array" ref="D2105">_xlfn.IFS(Healthcare!$C2105&lt;18.5,"under weight",Healthcare!$C2105&lt;=24.9,"Normal Weight",Healthcare!$C2105&gt;=25,"overweight",Healthcare!$C2105&gt;=30,"obese")</f>
        <v>overweight</v>
      </c>
      <c r="E2105" s="7">
        <v>5.1100000000000003</v>
      </c>
      <c r="F2105" s="7" t="str" cm="1">
        <f t="array" ref="F2105">_xlfn.IFS(Healthcare!$E2105&lt;5.7,"normal",Healthcare!$E2105&lt;=6.4,"prediabetes",Healthcare!$E2105&gt;=6.5,"diabetes")</f>
        <v>normal</v>
      </c>
      <c r="G2105" s="7" t="s">
        <v>19</v>
      </c>
      <c r="H2105" s="7" t="s">
        <v>19</v>
      </c>
      <c r="I2105" s="7" t="s">
        <v>29</v>
      </c>
      <c r="J2105" s="7">
        <v>1</v>
      </c>
      <c r="K2105" s="7" t="s">
        <v>19</v>
      </c>
      <c r="L2105" s="7" t="str">
        <f>VLOOKUP(Healthcare!$A2105,hospital_details,2,0)</f>
        <v>10-Dec-2003</v>
      </c>
      <c r="M2105" s="7">
        <f t="shared" ref="M2105:M2168" ca="1" si="12615">VLOOKUP(A2105,hospital_details,3,0)</f>
        <v>22</v>
      </c>
      <c r="N2105" s="7">
        <f t="shared" ref="N2105:N2168" si="12616">VLOOKUP($A2105,hospital_details,4,0)</f>
        <v>1</v>
      </c>
      <c r="O2105" s="8">
        <f t="shared" ref="O2105:O2168" si="12617">VLOOKUP($A2105,hospital_details,5,0)</f>
        <v>2221.56</v>
      </c>
      <c r="P2105" s="7" t="str">
        <f t="shared" ref="P2105:P2168" si="12618">VLOOKUP($A2105,hospital_details,6,0)</f>
        <v>tier - 2</v>
      </c>
      <c r="Q2105" s="7" t="str">
        <f t="shared" ref="Q2105:Q2168" si="12619">VLOOKUP($A2105,hospital_details,7,0)</f>
        <v>tier - 3</v>
      </c>
      <c r="R2105" s="7" t="str">
        <f t="shared" ref="R2105:R2168" si="12620">VLOOKUP($A2105,hospital_details,8,0)</f>
        <v>R1012</v>
      </c>
    </row>
    <row r="2106" spans="1:18" ht="14.4" customHeight="1" x14ac:dyDescent="0.3">
      <c r="A2106" s="5" t="s">
        <v>2126</v>
      </c>
      <c r="B2106" s="5" t="str">
        <f>VLOOKUP($A2106,[1]!Customer_Names[#Data],3,0)</f>
        <v xml:space="preserve">  Mary Beth</v>
      </c>
      <c r="C2106" s="5">
        <v>37.29</v>
      </c>
      <c r="D2106" s="5" t="str" cm="1">
        <f t="array" ref="D2106">_xlfn.IFS(Healthcare!$C2106&lt;18.5,"under weight",Healthcare!$C2106&lt;=24.9,"Normal Weight",Healthcare!$C2106&gt;=25,"overweight",Healthcare!$C2106&gt;=30,"obese")</f>
        <v>overweight</v>
      </c>
      <c r="E2106" s="5">
        <v>4.46</v>
      </c>
      <c r="F2106" s="5" t="str" cm="1">
        <f t="array" ref="F2106">_xlfn.IFS(Healthcare!$E2106&lt;5.7,"normal",Healthcare!$E2106&lt;=6.4,"prediabetes",Healthcare!$E2106&gt;=6.5,"diabetes")</f>
        <v>normal</v>
      </c>
      <c r="G2106" s="5" t="s">
        <v>19</v>
      </c>
      <c r="H2106" s="5" t="s">
        <v>20</v>
      </c>
      <c r="I2106" s="5" t="s">
        <v>19</v>
      </c>
      <c r="J2106" s="5">
        <v>1</v>
      </c>
      <c r="K2106" s="5" t="s">
        <v>19</v>
      </c>
      <c r="L2106" s="5" t="str">
        <f>VLOOKUP(Healthcare!$A2106,hospital_details,2,0)</f>
        <v>12-Dec-2004</v>
      </c>
      <c r="M2106" s="5">
        <f t="shared" ref="M2106:M2169" ca="1" si="12621">VLOOKUP(A2106,hospital_details,3,0)</f>
        <v>21</v>
      </c>
      <c r="N2106" s="5">
        <f t="shared" ref="N2106:N2169" si="12622">VLOOKUP($A2106,hospital_details,4,0)</f>
        <v>1</v>
      </c>
      <c r="O2106" s="6">
        <f t="shared" ref="O2106:O2169" si="12623">VLOOKUP($A2106,hospital_details,5,0)</f>
        <v>2219.4499999999998</v>
      </c>
      <c r="P2106" s="5" t="str">
        <f t="shared" ref="P2106:P2169" si="12624">VLOOKUP($A2106,hospital_details,6,0)</f>
        <v>tier - 2</v>
      </c>
      <c r="Q2106" s="5" t="str">
        <f t="shared" ref="Q2106:Q2169" si="12625">VLOOKUP($A2106,hospital_details,7,0)</f>
        <v>tier - 1</v>
      </c>
      <c r="R2106" s="5" t="str">
        <f t="shared" ref="R2106:R2169" si="12626">VLOOKUP($A2106,hospital_details,8,0)</f>
        <v>R1013</v>
      </c>
    </row>
    <row r="2107" spans="1:18" ht="14.4" customHeight="1" x14ac:dyDescent="0.3">
      <c r="A2107" s="7" t="s">
        <v>2127</v>
      </c>
      <c r="B2107" s="7" t="str">
        <f>VLOOKUP($A2107,[1]!Customer_Names[#Data],3,0)</f>
        <v xml:space="preserve">  Erin</v>
      </c>
      <c r="C2107" s="7">
        <v>40.28</v>
      </c>
      <c r="D2107" s="7" t="str" cm="1">
        <f t="array" ref="D2107">_xlfn.IFS(Healthcare!$C2107&lt;18.5,"under weight",Healthcare!$C2107&lt;=24.9,"Normal Weight",Healthcare!$C2107&gt;=25,"overweight",Healthcare!$C2107&gt;=30,"obese")</f>
        <v>overweight</v>
      </c>
      <c r="E2107" s="7">
        <v>6.11</v>
      </c>
      <c r="F2107" s="7" t="str" cm="1">
        <f t="array" ref="F2107">_xlfn.IFS(Healthcare!$E2107&lt;5.7,"normal",Healthcare!$E2107&lt;=6.4,"prediabetes",Healthcare!$E2107&gt;=6.5,"diabetes")</f>
        <v>prediabetes</v>
      </c>
      <c r="G2107" s="7" t="s">
        <v>19</v>
      </c>
      <c r="H2107" s="7" t="s">
        <v>20</v>
      </c>
      <c r="I2107" s="7" t="s">
        <v>19</v>
      </c>
      <c r="J2107" s="7">
        <v>1</v>
      </c>
      <c r="K2107" s="7" t="s">
        <v>19</v>
      </c>
      <c r="L2107" s="7" t="str">
        <f>VLOOKUP(Healthcare!$A2107,hospital_details,2,0)</f>
        <v>25-Sep-2004</v>
      </c>
      <c r="M2107" s="7">
        <f t="shared" ref="M2107:M2170" ca="1" si="12627">VLOOKUP(A2107,hospital_details,3,0)</f>
        <v>22</v>
      </c>
      <c r="N2107" s="7">
        <f t="shared" ref="N2107:N2170" si="12628">VLOOKUP($A2107,hospital_details,4,0)</f>
        <v>0</v>
      </c>
      <c r="O2107" s="8">
        <f t="shared" ref="O2107:O2170" si="12629">VLOOKUP($A2107,hospital_details,5,0)</f>
        <v>2217.6</v>
      </c>
      <c r="P2107" s="7" t="str">
        <f t="shared" ref="P2107:P2170" si="12630">VLOOKUP($A2107,hospital_details,6,0)</f>
        <v>tier - 2</v>
      </c>
      <c r="Q2107" s="7" t="str">
        <f t="shared" ref="Q2107:Q2170" si="12631">VLOOKUP($A2107,hospital_details,7,0)</f>
        <v>tier - 1</v>
      </c>
      <c r="R2107" s="7" t="str">
        <f t="shared" ref="R2107:R2170" si="12632">VLOOKUP($A2107,hospital_details,8,0)</f>
        <v>R1024</v>
      </c>
    </row>
    <row r="2108" spans="1:18" ht="14.4" customHeight="1" x14ac:dyDescent="0.3">
      <c r="A2108" s="5" t="s">
        <v>2128</v>
      </c>
      <c r="B2108" s="5" t="str">
        <f>VLOOKUP($A2108,[1]!Customer_Names[#Data],3,0)</f>
        <v xml:space="preserve">  Hallie</v>
      </c>
      <c r="C2108" s="5">
        <v>40.185000000000002</v>
      </c>
      <c r="D2108" s="5" t="str" cm="1">
        <f t="array" ref="D2108">_xlfn.IFS(Healthcare!$C2108&lt;18.5,"under weight",Healthcare!$C2108&lt;=24.9,"Normal Weight",Healthcare!$C2108&gt;=25,"overweight",Healthcare!$C2108&gt;=30,"obese")</f>
        <v>overweight</v>
      </c>
      <c r="E2108" s="5">
        <v>4.66</v>
      </c>
      <c r="F2108" s="5" t="str" cm="1">
        <f t="array" ref="F2108">_xlfn.IFS(Healthcare!$E2108&lt;5.7,"normal",Healthcare!$E2108&lt;=6.4,"prediabetes",Healthcare!$E2108&gt;=6.5,"diabetes")</f>
        <v>normal</v>
      </c>
      <c r="G2108" s="5" t="s">
        <v>19</v>
      </c>
      <c r="H2108" s="5" t="s">
        <v>20</v>
      </c>
      <c r="I2108" s="5" t="s">
        <v>19</v>
      </c>
      <c r="J2108" s="5">
        <v>1</v>
      </c>
      <c r="K2108" s="5" t="s">
        <v>19</v>
      </c>
      <c r="L2108" s="5" t="str">
        <f>VLOOKUP(Healthcare!$A2108,hospital_details,2,0)</f>
        <v>13-Jun-2004</v>
      </c>
      <c r="M2108" s="5">
        <f t="shared" ref="M2108:M2171" ca="1" si="12633">VLOOKUP(A2108,hospital_details,3,0)</f>
        <v>22</v>
      </c>
      <c r="N2108" s="5">
        <f t="shared" ref="N2108:N2171" si="12634">VLOOKUP($A2108,hospital_details,4,0)</f>
        <v>0</v>
      </c>
      <c r="O2108" s="6">
        <f t="shared" ref="O2108:O2171" si="12635">VLOOKUP($A2108,hospital_details,5,0)</f>
        <v>2217.4699999999998</v>
      </c>
      <c r="P2108" s="5" t="str">
        <f t="shared" ref="P2108:P2171" si="12636">VLOOKUP($A2108,hospital_details,6,0)</f>
        <v>tier - 2</v>
      </c>
      <c r="Q2108" s="5" t="str">
        <f t="shared" ref="Q2108:Q2171" si="12637">VLOOKUP($A2108,hospital_details,7,0)</f>
        <v>tier - 1</v>
      </c>
      <c r="R2108" s="5" t="str">
        <f t="shared" ref="R2108:R2171" si="12638">VLOOKUP($A2108,hospital_details,8,0)</f>
        <v>R1024</v>
      </c>
    </row>
    <row r="2109" spans="1:18" ht="14.4" customHeight="1" x14ac:dyDescent="0.3">
      <c r="A2109" s="7" t="s">
        <v>2129</v>
      </c>
      <c r="B2109" s="7" t="str">
        <f>VLOOKUP($A2109,[1]!Customer_Names[#Data],3,0)</f>
        <v xml:space="preserve">  Paige P</v>
      </c>
      <c r="C2109" s="7">
        <v>23.57</v>
      </c>
      <c r="D2109" s="7" t="str" cm="1">
        <f t="array" ref="D2109">_xlfn.IFS(Healthcare!$C2109&lt;18.5,"under weight",Healthcare!$C2109&lt;=24.9,"Normal Weight",Healthcare!$C2109&gt;=25,"overweight",Healthcare!$C2109&gt;=30,"obese")</f>
        <v>Normal Weight</v>
      </c>
      <c r="E2109" s="7">
        <v>6.14</v>
      </c>
      <c r="F2109" s="7" t="str" cm="1">
        <f t="array" ref="F2109">_xlfn.IFS(Healthcare!$E2109&lt;5.7,"normal",Healthcare!$E2109&lt;=6.4,"prediabetes",Healthcare!$E2109&gt;=6.5,"diabetes")</f>
        <v>prediabetes</v>
      </c>
      <c r="G2109" s="7" t="s">
        <v>19</v>
      </c>
      <c r="H2109" s="7" t="s">
        <v>19</v>
      </c>
      <c r="I2109" s="7" t="s">
        <v>19</v>
      </c>
      <c r="J2109" s="7">
        <v>0</v>
      </c>
      <c r="K2109" s="7" t="s">
        <v>19</v>
      </c>
      <c r="L2109" s="7" t="str">
        <f>VLOOKUP(Healthcare!$A2109,hospital_details,2,0)</f>
        <v>17-Nov-1994</v>
      </c>
      <c r="M2109" s="7">
        <f t="shared" ref="M2109:M2172" ca="1" si="12639">VLOOKUP(A2109,hospital_details,3,0)</f>
        <v>31</v>
      </c>
      <c r="N2109" s="7">
        <f t="shared" ref="N2109:N2172" si="12640">VLOOKUP($A2109,hospital_details,4,0)</f>
        <v>0</v>
      </c>
      <c r="O2109" s="8">
        <f t="shared" ref="O2109:O2172" si="12641">VLOOKUP($A2109,hospital_details,5,0)</f>
        <v>2213.21</v>
      </c>
      <c r="P2109" s="7" t="str">
        <f t="shared" ref="P2109:P2172" si="12642">VLOOKUP($A2109,hospital_details,6,0)</f>
        <v>tier - 2</v>
      </c>
      <c r="Q2109" s="7" t="str">
        <f t="shared" ref="Q2109:Q2172" si="12643">VLOOKUP($A2109,hospital_details,7,0)</f>
        <v>tier - 2</v>
      </c>
      <c r="R2109" s="7" t="str">
        <f t="shared" ref="R2109:R2172" si="12644">VLOOKUP($A2109,hospital_details,8,0)</f>
        <v>R1013</v>
      </c>
    </row>
    <row r="2110" spans="1:18" ht="14.4" customHeight="1" x14ac:dyDescent="0.3">
      <c r="A2110" s="5" t="s">
        <v>2130</v>
      </c>
      <c r="B2110" s="5" t="str">
        <f>VLOOKUP($A2110,[1]!Customer_Names[#Data],3,0)</f>
        <v xml:space="preserve">  Ji</v>
      </c>
      <c r="C2110" s="5">
        <v>35.625</v>
      </c>
      <c r="D2110" s="5" t="str" cm="1">
        <f t="array" ref="D2110">_xlfn.IFS(Healthcare!$C2110&lt;18.5,"under weight",Healthcare!$C2110&lt;=24.9,"Normal Weight",Healthcare!$C2110&gt;=25,"overweight",Healthcare!$C2110&gt;=30,"obese")</f>
        <v>overweight</v>
      </c>
      <c r="E2110" s="5">
        <v>6.21</v>
      </c>
      <c r="F2110" s="5" t="str" cm="1">
        <f t="array" ref="F2110">_xlfn.IFS(Healthcare!$E2110&lt;5.7,"normal",Healthcare!$E2110&lt;=6.4,"prediabetes",Healthcare!$E2110&gt;=6.5,"diabetes")</f>
        <v>prediabetes</v>
      </c>
      <c r="G2110" s="5" t="s">
        <v>19</v>
      </c>
      <c r="H2110" s="5" t="s">
        <v>20</v>
      </c>
      <c r="I2110" s="5" t="s">
        <v>19</v>
      </c>
      <c r="J2110" s="5">
        <v>1</v>
      </c>
      <c r="K2110" s="5" t="s">
        <v>19</v>
      </c>
      <c r="L2110" s="5" t="str">
        <f>VLOOKUP(Healthcare!$A2110,hospital_details,2,0)</f>
        <v>27-Jul-2004</v>
      </c>
      <c r="M2110" s="5">
        <f t="shared" ref="M2110:M2173" ca="1" si="12645">VLOOKUP(A2110,hospital_details,3,0)</f>
        <v>22</v>
      </c>
      <c r="N2110" s="5">
        <f t="shared" ref="N2110:N2173" si="12646">VLOOKUP($A2110,hospital_details,4,0)</f>
        <v>0</v>
      </c>
      <c r="O2110" s="6">
        <f t="shared" ref="O2110:O2173" si="12647">VLOOKUP($A2110,hospital_details,5,0)</f>
        <v>2211.13</v>
      </c>
      <c r="P2110" s="5" t="str">
        <f t="shared" ref="P2110:P2173" si="12648">VLOOKUP($A2110,hospital_details,6,0)</f>
        <v>tier - 2</v>
      </c>
      <c r="Q2110" s="5" t="str">
        <f t="shared" ref="Q2110:Q2173" si="12649">VLOOKUP($A2110,hospital_details,7,0)</f>
        <v>tier - 2</v>
      </c>
      <c r="R2110" s="5" t="str">
        <f t="shared" ref="R2110:R2173" si="12650">VLOOKUP($A2110,hospital_details,8,0)</f>
        <v>R1024</v>
      </c>
    </row>
    <row r="2111" spans="1:18" ht="14.4" customHeight="1" x14ac:dyDescent="0.3">
      <c r="A2111" s="7" t="s">
        <v>2131</v>
      </c>
      <c r="B2111" s="7" t="str">
        <f>VLOOKUP($A2111,[1]!Customer_Names[#Data],3,0)</f>
        <v xml:space="preserve">  Carissa A</v>
      </c>
      <c r="C2111" s="7">
        <v>33.155000000000001</v>
      </c>
      <c r="D2111" s="7" t="str" cm="1">
        <f t="array" ref="D2111">_xlfn.IFS(Healthcare!$C2111&lt;18.5,"under weight",Healthcare!$C2111&lt;=24.9,"Normal Weight",Healthcare!$C2111&gt;=25,"overweight",Healthcare!$C2111&gt;=30,"obese")</f>
        <v>overweight</v>
      </c>
      <c r="E2111" s="7">
        <v>4.5999999999999996</v>
      </c>
      <c r="F2111" s="7" t="str" cm="1">
        <f t="array" ref="F2111">_xlfn.IFS(Healthcare!$E2111&lt;5.7,"normal",Healthcare!$E2111&lt;=6.4,"prediabetes",Healthcare!$E2111&gt;=6.5,"diabetes")</f>
        <v>normal</v>
      </c>
      <c r="G2111" s="7" t="s">
        <v>19</v>
      </c>
      <c r="H2111" s="7" t="s">
        <v>20</v>
      </c>
      <c r="I2111" s="7" t="s">
        <v>19</v>
      </c>
      <c r="J2111" s="7">
        <v>1</v>
      </c>
      <c r="K2111" s="7" t="s">
        <v>19</v>
      </c>
      <c r="L2111" s="7" t="str">
        <f>VLOOKUP(Healthcare!$A2111,hospital_details,2,0)</f>
        <v>6-Aug-2004</v>
      </c>
      <c r="M2111" s="7">
        <f t="shared" ref="M2111:M2174" ca="1" si="12651">VLOOKUP(A2111,hospital_details,3,0)</f>
        <v>22</v>
      </c>
      <c r="N2111" s="7">
        <f t="shared" ref="N2111:N2174" si="12652">VLOOKUP($A2111,hospital_details,4,0)</f>
        <v>0</v>
      </c>
      <c r="O2111" s="8">
        <f t="shared" ref="O2111:O2174" si="12653">VLOOKUP($A2111,hospital_details,5,0)</f>
        <v>2207.6999999999998</v>
      </c>
      <c r="P2111" s="7" t="str">
        <f t="shared" ref="P2111:P2174" si="12654">VLOOKUP($A2111,hospital_details,6,0)</f>
        <v>tier - 2</v>
      </c>
      <c r="Q2111" s="7" t="str">
        <f t="shared" ref="Q2111:Q2174" si="12655">VLOOKUP($A2111,hospital_details,7,0)</f>
        <v>tier - 2</v>
      </c>
      <c r="R2111" s="7" t="str">
        <f t="shared" ref="R2111:R2174" si="12656">VLOOKUP($A2111,hospital_details,8,0)</f>
        <v>R1024</v>
      </c>
    </row>
    <row r="2112" spans="1:18" ht="14.4" customHeight="1" x14ac:dyDescent="0.3">
      <c r="A2112" s="5" t="s">
        <v>2132</v>
      </c>
      <c r="B2112" s="5" t="str">
        <f>VLOOKUP($A2112,[1]!Customer_Names[#Data],3,0)</f>
        <v xml:space="preserve">  Mona</v>
      </c>
      <c r="C2112" s="5">
        <v>31.92</v>
      </c>
      <c r="D2112" s="5" t="str" cm="1">
        <f t="array" ref="D2112">_xlfn.IFS(Healthcare!$C2112&lt;18.5,"under weight",Healthcare!$C2112&lt;=24.9,"Normal Weight",Healthcare!$C2112&gt;=25,"overweight",Healthcare!$C2112&gt;=30,"obese")</f>
        <v>overweight</v>
      </c>
      <c r="E2112" s="5">
        <v>5.04</v>
      </c>
      <c r="F2112" s="5" t="str" cm="1">
        <f t="array" ref="F2112">_xlfn.IFS(Healthcare!$E2112&lt;5.7,"normal",Healthcare!$E2112&lt;=6.4,"prediabetes",Healthcare!$E2112&gt;=6.5,"diabetes")</f>
        <v>normal</v>
      </c>
      <c r="G2112" s="5" t="s">
        <v>19</v>
      </c>
      <c r="H2112" s="5" t="s">
        <v>20</v>
      </c>
      <c r="I2112" s="5" t="s">
        <v>19</v>
      </c>
      <c r="J2112" s="5">
        <v>1</v>
      </c>
      <c r="K2112" s="5" t="s">
        <v>19</v>
      </c>
      <c r="L2112" s="5" t="str">
        <f>VLOOKUP(Healthcare!$A2112,hospital_details,2,0)</f>
        <v>13-Nov-2004</v>
      </c>
      <c r="M2112" s="5">
        <f t="shared" ref="M2112:M2175" ca="1" si="12657">VLOOKUP(A2112,hospital_details,3,0)</f>
        <v>21</v>
      </c>
      <c r="N2112" s="5">
        <f t="shared" ref="N2112:N2175" si="12658">VLOOKUP($A2112,hospital_details,4,0)</f>
        <v>0</v>
      </c>
      <c r="O2112" s="6">
        <f t="shared" ref="O2112:O2175" si="12659">VLOOKUP($A2112,hospital_details,5,0)</f>
        <v>2205.98</v>
      </c>
      <c r="P2112" s="5" t="str">
        <f t="shared" ref="P2112:P2175" si="12660">VLOOKUP($A2112,hospital_details,6,0)</f>
        <v>tier - 2</v>
      </c>
      <c r="Q2112" s="5" t="str">
        <f t="shared" ref="Q2112:Q2175" si="12661">VLOOKUP($A2112,hospital_details,7,0)</f>
        <v>tier - 3</v>
      </c>
      <c r="R2112" s="5" t="str">
        <f t="shared" ref="R2112:R2175" si="12662">VLOOKUP($A2112,hospital_details,8,0)</f>
        <v>R1024</v>
      </c>
    </row>
    <row r="2113" spans="1:18" ht="14.4" customHeight="1" x14ac:dyDescent="0.3">
      <c r="A2113" s="7" t="s">
        <v>2133</v>
      </c>
      <c r="B2113" s="7" t="str">
        <f>VLOOKUP($A2113,[1]!Customer_Names[#Data],3,0)</f>
        <v xml:space="preserve">  Kristin R</v>
      </c>
      <c r="C2113" s="7">
        <v>30.305</v>
      </c>
      <c r="D2113" s="7" t="str" cm="1">
        <f t="array" ref="D2113">_xlfn.IFS(Healthcare!$C2113&lt;18.5,"under weight",Healthcare!$C2113&lt;=24.9,"Normal Weight",Healthcare!$C2113&gt;=25,"overweight",Healthcare!$C2113&gt;=30,"obese")</f>
        <v>overweight</v>
      </c>
      <c r="E2113" s="7">
        <v>5.08</v>
      </c>
      <c r="F2113" s="7" t="str" cm="1">
        <f t="array" ref="F2113">_xlfn.IFS(Healthcare!$E2113&lt;5.7,"normal",Healthcare!$E2113&lt;=6.4,"prediabetes",Healthcare!$E2113&gt;=6.5,"diabetes")</f>
        <v>normal</v>
      </c>
      <c r="G2113" s="7" t="s">
        <v>19</v>
      </c>
      <c r="H2113" s="7" t="s">
        <v>20</v>
      </c>
      <c r="I2113" s="7" t="s">
        <v>19</v>
      </c>
      <c r="J2113" s="7">
        <v>1</v>
      </c>
      <c r="K2113" s="7" t="s">
        <v>19</v>
      </c>
      <c r="L2113" s="7" t="str">
        <f>VLOOKUP(Healthcare!$A2113,hospital_details,2,0)</f>
        <v>28-Oct-2004</v>
      </c>
      <c r="M2113" s="7">
        <f t="shared" ref="M2113:M2176" ca="1" si="12663">VLOOKUP(A2113,hospital_details,3,0)</f>
        <v>21</v>
      </c>
      <c r="N2113" s="7">
        <f t="shared" ref="N2113:N2176" si="12664">VLOOKUP($A2113,hospital_details,4,0)</f>
        <v>0</v>
      </c>
      <c r="O2113" s="8">
        <f t="shared" ref="O2113:O2176" si="12665">VLOOKUP($A2113,hospital_details,5,0)</f>
        <v>2203.7399999999998</v>
      </c>
      <c r="P2113" s="7" t="str">
        <f t="shared" ref="P2113:P2176" si="12666">VLOOKUP($A2113,hospital_details,6,0)</f>
        <v>tier - 2</v>
      </c>
      <c r="Q2113" s="7" t="str">
        <f t="shared" ref="Q2113:Q2176" si="12667">VLOOKUP($A2113,hospital_details,7,0)</f>
        <v>tier - 2</v>
      </c>
      <c r="R2113" s="7" t="str">
        <f t="shared" ref="R2113:R2176" si="12668">VLOOKUP($A2113,hospital_details,8,0)</f>
        <v>R1024</v>
      </c>
    </row>
    <row r="2114" spans="1:18" ht="14.4" customHeight="1" x14ac:dyDescent="0.3">
      <c r="A2114" s="5" t="s">
        <v>2134</v>
      </c>
      <c r="B2114" s="5" t="str">
        <f>VLOOKUP($A2114,[1]!Customer_Names[#Data],3,0)</f>
        <v xml:space="preserve">  Beth</v>
      </c>
      <c r="C2114" s="5">
        <v>30.114999999999998</v>
      </c>
      <c r="D2114" s="5" t="str" cm="1">
        <f t="array" ref="D2114">_xlfn.IFS(Healthcare!$C2114&lt;18.5,"under weight",Healthcare!$C2114&lt;=24.9,"Normal Weight",Healthcare!$C2114&gt;=25,"overweight",Healthcare!$C2114&gt;=30,"obese")</f>
        <v>overweight</v>
      </c>
      <c r="E2114" s="5">
        <v>4.38</v>
      </c>
      <c r="F2114" s="5" t="str" cm="1">
        <f t="array" ref="F2114">_xlfn.IFS(Healthcare!$E2114&lt;5.7,"normal",Healthcare!$E2114&lt;=6.4,"prediabetes",Healthcare!$E2114&gt;=6.5,"diabetes")</f>
        <v>normal</v>
      </c>
      <c r="G2114" s="5" t="s">
        <v>19</v>
      </c>
      <c r="H2114" s="5" t="s">
        <v>20</v>
      </c>
      <c r="I2114" s="5" t="s">
        <v>19</v>
      </c>
      <c r="J2114" s="5">
        <v>1</v>
      </c>
      <c r="K2114" s="5" t="s">
        <v>19</v>
      </c>
      <c r="L2114" s="5" t="str">
        <f>VLOOKUP(Healthcare!$A2114,hospital_details,2,0)</f>
        <v>6-Aug-2004</v>
      </c>
      <c r="M2114" s="5">
        <f t="shared" ref="M2114:M2177" ca="1" si="12669">VLOOKUP(A2114,hospital_details,3,0)</f>
        <v>22</v>
      </c>
      <c r="N2114" s="5">
        <f t="shared" ref="N2114:N2177" si="12670">VLOOKUP($A2114,hospital_details,4,0)</f>
        <v>0</v>
      </c>
      <c r="O2114" s="6">
        <f t="shared" ref="O2114:O2177" si="12671">VLOOKUP($A2114,hospital_details,5,0)</f>
        <v>2203.4699999999998</v>
      </c>
      <c r="P2114" s="5" t="str">
        <f t="shared" ref="P2114:P2177" si="12672">VLOOKUP($A2114,hospital_details,6,0)</f>
        <v>tier - 2</v>
      </c>
      <c r="Q2114" s="5" t="str">
        <f t="shared" ref="Q2114:Q2177" si="12673">VLOOKUP($A2114,hospital_details,7,0)</f>
        <v>tier - 2</v>
      </c>
      <c r="R2114" s="5" t="str">
        <f t="shared" ref="R2114:R2177" si="12674">VLOOKUP($A2114,hospital_details,8,0)</f>
        <v>R1024</v>
      </c>
    </row>
    <row r="2115" spans="1:18" ht="14.4" customHeight="1" x14ac:dyDescent="0.3">
      <c r="A2115" s="7" t="s">
        <v>2135</v>
      </c>
      <c r="B2115" s="7" t="str">
        <f>VLOOKUP($A2115,[1]!Customer_Names[#Data],3,0)</f>
        <v xml:space="preserve">  Allison</v>
      </c>
      <c r="C2115" s="7">
        <v>24.09</v>
      </c>
      <c r="D2115" s="7" t="str" cm="1">
        <f t="array" ref="D2115">_xlfn.IFS(Healthcare!$C2115&lt;18.5,"under weight",Healthcare!$C2115&lt;=24.9,"Normal Weight",Healthcare!$C2115&gt;=25,"overweight",Healthcare!$C2115&gt;=30,"obese")</f>
        <v>Normal Weight</v>
      </c>
      <c r="E2115" s="7">
        <v>4.79</v>
      </c>
      <c r="F2115" s="7" t="str" cm="1">
        <f t="array" ref="F2115">_xlfn.IFS(Healthcare!$E2115&lt;5.7,"normal",Healthcare!$E2115&lt;=6.4,"prediabetes",Healthcare!$E2115&gt;=6.5,"diabetes")</f>
        <v>normal</v>
      </c>
      <c r="G2115" s="7" t="s">
        <v>19</v>
      </c>
      <c r="H2115" s="7" t="s">
        <v>20</v>
      </c>
      <c r="I2115" s="7" t="s">
        <v>19</v>
      </c>
      <c r="J2115" s="7">
        <v>1</v>
      </c>
      <c r="K2115" s="7" t="s">
        <v>19</v>
      </c>
      <c r="L2115" s="7" t="str">
        <f>VLOOKUP(Healthcare!$A2115,hospital_details,2,0)</f>
        <v>27-Jul-2004</v>
      </c>
      <c r="M2115" s="7">
        <f t="shared" ref="M2115:M2178" ca="1" si="12675">VLOOKUP(A2115,hospital_details,3,0)</f>
        <v>22</v>
      </c>
      <c r="N2115" s="7">
        <f t="shared" ref="N2115:N2178" si="12676">VLOOKUP($A2115,hospital_details,4,0)</f>
        <v>1</v>
      </c>
      <c r="O2115" s="8">
        <f t="shared" ref="O2115:O2178" si="12677">VLOOKUP($A2115,hospital_details,5,0)</f>
        <v>2201.1</v>
      </c>
      <c r="P2115" s="7" t="str">
        <f t="shared" ref="P2115:P2178" si="12678">VLOOKUP($A2115,hospital_details,6,0)</f>
        <v>tier - 2</v>
      </c>
      <c r="Q2115" s="7" t="str">
        <f t="shared" ref="Q2115:Q2178" si="12679">VLOOKUP($A2115,hospital_details,7,0)</f>
        <v>tier - 3</v>
      </c>
      <c r="R2115" s="7" t="str">
        <f t="shared" ref="R2115:R2178" si="12680">VLOOKUP($A2115,hospital_details,8,0)</f>
        <v>R1013</v>
      </c>
    </row>
    <row r="2116" spans="1:18" ht="14.4" customHeight="1" x14ac:dyDescent="0.3">
      <c r="A2116" s="5" t="s">
        <v>2136</v>
      </c>
      <c r="B2116" s="5" t="str">
        <f>VLOOKUP($A2116,[1]!Customer_Names[#Data],3,0)</f>
        <v xml:space="preserve">  Ashley E</v>
      </c>
      <c r="C2116" s="5">
        <v>28.215</v>
      </c>
      <c r="D2116" s="5" t="str" cm="1">
        <f t="array" ref="D2116">_xlfn.IFS(Healthcare!$C2116&lt;18.5,"under weight",Healthcare!$C2116&lt;=24.9,"Normal Weight",Healthcare!$C2116&gt;=25,"overweight",Healthcare!$C2116&gt;=30,"obese")</f>
        <v>overweight</v>
      </c>
      <c r="E2116" s="5">
        <v>4.21</v>
      </c>
      <c r="F2116" s="5" t="str" cm="1">
        <f t="array" ref="F2116">_xlfn.IFS(Healthcare!$E2116&lt;5.7,"normal",Healthcare!$E2116&lt;=6.4,"prediabetes",Healthcare!$E2116&gt;=6.5,"diabetes")</f>
        <v>normal</v>
      </c>
      <c r="G2116" s="5" t="s">
        <v>19</v>
      </c>
      <c r="H2116" s="5" t="s">
        <v>20</v>
      </c>
      <c r="I2116" s="5" t="s">
        <v>19</v>
      </c>
      <c r="J2116" s="5">
        <v>1</v>
      </c>
      <c r="K2116" s="5" t="s">
        <v>19</v>
      </c>
      <c r="L2116" s="5" t="str">
        <f>VLOOKUP(Healthcare!$A2116,hospital_details,2,0)</f>
        <v>12-Sep-2004</v>
      </c>
      <c r="M2116" s="5">
        <f t="shared" ref="M2116:M2179" ca="1" si="12681">VLOOKUP(A2116,hospital_details,3,0)</f>
        <v>22</v>
      </c>
      <c r="N2116" s="5">
        <f t="shared" ref="N2116:N2179" si="12682">VLOOKUP($A2116,hospital_details,4,0)</f>
        <v>0</v>
      </c>
      <c r="O2116" s="6">
        <f t="shared" ref="O2116:O2179" si="12683">VLOOKUP($A2116,hospital_details,5,0)</f>
        <v>2200.83</v>
      </c>
      <c r="P2116" s="5" t="str">
        <f t="shared" ref="P2116:P2179" si="12684">VLOOKUP($A2116,hospital_details,6,0)</f>
        <v>tier - 2</v>
      </c>
      <c r="Q2116" s="5" t="str">
        <f t="shared" ref="Q2116:Q2179" si="12685">VLOOKUP($A2116,hospital_details,7,0)</f>
        <v>tier - 2</v>
      </c>
      <c r="R2116" s="5" t="str">
        <f t="shared" ref="R2116:R2179" si="12686">VLOOKUP($A2116,hospital_details,8,0)</f>
        <v>R1024</v>
      </c>
    </row>
    <row r="2117" spans="1:18" ht="14.4" customHeight="1" x14ac:dyDescent="0.3">
      <c r="A2117" s="7" t="s">
        <v>2137</v>
      </c>
      <c r="B2117" s="7" t="str">
        <f>VLOOKUP($A2117,[1]!Customer_Names[#Data],3,0)</f>
        <v xml:space="preserve">  Hilary K</v>
      </c>
      <c r="C2117" s="7">
        <v>26.315000000000001</v>
      </c>
      <c r="D2117" s="7" t="str" cm="1">
        <f t="array" ref="D2117">_xlfn.IFS(Healthcare!$C2117&lt;18.5,"under weight",Healthcare!$C2117&lt;=24.9,"Normal Weight",Healthcare!$C2117&gt;=25,"overweight",Healthcare!$C2117&gt;=30,"obese")</f>
        <v>overweight</v>
      </c>
      <c r="E2117" s="7">
        <v>5.47</v>
      </c>
      <c r="F2117" s="7" t="str" cm="1">
        <f t="array" ref="F2117">_xlfn.IFS(Healthcare!$E2117&lt;5.7,"normal",Healthcare!$E2117&lt;=6.4,"prediabetes",Healthcare!$E2117&gt;=6.5,"diabetes")</f>
        <v>normal</v>
      </c>
      <c r="G2117" s="7" t="s">
        <v>19</v>
      </c>
      <c r="H2117" s="7" t="s">
        <v>20</v>
      </c>
      <c r="I2117" s="7" t="s">
        <v>19</v>
      </c>
      <c r="J2117" s="7">
        <v>1</v>
      </c>
      <c r="K2117" s="7" t="s">
        <v>19</v>
      </c>
      <c r="L2117" s="7" t="str">
        <f>VLOOKUP(Healthcare!$A2117,hospital_details,2,0)</f>
        <v>3-Sep-2004</v>
      </c>
      <c r="M2117" s="7">
        <f t="shared" ref="M2117:M2180" ca="1" si="12687">VLOOKUP(A2117,hospital_details,3,0)</f>
        <v>22</v>
      </c>
      <c r="N2117" s="7">
        <f t="shared" ref="N2117:N2180" si="12688">VLOOKUP($A2117,hospital_details,4,0)</f>
        <v>0</v>
      </c>
      <c r="O2117" s="8">
        <f t="shared" ref="O2117:O2180" si="12689">VLOOKUP($A2117,hospital_details,5,0)</f>
        <v>2198.19</v>
      </c>
      <c r="P2117" s="7" t="str">
        <f t="shared" ref="P2117:P2180" si="12690">VLOOKUP($A2117,hospital_details,6,0)</f>
        <v>tier - 2</v>
      </c>
      <c r="Q2117" s="7" t="str">
        <f t="shared" ref="Q2117:Q2180" si="12691">VLOOKUP($A2117,hospital_details,7,0)</f>
        <v>tier - 1</v>
      </c>
      <c r="R2117" s="7" t="str">
        <f t="shared" ref="R2117:R2180" si="12692">VLOOKUP($A2117,hospital_details,8,0)</f>
        <v>R1023</v>
      </c>
    </row>
    <row r="2118" spans="1:18" ht="14.4" customHeight="1" x14ac:dyDescent="0.3">
      <c r="A2118" s="5" t="s">
        <v>2138</v>
      </c>
      <c r="B2118" s="5" t="str">
        <f>VLOOKUP($A2118,[1]!Customer_Names[#Data],3,0)</f>
        <v xml:space="preserve">  Dominique</v>
      </c>
      <c r="C2118" s="5">
        <v>25.08</v>
      </c>
      <c r="D2118" s="5" t="str" cm="1">
        <f t="array" ref="D2118">_xlfn.IFS(Healthcare!$C2118&lt;18.5,"under weight",Healthcare!$C2118&lt;=24.9,"Normal Weight",Healthcare!$C2118&gt;=25,"overweight",Healthcare!$C2118&gt;=30,"obese")</f>
        <v>overweight</v>
      </c>
      <c r="E2118" s="5">
        <v>5.09</v>
      </c>
      <c r="F2118" s="5" t="str" cm="1">
        <f t="array" ref="F2118">_xlfn.IFS(Healthcare!$E2118&lt;5.7,"normal",Healthcare!$E2118&lt;=6.4,"prediabetes",Healthcare!$E2118&gt;=6.5,"diabetes")</f>
        <v>normal</v>
      </c>
      <c r="G2118" s="5" t="s">
        <v>19</v>
      </c>
      <c r="H2118" s="5" t="s">
        <v>20</v>
      </c>
      <c r="I2118" s="5" t="s">
        <v>19</v>
      </c>
      <c r="J2118" s="5">
        <v>1</v>
      </c>
      <c r="K2118" s="5" t="s">
        <v>19</v>
      </c>
      <c r="L2118" s="5" t="str">
        <f>VLOOKUP(Healthcare!$A2118,hospital_details,2,0)</f>
        <v>7-Dec-2004</v>
      </c>
      <c r="M2118" s="5">
        <f t="shared" ref="M2118:M2181" ca="1" si="12693">VLOOKUP(A2118,hospital_details,3,0)</f>
        <v>21</v>
      </c>
      <c r="N2118" s="5">
        <f t="shared" ref="N2118:N2181" si="12694">VLOOKUP($A2118,hospital_details,4,0)</f>
        <v>0</v>
      </c>
      <c r="O2118" s="6">
        <f t="shared" ref="O2118:O2181" si="12695">VLOOKUP($A2118,hospital_details,5,0)</f>
        <v>2196.4699999999998</v>
      </c>
      <c r="P2118" s="5" t="str">
        <f t="shared" ref="P2118:P2181" si="12696">VLOOKUP($A2118,hospital_details,6,0)</f>
        <v>tier - 2</v>
      </c>
      <c r="Q2118" s="5" t="str">
        <f t="shared" ref="Q2118:Q2181" si="12697">VLOOKUP($A2118,hospital_details,7,0)</f>
        <v>tier - 3</v>
      </c>
      <c r="R2118" s="5" t="str">
        <f t="shared" ref="R2118:R2181" si="12698">VLOOKUP($A2118,hospital_details,8,0)</f>
        <v>R1024</v>
      </c>
    </row>
    <row r="2119" spans="1:18" ht="14.4" customHeight="1" x14ac:dyDescent="0.3">
      <c r="A2119" s="7" t="s">
        <v>2139</v>
      </c>
      <c r="B2119" s="7" t="str">
        <f>VLOOKUP($A2119,[1]!Customer_Names[#Data],3,0)</f>
        <v xml:space="preserve">  Carlos I</v>
      </c>
      <c r="C2119" s="7">
        <v>15.41</v>
      </c>
      <c r="D2119" s="7" t="str" cm="1">
        <f t="array" ref="D2119">_xlfn.IFS(Healthcare!$C2119&lt;18.5,"under weight",Healthcare!$C2119&lt;=24.9,"Normal Weight",Healthcare!$C2119&gt;=25,"overweight",Healthcare!$C2119&gt;=30,"obese")</f>
        <v>under weight</v>
      </c>
      <c r="E2119" s="7">
        <v>5.08</v>
      </c>
      <c r="F2119" s="7" t="str" cm="1">
        <f t="array" ref="F2119">_xlfn.IFS(Healthcare!$E2119&lt;5.7,"normal",Healthcare!$E2119&lt;=6.4,"prediabetes",Healthcare!$E2119&gt;=6.5,"diabetes")</f>
        <v>normal</v>
      </c>
      <c r="G2119" s="7" t="s">
        <v>19</v>
      </c>
      <c r="H2119" s="7" t="s">
        <v>19</v>
      </c>
      <c r="I2119" s="7" t="s">
        <v>19</v>
      </c>
      <c r="J2119" s="7">
        <v>0</v>
      </c>
      <c r="K2119" s="7" t="s">
        <v>19</v>
      </c>
      <c r="L2119" s="7" t="str">
        <f>VLOOKUP(Healthcare!$A2119,hospital_details,2,0)</f>
        <v>16-Dec-1991</v>
      </c>
      <c r="M2119" s="7">
        <f t="shared" ref="M2119:M2182" ca="1" si="12699">VLOOKUP(A2119,hospital_details,3,0)</f>
        <v>34</v>
      </c>
      <c r="N2119" s="7">
        <f t="shared" ref="N2119:N2182" si="12700">VLOOKUP($A2119,hospital_details,4,0)</f>
        <v>3</v>
      </c>
      <c r="O2119" s="8">
        <f t="shared" ref="O2119:O2182" si="12701">VLOOKUP($A2119,hospital_details,5,0)</f>
        <v>2193.1999999999998</v>
      </c>
      <c r="P2119" s="7" t="str">
        <f t="shared" ref="P2119:P2182" si="12702">VLOOKUP($A2119,hospital_details,6,0)</f>
        <v>tier - 2</v>
      </c>
      <c r="Q2119" s="7" t="str">
        <f t="shared" ref="Q2119:Q2182" si="12703">VLOOKUP($A2119,hospital_details,7,0)</f>
        <v>tier - 2</v>
      </c>
      <c r="R2119" s="7" t="str">
        <f t="shared" ref="R2119:R2182" si="12704">VLOOKUP($A2119,hospital_details,8,0)</f>
        <v>R1012</v>
      </c>
    </row>
    <row r="2120" spans="1:18" ht="14.4" customHeight="1" x14ac:dyDescent="0.3">
      <c r="A2120" s="5" t="s">
        <v>2140</v>
      </c>
      <c r="B2120" s="5" t="str">
        <f>VLOOKUP($A2120,[1]!Customer_Names[#Data],3,0)</f>
        <v xml:space="preserve">  Matthew</v>
      </c>
      <c r="C2120" s="5">
        <v>23.83</v>
      </c>
      <c r="D2120" s="5" t="str" cm="1">
        <f t="array" ref="D2120">_xlfn.IFS(Healthcare!$C2120&lt;18.5,"under weight",Healthcare!$C2120&lt;=24.9,"Normal Weight",Healthcare!$C2120&gt;=25,"overweight",Healthcare!$C2120&gt;=30,"obese")</f>
        <v>Normal Weight</v>
      </c>
      <c r="E2120" s="5">
        <v>5.68</v>
      </c>
      <c r="F2120" s="5" t="str" cm="1">
        <f t="array" ref="F2120">_xlfn.IFS(Healthcare!$E2120&lt;5.7,"normal",Healthcare!$E2120&lt;=6.4,"prediabetes",Healthcare!$E2120&gt;=6.5,"diabetes")</f>
        <v>normal</v>
      </c>
      <c r="G2120" s="5" t="s">
        <v>19</v>
      </c>
      <c r="H2120" s="5" t="s">
        <v>19</v>
      </c>
      <c r="I2120" s="5" t="s">
        <v>19</v>
      </c>
      <c r="J2120" s="5">
        <v>0</v>
      </c>
      <c r="K2120" s="5" t="s">
        <v>19</v>
      </c>
      <c r="L2120" s="5" t="str">
        <f>VLOOKUP(Healthcare!$A2120,hospital_details,2,0)</f>
        <v>27-Sep-1994</v>
      </c>
      <c r="M2120" s="5">
        <f t="shared" ref="M2120:M2183" ca="1" si="12705">VLOOKUP(A2120,hospital_details,3,0)</f>
        <v>32</v>
      </c>
      <c r="N2120" s="5">
        <f t="shared" ref="N2120:N2183" si="12706">VLOOKUP($A2120,hospital_details,4,0)</f>
        <v>0</v>
      </c>
      <c r="O2120" s="6">
        <f t="shared" ref="O2120:O2183" si="12707">VLOOKUP($A2120,hospital_details,5,0)</f>
        <v>2170.08</v>
      </c>
      <c r="P2120" s="5" t="str">
        <f t="shared" ref="P2120:P2183" si="12708">VLOOKUP($A2120,hospital_details,6,0)</f>
        <v>tier - 2</v>
      </c>
      <c r="Q2120" s="5" t="str">
        <f t="shared" ref="Q2120:Q2183" si="12709">VLOOKUP($A2120,hospital_details,7,0)</f>
        <v>tier - 2</v>
      </c>
      <c r="R2120" s="5" t="str">
        <f t="shared" ref="R2120:R2183" si="12710">VLOOKUP($A2120,hospital_details,8,0)</f>
        <v>R1013</v>
      </c>
    </row>
    <row r="2121" spans="1:18" ht="14.4" customHeight="1" x14ac:dyDescent="0.3">
      <c r="A2121" s="7" t="s">
        <v>2141</v>
      </c>
      <c r="B2121" s="7" t="str">
        <f>VLOOKUP($A2121,[1]!Customer_Names[#Data],3,0)</f>
        <v xml:space="preserve">  Kara</v>
      </c>
      <c r="C2121" s="7">
        <v>36</v>
      </c>
      <c r="D2121" s="7" t="str" cm="1">
        <f t="array" ref="D2121">_xlfn.IFS(Healthcare!$C2121&lt;18.5,"under weight",Healthcare!$C2121&lt;=24.9,"Normal Weight",Healthcare!$C2121&gt;=25,"overweight",Healthcare!$C2121&gt;=30,"obese")</f>
        <v>overweight</v>
      </c>
      <c r="E2121" s="7">
        <v>4.66</v>
      </c>
      <c r="F2121" s="7" t="str" cm="1">
        <f t="array" ref="F2121">_xlfn.IFS(Healthcare!$E2121&lt;5.7,"normal",Healthcare!$E2121&lt;=6.4,"prediabetes",Healthcare!$E2121&gt;=6.5,"diabetes")</f>
        <v>normal</v>
      </c>
      <c r="G2121" s="7" t="s">
        <v>19</v>
      </c>
      <c r="H2121" s="7" t="s">
        <v>20</v>
      </c>
      <c r="I2121" s="7" t="s">
        <v>19</v>
      </c>
      <c r="J2121" s="7">
        <v>1</v>
      </c>
      <c r="K2121" s="7" t="s">
        <v>19</v>
      </c>
      <c r="L2121" s="7" t="str">
        <f>VLOOKUP(Healthcare!$A2121,hospital_details,2,0)</f>
        <v>23-Aug-2000</v>
      </c>
      <c r="M2121" s="7">
        <f t="shared" ref="M2121:M2184" ca="1" si="12711">VLOOKUP(A2121,hospital_details,3,0)</f>
        <v>26</v>
      </c>
      <c r="N2121" s="7">
        <f t="shared" ref="N2121:N2184" si="12712">VLOOKUP($A2121,hospital_details,4,0)</f>
        <v>0</v>
      </c>
      <c r="O2121" s="8">
        <f t="shared" ref="O2121:O2184" si="12713">VLOOKUP($A2121,hospital_details,5,0)</f>
        <v>2166.73</v>
      </c>
      <c r="P2121" s="7" t="str">
        <f t="shared" ref="P2121:P2184" si="12714">VLOOKUP($A2121,hospital_details,6,0)</f>
        <v>tier - 2</v>
      </c>
      <c r="Q2121" s="7" t="str">
        <f t="shared" ref="Q2121:Q2184" si="12715">VLOOKUP($A2121,hospital_details,7,0)</f>
        <v>tier - 2</v>
      </c>
      <c r="R2121" s="7" t="str">
        <f t="shared" ref="R2121:R2184" si="12716">VLOOKUP($A2121,hospital_details,8,0)</f>
        <v>R1011</v>
      </c>
    </row>
    <row r="2122" spans="1:18" ht="14.4" customHeight="1" x14ac:dyDescent="0.3">
      <c r="A2122" s="5" t="s">
        <v>2142</v>
      </c>
      <c r="B2122" s="5" t="str">
        <f>VLOOKUP($A2122,[1]!Customer_Names[#Data],3,0)</f>
        <v xml:space="preserve">  Sarah S</v>
      </c>
      <c r="C2122" s="5">
        <v>28.82</v>
      </c>
      <c r="D2122" s="5" t="str" cm="1">
        <f t="array" ref="D2122">_xlfn.IFS(Healthcare!$C2122&lt;18.5,"under weight",Healthcare!$C2122&lt;=24.9,"Normal Weight",Healthcare!$C2122&gt;=25,"overweight",Healthcare!$C2122&gt;=30,"obese")</f>
        <v>overweight</v>
      </c>
      <c r="E2122" s="5">
        <v>5.59</v>
      </c>
      <c r="F2122" s="5" t="str" cm="1">
        <f t="array" ref="F2122">_xlfn.IFS(Healthcare!$E2122&lt;5.7,"normal",Healthcare!$E2122&lt;=6.4,"prediabetes",Healthcare!$E2122&gt;=6.5,"diabetes")</f>
        <v>normal</v>
      </c>
      <c r="G2122" s="5" t="s">
        <v>19</v>
      </c>
      <c r="H2122" s="5" t="s">
        <v>20</v>
      </c>
      <c r="I2122" s="5" t="s">
        <v>19</v>
      </c>
      <c r="J2122" s="5">
        <v>1</v>
      </c>
      <c r="K2122" s="5" t="s">
        <v>19</v>
      </c>
      <c r="L2122" s="5" t="str">
        <f>VLOOKUP(Healthcare!$A2122,hospital_details,2,0)</f>
        <v>10-Dec-2000</v>
      </c>
      <c r="M2122" s="5">
        <f t="shared" ref="M2122:M2185" ca="1" si="12717">VLOOKUP(A2122,hospital_details,3,0)</f>
        <v>25</v>
      </c>
      <c r="N2122" s="5">
        <f t="shared" ref="N2122:N2185" si="12718">VLOOKUP($A2122,hospital_details,4,0)</f>
        <v>0</v>
      </c>
      <c r="O2122" s="6">
        <f t="shared" ref="O2122:O2185" si="12719">VLOOKUP($A2122,hospital_details,5,0)</f>
        <v>2156.75</v>
      </c>
      <c r="P2122" s="5" t="str">
        <f t="shared" ref="P2122:P2185" si="12720">VLOOKUP($A2122,hospital_details,6,0)</f>
        <v>tier - 2</v>
      </c>
      <c r="Q2122" s="5" t="str">
        <f t="shared" ref="Q2122:Q2185" si="12721">VLOOKUP($A2122,hospital_details,7,0)</f>
        <v>tier - 2</v>
      </c>
      <c r="R2122" s="5" t="str">
        <f t="shared" ref="R2122:R2185" si="12722">VLOOKUP($A2122,hospital_details,8,0)</f>
        <v>R1013</v>
      </c>
    </row>
    <row r="2123" spans="1:18" ht="14.4" customHeight="1" x14ac:dyDescent="0.3">
      <c r="A2123" s="7" t="s">
        <v>2143</v>
      </c>
      <c r="B2123" s="7" t="str">
        <f>VLOOKUP($A2123,[1]!Customer_Names[#Data],3,0)</f>
        <v xml:space="preserve">  Shauna R</v>
      </c>
      <c r="C2123" s="7">
        <v>28.05</v>
      </c>
      <c r="D2123" s="7" t="str" cm="1">
        <f t="array" ref="D2123">_xlfn.IFS(Healthcare!$C2123&lt;18.5,"under weight",Healthcare!$C2123&lt;=24.9,"Normal Weight",Healthcare!$C2123&gt;=25,"overweight",Healthcare!$C2123&gt;=30,"obese")</f>
        <v>overweight</v>
      </c>
      <c r="E2123" s="7">
        <v>6.2</v>
      </c>
      <c r="F2123" s="7" t="str" cm="1">
        <f t="array" ref="F2123">_xlfn.IFS(Healthcare!$E2123&lt;5.7,"normal",Healthcare!$E2123&lt;=6.4,"prediabetes",Healthcare!$E2123&gt;=6.5,"diabetes")</f>
        <v>prediabetes</v>
      </c>
      <c r="G2123" s="7" t="s">
        <v>19</v>
      </c>
      <c r="H2123" s="7" t="s">
        <v>20</v>
      </c>
      <c r="I2123" s="7" t="s">
        <v>19</v>
      </c>
      <c r="J2123" s="7">
        <v>1</v>
      </c>
      <c r="K2123" s="7" t="s">
        <v>19</v>
      </c>
      <c r="L2123" s="7" t="str">
        <f>VLOOKUP(Healthcare!$A2123,hospital_details,2,0)</f>
        <v>29-Nov-2000</v>
      </c>
      <c r="M2123" s="7">
        <f t="shared" ref="M2123:M2186" ca="1" si="12723">VLOOKUP(A2123,hospital_details,3,0)</f>
        <v>25</v>
      </c>
      <c r="N2123" s="7">
        <f t="shared" ref="N2123:N2186" si="12724">VLOOKUP($A2123,hospital_details,4,0)</f>
        <v>0</v>
      </c>
      <c r="O2123" s="8">
        <f t="shared" ref="O2123:O2186" si="12725">VLOOKUP($A2123,hospital_details,5,0)</f>
        <v>2155.6799999999998</v>
      </c>
      <c r="P2123" s="7" t="str">
        <f t="shared" ref="P2123:P2186" si="12726">VLOOKUP($A2123,hospital_details,6,0)</f>
        <v>tier - 2</v>
      </c>
      <c r="Q2123" s="7" t="str">
        <f t="shared" ref="Q2123:Q2186" si="12727">VLOOKUP($A2123,hospital_details,7,0)</f>
        <v>tier - 3</v>
      </c>
      <c r="R2123" s="7" t="str">
        <f t="shared" ref="R2123:R2186" si="12728">VLOOKUP($A2123,hospital_details,8,0)</f>
        <v>R1013</v>
      </c>
    </row>
    <row r="2124" spans="1:18" ht="14.4" customHeight="1" x14ac:dyDescent="0.3">
      <c r="A2124" s="5" t="s">
        <v>2144</v>
      </c>
      <c r="B2124" s="5" t="str">
        <f>VLOOKUP($A2124,[1]!Customer_Names[#Data],3,0)</f>
        <v xml:space="preserve">  Lindsay J</v>
      </c>
      <c r="C2124" s="5">
        <v>27.1</v>
      </c>
      <c r="D2124" s="5" t="str" cm="1">
        <f t="array" ref="D2124">_xlfn.IFS(Healthcare!$C2124&lt;18.5,"under weight",Healthcare!$C2124&lt;=24.9,"Normal Weight",Healthcare!$C2124&gt;=25,"overweight",Healthcare!$C2124&gt;=30,"obese")</f>
        <v>overweight</v>
      </c>
      <c r="E2124" s="5">
        <v>4.45</v>
      </c>
      <c r="F2124" s="5" t="str" cm="1">
        <f t="array" ref="F2124">_xlfn.IFS(Healthcare!$E2124&lt;5.7,"normal",Healthcare!$E2124&lt;=6.4,"prediabetes",Healthcare!$E2124&gt;=6.5,"diabetes")</f>
        <v>normal</v>
      </c>
      <c r="G2124" s="5" t="s">
        <v>19</v>
      </c>
      <c r="H2124" s="5" t="s">
        <v>20</v>
      </c>
      <c r="I2124" s="5" t="s">
        <v>19</v>
      </c>
      <c r="J2124" s="5">
        <v>1</v>
      </c>
      <c r="K2124" s="5" t="s">
        <v>19</v>
      </c>
      <c r="L2124" s="5" t="str">
        <f>VLOOKUP(Healthcare!$A2124,hospital_details,2,0)</f>
        <v>22-Oct-2000</v>
      </c>
      <c r="M2124" s="5">
        <f t="shared" ref="M2124:M2187" ca="1" si="12729">VLOOKUP(A2124,hospital_details,3,0)</f>
        <v>25</v>
      </c>
      <c r="N2124" s="5">
        <f t="shared" ref="N2124:N2187" si="12730">VLOOKUP($A2124,hospital_details,4,0)</f>
        <v>0</v>
      </c>
      <c r="O2124" s="6">
        <f t="shared" ref="O2124:O2187" si="12731">VLOOKUP($A2124,hospital_details,5,0)</f>
        <v>2154.36</v>
      </c>
      <c r="P2124" s="5" t="str">
        <f t="shared" ref="P2124:P2187" si="12732">VLOOKUP($A2124,hospital_details,6,0)</f>
        <v>tier - 2</v>
      </c>
      <c r="Q2124" s="5" t="str">
        <f t="shared" ref="Q2124:Q2187" si="12733">VLOOKUP($A2124,hospital_details,7,0)</f>
        <v>tier - 2</v>
      </c>
      <c r="R2124" s="5" t="str">
        <f t="shared" ref="R2124:R2187" si="12734">VLOOKUP($A2124,hospital_details,8,0)</f>
        <v>R1011</v>
      </c>
    </row>
    <row r="2125" spans="1:18" ht="14.4" customHeight="1" x14ac:dyDescent="0.3">
      <c r="A2125" s="7" t="s">
        <v>2145</v>
      </c>
      <c r="B2125" s="7" t="str">
        <f>VLOOKUP($A2125,[1]!Customer_Names[#Data],3,0)</f>
        <v xml:space="preserve">  Danya A</v>
      </c>
      <c r="C2125" s="7">
        <v>24.3</v>
      </c>
      <c r="D2125" s="7" t="str" cm="1">
        <f t="array" ref="D2125">_xlfn.IFS(Healthcare!$C2125&lt;18.5,"under weight",Healthcare!$C2125&lt;=24.9,"Normal Weight",Healthcare!$C2125&gt;=25,"overweight",Healthcare!$C2125&gt;=30,"obese")</f>
        <v>Normal Weight</v>
      </c>
      <c r="E2125" s="7">
        <v>6.1</v>
      </c>
      <c r="F2125" s="7" t="str" cm="1">
        <f t="array" ref="F2125">_xlfn.IFS(Healthcare!$E2125&lt;5.7,"normal",Healthcare!$E2125&lt;=6.4,"prediabetes",Healthcare!$E2125&gt;=6.5,"diabetes")</f>
        <v>prediabetes</v>
      </c>
      <c r="G2125" s="7" t="s">
        <v>20</v>
      </c>
      <c r="H2125" s="7" t="s">
        <v>20</v>
      </c>
      <c r="I2125" s="7" t="s">
        <v>19</v>
      </c>
      <c r="J2125" s="7">
        <v>1</v>
      </c>
      <c r="K2125" s="7" t="s">
        <v>19</v>
      </c>
      <c r="L2125" s="7" t="str">
        <f>VLOOKUP(Healthcare!$A2125,hospital_details,2,0)</f>
        <v>27-Dec-2000</v>
      </c>
      <c r="M2125" s="7">
        <f t="shared" ref="M2125:M2188" ca="1" si="12735">VLOOKUP(A2125,hospital_details,3,0)</f>
        <v>25</v>
      </c>
      <c r="N2125" s="7">
        <f t="shared" ref="N2125:N2188" si="12736">VLOOKUP($A2125,hospital_details,4,0)</f>
        <v>0</v>
      </c>
      <c r="O2125" s="8">
        <f t="shared" ref="O2125:O2188" si="12737">VLOOKUP($A2125,hospital_details,5,0)</f>
        <v>2150.4699999999998</v>
      </c>
      <c r="P2125" s="7" t="str">
        <f t="shared" ref="P2125:P2188" si="12738">VLOOKUP($A2125,hospital_details,6,0)</f>
        <v>tier - 2</v>
      </c>
      <c r="Q2125" s="7" t="str">
        <f t="shared" ref="Q2125:Q2188" si="12739">VLOOKUP($A2125,hospital_details,7,0)</f>
        <v>tier - 3</v>
      </c>
      <c r="R2125" s="7" t="str">
        <f t="shared" ref="R2125:R2188" si="12740">VLOOKUP($A2125,hospital_details,8,0)</f>
        <v>R1011</v>
      </c>
    </row>
    <row r="2126" spans="1:18" ht="14.4" customHeight="1" x14ac:dyDescent="0.3">
      <c r="A2126" s="5" t="s">
        <v>2146</v>
      </c>
      <c r="B2126" s="5" t="str">
        <f>VLOOKUP($A2126,[1]!Customer_Names[#Data],3,0)</f>
        <v xml:space="preserve">  Lorraine</v>
      </c>
      <c r="C2126" s="5">
        <v>30.72</v>
      </c>
      <c r="D2126" s="5" t="str" cm="1">
        <f t="array" ref="D2126">_xlfn.IFS(Healthcare!$C2126&lt;18.5,"under weight",Healthcare!$C2126&lt;=24.9,"Normal Weight",Healthcare!$C2126&gt;=25,"overweight",Healthcare!$C2126&gt;=30,"obese")</f>
        <v>overweight</v>
      </c>
      <c r="E2126" s="5">
        <v>6.06</v>
      </c>
      <c r="F2126" s="5" t="str" cm="1">
        <f t="array" ref="F2126">_xlfn.IFS(Healthcare!$E2126&lt;5.7,"normal",Healthcare!$E2126&lt;=6.4,"prediabetes",Healthcare!$E2126&gt;=6.5,"diabetes")</f>
        <v>prediabetes</v>
      </c>
      <c r="G2126" s="5" t="s">
        <v>19</v>
      </c>
      <c r="H2126" s="5" t="s">
        <v>20</v>
      </c>
      <c r="I2126" s="5" t="s">
        <v>19</v>
      </c>
      <c r="J2126" s="5">
        <v>1</v>
      </c>
      <c r="K2126" s="5" t="s">
        <v>19</v>
      </c>
      <c r="L2126" s="5" t="str">
        <f>VLOOKUP(Healthcare!$A2126,hospital_details,2,0)</f>
        <v>4-Oct-2004</v>
      </c>
      <c r="M2126" s="5">
        <f t="shared" ref="M2126:M2189" ca="1" si="12741">VLOOKUP(A2126,hospital_details,3,0)</f>
        <v>22</v>
      </c>
      <c r="N2126" s="5">
        <f t="shared" ref="N2126:N2189" si="12742">VLOOKUP($A2126,hospital_details,4,0)</f>
        <v>0</v>
      </c>
      <c r="O2126" s="6">
        <f t="shared" ref="O2126:O2189" si="12743">VLOOKUP($A2126,hospital_details,5,0)</f>
        <v>2144.85</v>
      </c>
      <c r="P2126" s="5" t="str">
        <f t="shared" ref="P2126:P2189" si="12744">VLOOKUP($A2126,hospital_details,6,0)</f>
        <v>tier - 2</v>
      </c>
      <c r="Q2126" s="5" t="str">
        <f t="shared" ref="Q2126:Q2189" si="12745">VLOOKUP($A2126,hospital_details,7,0)</f>
        <v>tier - 1</v>
      </c>
      <c r="R2126" s="5" t="str">
        <f t="shared" ref="R2126:R2189" si="12746">VLOOKUP($A2126,hospital_details,8,0)</f>
        <v>R1011</v>
      </c>
    </row>
    <row r="2127" spans="1:18" ht="14.4" customHeight="1" x14ac:dyDescent="0.3">
      <c r="A2127" s="7" t="s">
        <v>2147</v>
      </c>
      <c r="B2127" s="7" t="str">
        <f>VLOOKUP($A2127,[1]!Customer_Names[#Data],3,0)</f>
        <v xml:space="preserve">  Jennifer L</v>
      </c>
      <c r="C2127" s="7">
        <v>37.43</v>
      </c>
      <c r="D2127" s="7" t="str" cm="1">
        <f t="array" ref="D2127">_xlfn.IFS(Healthcare!$C2127&lt;18.5,"under weight",Healthcare!$C2127&lt;=24.9,"Normal Weight",Healthcare!$C2127&gt;=25,"overweight",Healthcare!$C2127&gt;=30,"obese")</f>
        <v>overweight</v>
      </c>
      <c r="E2127" s="7">
        <v>4.5599999999999996</v>
      </c>
      <c r="F2127" s="7" t="str" cm="1">
        <f t="array" ref="F2127">_xlfn.IFS(Healthcare!$E2127&lt;5.7,"normal",Healthcare!$E2127&lt;=6.4,"prediabetes",Healthcare!$E2127&gt;=6.5,"diabetes")</f>
        <v>normal</v>
      </c>
      <c r="G2127" s="7" t="s">
        <v>19</v>
      </c>
      <c r="H2127" s="7" t="s">
        <v>19</v>
      </c>
      <c r="I2127" s="7" t="s">
        <v>29</v>
      </c>
      <c r="J2127" s="7">
        <v>1</v>
      </c>
      <c r="K2127" s="7" t="s">
        <v>19</v>
      </c>
      <c r="L2127" s="7" t="str">
        <f>VLOOKUP(Healthcare!$A2127,hospital_details,2,0)</f>
        <v>19-Aug-2003</v>
      </c>
      <c r="M2127" s="7">
        <f t="shared" ref="M2127:M2190" ca="1" si="12747">VLOOKUP(A2127,hospital_details,3,0)</f>
        <v>23</v>
      </c>
      <c r="N2127" s="7">
        <f t="shared" ref="N2127:N2190" si="12748">VLOOKUP($A2127,hospital_details,4,0)</f>
        <v>0</v>
      </c>
      <c r="O2127" s="8">
        <f t="shared" ref="O2127:O2190" si="12749">VLOOKUP($A2127,hospital_details,5,0)</f>
        <v>2138.0700000000002</v>
      </c>
      <c r="P2127" s="7" t="str">
        <f t="shared" ref="P2127:P2190" si="12750">VLOOKUP($A2127,hospital_details,6,0)</f>
        <v>tier - 2</v>
      </c>
      <c r="Q2127" s="7" t="str">
        <f t="shared" ref="Q2127:Q2190" si="12751">VLOOKUP($A2127,hospital_details,7,0)</f>
        <v>tier - 1</v>
      </c>
      <c r="R2127" s="7" t="str">
        <f t="shared" ref="R2127:R2190" si="12752">VLOOKUP($A2127,hospital_details,8,0)</f>
        <v>R1012</v>
      </c>
    </row>
    <row r="2128" spans="1:18" ht="14.4" customHeight="1" x14ac:dyDescent="0.3">
      <c r="A2128" s="5" t="s">
        <v>2148</v>
      </c>
      <c r="B2128" s="5" t="str">
        <f>VLOOKUP($A2128,[1]!Customer_Names[#Data],3,0)</f>
        <v xml:space="preserve">  Jesus Sr</v>
      </c>
      <c r="C2128" s="5">
        <v>25.74</v>
      </c>
      <c r="D2128" s="5" t="str" cm="1">
        <f t="array" ref="D2128">_xlfn.IFS(Healthcare!$C2128&lt;18.5,"under weight",Healthcare!$C2128&lt;=24.9,"Normal Weight",Healthcare!$C2128&gt;=25,"overweight",Healthcare!$C2128&gt;=30,"obese")</f>
        <v>overweight</v>
      </c>
      <c r="E2128" s="5">
        <v>6.41</v>
      </c>
      <c r="F2128" s="5" t="str" cm="1">
        <f t="array" ref="F2128">_xlfn.IFS(Healthcare!$E1597&lt;5.7,"normal",Healthcare!$E1597&lt;=6.4,"prediabetes",Healthcare!$E1597&gt;=6.5,"diabetes")</f>
        <v>normal</v>
      </c>
      <c r="G2128" s="5" t="s">
        <v>20</v>
      </c>
      <c r="H2128" s="5" t="s">
        <v>19</v>
      </c>
      <c r="I2128" s="5" t="s">
        <v>29</v>
      </c>
      <c r="J2128" s="5">
        <v>1</v>
      </c>
      <c r="K2128" s="5" t="s">
        <v>19</v>
      </c>
      <c r="L2128" s="5" t="str">
        <f>VLOOKUP(Healthcare!$A2128,hospital_details,2,0)</f>
        <v>3-Sep-1997</v>
      </c>
      <c r="M2128" s="5">
        <f t="shared" ref="M2128:M2191" ca="1" si="12753">VLOOKUP(A2128,hospital_details,3,0)</f>
        <v>29</v>
      </c>
      <c r="N2128" s="5">
        <f t="shared" ref="N2128:N2191" si="12754">VLOOKUP($A2128,hospital_details,4,0)</f>
        <v>0</v>
      </c>
      <c r="O2128" s="6">
        <f t="shared" ref="O2128:O2191" si="12755">VLOOKUP($A2128,hospital_details,5,0)</f>
        <v>2137.65</v>
      </c>
      <c r="P2128" s="5" t="str">
        <f t="shared" ref="P2128:P2191" si="12756">VLOOKUP($A2128,hospital_details,6,0)</f>
        <v>tier - 3</v>
      </c>
      <c r="Q2128" s="5" t="str">
        <f t="shared" ref="Q2128:Q2191" si="12757">VLOOKUP($A2128,hospital_details,7,0)</f>
        <v>tier - 1</v>
      </c>
      <c r="R2128" s="5" t="str">
        <f t="shared" ref="R2128:R2191" si="12758">VLOOKUP($A2128,hospital_details,8,0)</f>
        <v>R1013</v>
      </c>
    </row>
    <row r="2129" spans="1:18" ht="14.4" customHeight="1" x14ac:dyDescent="0.3">
      <c r="A2129" s="7" t="s">
        <v>2149</v>
      </c>
      <c r="B2129" s="7" t="str">
        <f>VLOOKUP($A2129,[1]!Customer_Names[#Data],3,0)</f>
        <v xml:space="preserve">  Kristen</v>
      </c>
      <c r="C2129" s="7">
        <v>36.575000000000003</v>
      </c>
      <c r="D2129" s="7" t="str" cm="1">
        <f t="array" ref="D2129">_xlfn.IFS(Healthcare!$C2129&lt;18.5,"under weight",Healthcare!$C2129&lt;=24.9,"Normal Weight",Healthcare!$C2129&gt;=25,"overweight",Healthcare!$C2129&gt;=30,"obese")</f>
        <v>overweight</v>
      </c>
      <c r="E2129" s="7">
        <v>5.57</v>
      </c>
      <c r="F2129" s="7" t="str" cm="1">
        <f t="array" ref="F2129">_xlfn.IFS(Healthcare!$E2129&lt;5.7,"normal",Healthcare!$E2129&lt;=6.4,"prediabetes",Healthcare!$E2129&gt;=6.5,"diabetes")</f>
        <v>normal</v>
      </c>
      <c r="G2129" s="7" t="s">
        <v>19</v>
      </c>
      <c r="H2129" s="7" t="s">
        <v>19</v>
      </c>
      <c r="I2129" s="7" t="s">
        <v>29</v>
      </c>
      <c r="J2129" s="7">
        <v>1</v>
      </c>
      <c r="K2129" s="7" t="s">
        <v>19</v>
      </c>
      <c r="L2129" s="7" t="str">
        <f>VLOOKUP(Healthcare!$A2129,hospital_details,2,0)</f>
        <v>26-Sep-2003</v>
      </c>
      <c r="M2129" s="7">
        <f t="shared" ref="M2129:M2192" ca="1" si="12759">VLOOKUP(A2129,hospital_details,3,0)</f>
        <v>23</v>
      </c>
      <c r="N2129" s="7">
        <f t="shared" ref="N2129:N2192" si="12760">VLOOKUP($A2129,hospital_details,4,0)</f>
        <v>0</v>
      </c>
      <c r="O2129" s="8">
        <f t="shared" ref="O2129:O2192" si="12761">VLOOKUP($A2129,hospital_details,5,0)</f>
        <v>2136.88</v>
      </c>
      <c r="P2129" s="7" t="str">
        <f t="shared" ref="P2129:P2192" si="12762">VLOOKUP($A2129,hospital_details,6,0)</f>
        <v>tier - 2</v>
      </c>
      <c r="Q2129" s="7" t="str">
        <f t="shared" ref="Q2129:Q2192" si="12763">VLOOKUP($A2129,hospital_details,7,0)</f>
        <v>tier - 2</v>
      </c>
      <c r="R2129" s="7" t="str">
        <f t="shared" ref="R2129:R2192" si="12764">VLOOKUP($A2129,hospital_details,8,0)</f>
        <v>R1012</v>
      </c>
    </row>
    <row r="2130" spans="1:18" ht="14.4" customHeight="1" x14ac:dyDescent="0.3">
      <c r="A2130" s="5" t="s">
        <v>2150</v>
      </c>
      <c r="B2130" s="5" t="str">
        <f>VLOOKUP($A2130,[1]!Customer_Names[#Data],3,0)</f>
        <v xml:space="preserve">  Catherine C</v>
      </c>
      <c r="C2130" s="5">
        <v>35.15</v>
      </c>
      <c r="D2130" s="5" t="str" cm="1">
        <f t="array" ref="D2130">_xlfn.IFS(Healthcare!$C2130&lt;18.5,"under weight",Healthcare!$C2130&lt;=24.9,"Normal Weight",Healthcare!$C2130&gt;=25,"overweight",Healthcare!$C2130&gt;=30,"obese")</f>
        <v>overweight</v>
      </c>
      <c r="E2130" s="5">
        <v>5.47</v>
      </c>
      <c r="F2130" s="5" t="str" cm="1">
        <f t="array" ref="F2130">_xlfn.IFS(Healthcare!$E2130&lt;5.7,"normal",Healthcare!$E2130&lt;=6.4,"prediabetes",Healthcare!$E2130&gt;=6.5,"diabetes")</f>
        <v>normal</v>
      </c>
      <c r="G2130" s="5" t="s">
        <v>19</v>
      </c>
      <c r="H2130" s="5" t="s">
        <v>19</v>
      </c>
      <c r="I2130" s="5" t="s">
        <v>29</v>
      </c>
      <c r="J2130" s="5">
        <v>1</v>
      </c>
      <c r="K2130" s="5" t="s">
        <v>19</v>
      </c>
      <c r="L2130" s="5" t="str">
        <f>VLOOKUP(Healthcare!$A2130,hospital_details,2,0)</f>
        <v>1-Sep-2003</v>
      </c>
      <c r="M2130" s="5">
        <f t="shared" ref="M2130:M2193" ca="1" si="12765">VLOOKUP(A2130,hospital_details,3,0)</f>
        <v>23</v>
      </c>
      <c r="N2130" s="5">
        <f t="shared" ref="N2130:N2193" si="12766">VLOOKUP($A2130,hospital_details,4,0)</f>
        <v>0</v>
      </c>
      <c r="O2130" s="6">
        <f t="shared" ref="O2130:O2193" si="12767">VLOOKUP($A2130,hospital_details,5,0)</f>
        <v>2134.9</v>
      </c>
      <c r="P2130" s="5" t="str">
        <f t="shared" ref="P2130:P2193" si="12768">VLOOKUP($A2130,hospital_details,6,0)</f>
        <v>tier - 2</v>
      </c>
      <c r="Q2130" s="5" t="str">
        <f t="shared" ref="Q2130:Q2193" si="12769">VLOOKUP($A2130,hospital_details,7,0)</f>
        <v>tier - 3</v>
      </c>
      <c r="R2130" s="5" t="str">
        <f t="shared" ref="R2130:R2193" si="12770">VLOOKUP($A2130,hospital_details,8,0)</f>
        <v>R1012</v>
      </c>
    </row>
    <row r="2131" spans="1:18" ht="14.4" customHeight="1" x14ac:dyDescent="0.3">
      <c r="A2131" s="7" t="s">
        <v>2151</v>
      </c>
      <c r="B2131" s="7" t="str">
        <f>VLOOKUP($A2131,[1]!Customer_Names[#Data],3,0)</f>
        <v xml:space="preserve">  Paula</v>
      </c>
      <c r="C2131" s="7">
        <v>32.11</v>
      </c>
      <c r="D2131" s="7" t="str" cm="1">
        <f t="array" ref="D2131">_xlfn.IFS(Healthcare!$C2131&lt;18.5,"under weight",Healthcare!$C2131&lt;=24.9,"Normal Weight",Healthcare!$C2131&gt;=25,"overweight",Healthcare!$C2131&gt;=30,"obese")</f>
        <v>overweight</v>
      </c>
      <c r="E2131" s="7">
        <v>4.43</v>
      </c>
      <c r="F2131" s="7" t="str" cm="1">
        <f t="array" ref="F2131">_xlfn.IFS(Healthcare!$E2131&lt;5.7,"normal",Healthcare!$E2131&lt;=6.4,"prediabetes",Healthcare!$E2131&gt;=6.5,"diabetes")</f>
        <v>normal</v>
      </c>
      <c r="G2131" s="7" t="s">
        <v>19</v>
      </c>
      <c r="H2131" s="7" t="s">
        <v>19</v>
      </c>
      <c r="I2131" s="7" t="s">
        <v>29</v>
      </c>
      <c r="J2131" s="7">
        <v>1</v>
      </c>
      <c r="K2131" s="7" t="s">
        <v>19</v>
      </c>
      <c r="L2131" s="7" t="str">
        <f>VLOOKUP(Healthcare!$A2131,hospital_details,2,0)</f>
        <v>22-Dec-2003</v>
      </c>
      <c r="M2131" s="7">
        <f t="shared" ref="M2131:M2194" ca="1" si="12771">VLOOKUP(A2131,hospital_details,3,0)</f>
        <v>22</v>
      </c>
      <c r="N2131" s="7">
        <f t="shared" ref="N2131:N2194" si="12772">VLOOKUP($A2131,hospital_details,4,0)</f>
        <v>0</v>
      </c>
      <c r="O2131" s="8">
        <f t="shared" ref="O2131:O2194" si="12773">VLOOKUP($A2131,hospital_details,5,0)</f>
        <v>2130.6799999999998</v>
      </c>
      <c r="P2131" s="7" t="str">
        <f t="shared" ref="P2131:P2194" si="12774">VLOOKUP($A2131,hospital_details,6,0)</f>
        <v>tier - 2</v>
      </c>
      <c r="Q2131" s="7" t="str">
        <f t="shared" ref="Q2131:Q2194" si="12775">VLOOKUP($A2131,hospital_details,7,0)</f>
        <v>tier - 3</v>
      </c>
      <c r="R2131" s="7" t="str">
        <f t="shared" ref="R2131:R2194" si="12776">VLOOKUP($A2131,hospital_details,8,0)</f>
        <v>R1012</v>
      </c>
    </row>
    <row r="2132" spans="1:18" ht="14.4" customHeight="1" x14ac:dyDescent="0.3">
      <c r="A2132" s="5" t="s">
        <v>2152</v>
      </c>
      <c r="B2132" s="5" t="str">
        <f>VLOOKUP($A2132,[1]!Customer_Names[#Data],3,0)</f>
        <v xml:space="preserve">  Evan</v>
      </c>
      <c r="C2132" s="5">
        <v>30.495000000000001</v>
      </c>
      <c r="D2132" s="5" t="str" cm="1">
        <f t="array" ref="D2132">_xlfn.IFS(Healthcare!$C2132&lt;18.5,"under weight",Healthcare!$C2132&lt;=24.9,"Normal Weight",Healthcare!$C2132&gt;=25,"overweight",Healthcare!$C2132&gt;=30,"obese")</f>
        <v>overweight</v>
      </c>
      <c r="E2132" s="5">
        <v>4.95</v>
      </c>
      <c r="F2132" s="5" t="str" cm="1">
        <f t="array" ref="F2132">_xlfn.IFS(Healthcare!$E2132&lt;5.7,"normal",Healthcare!$E2132&lt;=6.4,"prediabetes",Healthcare!$E2132&gt;=6.5,"diabetes")</f>
        <v>normal</v>
      </c>
      <c r="G2132" s="5" t="s">
        <v>19</v>
      </c>
      <c r="H2132" s="5" t="s">
        <v>19</v>
      </c>
      <c r="I2132" s="5" t="s">
        <v>29</v>
      </c>
      <c r="J2132" s="5">
        <v>1</v>
      </c>
      <c r="K2132" s="5" t="s">
        <v>19</v>
      </c>
      <c r="L2132" s="5" t="str">
        <f>VLOOKUP(Healthcare!$A2132,hospital_details,2,0)</f>
        <v>30-Aug-2003</v>
      </c>
      <c r="M2132" s="5">
        <f t="shared" ref="M2132:M2195" ca="1" si="12777">VLOOKUP(A2132,hospital_details,3,0)</f>
        <v>23</v>
      </c>
      <c r="N2132" s="5">
        <f t="shared" ref="N2132:N2195" si="12778">VLOOKUP($A2132,hospital_details,4,0)</f>
        <v>0</v>
      </c>
      <c r="O2132" s="6">
        <f t="shared" ref="O2132:O2195" si="12779">VLOOKUP($A2132,hospital_details,5,0)</f>
        <v>2128.4299999999998</v>
      </c>
      <c r="P2132" s="5" t="str">
        <f t="shared" ref="P2132:P2195" si="12780">VLOOKUP($A2132,hospital_details,6,0)</f>
        <v>tier - 2</v>
      </c>
      <c r="Q2132" s="5" t="str">
        <f t="shared" ref="Q2132:Q2195" si="12781">VLOOKUP($A2132,hospital_details,7,0)</f>
        <v>tier - 1</v>
      </c>
      <c r="R2132" s="5" t="str">
        <f t="shared" ref="R2132:R2195" si="12782">VLOOKUP($A2132,hospital_details,8,0)</f>
        <v>R1012</v>
      </c>
    </row>
    <row r="2133" spans="1:18" ht="14.4" customHeight="1" x14ac:dyDescent="0.3">
      <c r="A2133" s="7" t="s">
        <v>2153</v>
      </c>
      <c r="B2133" s="7" t="str">
        <f>VLOOKUP($A2133,[1]!Customer_Names[#Data],3,0)</f>
        <v xml:space="preserve">  Nathan J</v>
      </c>
      <c r="C2133" s="7">
        <v>29.24</v>
      </c>
      <c r="D2133" s="7" t="str" cm="1">
        <f t="array" ref="D2133">_xlfn.IFS(Healthcare!$C2133&lt;18.5,"under weight",Healthcare!$C2133&lt;=24.9,"Normal Weight",Healthcare!$C2133&gt;=25,"overweight",Healthcare!$C2133&gt;=30,"obese")</f>
        <v>overweight</v>
      </c>
      <c r="E2133" s="7">
        <v>4.04</v>
      </c>
      <c r="F2133" s="7" t="str" cm="1">
        <f t="array" ref="F2133">_xlfn.IFS(Healthcare!$E2133&lt;5.7,"normal",Healthcare!$E2133&lt;=6.4,"prediabetes",Healthcare!$E2133&gt;=6.5,"diabetes")</f>
        <v>normal</v>
      </c>
      <c r="G2133" s="7" t="s">
        <v>19</v>
      </c>
      <c r="H2133" s="7" t="s">
        <v>20</v>
      </c>
      <c r="I2133" s="7" t="s">
        <v>19</v>
      </c>
      <c r="J2133" s="7">
        <v>1</v>
      </c>
      <c r="K2133" s="7" t="s">
        <v>19</v>
      </c>
      <c r="L2133" s="7" t="str">
        <f>VLOOKUP(Healthcare!$A2133,hospital_details,2,0)</f>
        <v>4-Nov-2004</v>
      </c>
      <c r="M2133" s="7">
        <f t="shared" ref="M2133:M2196" ca="1" si="12783">VLOOKUP(A2133,hospital_details,3,0)</f>
        <v>21</v>
      </c>
      <c r="N2133" s="7">
        <f t="shared" ref="N2133:N2196" si="12784">VLOOKUP($A2133,hospital_details,4,0)</f>
        <v>0</v>
      </c>
      <c r="O2133" s="8">
        <f t="shared" ref="O2133:O2196" si="12785">VLOOKUP($A2133,hospital_details,5,0)</f>
        <v>2118.61</v>
      </c>
      <c r="P2133" s="7" t="str">
        <f t="shared" ref="P2133:P2196" si="12786">VLOOKUP($A2133,hospital_details,6,0)</f>
        <v>tier - 2</v>
      </c>
      <c r="Q2133" s="7" t="str">
        <f t="shared" ref="Q2133:Q2196" si="12787">VLOOKUP($A2133,hospital_details,7,0)</f>
        <v>tier - 1</v>
      </c>
      <c r="R2133" s="7" t="str">
        <f t="shared" ref="R2133:R2196" si="12788">VLOOKUP($A2133,hospital_details,8,0)</f>
        <v>R1012</v>
      </c>
    </row>
    <row r="2134" spans="1:18" ht="14.4" customHeight="1" x14ac:dyDescent="0.3">
      <c r="A2134" s="5" t="s">
        <v>2154</v>
      </c>
      <c r="B2134" s="5" t="str">
        <f>VLOOKUP($A2134,[1]!Customer_Names[#Data],3,0)</f>
        <v xml:space="preserve">  Ashley M</v>
      </c>
      <c r="C2134" s="5">
        <v>22.515000000000001</v>
      </c>
      <c r="D2134" s="5" t="str" cm="1">
        <f t="array" ref="D2134">_xlfn.IFS(Healthcare!$C2134&lt;18.5,"under weight",Healthcare!$C2134&lt;=24.9,"Normal Weight",Healthcare!$C2134&gt;=25,"overweight",Healthcare!$C2134&gt;=30,"obese")</f>
        <v>Normal Weight</v>
      </c>
      <c r="E2134" s="5">
        <v>5.93</v>
      </c>
      <c r="F2134" s="5" t="str" cm="1">
        <f t="array" ref="F2134">_xlfn.IFS(Healthcare!$E2134&lt;5.7,"normal",Healthcare!$E2134&lt;=6.4,"prediabetes",Healthcare!$E2134&gt;=6.5,"diabetes")</f>
        <v>prediabetes</v>
      </c>
      <c r="G2134" s="5" t="s">
        <v>19</v>
      </c>
      <c r="H2134" s="5" t="s">
        <v>19</v>
      </c>
      <c r="I2134" s="5" t="s">
        <v>29</v>
      </c>
      <c r="J2134" s="5">
        <v>1</v>
      </c>
      <c r="K2134" s="5" t="s">
        <v>19</v>
      </c>
      <c r="L2134" s="5" t="str">
        <f>VLOOKUP(Healthcare!$A2134,hospital_details,2,0)</f>
        <v>30-Sep-2003</v>
      </c>
      <c r="M2134" s="5">
        <f t="shared" ref="M2134:M2197" ca="1" si="12789">VLOOKUP(A2134,hospital_details,3,0)</f>
        <v>23</v>
      </c>
      <c r="N2134" s="5">
        <f t="shared" ref="N2134:N2197" si="12790">VLOOKUP($A2134,hospital_details,4,0)</f>
        <v>0</v>
      </c>
      <c r="O2134" s="6">
        <f t="shared" ref="O2134:O2197" si="12791">VLOOKUP($A2134,hospital_details,5,0)</f>
        <v>2117.34</v>
      </c>
      <c r="P2134" s="5" t="str">
        <f t="shared" ref="P2134:P2197" si="12792">VLOOKUP($A2134,hospital_details,6,0)</f>
        <v>tier - 2</v>
      </c>
      <c r="Q2134" s="5" t="str">
        <f t="shared" ref="Q2134:Q2197" si="12793">VLOOKUP($A2134,hospital_details,7,0)</f>
        <v>tier - 3</v>
      </c>
      <c r="R2134" s="5" t="str">
        <f t="shared" ref="R2134:R2197" si="12794">VLOOKUP($A2134,hospital_details,8,0)</f>
        <v>R1012</v>
      </c>
    </row>
    <row r="2135" spans="1:18" ht="14.4" customHeight="1" x14ac:dyDescent="0.3">
      <c r="A2135" s="7" t="s">
        <v>2155</v>
      </c>
      <c r="B2135" s="7" t="str">
        <f>VLOOKUP($A2135,[1]!Customer_Names[#Data],3,0)</f>
        <v xml:space="preserve">  Jason</v>
      </c>
      <c r="C2135" s="7">
        <v>15.65</v>
      </c>
      <c r="D2135" s="7" t="str" cm="1">
        <f t="array" ref="D2135">_xlfn.IFS(Healthcare!$C2135&lt;18.5,"under weight",Healthcare!$C2135&lt;=24.9,"Normal Weight",Healthcare!$C2135&gt;=25,"overweight",Healthcare!$C2135&gt;=30,"obese")</f>
        <v>under weight</v>
      </c>
      <c r="E2135" s="7">
        <v>4.2300000000000004</v>
      </c>
      <c r="F2135" s="7" t="str" cm="1">
        <f t="array" ref="F2135">_xlfn.IFS(Healthcare!$E2135&lt;5.7,"normal",Healthcare!$E2135&lt;=6.4,"prediabetes",Healthcare!$E2135&gt;=6.5,"diabetes")</f>
        <v>normal</v>
      </c>
      <c r="G2135" s="7" t="s">
        <v>19</v>
      </c>
      <c r="H2135" s="7" t="s">
        <v>19</v>
      </c>
      <c r="I2135" s="7" t="s">
        <v>19</v>
      </c>
      <c r="J2135" s="7">
        <v>0</v>
      </c>
      <c r="K2135" s="7" t="s">
        <v>19</v>
      </c>
      <c r="L2135" s="7" t="str">
        <f>VLOOKUP(Healthcare!$A2135,hospital_details,2,0)</f>
        <v>21-Jul-1989</v>
      </c>
      <c r="M2135" s="7">
        <f t="shared" ref="M2135:M2198" ca="1" si="12795">VLOOKUP(A2135,hospital_details,3,0)</f>
        <v>37</v>
      </c>
      <c r="N2135" s="7">
        <f t="shared" ref="N2135:N2198" si="12796">VLOOKUP($A2135,hospital_details,4,0)</f>
        <v>3</v>
      </c>
      <c r="O2135" s="8">
        <f t="shared" ref="O2135:O2198" si="12797">VLOOKUP($A2135,hospital_details,5,0)</f>
        <v>2106.2600000000002</v>
      </c>
      <c r="P2135" s="7" t="str">
        <f t="shared" ref="P2135:P2198" si="12798">VLOOKUP($A2135,hospital_details,6,0)</f>
        <v>tier - 2</v>
      </c>
      <c r="Q2135" s="7" t="str">
        <f t="shared" ref="Q2135:Q2198" si="12799">VLOOKUP($A2135,hospital_details,7,0)</f>
        <v>tier - 2</v>
      </c>
      <c r="R2135" s="7" t="str">
        <f t="shared" ref="R2135:R2198" si="12800">VLOOKUP($A2135,hospital_details,8,0)</f>
        <v>R1013</v>
      </c>
    </row>
    <row r="2136" spans="1:18" ht="14.4" customHeight="1" x14ac:dyDescent="0.3">
      <c r="A2136" s="5" t="s">
        <v>2156</v>
      </c>
      <c r="B2136" s="5" t="str">
        <f>VLOOKUP($A2136,[1]!Customer_Names[#Data],3,0)</f>
        <v xml:space="preserve">  Marshall</v>
      </c>
      <c r="C2136" s="5">
        <v>27.36</v>
      </c>
      <c r="D2136" s="5" t="str" cm="1">
        <f t="array" ref="D2136">_xlfn.IFS(Healthcare!$C2136&lt;18.5,"under weight",Healthcare!$C2136&lt;=24.9,"Normal Weight",Healthcare!$C2136&gt;=25,"overweight",Healthcare!$C2136&gt;=30,"obese")</f>
        <v>overweight</v>
      </c>
      <c r="E2136" s="5">
        <v>5.59</v>
      </c>
      <c r="F2136" s="5" t="str" cm="1">
        <f t="array" ref="F2136">_xlfn.IFS(Healthcare!$E2136&lt;5.7,"normal",Healthcare!$E2136&lt;=6.4,"prediabetes",Healthcare!$E2136&gt;=6.5,"diabetes")</f>
        <v>normal</v>
      </c>
      <c r="G2136" s="5" t="s">
        <v>20</v>
      </c>
      <c r="H2136" s="5" t="s">
        <v>19</v>
      </c>
      <c r="I2136" s="5" t="s">
        <v>19</v>
      </c>
      <c r="J2136" s="5">
        <v>0</v>
      </c>
      <c r="K2136" s="5" t="s">
        <v>19</v>
      </c>
      <c r="L2136" s="5" t="str">
        <f>VLOOKUP(Healthcare!$A2136,hospital_details,2,0)</f>
        <v>28-Nov-2001</v>
      </c>
      <c r="M2136" s="5">
        <f t="shared" ref="M2136:M2199" ca="1" si="12801">VLOOKUP(A2136,hospital_details,3,0)</f>
        <v>24</v>
      </c>
      <c r="N2136" s="5">
        <f t="shared" ref="N2136:N2199" si="12802">VLOOKUP($A2136,hospital_details,4,0)</f>
        <v>0</v>
      </c>
      <c r="O2136" s="6">
        <f t="shared" ref="O2136:O2199" si="12803">VLOOKUP($A2136,hospital_details,5,0)</f>
        <v>2104.11</v>
      </c>
      <c r="P2136" s="5" t="str">
        <f t="shared" ref="P2136:P2199" si="12804">VLOOKUP($A2136,hospital_details,6,0)</f>
        <v>tier - 2</v>
      </c>
      <c r="Q2136" s="5" t="str">
        <f t="shared" ref="Q2136:Q2199" si="12805">VLOOKUP($A2136,hospital_details,7,0)</f>
        <v>tier - 1</v>
      </c>
      <c r="R2136" s="5" t="str">
        <f t="shared" ref="R2136:R2199" si="12806">VLOOKUP($A2136,hospital_details,8,0)</f>
        <v>R1016</v>
      </c>
    </row>
    <row r="2137" spans="1:18" ht="14.4" customHeight="1" x14ac:dyDescent="0.3">
      <c r="A2137" s="7" t="s">
        <v>2157</v>
      </c>
      <c r="B2137" s="7" t="str">
        <f>VLOOKUP($A2137,[1]!Customer_Names[#Data],3,0)</f>
        <v xml:space="preserve">  Lavar</v>
      </c>
      <c r="C2137" s="7">
        <v>22.3</v>
      </c>
      <c r="D2137" s="7" t="str" cm="1">
        <f t="array" ref="D2137">_xlfn.IFS(Healthcare!$C2137&lt;18.5,"under weight",Healthcare!$C2137&lt;=24.9,"Normal Weight",Healthcare!$C2137&gt;=25,"overweight",Healthcare!$C2137&gt;=30,"obese")</f>
        <v>Normal Weight</v>
      </c>
      <c r="E2137" s="7">
        <v>4.8899999999999997</v>
      </c>
      <c r="F2137" s="7" t="str" cm="1">
        <f t="array" ref="F2137">_xlfn.IFS(Healthcare!$E2137&lt;5.7,"normal",Healthcare!$E2137&lt;=6.4,"prediabetes",Healthcare!$E2137&gt;=6.5,"diabetes")</f>
        <v>normal</v>
      </c>
      <c r="G2137" s="7" t="s">
        <v>20</v>
      </c>
      <c r="H2137" s="7" t="s">
        <v>19</v>
      </c>
      <c r="I2137" s="7" t="s">
        <v>19</v>
      </c>
      <c r="J2137" s="7">
        <v>0</v>
      </c>
      <c r="K2137" s="7" t="s">
        <v>19</v>
      </c>
      <c r="L2137" s="7" t="str">
        <f>VLOOKUP(Healthcare!$A2137,hospital_details,2,0)</f>
        <v>22-Jun-2001</v>
      </c>
      <c r="M2137" s="7">
        <f t="shared" ref="M2137:M2200" ca="1" si="12807">VLOOKUP(A2137,hospital_details,3,0)</f>
        <v>25</v>
      </c>
      <c r="N2137" s="7">
        <f t="shared" ref="N2137:N2200" si="12808">VLOOKUP($A2137,hospital_details,4,0)</f>
        <v>1</v>
      </c>
      <c r="O2137" s="8">
        <f t="shared" ref="O2137:O2200" si="12809">VLOOKUP($A2137,hospital_details,5,0)</f>
        <v>2103.08</v>
      </c>
      <c r="P2137" s="7" t="str">
        <f t="shared" ref="P2137:P2200" si="12810">VLOOKUP($A2137,hospital_details,6,0)</f>
        <v>tier - 3</v>
      </c>
      <c r="Q2137" s="7" t="str">
        <f t="shared" ref="Q2137:Q2200" si="12811">VLOOKUP($A2137,hospital_details,7,0)</f>
        <v>tier - 2</v>
      </c>
      <c r="R2137" s="7" t="str">
        <f t="shared" ref="R2137:R2200" si="12812">VLOOKUP($A2137,hospital_details,8,0)</f>
        <v>R1011</v>
      </c>
    </row>
    <row r="2138" spans="1:18" ht="14.4" customHeight="1" x14ac:dyDescent="0.3">
      <c r="A2138" s="5" t="s">
        <v>2158</v>
      </c>
      <c r="B2138" s="5" t="str">
        <f>VLOOKUP($A2138,[1]!Customer_Names[#Data],3,0)</f>
        <v xml:space="preserve">  Charlie T</v>
      </c>
      <c r="C2138" s="5">
        <v>26.03</v>
      </c>
      <c r="D2138" s="5" t="str" cm="1">
        <f t="array" ref="D2138">_xlfn.IFS(Healthcare!$C2138&lt;18.5,"under weight",Healthcare!$C2138&lt;=24.9,"Normal Weight",Healthcare!$C2138&gt;=25,"overweight",Healthcare!$C2138&gt;=30,"obese")</f>
        <v>overweight</v>
      </c>
      <c r="E2138" s="5">
        <v>5.81</v>
      </c>
      <c r="F2138" s="5" t="str" cm="1">
        <f t="array" ref="F2138">_xlfn.IFS(Healthcare!$E2138&lt;5.7,"normal",Healthcare!$E2138&lt;=6.4,"prediabetes",Healthcare!$E2138&gt;=6.5,"diabetes")</f>
        <v>prediabetes</v>
      </c>
      <c r="G2138" s="5" t="s">
        <v>20</v>
      </c>
      <c r="H2138" s="5" t="s">
        <v>19</v>
      </c>
      <c r="I2138" s="5" t="s">
        <v>19</v>
      </c>
      <c r="J2138" s="5">
        <v>0</v>
      </c>
      <c r="K2138" s="5" t="s">
        <v>19</v>
      </c>
      <c r="L2138" s="5" t="str">
        <f>VLOOKUP(Healthcare!$A2138,hospital_details,2,0)</f>
        <v>14-Aug-2001</v>
      </c>
      <c r="M2138" s="5">
        <f t="shared" ref="M2138:M2201" ca="1" si="12813">VLOOKUP(A2138,hospital_details,3,0)</f>
        <v>25</v>
      </c>
      <c r="N2138" s="5">
        <f t="shared" ref="N2138:N2201" si="12814">VLOOKUP($A2138,hospital_details,4,0)</f>
        <v>0</v>
      </c>
      <c r="O2138" s="6">
        <f t="shared" ref="O2138:O2201" si="12815">VLOOKUP($A2138,hospital_details,5,0)</f>
        <v>2102.2600000000002</v>
      </c>
      <c r="P2138" s="5" t="str">
        <f t="shared" ref="P2138:P2201" si="12816">VLOOKUP($A2138,hospital_details,6,0)</f>
        <v>tier - 3</v>
      </c>
      <c r="Q2138" s="5" t="str">
        <f t="shared" ref="Q2138:Q2201" si="12817">VLOOKUP($A2138,hospital_details,7,0)</f>
        <v>tier - 2</v>
      </c>
      <c r="R2138" s="5" t="str">
        <f t="shared" ref="R2138:R2201" si="12818">VLOOKUP($A2138,hospital_details,8,0)</f>
        <v>R1019</v>
      </c>
    </row>
    <row r="2139" spans="1:18" ht="14.4" customHeight="1" x14ac:dyDescent="0.3">
      <c r="A2139" s="7" t="s">
        <v>2159</v>
      </c>
      <c r="B2139" s="7" t="str">
        <f>VLOOKUP($A2139,[1]!Customer_Names[#Data],3,0)</f>
        <v xml:space="preserve">  Lauren</v>
      </c>
      <c r="C2139" s="7">
        <v>27.74</v>
      </c>
      <c r="D2139" s="7" t="str" cm="1">
        <f t="array" ref="D2139">_xlfn.IFS(Healthcare!$C2139&lt;18.5,"under weight",Healthcare!$C2139&lt;=24.9,"Normal Weight",Healthcare!$C2139&gt;=25,"overweight",Healthcare!$C2139&gt;=30,"obese")</f>
        <v>overweight</v>
      </c>
      <c r="E2139" s="7">
        <v>4.29</v>
      </c>
      <c r="F2139" s="7" t="str" cm="1">
        <f t="array" ref="F2139">_xlfn.IFS(Healthcare!$E2139&lt;5.7,"normal",Healthcare!$E2139&lt;=6.4,"prediabetes",Healthcare!$E2139&gt;=6.5,"diabetes")</f>
        <v>normal</v>
      </c>
      <c r="G2139" s="7" t="s">
        <v>19</v>
      </c>
      <c r="H2139" s="7" t="s">
        <v>20</v>
      </c>
      <c r="I2139" s="7" t="s">
        <v>19</v>
      </c>
      <c r="J2139" s="7">
        <v>1</v>
      </c>
      <c r="K2139" s="7" t="s">
        <v>19</v>
      </c>
      <c r="L2139" s="7" t="str">
        <f>VLOOKUP(Healthcare!$A2139,hospital_details,2,0)</f>
        <v>12-Jun-2004</v>
      </c>
      <c r="M2139" s="7">
        <f t="shared" ref="M2139:M2202" ca="1" si="12819">VLOOKUP(A2139,hospital_details,3,0)</f>
        <v>22</v>
      </c>
      <c r="N2139" s="7">
        <f t="shared" ref="N2139:N2202" si="12820">VLOOKUP($A2139,hospital_details,4,0)</f>
        <v>0</v>
      </c>
      <c r="O2139" s="8">
        <f t="shared" ref="O2139:O2202" si="12821">VLOOKUP($A2139,hospital_details,5,0)</f>
        <v>2094.1</v>
      </c>
      <c r="P2139" s="7" t="str">
        <f t="shared" ref="P2139:P2202" si="12822">VLOOKUP($A2139,hospital_details,6,0)</f>
        <v>tier - 3</v>
      </c>
      <c r="Q2139" s="7" t="str">
        <f t="shared" ref="Q2139:Q2202" si="12823">VLOOKUP($A2139,hospital_details,7,0)</f>
        <v>tier - 2</v>
      </c>
      <c r="R2139" s="7" t="str">
        <f t="shared" ref="R2139:R2202" si="12824">VLOOKUP($A2139,hospital_details,8,0)</f>
        <v>R1025</v>
      </c>
    </row>
    <row r="2140" spans="1:18" ht="14.4" customHeight="1" x14ac:dyDescent="0.3">
      <c r="A2140" s="5" t="s">
        <v>2160</v>
      </c>
      <c r="B2140" s="5" t="str">
        <f>VLOOKUP($A2140,[1]!Customer_Names[#Data],3,0)</f>
        <v xml:space="preserve">  Arthur</v>
      </c>
      <c r="C2140" s="5">
        <v>32.11</v>
      </c>
      <c r="D2140" s="5" t="str" cm="1">
        <f t="array" ref="D2140">_xlfn.IFS(Healthcare!$C2140&lt;18.5,"under weight",Healthcare!$C2140&lt;=24.9,"Normal Weight",Healthcare!$C2140&gt;=25,"overweight",Healthcare!$C2140&gt;=30,"obese")</f>
        <v>overweight</v>
      </c>
      <c r="E2140" s="5">
        <v>4.03</v>
      </c>
      <c r="F2140" s="5" t="str" cm="1">
        <f t="array" ref="F2140">_xlfn.IFS(Healthcare!$E2140&lt;5.7,"normal",Healthcare!$E2140&lt;=6.4,"prediabetes",Healthcare!$E2140&gt;=6.5,"diabetes")</f>
        <v>normal</v>
      </c>
      <c r="G2140" s="5" t="s">
        <v>20</v>
      </c>
      <c r="H2140" s="5" t="s">
        <v>20</v>
      </c>
      <c r="I2140" s="5" t="s">
        <v>19</v>
      </c>
      <c r="J2140" s="5">
        <v>2</v>
      </c>
      <c r="K2140" s="5" t="s">
        <v>19</v>
      </c>
      <c r="L2140" s="5" t="str">
        <f>VLOOKUP(Healthcare!$A2140,hospital_details,2,0)</f>
        <v>26-Jul-2000</v>
      </c>
      <c r="M2140" s="5">
        <f t="shared" ref="M2140:M2203" ca="1" si="12825">VLOOKUP(A2140,hospital_details,3,0)</f>
        <v>26</v>
      </c>
      <c r="N2140" s="5">
        <f t="shared" ref="N2140:N2203" si="12826">VLOOKUP($A2140,hospital_details,4,0)</f>
        <v>0</v>
      </c>
      <c r="O2140" s="6">
        <f t="shared" ref="O2140:O2203" si="12827">VLOOKUP($A2140,hospital_details,5,0)</f>
        <v>2055.3200000000002</v>
      </c>
      <c r="P2140" s="5" t="str">
        <f t="shared" ref="P2140:P2203" si="12828">VLOOKUP($A2140,hospital_details,6,0)</f>
        <v>tier - 3</v>
      </c>
      <c r="Q2140" s="5" t="str">
        <f t="shared" ref="Q2140:Q2203" si="12829">VLOOKUP($A2140,hospital_details,7,0)</f>
        <v>tier - 3</v>
      </c>
      <c r="R2140" s="5" t="str">
        <f t="shared" ref="R2140:R2203" si="12830">VLOOKUP($A2140,hospital_details,8,0)</f>
        <v>R1012</v>
      </c>
    </row>
    <row r="2141" spans="1:18" ht="14.4" customHeight="1" x14ac:dyDescent="0.3">
      <c r="A2141" s="7" t="s">
        <v>2161</v>
      </c>
      <c r="B2141" s="7" t="str">
        <f>VLOOKUP($A2141,[1]!Customer_Names[#Data],3,0)</f>
        <v xml:space="preserve">  Thomas</v>
      </c>
      <c r="C2141" s="7">
        <v>25.175000000000001</v>
      </c>
      <c r="D2141" s="7" t="str" cm="1">
        <f t="array" ref="D2141">_xlfn.IFS(Healthcare!$C2141&lt;18.5,"under weight",Healthcare!$C2141&lt;=24.9,"Normal Weight",Healthcare!$C2141&gt;=25,"overweight",Healthcare!$C2141&gt;=30,"obese")</f>
        <v>overweight</v>
      </c>
      <c r="E2141" s="7">
        <v>6.29</v>
      </c>
      <c r="F2141" s="7" t="str" cm="1">
        <f t="array" ref="F2141">_xlfn.IFS(Healthcare!$E2141&lt;5.7,"normal",Healthcare!$E2141&lt;=6.4,"prediabetes",Healthcare!$E2141&gt;=6.5,"diabetes")</f>
        <v>prediabetes</v>
      </c>
      <c r="G2141" s="7" t="s">
        <v>20</v>
      </c>
      <c r="H2141" s="7" t="s">
        <v>20</v>
      </c>
      <c r="I2141" s="7" t="s">
        <v>19</v>
      </c>
      <c r="J2141" s="7">
        <v>2</v>
      </c>
      <c r="K2141" s="7" t="s">
        <v>19</v>
      </c>
      <c r="L2141" s="7" t="str">
        <f>VLOOKUP(Healthcare!$A2141,hospital_details,2,0)</f>
        <v>2-Sep-2000</v>
      </c>
      <c r="M2141" s="7">
        <f t="shared" ref="M2141:M2204" ca="1" si="12831">VLOOKUP(A2141,hospital_details,3,0)</f>
        <v>26</v>
      </c>
      <c r="N2141" s="7">
        <f t="shared" ref="N2141:N2204" si="12832">VLOOKUP($A2141,hospital_details,4,0)</f>
        <v>0</v>
      </c>
      <c r="O2141" s="8">
        <f t="shared" ref="O2141:O2204" si="12833">VLOOKUP($A2141,hospital_details,5,0)</f>
        <v>2045.69</v>
      </c>
      <c r="P2141" s="7" t="str">
        <f t="shared" ref="P2141:P2204" si="12834">VLOOKUP($A2141,hospital_details,6,0)</f>
        <v>tier - 3</v>
      </c>
      <c r="Q2141" s="7" t="str">
        <f t="shared" ref="Q2141:Q2204" si="12835">VLOOKUP($A2141,hospital_details,7,0)</f>
        <v>tier - 3</v>
      </c>
      <c r="R2141" s="7" t="str">
        <f t="shared" ref="R2141:R2204" si="12836">VLOOKUP($A2141,hospital_details,8,0)</f>
        <v>R1012</v>
      </c>
    </row>
    <row r="2142" spans="1:18" ht="14.4" customHeight="1" x14ac:dyDescent="0.3">
      <c r="A2142" s="5" t="s">
        <v>2162</v>
      </c>
      <c r="B2142" s="5" t="str">
        <f>VLOOKUP($A2142,[1]!Customer_Names[#Data],3,0)</f>
        <v xml:space="preserve">  Jennifer</v>
      </c>
      <c r="C2142" s="5">
        <v>39.49</v>
      </c>
      <c r="D2142" s="5" t="str" cm="1">
        <f t="array" ref="D2142">_xlfn.IFS(Healthcare!$C2142&lt;18.5,"under weight",Healthcare!$C2142&lt;=24.9,"Normal Weight",Healthcare!$C2142&gt;=25,"overweight",Healthcare!$C2142&gt;=30,"obese")</f>
        <v>overweight</v>
      </c>
      <c r="E2142" s="5">
        <v>4.4800000000000004</v>
      </c>
      <c r="F2142" s="5" t="str" cm="1">
        <f t="array" ref="F2142">_xlfn.IFS(Healthcare!$E2142&lt;5.7,"normal",Healthcare!$E2142&lt;=6.4,"prediabetes",Healthcare!$E2142&gt;=6.5,"diabetes")</f>
        <v>normal</v>
      </c>
      <c r="G2142" s="5" t="s">
        <v>20</v>
      </c>
      <c r="H2142" s="5" t="s">
        <v>19</v>
      </c>
      <c r="I2142" s="5" t="s">
        <v>19</v>
      </c>
      <c r="J2142" s="5">
        <v>0</v>
      </c>
      <c r="K2142" s="5" t="s">
        <v>19</v>
      </c>
      <c r="L2142" s="5" t="str">
        <f>VLOOKUP(Healthcare!$A2142,hospital_details,2,0)</f>
        <v>4-Aug-2001</v>
      </c>
      <c r="M2142" s="5">
        <f t="shared" ref="M2142:M2205" ca="1" si="12837">VLOOKUP(A2142,hospital_details,3,0)</f>
        <v>25</v>
      </c>
      <c r="N2142" s="5">
        <f t="shared" ref="N2142:N2205" si="12838">VLOOKUP($A2142,hospital_details,4,0)</f>
        <v>0</v>
      </c>
      <c r="O2142" s="6">
        <f t="shared" ref="O2142:O2205" si="12839">VLOOKUP($A2142,hospital_details,5,0)</f>
        <v>2026.97</v>
      </c>
      <c r="P2142" s="5" t="str">
        <f t="shared" ref="P2142:P2205" si="12840">VLOOKUP($A2142,hospital_details,6,0)</f>
        <v>tier - 3</v>
      </c>
      <c r="Q2142" s="5" t="str">
        <f t="shared" ref="Q2142:Q2205" si="12841">VLOOKUP($A2142,hospital_details,7,0)</f>
        <v>tier - 2</v>
      </c>
      <c r="R2142" s="5" t="str">
        <f t="shared" ref="R2142:R2205" si="12842">VLOOKUP($A2142,hospital_details,8,0)</f>
        <v>R1013</v>
      </c>
    </row>
    <row r="2143" spans="1:18" ht="14.4" customHeight="1" x14ac:dyDescent="0.3">
      <c r="A2143" s="7" t="s">
        <v>2163</v>
      </c>
      <c r="B2143" s="7" t="str">
        <f>VLOOKUP($A2143,[1]!Customer_Names[#Data],3,0)</f>
        <v xml:space="preserve">  Tammy</v>
      </c>
      <c r="C2143" s="7">
        <v>34.869999999999997</v>
      </c>
      <c r="D2143" s="7" t="str" cm="1">
        <f t="array" ref="D2143">_xlfn.IFS(Healthcare!$C2143&lt;18.5,"under weight",Healthcare!$C2143&lt;=24.9,"Normal Weight",Healthcare!$C2143&gt;=25,"overweight",Healthcare!$C2143&gt;=30,"obese")</f>
        <v>overweight</v>
      </c>
      <c r="E2143" s="7">
        <v>5.51</v>
      </c>
      <c r="F2143" s="7" t="str" cm="1">
        <f t="array" ref="F2143">_xlfn.IFS(Healthcare!$E2143&lt;5.7,"normal",Healthcare!$E2143&lt;=6.4,"prediabetes",Healthcare!$E2143&gt;=6.5,"diabetes")</f>
        <v>normal</v>
      </c>
      <c r="G2143" s="7" t="s">
        <v>20</v>
      </c>
      <c r="H2143" s="7" t="s">
        <v>19</v>
      </c>
      <c r="I2143" s="7" t="s">
        <v>19</v>
      </c>
      <c r="J2143" s="7">
        <v>0</v>
      </c>
      <c r="K2143" s="7" t="s">
        <v>19</v>
      </c>
      <c r="L2143" s="7" t="str">
        <f>VLOOKUP(Healthcare!$A2143,hospital_details,2,0)</f>
        <v>6-Sep-2001</v>
      </c>
      <c r="M2143" s="7">
        <f t="shared" ref="M2143:M2206" ca="1" si="12843">VLOOKUP(A2143,hospital_details,3,0)</f>
        <v>25</v>
      </c>
      <c r="N2143" s="7">
        <f t="shared" ref="N2143:N2206" si="12844">VLOOKUP($A2143,hospital_details,4,0)</f>
        <v>0</v>
      </c>
      <c r="O2143" s="8">
        <f t="shared" ref="O2143:O2206" si="12845">VLOOKUP($A2143,hospital_details,5,0)</f>
        <v>2020.55</v>
      </c>
      <c r="P2143" s="7" t="str">
        <f t="shared" ref="P2143:P2206" si="12846">VLOOKUP($A2143,hospital_details,6,0)</f>
        <v>tier - 3</v>
      </c>
      <c r="Q2143" s="7" t="str">
        <f t="shared" ref="Q2143:Q2206" si="12847">VLOOKUP($A2143,hospital_details,7,0)</f>
        <v>tier - 2</v>
      </c>
      <c r="R2143" s="7" t="str">
        <f t="shared" ref="R2143:R2206" si="12848">VLOOKUP($A2143,hospital_details,8,0)</f>
        <v>R1013</v>
      </c>
    </row>
    <row r="2144" spans="1:18" ht="14.4" customHeight="1" x14ac:dyDescent="0.3">
      <c r="A2144" s="5" t="s">
        <v>2164</v>
      </c>
      <c r="B2144" s="5" t="str">
        <f>VLOOKUP($A2144,[1]!Customer_Names[#Data],3,0)</f>
        <v xml:space="preserve">  Lena</v>
      </c>
      <c r="C2144" s="5">
        <v>34.6</v>
      </c>
      <c r="D2144" s="5" t="str" cm="1">
        <f t="array" ref="D2144">_xlfn.IFS(Healthcare!$C2144&lt;18.5,"under weight",Healthcare!$C2144&lt;=24.9,"Normal Weight",Healthcare!$C2144&gt;=25,"overweight",Healthcare!$C2144&gt;=30,"obese")</f>
        <v>overweight</v>
      </c>
      <c r="E2144" s="5">
        <v>4.5</v>
      </c>
      <c r="F2144" s="5" t="str" cm="1">
        <f t="array" ref="F2144">_xlfn.IFS(Healthcare!$E2144&lt;5.7,"normal",Healthcare!$E2144&lt;=6.4,"prediabetes",Healthcare!$E2144&gt;=6.5,"diabetes")</f>
        <v>normal</v>
      </c>
      <c r="G2144" s="5" t="s">
        <v>20</v>
      </c>
      <c r="H2144" s="5" t="s">
        <v>19</v>
      </c>
      <c r="I2144" s="5" t="s">
        <v>19</v>
      </c>
      <c r="J2144" s="5">
        <v>0</v>
      </c>
      <c r="K2144" s="5" t="s">
        <v>19</v>
      </c>
      <c r="L2144" s="5" t="str">
        <f>VLOOKUP(Healthcare!$A2144,hospital_details,2,0)</f>
        <v>1-Jul-2001</v>
      </c>
      <c r="M2144" s="5">
        <f t="shared" ref="M2144:M2207" ca="1" si="12849">VLOOKUP(A2144,hospital_details,3,0)</f>
        <v>25</v>
      </c>
      <c r="N2144" s="5">
        <f t="shared" ref="N2144:N2207" si="12850">VLOOKUP($A2144,hospital_details,4,0)</f>
        <v>0</v>
      </c>
      <c r="O2144" s="6">
        <f t="shared" ref="O2144:O2207" si="12851">VLOOKUP($A2144,hospital_details,5,0)</f>
        <v>2020.18</v>
      </c>
      <c r="P2144" s="5" t="str">
        <f t="shared" ref="P2144:P2207" si="12852">VLOOKUP($A2144,hospital_details,6,0)</f>
        <v>tier - 3</v>
      </c>
      <c r="Q2144" s="5" t="str">
        <f t="shared" ref="Q2144:Q2207" si="12853">VLOOKUP($A2144,hospital_details,7,0)</f>
        <v>tier - 1</v>
      </c>
      <c r="R2144" s="5" t="str">
        <f t="shared" ref="R2144:R2207" si="12854">VLOOKUP($A2144,hospital_details,8,0)</f>
        <v>R1011</v>
      </c>
    </row>
    <row r="2145" spans="1:18" ht="14.4" customHeight="1" x14ac:dyDescent="0.3">
      <c r="A2145" s="7" t="s">
        <v>2165</v>
      </c>
      <c r="B2145" s="7" t="str">
        <f>VLOOKUP($A2145,[1]!Customer_Names[#Data],3,0)</f>
        <v xml:space="preserve">  Valentina</v>
      </c>
      <c r="C2145" s="7">
        <v>25.8</v>
      </c>
      <c r="D2145" s="7" t="str" cm="1">
        <f t="array" ref="D2145">_xlfn.IFS(Healthcare!$C2145&lt;18.5,"under weight",Healthcare!$C2145&lt;=24.9,"Normal Weight",Healthcare!$C2145&gt;=25,"overweight",Healthcare!$C2145&gt;=30,"obese")</f>
        <v>overweight</v>
      </c>
      <c r="E2145" s="7">
        <v>6.29</v>
      </c>
      <c r="F2145" s="7" t="str" cm="1">
        <f t="array" ref="F2145">_xlfn.IFS(Healthcare!$E2145&lt;5.7,"normal",Healthcare!$E2145&lt;=6.4,"prediabetes",Healthcare!$E2145&gt;=6.5,"diabetes")</f>
        <v>prediabetes</v>
      </c>
      <c r="G2145" s="7" t="s">
        <v>20</v>
      </c>
      <c r="H2145" s="7" t="s">
        <v>19</v>
      </c>
      <c r="I2145" s="7" t="s">
        <v>19</v>
      </c>
      <c r="J2145" s="7">
        <v>0</v>
      </c>
      <c r="K2145" s="7" t="s">
        <v>19</v>
      </c>
      <c r="L2145" s="7" t="str">
        <f>VLOOKUP(Healthcare!$A2145,hospital_details,2,0)</f>
        <v>14-Aug-2001</v>
      </c>
      <c r="M2145" s="7">
        <f t="shared" ref="M2145:M2208" ca="1" si="12855">VLOOKUP(A2145,hospital_details,3,0)</f>
        <v>25</v>
      </c>
      <c r="N2145" s="7">
        <f t="shared" ref="N2145:N2208" si="12856">VLOOKUP($A2145,hospital_details,4,0)</f>
        <v>0</v>
      </c>
      <c r="O2145" s="8">
        <f t="shared" ref="O2145:O2208" si="12857">VLOOKUP($A2145,hospital_details,5,0)</f>
        <v>2007.95</v>
      </c>
      <c r="P2145" s="7" t="str">
        <f t="shared" ref="P2145:P2208" si="12858">VLOOKUP($A2145,hospital_details,6,0)</f>
        <v>tier - 3</v>
      </c>
      <c r="Q2145" s="7" t="str">
        <f t="shared" ref="Q2145:Q2208" si="12859">VLOOKUP($A2145,hospital_details,7,0)</f>
        <v>tier - 2</v>
      </c>
      <c r="R2145" s="7" t="str">
        <f t="shared" ref="R2145:R2208" si="12860">VLOOKUP($A2145,hospital_details,8,0)</f>
        <v>R1011</v>
      </c>
    </row>
    <row r="2146" spans="1:18" ht="14.4" customHeight="1" x14ac:dyDescent="0.3">
      <c r="A2146" s="5" t="s">
        <v>2166</v>
      </c>
      <c r="B2146" s="5" t="str">
        <f>VLOOKUP($A2146,[1]!Customer_Names[#Data],3,0)</f>
        <v xml:space="preserve">  Russell N</v>
      </c>
      <c r="C2146" s="5">
        <v>35.86</v>
      </c>
      <c r="D2146" s="5" t="str" cm="1">
        <f t="array" ref="D2146">_xlfn.IFS(Healthcare!$C2146&lt;18.5,"under weight",Healthcare!$C2146&lt;=24.9,"Normal Weight",Healthcare!$C2146&gt;=25,"overweight",Healthcare!$C2146&gt;=30,"obese")</f>
        <v>overweight</v>
      </c>
      <c r="E2146" s="5">
        <v>4.33</v>
      </c>
      <c r="F2146" s="5" t="str" cm="1">
        <f t="array" ref="F2146">_xlfn.IFS(Healthcare!$E2146&lt;5.7,"normal",Healthcare!$E2146&lt;=6.4,"prediabetes",Healthcare!$E2146&gt;=6.5,"diabetes")</f>
        <v>normal</v>
      </c>
      <c r="G2146" s="5" t="s">
        <v>19</v>
      </c>
      <c r="H2146" s="5" t="s">
        <v>19</v>
      </c>
      <c r="I2146" s="5" t="s">
        <v>19</v>
      </c>
      <c r="J2146" s="5">
        <v>1</v>
      </c>
      <c r="K2146" s="5" t="s">
        <v>19</v>
      </c>
      <c r="L2146" s="5" t="str">
        <f>VLOOKUP(Healthcare!$A2146,hospital_details,2,0)</f>
        <v>14-Sep-1998</v>
      </c>
      <c r="M2146" s="5">
        <f t="shared" ref="M2146:M2209" ca="1" si="12861">VLOOKUP(A2146,hospital_details,3,0)</f>
        <v>28</v>
      </c>
      <c r="N2146" s="5">
        <f t="shared" ref="N2146:N2209" si="12862">VLOOKUP($A2146,hospital_details,4,0)</f>
        <v>0</v>
      </c>
      <c r="O2146" s="6">
        <f t="shared" ref="O2146:O2209" si="12863">VLOOKUP($A2146,hospital_details,5,0)</f>
        <v>1986.93</v>
      </c>
      <c r="P2146" s="5" t="str">
        <f t="shared" ref="P2146:P2209" si="12864">VLOOKUP($A2146,hospital_details,6,0)</f>
        <v>tier - 3</v>
      </c>
      <c r="Q2146" s="5" t="str">
        <f t="shared" ref="Q2146:Q2209" si="12865">VLOOKUP($A2146,hospital_details,7,0)</f>
        <v>tier - 2</v>
      </c>
      <c r="R2146" s="5" t="str">
        <f t="shared" ref="R2146:R2209" si="12866">VLOOKUP($A2146,hospital_details,8,0)</f>
        <v>R1013</v>
      </c>
    </row>
    <row r="2147" spans="1:18" ht="14.4" customHeight="1" x14ac:dyDescent="0.3">
      <c r="A2147" s="7" t="s">
        <v>2167</v>
      </c>
      <c r="B2147" s="7" t="str">
        <f>VLOOKUP($A2147,[1]!Customer_Names[#Data],3,0)</f>
        <v xml:space="preserve">  Scott R</v>
      </c>
      <c r="C2147" s="7">
        <v>40.47</v>
      </c>
      <c r="D2147" s="7" t="str" cm="1">
        <f t="array" ref="D2147">_xlfn.IFS(Healthcare!$C2147&lt;18.5,"under weight",Healthcare!$C2147&lt;=24.9,"Normal Weight",Healthcare!$C2147&gt;=25,"overweight",Healthcare!$C2147&gt;=30,"obese")</f>
        <v>overweight</v>
      </c>
      <c r="E2147" s="7">
        <v>11.15</v>
      </c>
      <c r="F2147" s="7" t="str" cm="1">
        <f t="array" ref="F2147">_xlfn.IFS(Healthcare!$E2147&lt;5.7,"normal",Healthcare!$E2147&lt;=6.4,"prediabetes",Healthcare!$E2147&gt;=6.5,"diabetes")</f>
        <v>diabetes</v>
      </c>
      <c r="G2147" s="7" t="s">
        <v>19</v>
      </c>
      <c r="H2147" s="7" t="s">
        <v>19</v>
      </c>
      <c r="I2147" s="7" t="s">
        <v>19</v>
      </c>
      <c r="J2147" s="7">
        <v>0</v>
      </c>
      <c r="K2147" s="7" t="s">
        <v>19</v>
      </c>
      <c r="L2147" s="7" t="str">
        <f>VLOOKUP(Healthcare!$A2147,hospital_details,2,0)</f>
        <v>29-Sep-2002</v>
      </c>
      <c r="M2147" s="7">
        <f t="shared" ref="M2147:M2210" ca="1" si="12867">VLOOKUP(A2147,hospital_details,3,0)</f>
        <v>24</v>
      </c>
      <c r="N2147" s="7">
        <f t="shared" ref="N2147:N2210" si="12868">VLOOKUP($A2147,hospital_details,4,0)</f>
        <v>0</v>
      </c>
      <c r="O2147" s="8">
        <f t="shared" ref="O2147:O2210" si="12869">VLOOKUP($A2147,hospital_details,5,0)</f>
        <v>1984.45</v>
      </c>
      <c r="P2147" s="7" t="str">
        <f t="shared" ref="P2147:P2210" si="12870">VLOOKUP($A2147,hospital_details,6,0)</f>
        <v>tier - 3</v>
      </c>
      <c r="Q2147" s="7" t="str">
        <f t="shared" ref="Q2147:Q2210" si="12871">VLOOKUP($A2147,hospital_details,7,0)</f>
        <v>tier - 3</v>
      </c>
      <c r="R2147" s="7" t="str">
        <f t="shared" ref="R2147:R2210" si="12872">VLOOKUP($A2147,hospital_details,8,0)</f>
        <v>R1016</v>
      </c>
    </row>
    <row r="2148" spans="1:18" ht="14.4" customHeight="1" x14ac:dyDescent="0.3">
      <c r="A2148" s="5" t="s">
        <v>2168</v>
      </c>
      <c r="B2148" s="5" t="str">
        <f>VLOOKUP($A2148,[1]!Customer_Names[#Data],3,0)</f>
        <v xml:space="preserve">  Jose Francisco Sr</v>
      </c>
      <c r="C2148" s="5">
        <v>32.01</v>
      </c>
      <c r="D2148" s="5" t="str" cm="1">
        <f t="array" ref="D2148">_xlfn.IFS(Healthcare!$C2148&lt;18.5,"under weight",Healthcare!$C2148&lt;=24.9,"Normal Weight",Healthcare!$C2148&gt;=25,"overweight",Healthcare!$C2148&gt;=30,"obese")</f>
        <v>overweight</v>
      </c>
      <c r="E2148" s="5">
        <v>6.45</v>
      </c>
      <c r="F2148" s="5" t="str" cm="1">
        <f t="array" ref="F2148">_xlfn.IFS(Healthcare!$E1617&lt;5.7,"normal",Healthcare!$E1617&lt;=6.4,"prediabetes",Healthcare!$E1617&gt;=6.5,"diabetes")</f>
        <v>diabetes</v>
      </c>
      <c r="G2148" s="5" t="s">
        <v>19</v>
      </c>
      <c r="H2148" s="5" t="s">
        <v>19</v>
      </c>
      <c r="I2148" s="5" t="s">
        <v>19</v>
      </c>
      <c r="J2148" s="5">
        <v>1</v>
      </c>
      <c r="K2148" s="5" t="s">
        <v>19</v>
      </c>
      <c r="L2148" s="5" t="str">
        <f>VLOOKUP(Healthcare!$A2148,hospital_details,2,0)</f>
        <v>29-Dec-1998</v>
      </c>
      <c r="M2148" s="5">
        <f t="shared" ref="M2148:M2211" ca="1" si="12873">VLOOKUP(A2148,hospital_details,3,0)</f>
        <v>27</v>
      </c>
      <c r="N2148" s="5">
        <f t="shared" ref="N2148:N2211" si="12874">VLOOKUP($A2148,hospital_details,4,0)</f>
        <v>0</v>
      </c>
      <c r="O2148" s="6">
        <f t="shared" ref="O2148:O2211" si="12875">VLOOKUP($A2148,hospital_details,5,0)</f>
        <v>1981.58</v>
      </c>
      <c r="P2148" s="5" t="str">
        <f t="shared" ref="P2148:P2211" si="12876">VLOOKUP($A2148,hospital_details,6,0)</f>
        <v>tier - 3</v>
      </c>
      <c r="Q2148" s="5" t="str">
        <f t="shared" ref="Q2148:Q2211" si="12877">VLOOKUP($A2148,hospital_details,7,0)</f>
        <v>tier - 1</v>
      </c>
      <c r="R2148" s="5" t="str">
        <f t="shared" ref="R2148:R2211" si="12878">VLOOKUP($A2148,hospital_details,8,0)</f>
        <v>R1013</v>
      </c>
    </row>
    <row r="2149" spans="1:18" ht="14.4" customHeight="1" x14ac:dyDescent="0.3">
      <c r="A2149" s="7" t="s">
        <v>2169</v>
      </c>
      <c r="B2149" s="7" t="str">
        <f>VLOOKUP($A2149,[1]!Customer_Names[#Data],3,0)</f>
        <v xml:space="preserve">  Paul J</v>
      </c>
      <c r="C2149" s="7">
        <v>33</v>
      </c>
      <c r="D2149" s="7" t="str" cm="1">
        <f t="array" ref="D2149">_xlfn.IFS(Healthcare!$C2149&lt;18.5,"under weight",Healthcare!$C2149&lt;=24.9,"Normal Weight",Healthcare!$C2149&gt;=25,"overweight",Healthcare!$C2149&gt;=30,"obese")</f>
        <v>overweight</v>
      </c>
      <c r="E2149" s="7">
        <v>9.27</v>
      </c>
      <c r="F2149" s="7" t="str" cm="1">
        <f t="array" ref="F2149">_xlfn.IFS(Healthcare!$E2149&lt;5.7,"normal",Healthcare!$E2149&lt;=6.4,"prediabetes",Healthcare!$E2149&gt;=6.5,"diabetes")</f>
        <v>diabetes</v>
      </c>
      <c r="G2149" s="7" t="s">
        <v>19</v>
      </c>
      <c r="H2149" s="7" t="s">
        <v>19</v>
      </c>
      <c r="I2149" s="7" t="s">
        <v>19</v>
      </c>
      <c r="J2149" s="7">
        <v>0</v>
      </c>
      <c r="K2149" s="7" t="s">
        <v>19</v>
      </c>
      <c r="L2149" s="7" t="str">
        <f>VLOOKUP(Healthcare!$A2149,hospital_details,2,0)</f>
        <v>16-Jul-2002</v>
      </c>
      <c r="M2149" s="7">
        <f t="shared" ref="M2149:M2212" ca="1" si="12879">VLOOKUP(A2149,hospital_details,3,0)</f>
        <v>24</v>
      </c>
      <c r="N2149" s="7">
        <f t="shared" ref="N2149:N2212" si="12880">VLOOKUP($A2149,hospital_details,4,0)</f>
        <v>1</v>
      </c>
      <c r="O2149" s="8">
        <f t="shared" ref="O2149:O2212" si="12881">VLOOKUP($A2149,hospital_details,5,0)</f>
        <v>1980.07</v>
      </c>
      <c r="P2149" s="7" t="str">
        <f t="shared" ref="P2149:P2212" si="12882">VLOOKUP($A2149,hospital_details,6,0)</f>
        <v>tier - 3</v>
      </c>
      <c r="Q2149" s="7" t="str">
        <f t="shared" ref="Q2149:Q2212" si="12883">VLOOKUP($A2149,hospital_details,7,0)</f>
        <v>tier - 3</v>
      </c>
      <c r="R2149" s="7" t="str">
        <f t="shared" ref="R2149:R2212" si="12884">VLOOKUP($A2149,hospital_details,8,0)</f>
        <v>R1011</v>
      </c>
    </row>
    <row r="2150" spans="1:18" ht="14.4" customHeight="1" x14ac:dyDescent="0.3">
      <c r="A2150" s="5" t="s">
        <v>2170</v>
      </c>
      <c r="B2150" s="5" t="str">
        <f>VLOOKUP($A2150,[1]!Customer_Names[#Data],3,0)</f>
        <v xml:space="preserve">  Adam</v>
      </c>
      <c r="C2150" s="5">
        <v>29.3</v>
      </c>
      <c r="D2150" s="5" t="str" cm="1">
        <f t="array" ref="D2150">_xlfn.IFS(Healthcare!$C2150&lt;18.5,"under weight",Healthcare!$C2150&lt;=24.9,"Normal Weight",Healthcare!$C2150&gt;=25,"overweight",Healthcare!$C2150&gt;=30,"obese")</f>
        <v>overweight</v>
      </c>
      <c r="E2150" s="5">
        <v>6.15</v>
      </c>
      <c r="F2150" s="5" t="str" cm="1">
        <f t="array" ref="F2150">_xlfn.IFS(Healthcare!$E2150&lt;5.7,"normal",Healthcare!$E2150&lt;=6.4,"prediabetes",Healthcare!$E2150&gt;=6.5,"diabetes")</f>
        <v>prediabetes</v>
      </c>
      <c r="G2150" s="5" t="s">
        <v>19</v>
      </c>
      <c r="H2150" s="5" t="s">
        <v>19</v>
      </c>
      <c r="I2150" s="5" t="s">
        <v>19</v>
      </c>
      <c r="J2150" s="5">
        <v>1</v>
      </c>
      <c r="K2150" s="5" t="s">
        <v>19</v>
      </c>
      <c r="L2150" s="5" t="str">
        <f>VLOOKUP(Healthcare!$A2150,hospital_details,2,0)</f>
        <v>29-Sep-1998</v>
      </c>
      <c r="M2150" s="5">
        <f t="shared" ref="M2150:M2213" ca="1" si="12885">VLOOKUP(A2150,hospital_details,3,0)</f>
        <v>28</v>
      </c>
      <c r="N2150" s="5">
        <f t="shared" ref="N2150:N2213" si="12886">VLOOKUP($A2150,hospital_details,4,0)</f>
        <v>0</v>
      </c>
      <c r="O2150" s="6">
        <f t="shared" ref="O2150:O2213" si="12887">VLOOKUP($A2150,hospital_details,5,0)</f>
        <v>1977.82</v>
      </c>
      <c r="P2150" s="5" t="str">
        <f t="shared" ref="P2150:P2213" si="12888">VLOOKUP($A2150,hospital_details,6,0)</f>
        <v>tier - 3</v>
      </c>
      <c r="Q2150" s="5" t="str">
        <f t="shared" ref="Q2150:Q2213" si="12889">VLOOKUP($A2150,hospital_details,7,0)</f>
        <v>tier - 1</v>
      </c>
      <c r="R2150" s="5" t="str">
        <f t="shared" ref="R2150:R2213" si="12890">VLOOKUP($A2150,hospital_details,8,0)</f>
        <v>R1011</v>
      </c>
    </row>
    <row r="2151" spans="1:18" ht="14.4" customHeight="1" x14ac:dyDescent="0.3">
      <c r="A2151" s="7" t="s">
        <v>2171</v>
      </c>
      <c r="B2151" s="7" t="str">
        <f>VLOOKUP($A2151,[1]!Customer_Names[#Data],3,0)</f>
        <v xml:space="preserve">  Edward J</v>
      </c>
      <c r="C2151" s="7">
        <v>25.8</v>
      </c>
      <c r="D2151" s="7" t="str" cm="1">
        <f t="array" ref="D2151">_xlfn.IFS(Healthcare!$C2151&lt;18.5,"under weight",Healthcare!$C2151&lt;=24.9,"Normal Weight",Healthcare!$C2151&gt;=25,"overweight",Healthcare!$C2151&gt;=30,"obese")</f>
        <v>overweight</v>
      </c>
      <c r="E2151" s="7">
        <v>4.13</v>
      </c>
      <c r="F2151" s="7" t="str" cm="1">
        <f t="array" ref="F2151">_xlfn.IFS(Healthcare!$E2151&lt;5.7,"normal",Healthcare!$E2151&lt;=6.4,"prediabetes",Healthcare!$E2151&gt;=6.5,"diabetes")</f>
        <v>normal</v>
      </c>
      <c r="G2151" s="7" t="s">
        <v>19</v>
      </c>
      <c r="H2151" s="7" t="s">
        <v>19</v>
      </c>
      <c r="I2151" s="7" t="s">
        <v>19</v>
      </c>
      <c r="J2151" s="7">
        <v>1</v>
      </c>
      <c r="K2151" s="7" t="s">
        <v>19</v>
      </c>
      <c r="L2151" s="7" t="str">
        <f>VLOOKUP(Healthcare!$A2151,hospital_details,2,0)</f>
        <v>5-Oct-1998</v>
      </c>
      <c r="M2151" s="7">
        <f t="shared" ref="M2151:M2214" ca="1" si="12891">VLOOKUP(A2151,hospital_details,3,0)</f>
        <v>28</v>
      </c>
      <c r="N2151" s="7">
        <f t="shared" ref="N2151:N2214" si="12892">VLOOKUP($A2151,hospital_details,4,0)</f>
        <v>0</v>
      </c>
      <c r="O2151" s="8">
        <f t="shared" ref="O2151:O2214" si="12893">VLOOKUP($A2151,hospital_details,5,0)</f>
        <v>1972.95</v>
      </c>
      <c r="P2151" s="7" t="str">
        <f t="shared" ref="P2151:P2214" si="12894">VLOOKUP($A2151,hospital_details,6,0)</f>
        <v>tier - 3</v>
      </c>
      <c r="Q2151" s="7" t="str">
        <f t="shared" ref="Q2151:Q2214" si="12895">VLOOKUP($A2151,hospital_details,7,0)</f>
        <v>tier - 1</v>
      </c>
      <c r="R2151" s="7" t="str">
        <f t="shared" ref="R2151:R2214" si="12896">VLOOKUP($A2151,hospital_details,8,0)</f>
        <v>R1011</v>
      </c>
    </row>
    <row r="2152" spans="1:18" ht="14.4" customHeight="1" x14ac:dyDescent="0.3">
      <c r="A2152" s="5" t="s">
        <v>2172</v>
      </c>
      <c r="B2152" s="5" t="str">
        <f>VLOOKUP($A2152,[1]!Customer_Names[#Data],3,0)</f>
        <v xml:space="preserve">  Patrick A</v>
      </c>
      <c r="C2152" s="5">
        <v>23.4</v>
      </c>
      <c r="D2152" s="5" t="str" cm="1">
        <f t="array" ref="D2152">_xlfn.IFS(Healthcare!$C2152&lt;18.5,"under weight",Healthcare!$C2152&lt;=24.9,"Normal Weight",Healthcare!$C2152&gt;=25,"overweight",Healthcare!$C2152&gt;=30,"obese")</f>
        <v>Normal Weight</v>
      </c>
      <c r="E2152" s="5">
        <v>4.24</v>
      </c>
      <c r="F2152" s="5" t="str" cm="1">
        <f t="array" ref="F2152">_xlfn.IFS(Healthcare!$E2152&lt;5.7,"normal",Healthcare!$E2152&lt;=6.4,"prediabetes",Healthcare!$E2152&gt;=6.5,"diabetes")</f>
        <v>normal</v>
      </c>
      <c r="G2152" s="5" t="s">
        <v>19</v>
      </c>
      <c r="H2152" s="5" t="s">
        <v>19</v>
      </c>
      <c r="I2152" s="5" t="s">
        <v>19</v>
      </c>
      <c r="J2152" s="5">
        <v>1</v>
      </c>
      <c r="K2152" s="5" t="s">
        <v>19</v>
      </c>
      <c r="L2152" s="5" t="str">
        <f>VLOOKUP(Healthcare!$A2152,hospital_details,2,0)</f>
        <v>28-Sep-1998</v>
      </c>
      <c r="M2152" s="5">
        <f t="shared" ref="M2152:M2215" ca="1" si="12897">VLOOKUP(A2152,hospital_details,3,0)</f>
        <v>28</v>
      </c>
      <c r="N2152" s="5">
        <f t="shared" ref="N2152:N2215" si="12898">VLOOKUP($A2152,hospital_details,4,0)</f>
        <v>0</v>
      </c>
      <c r="O2152" s="6">
        <f t="shared" ref="O2152:O2215" si="12899">VLOOKUP($A2152,hospital_details,5,0)</f>
        <v>1969.61</v>
      </c>
      <c r="P2152" s="5" t="str">
        <f t="shared" ref="P2152:P2215" si="12900">VLOOKUP($A2152,hospital_details,6,0)</f>
        <v>tier - 3</v>
      </c>
      <c r="Q2152" s="5" t="str">
        <f t="shared" ref="Q2152:Q2215" si="12901">VLOOKUP($A2152,hospital_details,7,0)</f>
        <v>tier - 3</v>
      </c>
      <c r="R2152" s="5" t="str">
        <f t="shared" ref="R2152:R2215" si="12902">VLOOKUP($A2152,hospital_details,8,0)</f>
        <v>R1011</v>
      </c>
    </row>
    <row r="2153" spans="1:18" ht="14.4" customHeight="1" x14ac:dyDescent="0.3">
      <c r="A2153" s="7" t="s">
        <v>2173</v>
      </c>
      <c r="B2153" s="7" t="str">
        <f>VLOOKUP($A2153,[1]!Customer_Names[#Data],3,0)</f>
        <v xml:space="preserve">  Geraint H</v>
      </c>
      <c r="C2153" s="7">
        <v>27.93</v>
      </c>
      <c r="D2153" s="7" t="str" cm="1">
        <f t="array" ref="D2153">_xlfn.IFS(Healthcare!$C2153&lt;18.5,"under weight",Healthcare!$C2153&lt;=24.9,"Normal Weight",Healthcare!$C2153&gt;=25,"overweight",Healthcare!$C2153&gt;=30,"obese")</f>
        <v>overweight</v>
      </c>
      <c r="E2153" s="7">
        <v>9.8800000000000008</v>
      </c>
      <c r="F2153" s="7" t="str" cm="1">
        <f t="array" ref="F2153">_xlfn.IFS(Healthcare!$E2153&lt;5.7,"normal",Healthcare!$E2153&lt;=6.4,"prediabetes",Healthcare!$E2153&gt;=6.5,"diabetes")</f>
        <v>diabetes</v>
      </c>
      <c r="G2153" s="7" t="s">
        <v>19</v>
      </c>
      <c r="H2153" s="7" t="s">
        <v>19</v>
      </c>
      <c r="I2153" s="7" t="s">
        <v>19</v>
      </c>
      <c r="J2153" s="7">
        <v>0</v>
      </c>
      <c r="K2153" s="7" t="s">
        <v>19</v>
      </c>
      <c r="L2153" s="7" t="str">
        <f>VLOOKUP(Healthcare!$A2153,hospital_details,2,0)</f>
        <v>29-Jul-2002</v>
      </c>
      <c r="M2153" s="7">
        <f t="shared" ref="M2153:M2216" ca="1" si="12903">VLOOKUP(A2153,hospital_details,3,0)</f>
        <v>24</v>
      </c>
      <c r="N2153" s="7">
        <f t="shared" ref="N2153:N2216" si="12904">VLOOKUP($A2153,hospital_details,4,0)</f>
        <v>0</v>
      </c>
      <c r="O2153" s="8">
        <f t="shared" ref="O2153:O2216" si="12905">VLOOKUP($A2153,hospital_details,5,0)</f>
        <v>1967.02</v>
      </c>
      <c r="P2153" s="7" t="str">
        <f t="shared" ref="P2153:P2216" si="12906">VLOOKUP($A2153,hospital_details,6,0)</f>
        <v>tier - 3</v>
      </c>
      <c r="Q2153" s="7" t="str">
        <f t="shared" ref="Q2153:Q2216" si="12907">VLOOKUP($A2153,hospital_details,7,0)</f>
        <v>tier - 2</v>
      </c>
      <c r="R2153" s="7" t="str">
        <f t="shared" ref="R2153:R2216" si="12908">VLOOKUP($A2153,hospital_details,8,0)</f>
        <v>R1016</v>
      </c>
    </row>
    <row r="2154" spans="1:18" ht="14.4" customHeight="1" x14ac:dyDescent="0.3">
      <c r="A2154" s="5" t="s">
        <v>2174</v>
      </c>
      <c r="B2154" s="5" t="str">
        <f>VLOOKUP($A2154,[1]!Customer_Names[#Data],3,0)</f>
        <v xml:space="preserve">  Dj</v>
      </c>
      <c r="C2154" s="5">
        <v>22</v>
      </c>
      <c r="D2154" s="5" t="str" cm="1">
        <f t="array" ref="D2154">_xlfn.IFS(Healthcare!$C2154&lt;18.5,"under weight",Healthcare!$C2154&lt;=24.9,"Normal Weight",Healthcare!$C2154&gt;=25,"overweight",Healthcare!$C2154&gt;=30,"obese")</f>
        <v>Normal Weight</v>
      </c>
      <c r="E2154" s="5">
        <v>9.5</v>
      </c>
      <c r="F2154" s="5" t="str" cm="1">
        <f t="array" ref="F2154">_xlfn.IFS(Healthcare!$E2154&lt;5.7,"normal",Healthcare!$E2154&lt;=6.4,"prediabetes",Healthcare!$E2154&gt;=6.5,"diabetes")</f>
        <v>diabetes</v>
      </c>
      <c r="G2154" s="5" t="s">
        <v>19</v>
      </c>
      <c r="H2154" s="5" t="s">
        <v>19</v>
      </c>
      <c r="I2154" s="5" t="s">
        <v>19</v>
      </c>
      <c r="J2154" s="5">
        <v>0</v>
      </c>
      <c r="K2154" s="5" t="s">
        <v>19</v>
      </c>
      <c r="L2154" s="5" t="str">
        <f>VLOOKUP(Healthcare!$A2154,hospital_details,2,0)</f>
        <v>7-Sep-2002</v>
      </c>
      <c r="M2154" s="5">
        <f t="shared" ref="M2154:M2217" ca="1" si="12909">VLOOKUP(A2154,hospital_details,3,0)</f>
        <v>24</v>
      </c>
      <c r="N2154" s="5">
        <f t="shared" ref="N2154:N2217" si="12910">VLOOKUP($A2154,hospital_details,4,0)</f>
        <v>1</v>
      </c>
      <c r="O2154" s="6">
        <f t="shared" ref="O2154:O2217" si="12911">VLOOKUP($A2154,hospital_details,5,0)</f>
        <v>1964.78</v>
      </c>
      <c r="P2154" s="5" t="str">
        <f t="shared" ref="P2154:P2217" si="12912">VLOOKUP($A2154,hospital_details,6,0)</f>
        <v>tier - 3</v>
      </c>
      <c r="Q2154" s="5" t="str">
        <f t="shared" ref="Q2154:Q2217" si="12913">VLOOKUP($A2154,hospital_details,7,0)</f>
        <v>tier - 1</v>
      </c>
      <c r="R2154" s="5" t="str">
        <f t="shared" ref="R2154:R2217" si="12914">VLOOKUP($A2154,hospital_details,8,0)</f>
        <v>R1011</v>
      </c>
    </row>
    <row r="2155" spans="1:18" ht="14.4" customHeight="1" x14ac:dyDescent="0.3">
      <c r="A2155" s="7" t="s">
        <v>2175</v>
      </c>
      <c r="B2155" s="7" t="str">
        <f>VLOOKUP($A2155,[1]!Customer_Names[#Data],3,0)</f>
        <v xml:space="preserve">  Zachary A</v>
      </c>
      <c r="C2155" s="7">
        <v>36.86</v>
      </c>
      <c r="D2155" s="7" t="str" cm="1">
        <f t="array" ref="D2155">_xlfn.IFS(Healthcare!$C2155&lt;18.5,"under weight",Healthcare!$C2155&lt;=24.9,"Normal Weight",Healthcare!$C2155&gt;=25,"overweight",Healthcare!$C2155&gt;=30,"obese")</f>
        <v>overweight</v>
      </c>
      <c r="E2155" s="7">
        <v>4.97</v>
      </c>
      <c r="F2155" s="7" t="str" cm="1">
        <f t="array" ref="F2155">_xlfn.IFS(Healthcare!$E2155&lt;5.7,"normal",Healthcare!$E2155&lt;=6.4,"prediabetes",Healthcare!$E2155&gt;=6.5,"diabetes")</f>
        <v>normal</v>
      </c>
      <c r="G2155" s="7" t="s">
        <v>20</v>
      </c>
      <c r="H2155" s="7" t="s">
        <v>19</v>
      </c>
      <c r="I2155" s="7" t="s">
        <v>19</v>
      </c>
      <c r="J2155" s="7">
        <v>0</v>
      </c>
      <c r="K2155" s="7" t="s">
        <v>19</v>
      </c>
      <c r="L2155" s="7" t="str">
        <f>VLOOKUP(Healthcare!$A2155,hospital_details,2,0)</f>
        <v>9-Dec-2001</v>
      </c>
      <c r="M2155" s="7">
        <f t="shared" ref="M2155:M2218" ca="1" si="12915">VLOOKUP(A2155,hospital_details,3,0)</f>
        <v>24</v>
      </c>
      <c r="N2155" s="7">
        <f t="shared" ref="N2155:N2218" si="12916">VLOOKUP($A2155,hospital_details,4,0)</f>
        <v>0</v>
      </c>
      <c r="O2155" s="8">
        <f t="shared" ref="O2155:O2218" si="12917">VLOOKUP($A2155,hospital_details,5,0)</f>
        <v>1917.32</v>
      </c>
      <c r="P2155" s="7" t="str">
        <f t="shared" ref="P2155:P2218" si="12918">VLOOKUP($A2155,hospital_details,6,0)</f>
        <v>tier - 3</v>
      </c>
      <c r="Q2155" s="7" t="str">
        <f t="shared" ref="Q2155:Q2218" si="12919">VLOOKUP($A2155,hospital_details,7,0)</f>
        <v>tier - 2</v>
      </c>
      <c r="R2155" s="7" t="str">
        <f t="shared" ref="R2155:R2218" si="12920">VLOOKUP($A2155,hospital_details,8,0)</f>
        <v>R1012</v>
      </c>
    </row>
    <row r="2156" spans="1:18" ht="14.4" customHeight="1" x14ac:dyDescent="0.3">
      <c r="A2156" s="5" t="s">
        <v>2176</v>
      </c>
      <c r="B2156" s="5" t="str">
        <f>VLOOKUP($A2156,[1]!Customer_Names[#Data],3,0)</f>
        <v xml:space="preserve">  Brian W</v>
      </c>
      <c r="C2156" s="5">
        <v>31.254999999999999</v>
      </c>
      <c r="D2156" s="5" t="str" cm="1">
        <f t="array" ref="D2156">_xlfn.IFS(Healthcare!$C2156&lt;18.5,"under weight",Healthcare!$C2156&lt;=24.9,"Normal Weight",Healthcare!$C2156&gt;=25,"overweight",Healthcare!$C2156&gt;=30,"obese")</f>
        <v>overweight</v>
      </c>
      <c r="E2156" s="5">
        <v>5.49</v>
      </c>
      <c r="F2156" s="5" t="str" cm="1">
        <f t="array" ref="F2156">_xlfn.IFS(Healthcare!$E2156&lt;5.7,"normal",Healthcare!$E2156&lt;=6.4,"prediabetes",Healthcare!$E2156&gt;=6.5,"diabetes")</f>
        <v>normal</v>
      </c>
      <c r="G2156" s="5" t="s">
        <v>20</v>
      </c>
      <c r="H2156" s="5" t="s">
        <v>19</v>
      </c>
      <c r="I2156" s="5" t="s">
        <v>19</v>
      </c>
      <c r="J2156" s="5">
        <v>0</v>
      </c>
      <c r="K2156" s="5" t="s">
        <v>19</v>
      </c>
      <c r="L2156" s="5" t="str">
        <f>VLOOKUP(Healthcare!$A2156,hospital_details,2,0)</f>
        <v>3-Aug-2001</v>
      </c>
      <c r="M2156" s="5">
        <f t="shared" ref="M2156:M2219" ca="1" si="12921">VLOOKUP(A2156,hospital_details,3,0)</f>
        <v>25</v>
      </c>
      <c r="N2156" s="5">
        <f t="shared" ref="N2156:N2219" si="12922">VLOOKUP($A2156,hospital_details,4,0)</f>
        <v>0</v>
      </c>
      <c r="O2156" s="6">
        <f t="shared" ref="O2156:O2219" si="12923">VLOOKUP($A2156,hospital_details,5,0)</f>
        <v>1909.53</v>
      </c>
      <c r="P2156" s="5" t="str">
        <f t="shared" ref="P2156:P2219" si="12924">VLOOKUP($A2156,hospital_details,6,0)</f>
        <v>tier - 3</v>
      </c>
      <c r="Q2156" s="5" t="str">
        <f t="shared" ref="Q2156:Q2219" si="12925">VLOOKUP($A2156,hospital_details,7,0)</f>
        <v>tier - 3</v>
      </c>
      <c r="R2156" s="5" t="str">
        <f t="shared" ref="R2156:R2219" si="12926">VLOOKUP($A2156,hospital_details,8,0)</f>
        <v>R1012</v>
      </c>
    </row>
    <row r="2157" spans="1:18" ht="14.4" customHeight="1" x14ac:dyDescent="0.3">
      <c r="A2157" s="7" t="s">
        <v>2177</v>
      </c>
      <c r="B2157" s="7" t="str">
        <f>VLOOKUP($A2157,[1]!Customer_Names[#Data],3,0)</f>
        <v xml:space="preserve">  Joe</v>
      </c>
      <c r="C2157" s="7">
        <v>23.06</v>
      </c>
      <c r="D2157" s="7" t="str" cm="1">
        <f t="array" ref="D2157">_xlfn.IFS(Healthcare!$C2157&lt;18.5,"under weight",Healthcare!$C2157&lt;=24.9,"Normal Weight",Healthcare!$C2157&gt;=25,"overweight",Healthcare!$C2157&gt;=30,"obese")</f>
        <v>Normal Weight</v>
      </c>
      <c r="E2157" s="7">
        <v>4.47</v>
      </c>
      <c r="F2157" s="7" t="str" cm="1">
        <f t="array" ref="F2157">_xlfn.IFS(Healthcare!$E2157&lt;5.7,"normal",Healthcare!$E2157&lt;=6.4,"prediabetes",Healthcare!$E2157&gt;=6.5,"diabetes")</f>
        <v>normal</v>
      </c>
      <c r="G2157" s="7" t="s">
        <v>19</v>
      </c>
      <c r="H2157" s="7" t="s">
        <v>19</v>
      </c>
      <c r="I2157" s="7" t="s">
        <v>19</v>
      </c>
      <c r="J2157" s="7">
        <v>0</v>
      </c>
      <c r="K2157" s="7" t="s">
        <v>19</v>
      </c>
      <c r="L2157" s="7" t="str">
        <f>VLOOKUP(Healthcare!$A2157,hospital_details,2,0)</f>
        <v>6-Oct-1994</v>
      </c>
      <c r="M2157" s="7">
        <f t="shared" ref="M2157:M2220" ca="1" si="12927">VLOOKUP(A2157,hospital_details,3,0)</f>
        <v>32</v>
      </c>
      <c r="N2157" s="7">
        <f t="shared" ref="N2157:N2220" si="12928">VLOOKUP($A2157,hospital_details,4,0)</f>
        <v>0</v>
      </c>
      <c r="O2157" s="8">
        <f t="shared" ref="O2157:O2220" si="12929">VLOOKUP($A2157,hospital_details,5,0)</f>
        <v>1908.9</v>
      </c>
      <c r="P2157" s="7" t="str">
        <f t="shared" ref="P2157:P2220" si="12930">VLOOKUP($A2157,hospital_details,6,0)</f>
        <v>tier - 3</v>
      </c>
      <c r="Q2157" s="7" t="str">
        <f t="shared" ref="Q2157:Q2220" si="12931">VLOOKUP($A2157,hospital_details,7,0)</f>
        <v>tier - 3</v>
      </c>
      <c r="R2157" s="7" t="str">
        <f t="shared" ref="R2157:R2220" si="12932">VLOOKUP($A2157,hospital_details,8,0)</f>
        <v>R1013</v>
      </c>
    </row>
    <row r="2158" spans="1:18" ht="14.4" customHeight="1" x14ac:dyDescent="0.3">
      <c r="A2158" s="5" t="s">
        <v>2178</v>
      </c>
      <c r="B2158" s="5" t="str">
        <f>VLOOKUP($A2158,[1]!Customer_Names[#Data],3,0)</f>
        <v xml:space="preserve">  Stephen</v>
      </c>
      <c r="C2158" s="5">
        <v>28.975000000000001</v>
      </c>
      <c r="D2158" s="5" t="str" cm="1">
        <f t="array" ref="D2158">_xlfn.IFS(Healthcare!$C2158&lt;18.5,"under weight",Healthcare!$C2158&lt;=24.9,"Normal Weight",Healthcare!$C2158&gt;=25,"overweight",Healthcare!$C2158&gt;=30,"obese")</f>
        <v>overweight</v>
      </c>
      <c r="E2158" s="5">
        <v>4.34</v>
      </c>
      <c r="F2158" s="5" t="str" cm="1">
        <f t="array" ref="F2158">_xlfn.IFS(Healthcare!$E2158&lt;5.7,"normal",Healthcare!$E2158&lt;=6.4,"prediabetes",Healthcare!$E2158&gt;=6.5,"diabetes")</f>
        <v>normal</v>
      </c>
      <c r="G2158" s="5" t="s">
        <v>20</v>
      </c>
      <c r="H2158" s="5" t="s">
        <v>19</v>
      </c>
      <c r="I2158" s="5" t="s">
        <v>19</v>
      </c>
      <c r="J2158" s="5">
        <v>0</v>
      </c>
      <c r="K2158" s="5" t="s">
        <v>19</v>
      </c>
      <c r="L2158" s="5" t="str">
        <f>VLOOKUP(Healthcare!$A2158,hospital_details,2,0)</f>
        <v>10-Aug-2001</v>
      </c>
      <c r="M2158" s="5">
        <f t="shared" ref="M2158:M2221" ca="1" si="12933">VLOOKUP(A2158,hospital_details,3,0)</f>
        <v>25</v>
      </c>
      <c r="N2158" s="5">
        <f t="shared" ref="N2158:N2221" si="12934">VLOOKUP($A2158,hospital_details,4,0)</f>
        <v>0</v>
      </c>
      <c r="O2158" s="6">
        <f t="shared" ref="O2158:O2221" si="12935">VLOOKUP($A2158,hospital_details,5,0)</f>
        <v>1906.36</v>
      </c>
      <c r="P2158" s="5" t="str">
        <f t="shared" ref="P2158:P2221" si="12936">VLOOKUP($A2158,hospital_details,6,0)</f>
        <v>tier - 3</v>
      </c>
      <c r="Q2158" s="5" t="str">
        <f t="shared" ref="Q2158:Q2221" si="12937">VLOOKUP($A2158,hospital_details,7,0)</f>
        <v>tier - 1</v>
      </c>
      <c r="R2158" s="5" t="str">
        <f t="shared" ref="R2158:R2221" si="12938">VLOOKUP($A2158,hospital_details,8,0)</f>
        <v>R1012</v>
      </c>
    </row>
    <row r="2159" spans="1:18" ht="14.4" customHeight="1" x14ac:dyDescent="0.3">
      <c r="A2159" s="7" t="s">
        <v>2179</v>
      </c>
      <c r="B2159" s="7" t="str">
        <f>VLOOKUP($A2159,[1]!Customer_Names[#Data],3,0)</f>
        <v xml:space="preserve">  Ellen L</v>
      </c>
      <c r="C2159" s="7">
        <v>33.299999999999997</v>
      </c>
      <c r="D2159" s="7" t="str" cm="1">
        <f t="array" ref="D2159">_xlfn.IFS(Healthcare!$C2159&lt;18.5,"under weight",Healthcare!$C2159&lt;=24.9,"Normal Weight",Healthcare!$C2159&gt;=25,"overweight",Healthcare!$C2159&gt;=30,"obese")</f>
        <v>overweight</v>
      </c>
      <c r="E2159" s="7">
        <v>9.49</v>
      </c>
      <c r="F2159" s="7" t="str" cm="1">
        <f t="array" ref="F2159">_xlfn.IFS(Healthcare!$E2159&lt;5.7,"normal",Healthcare!$E2159&lt;=6.4,"prediabetes",Healthcare!$E2159&gt;=6.5,"diabetes")</f>
        <v>diabetes</v>
      </c>
      <c r="G2159" s="7" t="s">
        <v>19</v>
      </c>
      <c r="H2159" s="7" t="s">
        <v>19</v>
      </c>
      <c r="I2159" s="7" t="s">
        <v>19</v>
      </c>
      <c r="J2159" s="7">
        <v>0</v>
      </c>
      <c r="K2159" s="7" t="s">
        <v>19</v>
      </c>
      <c r="L2159" s="7" t="str">
        <f>VLOOKUP(Healthcare!$A2159,hospital_details,2,0)</f>
        <v>21-Aug-2002</v>
      </c>
      <c r="M2159" s="7">
        <f t="shared" ref="M2159:M2222" ca="1" si="12939">VLOOKUP(A2159,hospital_details,3,0)</f>
        <v>24</v>
      </c>
      <c r="N2159" s="7">
        <f t="shared" ref="N2159:N2222" si="12940">VLOOKUP($A2159,hospital_details,4,0)</f>
        <v>0</v>
      </c>
      <c r="O2159" s="8">
        <f t="shared" ref="O2159:O2222" si="12941">VLOOKUP($A2159,hospital_details,5,0)</f>
        <v>1880.49</v>
      </c>
      <c r="P2159" s="7" t="str">
        <f t="shared" ref="P2159:P2222" si="12942">VLOOKUP($A2159,hospital_details,6,0)</f>
        <v>tier - 3</v>
      </c>
      <c r="Q2159" s="7" t="str">
        <f t="shared" ref="Q2159:Q2222" si="12943">VLOOKUP($A2159,hospital_details,7,0)</f>
        <v>tier - 1</v>
      </c>
      <c r="R2159" s="7" t="str">
        <f t="shared" ref="R2159:R2222" si="12944">VLOOKUP($A2159,hospital_details,8,0)</f>
        <v>R1011</v>
      </c>
    </row>
    <row r="2160" spans="1:18" ht="14.4" customHeight="1" x14ac:dyDescent="0.3">
      <c r="A2160" s="5" t="s">
        <v>2180</v>
      </c>
      <c r="B2160" s="5" t="str">
        <f>VLOOKUP($A2160,[1]!Customer_Names[#Data],3,0)</f>
        <v xml:space="preserve">  Cindy</v>
      </c>
      <c r="C2160" s="5">
        <v>33</v>
      </c>
      <c r="D2160" s="5" t="str" cm="1">
        <f t="array" ref="D2160">_xlfn.IFS(Healthcare!$C2160&lt;18.5,"under weight",Healthcare!$C2160&lt;=24.9,"Normal Weight",Healthcare!$C2160&gt;=25,"overweight",Healthcare!$C2160&gt;=30,"obese")</f>
        <v>overweight</v>
      </c>
      <c r="E2160" s="5">
        <v>10.16</v>
      </c>
      <c r="F2160" s="5" t="str" cm="1">
        <f t="array" ref="F2160">_xlfn.IFS(Healthcare!$E2160&lt;5.7,"normal",Healthcare!$E2160&lt;=6.4,"prediabetes",Healthcare!$E2160&gt;=6.5,"diabetes")</f>
        <v>diabetes</v>
      </c>
      <c r="G2160" s="5" t="s">
        <v>19</v>
      </c>
      <c r="H2160" s="5" t="s">
        <v>19</v>
      </c>
      <c r="I2160" s="5" t="s">
        <v>19</v>
      </c>
      <c r="J2160" s="5">
        <v>0</v>
      </c>
      <c r="K2160" s="5" t="s">
        <v>19</v>
      </c>
      <c r="L2160" s="5" t="str">
        <f>VLOOKUP(Healthcare!$A2160,hospital_details,2,0)</f>
        <v>29-Aug-2002</v>
      </c>
      <c r="M2160" s="5">
        <f t="shared" ref="M2160:M2223" ca="1" si="12945">VLOOKUP(A2160,hospital_details,3,0)</f>
        <v>24</v>
      </c>
      <c r="N2160" s="5">
        <f t="shared" ref="N2160:N2223" si="12946">VLOOKUP($A2160,hospital_details,4,0)</f>
        <v>0</v>
      </c>
      <c r="O2160" s="6">
        <f t="shared" ref="O2160:O2223" si="12947">VLOOKUP($A2160,hospital_details,5,0)</f>
        <v>1880.07</v>
      </c>
      <c r="P2160" s="5" t="str">
        <f t="shared" ref="P2160:P2223" si="12948">VLOOKUP($A2160,hospital_details,6,0)</f>
        <v>tier - 3</v>
      </c>
      <c r="Q2160" s="5" t="str">
        <f t="shared" ref="Q2160:Q2223" si="12949">VLOOKUP($A2160,hospital_details,7,0)</f>
        <v>tier - 2</v>
      </c>
      <c r="R2160" s="5" t="str">
        <f t="shared" ref="R2160:R2223" si="12950">VLOOKUP($A2160,hospital_details,8,0)</f>
        <v>R1013</v>
      </c>
    </row>
    <row r="2161" spans="1:18" ht="14.4" customHeight="1" x14ac:dyDescent="0.3">
      <c r="A2161" s="7" t="s">
        <v>2181</v>
      </c>
      <c r="B2161" s="7" t="str">
        <f>VLOOKUP($A2161,[1]!Customer_Names[#Data],3,0)</f>
        <v xml:space="preserve">  Abigail R</v>
      </c>
      <c r="C2161" s="7">
        <v>31.46</v>
      </c>
      <c r="D2161" s="7" t="str" cm="1">
        <f t="array" ref="D2161">_xlfn.IFS(Healthcare!$C2161&lt;18.5,"under weight",Healthcare!$C2161&lt;=24.9,"Normal Weight",Healthcare!$C2161&gt;=25,"overweight",Healthcare!$C2161&gt;=30,"obese")</f>
        <v>overweight</v>
      </c>
      <c r="E2161" s="7">
        <v>11.19</v>
      </c>
      <c r="F2161" s="7" t="str" cm="1">
        <f t="array" ref="F2161">_xlfn.IFS(Healthcare!$E2161&lt;5.7,"normal",Healthcare!$E2161&lt;=6.4,"prediabetes",Healthcare!$E2161&gt;=6.5,"diabetes")</f>
        <v>diabetes</v>
      </c>
      <c r="G2161" s="7" t="s">
        <v>19</v>
      </c>
      <c r="H2161" s="7" t="s">
        <v>19</v>
      </c>
      <c r="I2161" s="7" t="s">
        <v>19</v>
      </c>
      <c r="J2161" s="7">
        <v>0</v>
      </c>
      <c r="K2161" s="7" t="s">
        <v>19</v>
      </c>
      <c r="L2161" s="7" t="str">
        <f>VLOOKUP(Healthcare!$A2161,hospital_details,2,0)</f>
        <v>29-Oct-2002</v>
      </c>
      <c r="M2161" s="7">
        <f t="shared" ref="M2161:M2224" ca="1" si="12951">VLOOKUP(A2161,hospital_details,3,0)</f>
        <v>23</v>
      </c>
      <c r="N2161" s="7">
        <f t="shared" ref="N2161:N2224" si="12952">VLOOKUP($A2161,hospital_details,4,0)</f>
        <v>0</v>
      </c>
      <c r="O2161" s="8">
        <f t="shared" ref="O2161:O2224" si="12953">VLOOKUP($A2161,hospital_details,5,0)</f>
        <v>1877.93</v>
      </c>
      <c r="P2161" s="7" t="str">
        <f t="shared" ref="P2161:P2224" si="12954">VLOOKUP($A2161,hospital_details,6,0)</f>
        <v>tier - 3</v>
      </c>
      <c r="Q2161" s="7" t="str">
        <f t="shared" ref="Q2161:Q2224" si="12955">VLOOKUP($A2161,hospital_details,7,0)</f>
        <v>tier - 1</v>
      </c>
      <c r="R2161" s="7" t="str">
        <f t="shared" ref="R2161:R2224" si="12956">VLOOKUP($A2161,hospital_details,8,0)</f>
        <v>R1013</v>
      </c>
    </row>
    <row r="2162" spans="1:18" ht="14.4" customHeight="1" x14ac:dyDescent="0.3">
      <c r="A2162" s="5" t="s">
        <v>2182</v>
      </c>
      <c r="B2162" s="5" t="str">
        <f>VLOOKUP($A2162,[1]!Customer_Names[#Data],3,0)</f>
        <v xml:space="preserve">  Amy L</v>
      </c>
      <c r="C2162" s="5">
        <v>29.6</v>
      </c>
      <c r="D2162" s="5" t="str" cm="1">
        <f t="array" ref="D2162">_xlfn.IFS(Healthcare!$C2162&lt;18.5,"under weight",Healthcare!$C2162&lt;=24.9,"Normal Weight",Healthcare!$C2162&gt;=25,"overweight",Healthcare!$C2162&gt;=30,"obese")</f>
        <v>overweight</v>
      </c>
      <c r="E2162" s="5">
        <v>11.03</v>
      </c>
      <c r="F2162" s="5" t="str" cm="1">
        <f t="array" ref="F2162">_xlfn.IFS(Healthcare!$E2162&lt;5.7,"normal",Healthcare!$E2162&lt;=6.4,"prediabetes",Healthcare!$E2162&gt;=6.5,"diabetes")</f>
        <v>diabetes</v>
      </c>
      <c r="G2162" s="5" t="s">
        <v>19</v>
      </c>
      <c r="H2162" s="5" t="s">
        <v>19</v>
      </c>
      <c r="I2162" s="5" t="s">
        <v>19</v>
      </c>
      <c r="J2162" s="5">
        <v>0</v>
      </c>
      <c r="K2162" s="5" t="s">
        <v>19</v>
      </c>
      <c r="L2162" s="5" t="str">
        <f>VLOOKUP(Healthcare!$A2162,hospital_details,2,0)</f>
        <v>22-Sep-2002</v>
      </c>
      <c r="M2162" s="5">
        <f t="shared" ref="M2162:M2225" ca="1" si="12957">VLOOKUP(A2162,hospital_details,3,0)</f>
        <v>24</v>
      </c>
      <c r="N2162" s="5">
        <f t="shared" ref="N2162:N2225" si="12958">VLOOKUP($A2162,hospital_details,4,0)</f>
        <v>0</v>
      </c>
      <c r="O2162" s="6">
        <f t="shared" ref="O2162:O2225" si="12959">VLOOKUP($A2162,hospital_details,5,0)</f>
        <v>1875.34</v>
      </c>
      <c r="P2162" s="5" t="str">
        <f t="shared" ref="P2162:P2225" si="12960">VLOOKUP($A2162,hospital_details,6,0)</f>
        <v>tier - 3</v>
      </c>
      <c r="Q2162" s="5" t="str">
        <f t="shared" ref="Q2162:Q2225" si="12961">VLOOKUP($A2162,hospital_details,7,0)</f>
        <v>tier - 2</v>
      </c>
      <c r="R2162" s="5" t="str">
        <f t="shared" ref="R2162:R2225" si="12962">VLOOKUP($A2162,hospital_details,8,0)</f>
        <v>R1011</v>
      </c>
    </row>
    <row r="2163" spans="1:18" ht="14.4" customHeight="1" x14ac:dyDescent="0.3">
      <c r="A2163" s="7" t="s">
        <v>2183</v>
      </c>
      <c r="B2163" s="7" t="str">
        <f>VLOOKUP($A2163,[1]!Customer_Names[#Data],3,0)</f>
        <v xml:space="preserve">  Amy</v>
      </c>
      <c r="C2163" s="7">
        <v>22.05</v>
      </c>
      <c r="D2163" s="7" t="str" cm="1">
        <f t="array" ref="D2163">_xlfn.IFS(Healthcare!$C2163&lt;18.5,"under weight",Healthcare!$C2163&lt;=24.9,"Normal Weight",Healthcare!$C2163&gt;=25,"overweight",Healthcare!$C2163&gt;=30,"obese")</f>
        <v>Normal Weight</v>
      </c>
      <c r="E2163" s="7">
        <v>4.43</v>
      </c>
      <c r="F2163" s="7" t="str" cm="1">
        <f t="array" ref="F2163">_xlfn.IFS(Healthcare!$E2163&lt;5.7,"normal",Healthcare!$E2163&lt;=6.4,"prediabetes",Healthcare!$E2163&gt;=6.5,"diabetes")</f>
        <v>normal</v>
      </c>
      <c r="G2163" s="7" t="s">
        <v>20</v>
      </c>
      <c r="H2163" s="7" t="s">
        <v>19</v>
      </c>
      <c r="I2163" s="7" t="s">
        <v>19</v>
      </c>
      <c r="J2163" s="7">
        <v>0</v>
      </c>
      <c r="K2163" s="7" t="s">
        <v>19</v>
      </c>
      <c r="L2163" s="7" t="str">
        <f>VLOOKUP(Healthcare!$A2163,hospital_details,2,0)</f>
        <v>2-Jul-1996</v>
      </c>
      <c r="M2163" s="7">
        <f t="shared" ref="M2163:M2226" ca="1" si="12963">VLOOKUP(A2163,hospital_details,3,0)</f>
        <v>30</v>
      </c>
      <c r="N2163" s="7">
        <f t="shared" ref="N2163:N2226" si="12964">VLOOKUP($A2163,hospital_details,4,0)</f>
        <v>0</v>
      </c>
      <c r="O2163" s="8">
        <f t="shared" ref="O2163:O2226" si="12965">VLOOKUP($A2163,hospital_details,5,0)</f>
        <v>1865.98</v>
      </c>
      <c r="P2163" s="7" t="str">
        <f t="shared" ref="P2163:P2226" si="12966">VLOOKUP($A2163,hospital_details,6,0)</f>
        <v>tier - 3</v>
      </c>
      <c r="Q2163" s="7" t="str">
        <f t="shared" ref="Q2163:Q2226" si="12967">VLOOKUP($A2163,hospital_details,7,0)</f>
        <v>tier - 3</v>
      </c>
      <c r="R2163" s="7" t="str">
        <f t="shared" ref="R2163:R2226" si="12968">VLOOKUP($A2163,hospital_details,8,0)</f>
        <v>R1012</v>
      </c>
    </row>
    <row r="2164" spans="1:18" ht="14.4" customHeight="1" x14ac:dyDescent="0.3">
      <c r="A2164" s="5" t="s">
        <v>2184</v>
      </c>
      <c r="B2164" s="5" t="str">
        <f>VLOOKUP($A2164,[1]!Customer_Names[#Data],3,0)</f>
        <v xml:space="preserve">  Grace H</v>
      </c>
      <c r="C2164" s="5">
        <v>27.06</v>
      </c>
      <c r="D2164" s="5" t="str" cm="1">
        <f t="array" ref="D2164">_xlfn.IFS(Healthcare!$C2164&lt;18.5,"under weight",Healthcare!$C2164&lt;=24.9,"Normal Weight",Healthcare!$C2164&gt;=25,"overweight",Healthcare!$C2164&gt;=30,"obese")</f>
        <v>overweight</v>
      </c>
      <c r="E2164" s="5">
        <v>6.14</v>
      </c>
      <c r="F2164" s="5" t="str" cm="1">
        <f t="array" ref="F2164">_xlfn.IFS(Healthcare!$E2164&lt;5.7,"normal",Healthcare!$E2164&lt;=6.4,"prediabetes",Healthcare!$E2164&gt;=6.5,"diabetes")</f>
        <v>prediabetes</v>
      </c>
      <c r="G2164" s="5" t="s">
        <v>19</v>
      </c>
      <c r="H2164" s="5" t="s">
        <v>20</v>
      </c>
      <c r="I2164" s="5" t="s">
        <v>19</v>
      </c>
      <c r="J2164" s="5">
        <v>1</v>
      </c>
      <c r="K2164" s="5" t="s">
        <v>19</v>
      </c>
      <c r="L2164" s="5" t="str">
        <f>VLOOKUP(Healthcare!$A2164,hospital_details,2,0)</f>
        <v>27-Dec-2004</v>
      </c>
      <c r="M2164" s="5">
        <f t="shared" ref="M2164:M2227" ca="1" si="12969">VLOOKUP(A2164,hospital_details,3,0)</f>
        <v>21</v>
      </c>
      <c r="N2164" s="5">
        <f t="shared" ref="N2164:N2227" si="12970">VLOOKUP($A2164,hospital_details,4,0)</f>
        <v>0</v>
      </c>
      <c r="O2164" s="6">
        <f t="shared" ref="O2164:O2227" si="12971">VLOOKUP($A2164,hospital_details,5,0)</f>
        <v>1863.45</v>
      </c>
      <c r="P2164" s="5" t="str">
        <f t="shared" ref="P2164:P2227" si="12972">VLOOKUP($A2164,hospital_details,6,0)</f>
        <v>tier - 3</v>
      </c>
      <c r="Q2164" s="5" t="str">
        <f t="shared" ref="Q2164:Q2227" si="12973">VLOOKUP($A2164,hospital_details,7,0)</f>
        <v>tier - 1</v>
      </c>
      <c r="R2164" s="5" t="str">
        <f t="shared" ref="R2164:R2227" si="12974">VLOOKUP($A2164,hospital_details,8,0)</f>
        <v>R1025</v>
      </c>
    </row>
    <row r="2165" spans="1:18" ht="14.4" customHeight="1" x14ac:dyDescent="0.3">
      <c r="A2165" s="7" t="s">
        <v>2185</v>
      </c>
      <c r="B2165" s="7" t="str">
        <f>VLOOKUP($A2165,[1]!Customer_Names[#Data],3,0)</f>
        <v xml:space="preserve">  Caitie J</v>
      </c>
      <c r="C2165" s="7">
        <v>20.49</v>
      </c>
      <c r="D2165" s="7" t="str" cm="1">
        <f t="array" ref="D2165">_xlfn.IFS(Healthcare!$C2165&lt;18.5,"under weight",Healthcare!$C2165&lt;=24.9,"Normal Weight",Healthcare!$C2165&gt;=25,"overweight",Healthcare!$C2165&gt;=30,"obese")</f>
        <v>Normal Weight</v>
      </c>
      <c r="E2165" s="7">
        <v>4.87</v>
      </c>
      <c r="F2165" s="7" t="str" cm="1">
        <f t="array" ref="F2165">_xlfn.IFS(Healthcare!$E2165&lt;5.7,"normal",Healthcare!$E2165&lt;=6.4,"prediabetes",Healthcare!$E2165&gt;=6.5,"diabetes")</f>
        <v>normal</v>
      </c>
      <c r="G2165" s="7" t="s">
        <v>19</v>
      </c>
      <c r="H2165" s="7" t="s">
        <v>19</v>
      </c>
      <c r="I2165" s="7" t="s">
        <v>19</v>
      </c>
      <c r="J2165" s="7">
        <v>0</v>
      </c>
      <c r="K2165" s="7" t="s">
        <v>19</v>
      </c>
      <c r="L2165" s="7" t="str">
        <f>VLOOKUP(Healthcare!$A2165,hospital_details,2,0)</f>
        <v>6-Dec-1994</v>
      </c>
      <c r="M2165" s="7">
        <f t="shared" ref="M2165:M2228" ca="1" si="12975">VLOOKUP(A2165,hospital_details,3,0)</f>
        <v>31</v>
      </c>
      <c r="N2165" s="7">
        <f t="shared" ref="N2165:N2228" si="12976">VLOOKUP($A2165,hospital_details,4,0)</f>
        <v>0</v>
      </c>
      <c r="O2165" s="8">
        <f t="shared" ref="O2165:O2228" si="12977">VLOOKUP($A2165,hospital_details,5,0)</f>
        <v>1850.55</v>
      </c>
      <c r="P2165" s="7" t="str">
        <f t="shared" ref="P2165:P2228" si="12978">VLOOKUP($A2165,hospital_details,6,0)</f>
        <v>tier - 3</v>
      </c>
      <c r="Q2165" s="7" t="str">
        <f t="shared" ref="Q2165:Q2228" si="12979">VLOOKUP($A2165,hospital_details,7,0)</f>
        <v>tier - 2</v>
      </c>
      <c r="R2165" s="7" t="str">
        <f t="shared" ref="R2165:R2228" si="12980">VLOOKUP($A2165,hospital_details,8,0)</f>
        <v>R1012</v>
      </c>
    </row>
    <row r="2166" spans="1:18" ht="14.4" customHeight="1" x14ac:dyDescent="0.3">
      <c r="A2166" s="5" t="s">
        <v>2186</v>
      </c>
      <c r="B2166" s="5" t="str">
        <f>VLOOKUP($A2166,[1]!Customer_Names[#Data],3,0)</f>
        <v xml:space="preserve">  Benjamin</v>
      </c>
      <c r="C2166" s="5">
        <v>28.4</v>
      </c>
      <c r="D2166" s="5" t="str" cm="1">
        <f t="array" ref="D2166">_xlfn.IFS(Healthcare!$C2166&lt;18.5,"under weight",Healthcare!$C2166&lt;=24.9,"Normal Weight",Healthcare!$C2166&gt;=25,"overweight",Healthcare!$C2166&gt;=30,"obese")</f>
        <v>overweight</v>
      </c>
      <c r="E2166" s="5">
        <v>4.3</v>
      </c>
      <c r="F2166" s="5" t="str" cm="1">
        <f t="array" ref="F2166">_xlfn.IFS(Healthcare!$E2166&lt;5.7,"normal",Healthcare!$E2166&lt;=6.4,"prediabetes",Healthcare!$E2166&gt;=6.5,"diabetes")</f>
        <v>normal</v>
      </c>
      <c r="G2166" s="5" t="s">
        <v>19</v>
      </c>
      <c r="H2166" s="5" t="s">
        <v>19</v>
      </c>
      <c r="I2166" s="5" t="s">
        <v>29</v>
      </c>
      <c r="J2166" s="5">
        <v>1</v>
      </c>
      <c r="K2166" s="5" t="s">
        <v>19</v>
      </c>
      <c r="L2166" s="5" t="str">
        <f>VLOOKUP(Healthcare!$A2166,hospital_details,2,0)</f>
        <v>20-Jul-2003</v>
      </c>
      <c r="M2166" s="5">
        <f t="shared" ref="M2166:M2229" ca="1" si="12981">VLOOKUP(A2166,hospital_details,3,0)</f>
        <v>23</v>
      </c>
      <c r="N2166" s="5">
        <f t="shared" ref="N2166:N2229" si="12982">VLOOKUP($A2166,hospital_details,4,0)</f>
        <v>1</v>
      </c>
      <c r="O2166" s="6">
        <f t="shared" ref="O2166:O2229" si="12983">VLOOKUP($A2166,hospital_details,5,0)</f>
        <v>1842.52</v>
      </c>
      <c r="P2166" s="5" t="str">
        <f t="shared" ref="P2166:P2229" si="12984">VLOOKUP($A2166,hospital_details,6,0)</f>
        <v>tier - 3</v>
      </c>
      <c r="Q2166" s="5" t="str">
        <f t="shared" ref="Q2166:Q2229" si="12985">VLOOKUP($A2166,hospital_details,7,0)</f>
        <v>tier - 2</v>
      </c>
      <c r="R2166" s="5" t="str">
        <f t="shared" ref="R2166:R2229" si="12986">VLOOKUP($A2166,hospital_details,8,0)</f>
        <v>R1011</v>
      </c>
    </row>
    <row r="2167" spans="1:18" ht="14.4" customHeight="1" x14ac:dyDescent="0.3">
      <c r="A2167" s="7" t="s">
        <v>2187</v>
      </c>
      <c r="B2167" s="7" t="str">
        <f>VLOOKUP($A2167,[1]!Customer_Names[#Data],3,0)</f>
        <v xml:space="preserve">  Ian T</v>
      </c>
      <c r="C2167" s="7">
        <v>41.91</v>
      </c>
      <c r="D2167" s="7" t="str" cm="1">
        <f t="array" ref="D2167">_xlfn.IFS(Healthcare!$C2167&lt;18.5,"under weight",Healthcare!$C2167&lt;=24.9,"Normal Weight",Healthcare!$C2167&gt;=25,"overweight",Healthcare!$C2167&gt;=30,"obese")</f>
        <v>overweight</v>
      </c>
      <c r="E2167" s="7">
        <v>6.19</v>
      </c>
      <c r="F2167" s="7" t="str" cm="1">
        <f t="array" ref="F2167">_xlfn.IFS(Healthcare!$E2167&lt;5.7,"normal",Healthcare!$E2167&lt;=6.4,"prediabetes",Healthcare!$E2167&gt;=6.5,"diabetes")</f>
        <v>prediabetes</v>
      </c>
      <c r="G2167" s="7" t="s">
        <v>19</v>
      </c>
      <c r="H2167" s="7" t="s">
        <v>19</v>
      </c>
      <c r="I2167" s="7" t="s">
        <v>19</v>
      </c>
      <c r="J2167" s="7">
        <v>0</v>
      </c>
      <c r="K2167" s="7" t="s">
        <v>19</v>
      </c>
      <c r="L2167" s="7" t="str">
        <f>VLOOKUP(Healthcare!$A2167,hospital_details,2,0)</f>
        <v>12-Dec-1999</v>
      </c>
      <c r="M2167" s="7">
        <f t="shared" ref="M2167:M2230" ca="1" si="12987">VLOOKUP(A2167,hospital_details,3,0)</f>
        <v>26</v>
      </c>
      <c r="N2167" s="7">
        <f t="shared" ref="N2167:N2230" si="12988">VLOOKUP($A2167,hospital_details,4,0)</f>
        <v>0</v>
      </c>
      <c r="O2167" s="8">
        <f t="shared" ref="O2167:O2230" si="12989">VLOOKUP($A2167,hospital_details,5,0)</f>
        <v>1837.28</v>
      </c>
      <c r="P2167" s="7" t="str">
        <f t="shared" ref="P2167:P2230" si="12990">VLOOKUP($A2167,hospital_details,6,0)</f>
        <v>tier - 3</v>
      </c>
      <c r="Q2167" s="7" t="str">
        <f t="shared" ref="Q2167:Q2230" si="12991">VLOOKUP($A2167,hospital_details,7,0)</f>
        <v>tier - 2</v>
      </c>
      <c r="R2167" s="7" t="str">
        <f t="shared" ref="R2167:R2230" si="12992">VLOOKUP($A2167,hospital_details,8,0)</f>
        <v>R1013</v>
      </c>
    </row>
    <row r="2168" spans="1:18" ht="14.4" customHeight="1" x14ac:dyDescent="0.3">
      <c r="A2168" s="5" t="s">
        <v>2188</v>
      </c>
      <c r="B2168" s="5" t="str">
        <f>VLOOKUP($A2168,[1]!Customer_Names[#Data],3,0)</f>
        <v xml:space="preserve">  Tadese</v>
      </c>
      <c r="C2168" s="5">
        <v>24.6</v>
      </c>
      <c r="D2168" s="5" t="str" cm="1">
        <f t="array" ref="D2168">_xlfn.IFS(Healthcare!$C2168&lt;18.5,"under weight",Healthcare!$C2168&lt;=24.9,"Normal Weight",Healthcare!$C2168&gt;=25,"overweight",Healthcare!$C2168&gt;=30,"obese")</f>
        <v>Normal Weight</v>
      </c>
      <c r="E2168" s="5">
        <v>6.19</v>
      </c>
      <c r="F2168" s="5" t="str" cm="1">
        <f t="array" ref="F2168">_xlfn.IFS(Healthcare!$E2168&lt;5.7,"normal",Healthcare!$E2168&lt;=6.4,"prediabetes",Healthcare!$E2168&gt;=6.5,"diabetes")</f>
        <v>prediabetes</v>
      </c>
      <c r="G2168" s="5" t="s">
        <v>19</v>
      </c>
      <c r="H2168" s="5" t="s">
        <v>19</v>
      </c>
      <c r="I2168" s="5" t="s">
        <v>29</v>
      </c>
      <c r="J2168" s="5">
        <v>1</v>
      </c>
      <c r="K2168" s="5" t="s">
        <v>19</v>
      </c>
      <c r="L2168" s="5" t="str">
        <f>VLOOKUP(Healthcare!$A2168,hospital_details,2,0)</f>
        <v>4-Aug-2003</v>
      </c>
      <c r="M2168" s="5">
        <f t="shared" ref="M2168:M2231" ca="1" si="12993">VLOOKUP(A2168,hospital_details,3,0)</f>
        <v>23</v>
      </c>
      <c r="N2168" s="5">
        <f t="shared" ref="N2168:N2231" si="12994">VLOOKUP($A2168,hospital_details,4,0)</f>
        <v>1</v>
      </c>
      <c r="O2168" s="6">
        <f t="shared" ref="O2168:O2231" si="12995">VLOOKUP($A2168,hospital_details,5,0)</f>
        <v>1837.24</v>
      </c>
      <c r="P2168" s="5" t="str">
        <f t="shared" ref="P2168:P2231" si="12996">VLOOKUP($A2168,hospital_details,6,0)</f>
        <v>tier - 3</v>
      </c>
      <c r="Q2168" s="5" t="str">
        <f t="shared" ref="Q2168:Q2231" si="12997">VLOOKUP($A2168,hospital_details,7,0)</f>
        <v>tier - 2</v>
      </c>
      <c r="R2168" s="5" t="str">
        <f t="shared" ref="R2168:R2231" si="12998">VLOOKUP($A2168,hospital_details,8,0)</f>
        <v>R1011</v>
      </c>
    </row>
    <row r="2169" spans="1:18" ht="14.4" customHeight="1" x14ac:dyDescent="0.3">
      <c r="A2169" s="7" t="s">
        <v>2189</v>
      </c>
      <c r="B2169" s="7" t="str">
        <f>VLOOKUP($A2169,[1]!Customer_Names[#Data],3,0)</f>
        <v xml:space="preserve">  Jonathan</v>
      </c>
      <c r="C2169" s="7">
        <v>20.9</v>
      </c>
      <c r="D2169" s="7" t="str" cm="1">
        <f t="array" ref="D2169">_xlfn.IFS(Healthcare!$C2169&lt;18.5,"under weight",Healthcare!$C2169&lt;=24.9,"Normal Weight",Healthcare!$C2169&gt;=25,"overweight",Healthcare!$C2169&gt;=30,"obese")</f>
        <v>Normal Weight</v>
      </c>
      <c r="E2169" s="7">
        <v>5.12</v>
      </c>
      <c r="F2169" s="7" t="str" cm="1">
        <f t="array" ref="F2169">_xlfn.IFS(Healthcare!$E2169&lt;5.7,"normal",Healthcare!$E2169&lt;=6.4,"prediabetes",Healthcare!$E2169&gt;=6.5,"diabetes")</f>
        <v>normal</v>
      </c>
      <c r="G2169" s="7" t="s">
        <v>19</v>
      </c>
      <c r="H2169" s="7" t="s">
        <v>19</v>
      </c>
      <c r="I2169" s="7" t="s">
        <v>29</v>
      </c>
      <c r="J2169" s="7">
        <v>1</v>
      </c>
      <c r="K2169" s="7" t="s">
        <v>19</v>
      </c>
      <c r="L2169" s="7" t="str">
        <f>VLOOKUP(Healthcare!$A2169,hospital_details,2,0)</f>
        <v>11-Aug-2003</v>
      </c>
      <c r="M2169" s="7">
        <f t="shared" ref="M2169:M2232" ca="1" si="12999">VLOOKUP(A2169,hospital_details,3,0)</f>
        <v>23</v>
      </c>
      <c r="N2169" s="7">
        <f t="shared" ref="N2169:N2232" si="13000">VLOOKUP($A2169,hospital_details,4,0)</f>
        <v>1</v>
      </c>
      <c r="O2169" s="8">
        <f t="shared" ref="O2169:O2232" si="13001">VLOOKUP($A2169,hospital_details,5,0)</f>
        <v>1832.09</v>
      </c>
      <c r="P2169" s="7" t="str">
        <f t="shared" ref="P2169:P2232" si="13002">VLOOKUP($A2169,hospital_details,6,0)</f>
        <v>tier - 3</v>
      </c>
      <c r="Q2169" s="7" t="str">
        <f t="shared" ref="Q2169:Q2232" si="13003">VLOOKUP($A2169,hospital_details,7,0)</f>
        <v>tier - 3</v>
      </c>
      <c r="R2169" s="7" t="str">
        <f t="shared" ref="R2169:R2232" si="13004">VLOOKUP($A2169,hospital_details,8,0)</f>
        <v>R1011</v>
      </c>
    </row>
    <row r="2170" spans="1:18" ht="14.4" customHeight="1" x14ac:dyDescent="0.3">
      <c r="A2170" s="5" t="s">
        <v>2190</v>
      </c>
      <c r="B2170" s="5" t="str">
        <f>VLOOKUP($A2170,[1]!Customer_Names[#Data],3,0)</f>
        <v xml:space="preserve">  Dathan</v>
      </c>
      <c r="C2170" s="5">
        <v>34.4</v>
      </c>
      <c r="D2170" s="5" t="str" cm="1">
        <f t="array" ref="D2170">_xlfn.IFS(Healthcare!$C2170&lt;18.5,"under weight",Healthcare!$C2170&lt;=24.9,"Normal Weight",Healthcare!$C2170&gt;=25,"overweight",Healthcare!$C2170&gt;=30,"obese")</f>
        <v>overweight</v>
      </c>
      <c r="E2170" s="5">
        <v>4.04</v>
      </c>
      <c r="F2170" s="5" t="str" cm="1">
        <f t="array" ref="F2170">_xlfn.IFS(Healthcare!$E2170&lt;5.7,"normal",Healthcare!$E2170&lt;=6.4,"prediabetes",Healthcare!$E2170&gt;=6.5,"diabetes")</f>
        <v>normal</v>
      </c>
      <c r="G2170" s="5" t="s">
        <v>19</v>
      </c>
      <c r="H2170" s="5" t="s">
        <v>19</v>
      </c>
      <c r="I2170" s="5" t="s">
        <v>19</v>
      </c>
      <c r="J2170" s="5">
        <v>0</v>
      </c>
      <c r="K2170" s="5" t="s">
        <v>19</v>
      </c>
      <c r="L2170" s="5" t="str">
        <f>VLOOKUP(Healthcare!$A2170,hospital_details,2,0)</f>
        <v>1-Oct-1999</v>
      </c>
      <c r="M2170" s="5">
        <f t="shared" ref="M2170:M2233" ca="1" si="13005">VLOOKUP(A2170,hospital_details,3,0)</f>
        <v>27</v>
      </c>
      <c r="N2170" s="5">
        <f t="shared" ref="N2170:N2233" si="13006">VLOOKUP($A2170,hospital_details,4,0)</f>
        <v>0</v>
      </c>
      <c r="O2170" s="6">
        <f t="shared" ref="O2170:O2233" si="13007">VLOOKUP($A2170,hospital_details,5,0)</f>
        <v>1826.84</v>
      </c>
      <c r="P2170" s="5" t="str">
        <f t="shared" ref="P2170:P2233" si="13008">VLOOKUP($A2170,hospital_details,6,0)</f>
        <v>tier - 3</v>
      </c>
      <c r="Q2170" s="5" t="str">
        <f t="shared" ref="Q2170:Q2233" si="13009">VLOOKUP($A2170,hospital_details,7,0)</f>
        <v>tier - 2</v>
      </c>
      <c r="R2170" s="5" t="str">
        <f t="shared" ref="R2170:R2233" si="13010">VLOOKUP($A2170,hospital_details,8,0)</f>
        <v>R1011</v>
      </c>
    </row>
    <row r="2171" spans="1:18" ht="14.4" customHeight="1" x14ac:dyDescent="0.3">
      <c r="A2171" s="7" t="s">
        <v>2191</v>
      </c>
      <c r="B2171" s="7" t="str">
        <f>VLOOKUP($A2171,[1]!Customer_Names[#Data],3,0)</f>
        <v xml:space="preserve">  Eric</v>
      </c>
      <c r="C2171" s="7">
        <v>32.56</v>
      </c>
      <c r="D2171" s="7" t="str" cm="1">
        <f t="array" ref="D2171">_xlfn.IFS(Healthcare!$C2171&lt;18.5,"under weight",Healthcare!$C2171&lt;=24.9,"Normal Weight",Healthcare!$C2171&gt;=25,"overweight",Healthcare!$C2171&gt;=30,"obese")</f>
        <v>overweight</v>
      </c>
      <c r="E2171" s="7">
        <v>5.36</v>
      </c>
      <c r="F2171" s="7" t="str" cm="1">
        <f t="array" ref="F2171">_xlfn.IFS(Healthcare!$E2171&lt;5.7,"normal",Healthcare!$E2171&lt;=6.4,"prediabetes",Healthcare!$E2171&gt;=6.5,"diabetes")</f>
        <v>normal</v>
      </c>
      <c r="G2171" s="7" t="s">
        <v>19</v>
      </c>
      <c r="H2171" s="7" t="s">
        <v>19</v>
      </c>
      <c r="I2171" s="7" t="s">
        <v>19</v>
      </c>
      <c r="J2171" s="7">
        <v>0</v>
      </c>
      <c r="K2171" s="7" t="s">
        <v>19</v>
      </c>
      <c r="L2171" s="7" t="str">
        <f>VLOOKUP(Healthcare!$A2171,hospital_details,2,0)</f>
        <v>17-Nov-1999</v>
      </c>
      <c r="M2171" s="7">
        <f t="shared" ref="M2171:M2234" ca="1" si="13011">VLOOKUP(A2171,hospital_details,3,0)</f>
        <v>26</v>
      </c>
      <c r="N2171" s="7">
        <f t="shared" ref="N2171:N2234" si="13012">VLOOKUP($A2171,hospital_details,4,0)</f>
        <v>0</v>
      </c>
      <c r="O2171" s="8">
        <f t="shared" ref="O2171:O2234" si="13013">VLOOKUP($A2171,hospital_details,5,0)</f>
        <v>1824.29</v>
      </c>
      <c r="P2171" s="7" t="str">
        <f t="shared" ref="P2171:P2234" si="13014">VLOOKUP($A2171,hospital_details,6,0)</f>
        <v>tier - 3</v>
      </c>
      <c r="Q2171" s="7" t="str">
        <f t="shared" ref="Q2171:Q2234" si="13015">VLOOKUP($A2171,hospital_details,7,0)</f>
        <v>tier - 3</v>
      </c>
      <c r="R2171" s="7" t="str">
        <f t="shared" ref="R2171:R2234" si="13016">VLOOKUP($A2171,hospital_details,8,0)</f>
        <v>R1013</v>
      </c>
    </row>
    <row r="2172" spans="1:18" ht="14.4" customHeight="1" x14ac:dyDescent="0.3">
      <c r="A2172" s="5" t="s">
        <v>2192</v>
      </c>
      <c r="B2172" s="5" t="str">
        <f>VLOOKUP($A2172,[1]!Customer_Names[#Data],3,0)</f>
        <v xml:space="preserve">  Allison M</v>
      </c>
      <c r="C2172" s="5">
        <v>27.98</v>
      </c>
      <c r="D2172" s="5" t="str" cm="1">
        <f t="array" ref="D2172">_xlfn.IFS(Healthcare!$C2172&lt;18.5,"under weight",Healthcare!$C2172&lt;=24.9,"Normal Weight",Healthcare!$C2172&gt;=25,"overweight",Healthcare!$C2172&gt;=30,"obese")</f>
        <v>overweight</v>
      </c>
      <c r="E2172" s="5">
        <v>4.38</v>
      </c>
      <c r="F2172" s="5" t="str" cm="1">
        <f t="array" ref="F2172">_xlfn.IFS(Healthcare!$E2172&lt;5.7,"normal",Healthcare!$E2172&lt;=6.4,"prediabetes",Healthcare!$E2172&gt;=6.5,"diabetes")</f>
        <v>normal</v>
      </c>
      <c r="G2172" s="5" t="s">
        <v>19</v>
      </c>
      <c r="H2172" s="5" t="s">
        <v>20</v>
      </c>
      <c r="I2172" s="5" t="s">
        <v>19</v>
      </c>
      <c r="J2172" s="5">
        <v>1</v>
      </c>
      <c r="K2172" s="5" t="s">
        <v>19</v>
      </c>
      <c r="L2172" s="5" t="str">
        <f>VLOOKUP(Healthcare!$A2172,hospital_details,2,0)</f>
        <v>19-Aug-2004</v>
      </c>
      <c r="M2172" s="5">
        <f t="shared" ref="M2172:M2235" ca="1" si="13017">VLOOKUP(A2172,hospital_details,3,0)</f>
        <v>22</v>
      </c>
      <c r="N2172" s="5">
        <f t="shared" ref="N2172:N2235" si="13018">VLOOKUP($A2172,hospital_details,4,0)</f>
        <v>0</v>
      </c>
      <c r="O2172" s="6">
        <f t="shared" ref="O2172:O2235" si="13019">VLOOKUP($A2172,hospital_details,5,0)</f>
        <v>1822.54</v>
      </c>
      <c r="P2172" s="5" t="str">
        <f t="shared" ref="P2172:P2235" si="13020">VLOOKUP($A2172,hospital_details,6,0)</f>
        <v>tier - 3</v>
      </c>
      <c r="Q2172" s="5" t="str">
        <f t="shared" ref="Q2172:Q2235" si="13021">VLOOKUP($A2172,hospital_details,7,0)</f>
        <v>tier - 1</v>
      </c>
      <c r="R2172" s="5" t="str">
        <f t="shared" ref="R2172:R2235" si="13022">VLOOKUP($A2172,hospital_details,8,0)</f>
        <v>R1012</v>
      </c>
    </row>
    <row r="2173" spans="1:18" ht="14.4" customHeight="1" x14ac:dyDescent="0.3">
      <c r="A2173" s="7" t="s">
        <v>2193</v>
      </c>
      <c r="B2173" s="7" t="str">
        <f>VLOOKUP($A2173,[1]!Customer_Names[#Data],3,0)</f>
        <v xml:space="preserve">  Paul</v>
      </c>
      <c r="C2173" s="7">
        <v>26.51</v>
      </c>
      <c r="D2173" s="7" t="str" cm="1">
        <f t="array" ref="D2173">_xlfn.IFS(Healthcare!$C2173&lt;18.5,"under weight",Healthcare!$C2173&lt;=24.9,"Normal Weight",Healthcare!$C2173&gt;=25,"overweight",Healthcare!$C2173&gt;=30,"obese")</f>
        <v>overweight</v>
      </c>
      <c r="E2173" s="7">
        <v>4.58</v>
      </c>
      <c r="F2173" s="7" t="str" cm="1">
        <f t="array" ref="F2173">_xlfn.IFS(Healthcare!$E2173&lt;5.7,"normal",Healthcare!$E2173&lt;=6.4,"prediabetes",Healthcare!$E2173&gt;=6.5,"diabetes")</f>
        <v>normal</v>
      </c>
      <c r="G2173" s="7" t="s">
        <v>19</v>
      </c>
      <c r="H2173" s="7" t="s">
        <v>19</v>
      </c>
      <c r="I2173" s="7" t="s">
        <v>19</v>
      </c>
      <c r="J2173" s="7">
        <v>0</v>
      </c>
      <c r="K2173" s="7" t="s">
        <v>19</v>
      </c>
      <c r="L2173" s="7" t="str">
        <f>VLOOKUP(Healthcare!$A2173,hospital_details,2,0)</f>
        <v>25-Sep-1999</v>
      </c>
      <c r="M2173" s="7">
        <f t="shared" ref="M2173:M2236" ca="1" si="13023">VLOOKUP(A2173,hospital_details,3,0)</f>
        <v>27</v>
      </c>
      <c r="N2173" s="7">
        <f t="shared" ref="N2173:N2236" si="13024">VLOOKUP($A2173,hospital_details,4,0)</f>
        <v>0</v>
      </c>
      <c r="O2173" s="8">
        <f t="shared" ref="O2173:O2236" si="13025">VLOOKUP($A2173,hospital_details,5,0)</f>
        <v>1815.88</v>
      </c>
      <c r="P2173" s="7" t="str">
        <f t="shared" ref="P2173:P2236" si="13026">VLOOKUP($A2173,hospital_details,6,0)</f>
        <v>tier - 3</v>
      </c>
      <c r="Q2173" s="7" t="str">
        <f t="shared" ref="Q2173:Q2236" si="13027">VLOOKUP($A2173,hospital_details,7,0)</f>
        <v>tier - 3</v>
      </c>
      <c r="R2173" s="7" t="str">
        <f t="shared" ref="R2173:R2236" si="13028">VLOOKUP($A2173,hospital_details,8,0)</f>
        <v>R1013</v>
      </c>
    </row>
    <row r="2174" spans="1:18" ht="14.4" customHeight="1" x14ac:dyDescent="0.3">
      <c r="A2174" s="5" t="s">
        <v>2194</v>
      </c>
      <c r="B2174" s="5" t="str">
        <f>VLOOKUP($A2174,[1]!Customer_Names[#Data],3,0)</f>
        <v xml:space="preserve">  Aaron R</v>
      </c>
      <c r="C2174" s="5">
        <v>29.734999999999999</v>
      </c>
      <c r="D2174" s="5" t="str" cm="1">
        <f t="array" ref="D2174">_xlfn.IFS(Healthcare!$C2174&lt;18.5,"under weight",Healthcare!$C2174&lt;=24.9,"Normal Weight",Healthcare!$C2174&gt;=25,"overweight",Healthcare!$C2174&gt;=30,"obese")</f>
        <v>overweight</v>
      </c>
      <c r="E2174" s="5">
        <v>11.92</v>
      </c>
      <c r="F2174" s="5" t="str" cm="1">
        <f t="array" ref="F2174">_xlfn.IFS(Healthcare!$E2174&lt;5.7,"normal",Healthcare!$E2174&lt;=6.4,"prediabetes",Healthcare!$E2174&gt;=6.5,"diabetes")</f>
        <v>diabetes</v>
      </c>
      <c r="G2174" s="5" t="s">
        <v>19</v>
      </c>
      <c r="H2174" s="5" t="s">
        <v>19</v>
      </c>
      <c r="I2174" s="5" t="s">
        <v>19</v>
      </c>
      <c r="J2174" s="5">
        <v>0</v>
      </c>
      <c r="K2174" s="5" t="s">
        <v>19</v>
      </c>
      <c r="L2174" s="5" t="str">
        <f>VLOOKUP(Healthcare!$A2174,hospital_details,2,0)</f>
        <v>13-Dec-2002</v>
      </c>
      <c r="M2174" s="5">
        <f t="shared" ref="M2174:M2237" ca="1" si="13029">VLOOKUP(A2174,hospital_details,3,0)</f>
        <v>23</v>
      </c>
      <c r="N2174" s="5">
        <f t="shared" ref="N2174:N2237" si="13030">VLOOKUP($A2174,hospital_details,4,0)</f>
        <v>0</v>
      </c>
      <c r="O2174" s="6">
        <f t="shared" ref="O2174:O2237" si="13031">VLOOKUP($A2174,hospital_details,5,0)</f>
        <v>1769.53</v>
      </c>
      <c r="P2174" s="5" t="str">
        <f t="shared" ref="P2174:P2237" si="13032">VLOOKUP($A2174,hospital_details,6,0)</f>
        <v>tier - 3</v>
      </c>
      <c r="Q2174" s="5" t="str">
        <f t="shared" ref="Q2174:Q2237" si="13033">VLOOKUP($A2174,hospital_details,7,0)</f>
        <v>tier - 3</v>
      </c>
      <c r="R2174" s="5" t="str">
        <f t="shared" ref="R2174:R2237" si="13034">VLOOKUP($A2174,hospital_details,8,0)</f>
        <v>R1012</v>
      </c>
    </row>
    <row r="2175" spans="1:18" ht="14.4" customHeight="1" x14ac:dyDescent="0.3">
      <c r="A2175" s="7" t="s">
        <v>2195</v>
      </c>
      <c r="B2175" s="7" t="str">
        <f>VLOOKUP($A2175,[1]!Customer_Names[#Data],3,0)</f>
        <v xml:space="preserve">  Caitlin H</v>
      </c>
      <c r="C2175" s="7">
        <v>40.5</v>
      </c>
      <c r="D2175" s="7" t="str" cm="1">
        <f t="array" ref="D2175">_xlfn.IFS(Healthcare!$C2175&lt;18.5,"under weight",Healthcare!$C2175&lt;=24.9,"Normal Weight",Healthcare!$C2175&gt;=25,"overweight",Healthcare!$C2175&gt;=30,"obese")</f>
        <v>overweight</v>
      </c>
      <c r="E2175" s="7">
        <v>5.4</v>
      </c>
      <c r="F2175" s="7" t="str" cm="1">
        <f t="array" ref="F2175">_xlfn.IFS(Healthcare!$E2175&lt;5.7,"normal",Healthcare!$E2175&lt;=6.4,"prediabetes",Healthcare!$E2175&gt;=6.5,"diabetes")</f>
        <v>normal</v>
      </c>
      <c r="G2175" s="7" t="s">
        <v>19</v>
      </c>
      <c r="H2175" s="7" t="s">
        <v>19</v>
      </c>
      <c r="I2175" s="7" t="s">
        <v>29</v>
      </c>
      <c r="J2175" s="7">
        <v>1</v>
      </c>
      <c r="K2175" s="7" t="s">
        <v>19</v>
      </c>
      <c r="L2175" s="7" t="str">
        <f>VLOOKUP(Healthcare!$A2175,hospital_details,2,0)</f>
        <v>19-Nov-2003</v>
      </c>
      <c r="M2175" s="7">
        <f t="shared" ref="M2175:M2238" ca="1" si="13035">VLOOKUP(A2175,hospital_details,3,0)</f>
        <v>22</v>
      </c>
      <c r="N2175" s="7">
        <f t="shared" ref="N2175:N2238" si="13036">VLOOKUP($A2175,hospital_details,4,0)</f>
        <v>0</v>
      </c>
      <c r="O2175" s="8">
        <f t="shared" ref="O2175:O2238" si="13037">VLOOKUP($A2175,hospital_details,5,0)</f>
        <v>1759.34</v>
      </c>
      <c r="P2175" s="7" t="str">
        <f t="shared" ref="P2175:P2238" si="13038">VLOOKUP($A2175,hospital_details,6,0)</f>
        <v>tier - 3</v>
      </c>
      <c r="Q2175" s="7" t="str">
        <f t="shared" ref="Q2175:Q2238" si="13039">VLOOKUP($A2175,hospital_details,7,0)</f>
        <v>tier - 1</v>
      </c>
      <c r="R2175" s="7" t="str">
        <f t="shared" ref="R2175:R2238" si="13040">VLOOKUP($A2175,hospital_details,8,0)</f>
        <v>R1011</v>
      </c>
    </row>
    <row r="2176" spans="1:18" ht="14.4" customHeight="1" x14ac:dyDescent="0.3">
      <c r="A2176" s="5" t="s">
        <v>2196</v>
      </c>
      <c r="B2176" s="5" t="str">
        <f>VLOOKUP($A2176,[1]!Customer_Names[#Data],3,0)</f>
        <v xml:space="preserve">  Harald E</v>
      </c>
      <c r="C2176" s="5">
        <v>25.64</v>
      </c>
      <c r="D2176" s="5" t="str" cm="1">
        <f t="array" ref="D2176">_xlfn.IFS(Healthcare!$C2176&lt;18.5,"under weight",Healthcare!$C2176&lt;=24.9,"Normal Weight",Healthcare!$C2176&gt;=25,"overweight",Healthcare!$C2176&gt;=30,"obese")</f>
        <v>overweight</v>
      </c>
      <c r="E2176" s="5">
        <v>4.76</v>
      </c>
      <c r="F2176" s="5" t="str" cm="1">
        <f t="array" ref="F2176">_xlfn.IFS(Healthcare!$E2176&lt;5.7,"normal",Healthcare!$E2176&lt;=6.4,"prediabetes",Healthcare!$E2176&gt;=6.5,"diabetes")</f>
        <v>normal</v>
      </c>
      <c r="G2176" s="5" t="s">
        <v>19</v>
      </c>
      <c r="H2176" s="5" t="s">
        <v>19</v>
      </c>
      <c r="I2176" s="5" t="s">
        <v>19</v>
      </c>
      <c r="J2176" s="5">
        <v>1</v>
      </c>
      <c r="K2176" s="5" t="s">
        <v>19</v>
      </c>
      <c r="L2176" s="5" t="str">
        <f>VLOOKUP(Healthcare!$A2176,hospital_details,2,0)</f>
        <v>7-Oct-1998</v>
      </c>
      <c r="M2176" s="5">
        <f t="shared" ref="M2176:M2239" ca="1" si="13041">VLOOKUP(A2176,hospital_details,3,0)</f>
        <v>28</v>
      </c>
      <c r="N2176" s="5">
        <f t="shared" ref="N2176:N2239" si="13042">VLOOKUP($A2176,hospital_details,4,0)</f>
        <v>0</v>
      </c>
      <c r="O2176" s="6">
        <f t="shared" ref="O2176:O2239" si="13043">VLOOKUP($A2176,hospital_details,5,0)</f>
        <v>1756.6</v>
      </c>
      <c r="P2176" s="5" t="str">
        <f t="shared" ref="P2176:P2239" si="13044">VLOOKUP($A2176,hospital_details,6,0)</f>
        <v>tier - 3</v>
      </c>
      <c r="Q2176" s="5" t="str">
        <f t="shared" ref="Q2176:Q2239" si="13045">VLOOKUP($A2176,hospital_details,7,0)</f>
        <v>tier - 3</v>
      </c>
      <c r="R2176" s="5" t="str">
        <f t="shared" ref="R2176:R2239" si="13046">VLOOKUP($A2176,hospital_details,8,0)</f>
        <v>R1013</v>
      </c>
    </row>
    <row r="2177" spans="1:18" ht="14.4" customHeight="1" x14ac:dyDescent="0.3">
      <c r="A2177" s="7" t="s">
        <v>2197</v>
      </c>
      <c r="B2177" s="7" t="str">
        <f>VLOOKUP($A2177,[1]!Customer_Names[#Data],3,0)</f>
        <v xml:space="preserve">  Siobhan A</v>
      </c>
      <c r="C2177" s="7">
        <v>32.9</v>
      </c>
      <c r="D2177" s="7" t="str" cm="1">
        <f t="array" ref="D2177">_xlfn.IFS(Healthcare!$C2177&lt;18.5,"under weight",Healthcare!$C2177&lt;=24.9,"Normal Weight",Healthcare!$C2177&gt;=25,"overweight",Healthcare!$C2177&gt;=30,"obese")</f>
        <v>overweight</v>
      </c>
      <c r="E2177" s="7">
        <v>4.78</v>
      </c>
      <c r="F2177" s="7" t="str" cm="1">
        <f t="array" ref="F2177">_xlfn.IFS(Healthcare!$E2177&lt;5.7,"normal",Healthcare!$E2177&lt;=6.4,"prediabetes",Healthcare!$E2177&gt;=6.5,"diabetes")</f>
        <v>normal</v>
      </c>
      <c r="G2177" s="7" t="s">
        <v>19</v>
      </c>
      <c r="H2177" s="7" t="s">
        <v>19</v>
      </c>
      <c r="I2177" s="7" t="s">
        <v>29</v>
      </c>
      <c r="J2177" s="7">
        <v>1</v>
      </c>
      <c r="K2177" s="7" t="s">
        <v>19</v>
      </c>
      <c r="L2177" s="7" t="str">
        <f>VLOOKUP(Healthcare!$A2177,hospital_details,2,0)</f>
        <v>26-Sep-2003</v>
      </c>
      <c r="M2177" s="7">
        <f t="shared" ref="M2177:M2240" ca="1" si="13047">VLOOKUP(A2177,hospital_details,3,0)</f>
        <v>23</v>
      </c>
      <c r="N2177" s="7">
        <f t="shared" ref="N2177:N2240" si="13048">VLOOKUP($A2177,hospital_details,4,0)</f>
        <v>0</v>
      </c>
      <c r="O2177" s="8">
        <f t="shared" ref="O2177:O2240" si="13049">VLOOKUP($A2177,hospital_details,5,0)</f>
        <v>1748.77</v>
      </c>
      <c r="P2177" s="7" t="str">
        <f t="shared" ref="P2177:P2240" si="13050">VLOOKUP($A2177,hospital_details,6,0)</f>
        <v>tier - 3</v>
      </c>
      <c r="Q2177" s="7" t="str">
        <f t="shared" ref="Q2177:Q2240" si="13051">VLOOKUP($A2177,hospital_details,7,0)</f>
        <v>tier - 1</v>
      </c>
      <c r="R2177" s="7" t="str">
        <f t="shared" ref="R2177:R2240" si="13052">VLOOKUP($A2177,hospital_details,8,0)</f>
        <v>R1011</v>
      </c>
    </row>
    <row r="2178" spans="1:18" ht="14.4" customHeight="1" x14ac:dyDescent="0.3">
      <c r="A2178" s="5" t="s">
        <v>2198</v>
      </c>
      <c r="B2178" s="5" t="str">
        <f>VLOOKUP($A2178,[1]!Customer_Names[#Data],3,0)</f>
        <v xml:space="preserve">  Andrea J</v>
      </c>
      <c r="C2178" s="5">
        <v>29.8</v>
      </c>
      <c r="D2178" s="5" t="str" cm="1">
        <f t="array" ref="D2178">_xlfn.IFS(Healthcare!$C2178&lt;18.5,"under weight",Healthcare!$C2178&lt;=24.9,"Normal Weight",Healthcare!$C2178&gt;=25,"overweight",Healthcare!$C2178&gt;=30,"obese")</f>
        <v>overweight</v>
      </c>
      <c r="E2178" s="5">
        <v>4.26</v>
      </c>
      <c r="F2178" s="5" t="str" cm="1">
        <f t="array" ref="F2178">_xlfn.IFS(Healthcare!$E2178&lt;5.7,"normal",Healthcare!$E2178&lt;=6.4,"prediabetes",Healthcare!$E2178&gt;=6.5,"diabetes")</f>
        <v>normal</v>
      </c>
      <c r="G2178" s="5" t="s">
        <v>19</v>
      </c>
      <c r="H2178" s="5" t="s">
        <v>19</v>
      </c>
      <c r="I2178" s="5" t="s">
        <v>29</v>
      </c>
      <c r="J2178" s="5">
        <v>1</v>
      </c>
      <c r="K2178" s="5" t="s">
        <v>19</v>
      </c>
      <c r="L2178" s="5" t="str">
        <f>VLOOKUP(Healthcare!$A2178,hospital_details,2,0)</f>
        <v>28-Jul-2003</v>
      </c>
      <c r="M2178" s="5">
        <f t="shared" ref="M2178:M2241" ca="1" si="13053">VLOOKUP(A2178,hospital_details,3,0)</f>
        <v>23</v>
      </c>
      <c r="N2178" s="5">
        <f t="shared" ref="N2178:N2241" si="13054">VLOOKUP($A2178,hospital_details,4,0)</f>
        <v>0</v>
      </c>
      <c r="O2178" s="6">
        <f t="shared" ref="O2178:O2241" si="13055">VLOOKUP($A2178,hospital_details,5,0)</f>
        <v>1744.47</v>
      </c>
      <c r="P2178" s="5" t="str">
        <f t="shared" ref="P2178:P2241" si="13056">VLOOKUP($A2178,hospital_details,6,0)</f>
        <v>tier - 3</v>
      </c>
      <c r="Q2178" s="5" t="str">
        <f t="shared" ref="Q2178:Q2241" si="13057">VLOOKUP($A2178,hospital_details,7,0)</f>
        <v>tier - 1</v>
      </c>
      <c r="R2178" s="5" t="str">
        <f t="shared" ref="R2178:R2241" si="13058">VLOOKUP($A2178,hospital_details,8,0)</f>
        <v>R1011</v>
      </c>
    </row>
    <row r="2179" spans="1:18" ht="14.4" customHeight="1" x14ac:dyDescent="0.3">
      <c r="A2179" s="7" t="s">
        <v>2199</v>
      </c>
      <c r="B2179" s="7" t="str">
        <f>VLOOKUP($A2179,[1]!Customer_Names[#Data],3,0)</f>
        <v xml:space="preserve">  Marie</v>
      </c>
      <c r="C2179" s="7">
        <v>28.9</v>
      </c>
      <c r="D2179" s="7" t="str" cm="1">
        <f t="array" ref="D2179">_xlfn.IFS(Healthcare!$C2179&lt;18.5,"under weight",Healthcare!$C2179&lt;=24.9,"Normal Weight",Healthcare!$C2179&gt;=25,"overweight",Healthcare!$C2179&gt;=30,"obese")</f>
        <v>overweight</v>
      </c>
      <c r="E2179" s="7">
        <v>5.85</v>
      </c>
      <c r="F2179" s="7" t="str" cm="1">
        <f t="array" ref="F2179">_xlfn.IFS(Healthcare!$E2179&lt;5.7,"normal",Healthcare!$E2179&lt;=6.4,"prediabetes",Healthcare!$E2179&gt;=6.5,"diabetes")</f>
        <v>prediabetes</v>
      </c>
      <c r="G2179" s="7" t="s">
        <v>19</v>
      </c>
      <c r="H2179" s="7" t="s">
        <v>19</v>
      </c>
      <c r="I2179" s="7" t="s">
        <v>29</v>
      </c>
      <c r="J2179" s="7">
        <v>1</v>
      </c>
      <c r="K2179" s="7" t="s">
        <v>19</v>
      </c>
      <c r="L2179" s="7" t="str">
        <f>VLOOKUP(Healthcare!$A2179,hospital_details,2,0)</f>
        <v>25-Jul-2003</v>
      </c>
      <c r="M2179" s="7">
        <f t="shared" ref="M2179:M2242" ca="1" si="13059">VLOOKUP(A2179,hospital_details,3,0)</f>
        <v>23</v>
      </c>
      <c r="N2179" s="7">
        <f t="shared" ref="N2179:N2242" si="13060">VLOOKUP($A2179,hospital_details,4,0)</f>
        <v>0</v>
      </c>
      <c r="O2179" s="8">
        <f t="shared" ref="O2179:O2242" si="13061">VLOOKUP($A2179,hospital_details,5,0)</f>
        <v>1743.21</v>
      </c>
      <c r="P2179" s="7" t="str">
        <f t="shared" ref="P2179:P2242" si="13062">VLOOKUP($A2179,hospital_details,6,0)</f>
        <v>tier - 3</v>
      </c>
      <c r="Q2179" s="7" t="str">
        <f t="shared" ref="Q2179:Q2242" si="13063">VLOOKUP($A2179,hospital_details,7,0)</f>
        <v>tier - 1</v>
      </c>
      <c r="R2179" s="7" t="str">
        <f t="shared" ref="R2179:R2242" si="13064">VLOOKUP($A2179,hospital_details,8,0)</f>
        <v>R1011</v>
      </c>
    </row>
    <row r="2180" spans="1:18" ht="14.4" customHeight="1" x14ac:dyDescent="0.3">
      <c r="A2180" s="5" t="s">
        <v>2200</v>
      </c>
      <c r="B2180" s="5" t="str">
        <f>VLOOKUP($A2180,[1]!Customer_Names[#Data],3,0)</f>
        <v xml:space="preserve">  Rachel A</v>
      </c>
      <c r="C2180" s="5">
        <v>24.7</v>
      </c>
      <c r="D2180" s="5" t="str" cm="1">
        <f t="array" ref="D2180">_xlfn.IFS(Healthcare!$C2180&lt;18.5,"under weight",Healthcare!$C2180&lt;=24.9,"Normal Weight",Healthcare!$C2180&gt;=25,"overweight",Healthcare!$C2180&gt;=30,"obese")</f>
        <v>Normal Weight</v>
      </c>
      <c r="E2180" s="5">
        <v>5.32</v>
      </c>
      <c r="F2180" s="5" t="str" cm="1">
        <f t="array" ref="F2180">_xlfn.IFS(Healthcare!$E2180&lt;5.7,"normal",Healthcare!$E2180&lt;=6.4,"prediabetes",Healthcare!$E2180&gt;=6.5,"diabetes")</f>
        <v>normal</v>
      </c>
      <c r="G2180" s="5" t="s">
        <v>19</v>
      </c>
      <c r="H2180" s="5" t="s">
        <v>19</v>
      </c>
      <c r="I2180" s="5" t="s">
        <v>29</v>
      </c>
      <c r="J2180" s="5">
        <v>1</v>
      </c>
      <c r="K2180" s="5" t="s">
        <v>19</v>
      </c>
      <c r="L2180" s="5" t="str">
        <f>VLOOKUP(Healthcare!$A2180,hospital_details,2,0)</f>
        <v>14-Nov-2003</v>
      </c>
      <c r="M2180" s="5">
        <f t="shared" ref="M2180:M2243" ca="1" si="13065">VLOOKUP(A2180,hospital_details,3,0)</f>
        <v>22</v>
      </c>
      <c r="N2180" s="5">
        <f t="shared" ref="N2180:N2243" si="13066">VLOOKUP($A2180,hospital_details,4,0)</f>
        <v>0</v>
      </c>
      <c r="O2180" s="6">
        <f t="shared" ref="O2180:O2243" si="13067">VLOOKUP($A2180,hospital_details,5,0)</f>
        <v>1737.38</v>
      </c>
      <c r="P2180" s="5" t="str">
        <f t="shared" ref="P2180:P2243" si="13068">VLOOKUP($A2180,hospital_details,6,0)</f>
        <v>tier - 3</v>
      </c>
      <c r="Q2180" s="5" t="str">
        <f t="shared" ref="Q2180:Q2243" si="13069">VLOOKUP($A2180,hospital_details,7,0)</f>
        <v>tier - 2</v>
      </c>
      <c r="R2180" s="5" t="str">
        <f t="shared" ref="R2180:R2243" si="13070">VLOOKUP($A2180,hospital_details,8,0)</f>
        <v>R1011</v>
      </c>
    </row>
    <row r="2181" spans="1:18" ht="14.4" customHeight="1" x14ac:dyDescent="0.3">
      <c r="A2181" s="7" t="s">
        <v>2201</v>
      </c>
      <c r="B2181" s="7" t="str">
        <f>VLOOKUP($A2181,[1]!Customer_Names[#Data],3,0)</f>
        <v xml:space="preserve">  Emma</v>
      </c>
      <c r="C2181" s="7">
        <v>20.6</v>
      </c>
      <c r="D2181" s="7" t="str" cm="1">
        <f t="array" ref="D2181">_xlfn.IFS(Healthcare!$C2181&lt;18.5,"under weight",Healthcare!$C2181&lt;=24.9,"Normal Weight",Healthcare!$C2181&gt;=25,"overweight",Healthcare!$C2181&gt;=30,"obese")</f>
        <v>Normal Weight</v>
      </c>
      <c r="E2181" s="7">
        <v>5.14</v>
      </c>
      <c r="F2181" s="7" t="str" cm="1">
        <f t="array" ref="F2181">_xlfn.IFS(Healthcare!$E2181&lt;5.7,"normal",Healthcare!$E2181&lt;=6.4,"prediabetes",Healthcare!$E2181&gt;=6.5,"diabetes")</f>
        <v>normal</v>
      </c>
      <c r="G2181" s="7" t="s">
        <v>19</v>
      </c>
      <c r="H2181" s="7" t="s">
        <v>19</v>
      </c>
      <c r="I2181" s="7" t="s">
        <v>29</v>
      </c>
      <c r="J2181" s="7">
        <v>1</v>
      </c>
      <c r="K2181" s="7" t="s">
        <v>19</v>
      </c>
      <c r="L2181" s="7" t="str">
        <f>VLOOKUP(Healthcare!$A2181,hospital_details,2,0)</f>
        <v>9-Nov-2003</v>
      </c>
      <c r="M2181" s="7">
        <f t="shared" ref="M2181:M2244" ca="1" si="13071">VLOOKUP(A2181,hospital_details,3,0)</f>
        <v>22</v>
      </c>
      <c r="N2181" s="7">
        <f t="shared" ref="N2181:N2244" si="13072">VLOOKUP($A2181,hospital_details,4,0)</f>
        <v>0</v>
      </c>
      <c r="O2181" s="8">
        <f t="shared" ref="O2181:O2244" si="13073">VLOOKUP($A2181,hospital_details,5,0)</f>
        <v>1731.68</v>
      </c>
      <c r="P2181" s="7" t="str">
        <f t="shared" ref="P2181:P2244" si="13074">VLOOKUP($A2181,hospital_details,6,0)</f>
        <v>tier - 3</v>
      </c>
      <c r="Q2181" s="7" t="str">
        <f t="shared" ref="Q2181:Q2244" si="13075">VLOOKUP($A2181,hospital_details,7,0)</f>
        <v>tier - 2</v>
      </c>
      <c r="R2181" s="7" t="str">
        <f t="shared" ref="R2181:R2244" si="13076">VLOOKUP($A2181,hospital_details,8,0)</f>
        <v>R1011</v>
      </c>
    </row>
    <row r="2182" spans="1:18" ht="14.4" customHeight="1" x14ac:dyDescent="0.3">
      <c r="A2182" s="5" t="s">
        <v>2202</v>
      </c>
      <c r="B2182" s="5" t="str">
        <f>VLOOKUP($A2182,[1]!Customer_Names[#Data],3,0)</f>
        <v xml:space="preserve">  Kiersten</v>
      </c>
      <c r="C2182" s="5">
        <v>18.600000000000001</v>
      </c>
      <c r="D2182" s="5" t="str" cm="1">
        <f t="array" ref="D2182">_xlfn.IFS(Healthcare!$C2182&lt;18.5,"under weight",Healthcare!$C2182&lt;=24.9,"Normal Weight",Healthcare!$C2182&gt;=25,"overweight",Healthcare!$C2182&gt;=30,"obese")</f>
        <v>Normal Weight</v>
      </c>
      <c r="E2182" s="5">
        <v>5</v>
      </c>
      <c r="F2182" s="5" t="str" cm="1">
        <f t="array" ref="F2182">_xlfn.IFS(Healthcare!$E2182&lt;5.7,"normal",Healthcare!$E2182&lt;=6.4,"prediabetes",Healthcare!$E2182&gt;=6.5,"diabetes")</f>
        <v>normal</v>
      </c>
      <c r="G2182" s="5" t="s">
        <v>19</v>
      </c>
      <c r="H2182" s="5" t="s">
        <v>19</v>
      </c>
      <c r="I2182" s="5" t="s">
        <v>29</v>
      </c>
      <c r="J2182" s="5">
        <v>1</v>
      </c>
      <c r="K2182" s="5" t="s">
        <v>19</v>
      </c>
      <c r="L2182" s="5" t="str">
        <f>VLOOKUP(Healthcare!$A2182,hospital_details,2,0)</f>
        <v>1-Sep-2003</v>
      </c>
      <c r="M2182" s="5">
        <f t="shared" ref="M2182:M2245" ca="1" si="13077">VLOOKUP(A2182,hospital_details,3,0)</f>
        <v>23</v>
      </c>
      <c r="N2182" s="5">
        <f t="shared" ref="N2182:N2245" si="13078">VLOOKUP($A2182,hospital_details,4,0)</f>
        <v>0</v>
      </c>
      <c r="O2182" s="6">
        <f t="shared" ref="O2182:O2245" si="13079">VLOOKUP($A2182,hospital_details,5,0)</f>
        <v>1728.9</v>
      </c>
      <c r="P2182" s="5" t="str">
        <f t="shared" ref="P2182:P2245" si="13080">VLOOKUP($A2182,hospital_details,6,0)</f>
        <v>tier - 3</v>
      </c>
      <c r="Q2182" s="5" t="str">
        <f t="shared" ref="Q2182:Q2245" si="13081">VLOOKUP($A2182,hospital_details,7,0)</f>
        <v>tier - 2</v>
      </c>
      <c r="R2182" s="5" t="str">
        <f t="shared" ref="R2182:R2245" si="13082">VLOOKUP($A2182,hospital_details,8,0)</f>
        <v>R1011</v>
      </c>
    </row>
    <row r="2183" spans="1:18" ht="14.4" customHeight="1" x14ac:dyDescent="0.3">
      <c r="A2183" s="7" t="s">
        <v>2203</v>
      </c>
      <c r="B2183" s="7" t="str">
        <f>VLOOKUP($A2183,[1]!Customer_Names[#Data],3,0)</f>
        <v xml:space="preserve">  Rachael</v>
      </c>
      <c r="C2183" s="7">
        <v>17.8</v>
      </c>
      <c r="D2183" s="7" t="str" cm="1">
        <f t="array" ref="D2183">_xlfn.IFS(Healthcare!$C2183&lt;18.5,"under weight",Healthcare!$C2183&lt;=24.9,"Normal Weight",Healthcare!$C2183&gt;=25,"overweight",Healthcare!$C2183&gt;=30,"obese")</f>
        <v>under weight</v>
      </c>
      <c r="E2183" s="7">
        <v>4.55</v>
      </c>
      <c r="F2183" s="7" t="str" cm="1">
        <f t="array" ref="F2183">_xlfn.IFS(Healthcare!$E2183&lt;5.7,"normal",Healthcare!$E2183&lt;=6.4,"prediabetes",Healthcare!$E2183&gt;=6.5,"diabetes")</f>
        <v>normal</v>
      </c>
      <c r="G2183" s="7" t="s">
        <v>19</v>
      </c>
      <c r="H2183" s="7" t="s">
        <v>19</v>
      </c>
      <c r="I2183" s="7" t="s">
        <v>29</v>
      </c>
      <c r="J2183" s="7">
        <v>1</v>
      </c>
      <c r="K2183" s="7" t="s">
        <v>19</v>
      </c>
      <c r="L2183" s="7" t="str">
        <f>VLOOKUP(Healthcare!$A2183,hospital_details,2,0)</f>
        <v>21-Nov-2003</v>
      </c>
      <c r="M2183" s="7">
        <f t="shared" ref="M2183:M2246" ca="1" si="13083">VLOOKUP(A2183,hospital_details,3,0)</f>
        <v>22</v>
      </c>
      <c r="N2183" s="7">
        <f t="shared" ref="N2183:N2246" si="13084">VLOOKUP($A2183,hospital_details,4,0)</f>
        <v>0</v>
      </c>
      <c r="O2183" s="8">
        <f t="shared" ref="O2183:O2246" si="13085">VLOOKUP($A2183,hospital_details,5,0)</f>
        <v>1727.79</v>
      </c>
      <c r="P2183" s="7" t="str">
        <f t="shared" ref="P2183:P2246" si="13086">VLOOKUP($A2183,hospital_details,6,0)</f>
        <v>tier - 3</v>
      </c>
      <c r="Q2183" s="7" t="str">
        <f t="shared" ref="Q2183:Q2246" si="13087">VLOOKUP($A2183,hospital_details,7,0)</f>
        <v>tier - 3</v>
      </c>
      <c r="R2183" s="7" t="str">
        <f t="shared" ref="R2183:R2246" si="13088">VLOOKUP($A2183,hospital_details,8,0)</f>
        <v>R1011</v>
      </c>
    </row>
    <row r="2184" spans="1:18" ht="14.4" customHeight="1" x14ac:dyDescent="0.3">
      <c r="A2184" s="5" t="s">
        <v>2204</v>
      </c>
      <c r="B2184" s="5" t="str">
        <f>VLOOKUP($A2184,[1]!Customer_Names[#Data],3,0)</f>
        <v xml:space="preserve">  Timothy P</v>
      </c>
      <c r="C2184" s="5">
        <v>35.200000000000003</v>
      </c>
      <c r="D2184" s="5" t="str" cm="1">
        <f t="array" ref="D2184">_xlfn.IFS(Healthcare!$C2184&lt;18.5,"under weight",Healthcare!$C2184&lt;=24.9,"Normal Weight",Healthcare!$C2184&gt;=25,"overweight",Healthcare!$C2184&gt;=30,"obese")</f>
        <v>overweight</v>
      </c>
      <c r="E2184" s="5">
        <v>5.97</v>
      </c>
      <c r="F2184" s="5" t="str" cm="1">
        <f t="array" ref="F2184">_xlfn.IFS(Healthcare!$E2184&lt;5.7,"normal",Healthcare!$E2184&lt;=6.4,"prediabetes",Healthcare!$E2184&gt;=6.5,"diabetes")</f>
        <v>prediabetes</v>
      </c>
      <c r="G2184" s="5" t="s">
        <v>19</v>
      </c>
      <c r="H2184" s="5" t="s">
        <v>20</v>
      </c>
      <c r="I2184" s="5" t="s">
        <v>19</v>
      </c>
      <c r="J2184" s="5">
        <v>1</v>
      </c>
      <c r="K2184" s="5" t="s">
        <v>19</v>
      </c>
      <c r="L2184" s="5" t="str">
        <f>VLOOKUP(Healthcare!$A2184,hospital_details,2,0)</f>
        <v>9-Sep-2004</v>
      </c>
      <c r="M2184" s="5">
        <f t="shared" ref="M2184:M2247" ca="1" si="13089">VLOOKUP(A2184,hospital_details,3,0)</f>
        <v>22</v>
      </c>
      <c r="N2184" s="5">
        <f t="shared" ref="N2184:N2247" si="13090">VLOOKUP($A2184,hospital_details,4,0)</f>
        <v>1</v>
      </c>
      <c r="O2184" s="6">
        <f t="shared" ref="O2184:O2247" si="13091">VLOOKUP($A2184,hospital_details,5,0)</f>
        <v>1727.54</v>
      </c>
      <c r="P2184" s="5" t="str">
        <f t="shared" ref="P2184:P2247" si="13092">VLOOKUP($A2184,hospital_details,6,0)</f>
        <v>tier - 3</v>
      </c>
      <c r="Q2184" s="5" t="str">
        <f t="shared" ref="Q2184:Q2247" si="13093">VLOOKUP($A2184,hospital_details,7,0)</f>
        <v>tier - 1</v>
      </c>
      <c r="R2184" s="5" t="str">
        <f t="shared" ref="R2184:R2247" si="13094">VLOOKUP($A2184,hospital_details,8,0)</f>
        <v>R1013</v>
      </c>
    </row>
    <row r="2185" spans="1:18" ht="14.4" customHeight="1" x14ac:dyDescent="0.3">
      <c r="A2185" s="7" t="s">
        <v>2205</v>
      </c>
      <c r="B2185" s="7" t="str">
        <f>VLOOKUP($A2185,[1]!Customer_Names[#Data],3,0)</f>
        <v xml:space="preserve">  Lelisa</v>
      </c>
      <c r="C2185" s="7">
        <v>33.770000000000003</v>
      </c>
      <c r="D2185" s="7" t="str" cm="1">
        <f t="array" ref="D2185">_xlfn.IFS(Healthcare!$C2185&lt;18.5,"under weight",Healthcare!$C2185&lt;=24.9,"Normal Weight",Healthcare!$C2185&gt;=25,"overweight",Healthcare!$C2185&gt;=30,"obese")</f>
        <v>overweight</v>
      </c>
      <c r="E2185" s="7">
        <v>4.0199999999999996</v>
      </c>
      <c r="F2185" s="7" t="str" cm="1">
        <f t="array" ref="F2185">_xlfn.IFS(Healthcare!$E2185&lt;5.7,"normal",Healthcare!$E2185&lt;=6.4,"prediabetes",Healthcare!$E2185&gt;=6.5,"diabetes")</f>
        <v>normal</v>
      </c>
      <c r="G2185" s="7" t="s">
        <v>19</v>
      </c>
      <c r="H2185" s="7" t="s">
        <v>20</v>
      </c>
      <c r="I2185" s="7" t="s">
        <v>19</v>
      </c>
      <c r="J2185" s="7">
        <v>1</v>
      </c>
      <c r="K2185" s="7" t="s">
        <v>19</v>
      </c>
      <c r="L2185" s="7" t="str">
        <f>VLOOKUP(Healthcare!$A2185,hospital_details,2,0)</f>
        <v>21-Oct-2004</v>
      </c>
      <c r="M2185" s="7">
        <f t="shared" ref="M2185:M2248" ca="1" si="13095">VLOOKUP(A2185,hospital_details,3,0)</f>
        <v>21</v>
      </c>
      <c r="N2185" s="7">
        <f t="shared" ref="N2185:N2248" si="13096">VLOOKUP($A2185,hospital_details,4,0)</f>
        <v>1</v>
      </c>
      <c r="O2185" s="8">
        <f t="shared" ref="O2185:O2248" si="13097">VLOOKUP($A2185,hospital_details,5,0)</f>
        <v>1725.55</v>
      </c>
      <c r="P2185" s="7" t="str">
        <f t="shared" ref="P2185:P2248" si="13098">VLOOKUP($A2185,hospital_details,6,0)</f>
        <v>tier - 3</v>
      </c>
      <c r="Q2185" s="7" t="str">
        <f t="shared" ref="Q2185:Q2248" si="13099">VLOOKUP($A2185,hospital_details,7,0)</f>
        <v>tier - 2</v>
      </c>
      <c r="R2185" s="7" t="str">
        <f t="shared" ref="R2185:R2248" si="13100">VLOOKUP($A2185,hospital_details,8,0)</f>
        <v>R1013</v>
      </c>
    </row>
    <row r="2186" spans="1:18" ht="14.4" customHeight="1" x14ac:dyDescent="0.3">
      <c r="A2186" s="5" t="s">
        <v>2206</v>
      </c>
      <c r="B2186" s="5" t="str">
        <f>VLOOKUP($A2186,[1]!Customer_Names[#Data],3,0)</f>
        <v xml:space="preserve">  Nate</v>
      </c>
      <c r="C2186" s="5">
        <v>30.03</v>
      </c>
      <c r="D2186" s="5" t="str" cm="1">
        <f t="array" ref="D2186">_xlfn.IFS(Healthcare!$C2186&lt;18.5,"under weight",Healthcare!$C2186&lt;=24.9,"Normal Weight",Healthcare!$C2186&gt;=25,"overweight",Healthcare!$C2186&gt;=30,"obese")</f>
        <v>overweight</v>
      </c>
      <c r="E2186" s="5">
        <v>4.04</v>
      </c>
      <c r="F2186" s="5" t="str" cm="1">
        <f t="array" ref="F2186">_xlfn.IFS(Healthcare!$E2186&lt;5.7,"normal",Healthcare!$E2186&lt;=6.4,"prediabetes",Healthcare!$E2186&gt;=6.5,"diabetes")</f>
        <v>normal</v>
      </c>
      <c r="G2186" s="5" t="s">
        <v>19</v>
      </c>
      <c r="H2186" s="5" t="s">
        <v>20</v>
      </c>
      <c r="I2186" s="5" t="s">
        <v>19</v>
      </c>
      <c r="J2186" s="5">
        <v>1</v>
      </c>
      <c r="K2186" s="5" t="s">
        <v>19</v>
      </c>
      <c r="L2186" s="5" t="str">
        <f>VLOOKUP(Healthcare!$A2186,hospital_details,2,0)</f>
        <v>11-Sep-2004</v>
      </c>
      <c r="M2186" s="5">
        <f t="shared" ref="M2186:M2249" ca="1" si="13101">VLOOKUP(A2186,hospital_details,3,0)</f>
        <v>22</v>
      </c>
      <c r="N2186" s="5">
        <f t="shared" ref="N2186:N2249" si="13102">VLOOKUP($A2186,hospital_details,4,0)</f>
        <v>1</v>
      </c>
      <c r="O2186" s="6">
        <f t="shared" ref="O2186:O2249" si="13103">VLOOKUP($A2186,hospital_details,5,0)</f>
        <v>1720.35</v>
      </c>
      <c r="P2186" s="5" t="str">
        <f t="shared" ref="P2186:P2249" si="13104">VLOOKUP($A2186,hospital_details,6,0)</f>
        <v>tier - 3</v>
      </c>
      <c r="Q2186" s="5" t="str">
        <f t="shared" ref="Q2186:Q2249" si="13105">VLOOKUP($A2186,hospital_details,7,0)</f>
        <v>tier - 3</v>
      </c>
      <c r="R2186" s="5" t="str">
        <f t="shared" ref="R2186:R2249" si="13106">VLOOKUP($A2186,hospital_details,8,0)</f>
        <v>R1013</v>
      </c>
    </row>
    <row r="2187" spans="1:18" ht="14.4" customHeight="1" x14ac:dyDescent="0.3">
      <c r="A2187" s="7" t="s">
        <v>2207</v>
      </c>
      <c r="B2187" s="7" t="str">
        <f>VLOOKUP($A2187,[1]!Customer_Names[#Data],3,0)</f>
        <v xml:space="preserve">  Chris C</v>
      </c>
      <c r="C2187" s="7">
        <v>29.37</v>
      </c>
      <c r="D2187" s="7" t="str" cm="1">
        <f t="array" ref="D2187">_xlfn.IFS(Healthcare!$C2187&lt;18.5,"under weight",Healthcare!$C2187&lt;=24.9,"Normal Weight",Healthcare!$C2187&gt;=25,"overweight",Healthcare!$C2187&gt;=30,"obese")</f>
        <v>overweight</v>
      </c>
      <c r="E2187" s="7">
        <v>5.54</v>
      </c>
      <c r="F2187" s="7" t="str" cm="1">
        <f t="array" ref="F2187">_xlfn.IFS(Healthcare!$E2187&lt;5.7,"normal",Healthcare!$E2187&lt;=6.4,"prediabetes",Healthcare!$E2187&gt;=6.5,"diabetes")</f>
        <v>normal</v>
      </c>
      <c r="G2187" s="7" t="s">
        <v>19</v>
      </c>
      <c r="H2187" s="7" t="s">
        <v>20</v>
      </c>
      <c r="I2187" s="7" t="s">
        <v>19</v>
      </c>
      <c r="J2187" s="7">
        <v>1</v>
      </c>
      <c r="K2187" s="7" t="s">
        <v>19</v>
      </c>
      <c r="L2187" s="7" t="str">
        <f>VLOOKUP(Healthcare!$A2187,hospital_details,2,0)</f>
        <v>10-Jun-2004</v>
      </c>
      <c r="M2187" s="7">
        <f t="shared" ref="M2187:M2250" ca="1" si="13107">VLOOKUP(A2187,hospital_details,3,0)</f>
        <v>22</v>
      </c>
      <c r="N2187" s="7">
        <f t="shared" ref="N2187:N2250" si="13108">VLOOKUP($A2187,hospital_details,4,0)</f>
        <v>1</v>
      </c>
      <c r="O2187" s="8">
        <f t="shared" ref="O2187:O2250" si="13109">VLOOKUP($A2187,hospital_details,5,0)</f>
        <v>1719.44</v>
      </c>
      <c r="P2187" s="7" t="str">
        <f t="shared" ref="P2187:P2250" si="13110">VLOOKUP($A2187,hospital_details,6,0)</f>
        <v>tier - 3</v>
      </c>
      <c r="Q2187" s="7" t="str">
        <f t="shared" ref="Q2187:Q2250" si="13111">VLOOKUP($A2187,hospital_details,7,0)</f>
        <v>tier - 3</v>
      </c>
      <c r="R2187" s="7" t="str">
        <f t="shared" ref="R2187:R2250" si="13112">VLOOKUP($A2187,hospital_details,8,0)</f>
        <v>R1013</v>
      </c>
    </row>
    <row r="2188" spans="1:18" ht="14.4" customHeight="1" x14ac:dyDescent="0.3">
      <c r="A2188" s="5" t="s">
        <v>2208</v>
      </c>
      <c r="B2188" s="5" t="str">
        <f>VLOOKUP($A2188,[1]!Customer_Names[#Data],3,0)</f>
        <v xml:space="preserve">  Scott</v>
      </c>
      <c r="C2188" s="5">
        <v>28.5</v>
      </c>
      <c r="D2188" s="5" t="str" cm="1">
        <f t="array" ref="D2188">_xlfn.IFS(Healthcare!$C2188&lt;18.5,"under weight",Healthcare!$C2188&lt;=24.9,"Normal Weight",Healthcare!$C2188&gt;=25,"overweight",Healthcare!$C2188&gt;=30,"obese")</f>
        <v>overweight</v>
      </c>
      <c r="E2188" s="5">
        <v>4.03</v>
      </c>
      <c r="F2188" s="5" t="str" cm="1">
        <f t="array" ref="F2188">_xlfn.IFS(Healthcare!$E2188&lt;5.7,"normal",Healthcare!$E2188&lt;=6.4,"prediabetes",Healthcare!$E2188&gt;=6.5,"diabetes")</f>
        <v>normal</v>
      </c>
      <c r="G2188" s="5" t="s">
        <v>19</v>
      </c>
      <c r="H2188" s="5" t="s">
        <v>20</v>
      </c>
      <c r="I2188" s="5" t="s">
        <v>19</v>
      </c>
      <c r="J2188" s="5">
        <v>1</v>
      </c>
      <c r="K2188" s="5" t="s">
        <v>19</v>
      </c>
      <c r="L2188" s="5" t="str">
        <f>VLOOKUP(Healthcare!$A2188,hospital_details,2,0)</f>
        <v>21-Sep-2004</v>
      </c>
      <c r="M2188" s="5">
        <f t="shared" ref="M2188:M2251" ca="1" si="13113">VLOOKUP(A2188,hospital_details,3,0)</f>
        <v>22</v>
      </c>
      <c r="N2188" s="5">
        <f t="shared" ref="N2188:N2251" si="13114">VLOOKUP($A2188,hospital_details,4,0)</f>
        <v>0</v>
      </c>
      <c r="O2188" s="6">
        <f t="shared" ref="O2188:O2251" si="13115">VLOOKUP($A2188,hospital_details,5,0)</f>
        <v>1712.23</v>
      </c>
      <c r="P2188" s="5" t="str">
        <f t="shared" ref="P2188:P2251" si="13116">VLOOKUP($A2188,hospital_details,6,0)</f>
        <v>tier - 3</v>
      </c>
      <c r="Q2188" s="5" t="str">
        <f t="shared" ref="Q2188:Q2251" si="13117">VLOOKUP($A2188,hospital_details,7,0)</f>
        <v>tier - 1</v>
      </c>
      <c r="R2188" s="5" t="str">
        <f t="shared" ref="R2188:R2251" si="13118">VLOOKUP($A2188,hospital_details,8,0)</f>
        <v>R1016</v>
      </c>
    </row>
    <row r="2189" spans="1:18" ht="14.4" customHeight="1" x14ac:dyDescent="0.3">
      <c r="A2189" s="7" t="s">
        <v>2209</v>
      </c>
      <c r="B2189" s="7" t="str">
        <f>VLOOKUP($A2189,[1]!Customer_Names[#Data],3,0)</f>
        <v xml:space="preserve">  Kevin</v>
      </c>
      <c r="C2189" s="7">
        <v>23.32</v>
      </c>
      <c r="D2189" s="7" t="str" cm="1">
        <f t="array" ref="D2189">_xlfn.IFS(Healthcare!$C2189&lt;18.5,"under weight",Healthcare!$C2189&lt;=24.9,"Normal Weight",Healthcare!$C2189&gt;=25,"overweight",Healthcare!$C2189&gt;=30,"obese")</f>
        <v>Normal Weight</v>
      </c>
      <c r="E2189" s="7">
        <v>5.62</v>
      </c>
      <c r="F2189" s="7" t="str" cm="1">
        <f t="array" ref="F2189">_xlfn.IFS(Healthcare!$E2189&lt;5.7,"normal",Healthcare!$E2189&lt;=6.4,"prediabetes",Healthcare!$E2189&gt;=6.5,"diabetes")</f>
        <v>normal</v>
      </c>
      <c r="G2189" s="7" t="s">
        <v>19</v>
      </c>
      <c r="H2189" s="7" t="s">
        <v>20</v>
      </c>
      <c r="I2189" s="7" t="s">
        <v>19</v>
      </c>
      <c r="J2189" s="7">
        <v>1</v>
      </c>
      <c r="K2189" s="7" t="s">
        <v>19</v>
      </c>
      <c r="L2189" s="7" t="str">
        <f>VLOOKUP(Healthcare!$A2189,hospital_details,2,0)</f>
        <v>19-Sep-2004</v>
      </c>
      <c r="M2189" s="7">
        <f t="shared" ref="M2189:M2252" ca="1" si="13119">VLOOKUP(A2189,hospital_details,3,0)</f>
        <v>22</v>
      </c>
      <c r="N2189" s="7">
        <f t="shared" ref="N2189:N2252" si="13120">VLOOKUP($A2189,hospital_details,4,0)</f>
        <v>1</v>
      </c>
      <c r="O2189" s="8">
        <f t="shared" ref="O2189:O2252" si="13121">VLOOKUP($A2189,hospital_details,5,0)</f>
        <v>1711.03</v>
      </c>
      <c r="P2189" s="7" t="str">
        <f t="shared" ref="P2189:P2252" si="13122">VLOOKUP($A2189,hospital_details,6,0)</f>
        <v>tier - 3</v>
      </c>
      <c r="Q2189" s="7" t="str">
        <f t="shared" ref="Q2189:Q2252" si="13123">VLOOKUP($A2189,hospital_details,7,0)</f>
        <v>tier - 3</v>
      </c>
      <c r="R2189" s="7" t="str">
        <f t="shared" ref="R2189:R2252" si="13124">VLOOKUP($A2189,hospital_details,8,0)</f>
        <v>R1013</v>
      </c>
    </row>
    <row r="2190" spans="1:18" ht="14.4" customHeight="1" x14ac:dyDescent="0.3">
      <c r="A2190" s="5" t="s">
        <v>2210</v>
      </c>
      <c r="B2190" s="5" t="str">
        <f>VLOOKUP($A2190,[1]!Customer_Names[#Data],3,0)</f>
        <v xml:space="preserve">  Erik C</v>
      </c>
      <c r="C2190" s="5">
        <v>26.125</v>
      </c>
      <c r="D2190" s="5" t="str" cm="1">
        <f t="array" ref="D2190">_xlfn.IFS(Healthcare!$C2190&lt;18.5,"under weight",Healthcare!$C2190&lt;=24.9,"Normal Weight",Healthcare!$C2190&gt;=25,"overweight",Healthcare!$C2190&gt;=30,"obese")</f>
        <v>overweight</v>
      </c>
      <c r="E2190" s="5">
        <v>5.27</v>
      </c>
      <c r="F2190" s="5" t="str" cm="1">
        <f t="array" ref="F2190">_xlfn.IFS(Healthcare!$E2190&lt;5.7,"normal",Healthcare!$E2190&lt;=6.4,"prediabetes",Healthcare!$E2190&gt;=6.5,"diabetes")</f>
        <v>normal</v>
      </c>
      <c r="G2190" s="5" t="s">
        <v>19</v>
      </c>
      <c r="H2190" s="5" t="s">
        <v>20</v>
      </c>
      <c r="I2190" s="5" t="s">
        <v>19</v>
      </c>
      <c r="J2190" s="5">
        <v>1</v>
      </c>
      <c r="K2190" s="5" t="s">
        <v>19</v>
      </c>
      <c r="L2190" s="5" t="str">
        <f>VLOOKUP(Healthcare!$A2190,hospital_details,2,0)</f>
        <v>12-Dec-2004</v>
      </c>
      <c r="M2190" s="5">
        <f t="shared" ref="M2190:M2253" ca="1" si="13125">VLOOKUP(A2190,hospital_details,3,0)</f>
        <v>21</v>
      </c>
      <c r="N2190" s="5">
        <f t="shared" ref="N2190:N2253" si="13126">VLOOKUP($A2190,hospital_details,4,0)</f>
        <v>0</v>
      </c>
      <c r="O2190" s="6">
        <f t="shared" ref="O2190:O2253" si="13127">VLOOKUP($A2190,hospital_details,5,0)</f>
        <v>1708.93</v>
      </c>
      <c r="P2190" s="5" t="str">
        <f t="shared" ref="P2190:P2253" si="13128">VLOOKUP($A2190,hospital_details,6,0)</f>
        <v>tier - 3</v>
      </c>
      <c r="Q2190" s="5" t="str">
        <f t="shared" ref="Q2190:Q2253" si="13129">VLOOKUP($A2190,hospital_details,7,0)</f>
        <v>tier - 1</v>
      </c>
      <c r="R2190" s="5" t="str">
        <f t="shared" ref="R2190:R2253" si="13130">VLOOKUP($A2190,hospital_details,8,0)</f>
        <v>R1019</v>
      </c>
    </row>
    <row r="2191" spans="1:18" ht="14.4" customHeight="1" x14ac:dyDescent="0.3">
      <c r="A2191" s="7" t="s">
        <v>2211</v>
      </c>
      <c r="B2191" s="7" t="str">
        <f>VLOOKUP($A2191,[1]!Customer_Names[#Data],3,0)</f>
        <v xml:space="preserve">  Shawn C</v>
      </c>
      <c r="C2191" s="7">
        <v>25.46</v>
      </c>
      <c r="D2191" s="7" t="str" cm="1">
        <f t="array" ref="D2191">_xlfn.IFS(Healthcare!$C2191&lt;18.5,"under weight",Healthcare!$C2191&lt;=24.9,"Normal Weight",Healthcare!$C2191&gt;=25,"overweight",Healthcare!$C2191&gt;=30,"obese")</f>
        <v>overweight</v>
      </c>
      <c r="E2191" s="7">
        <v>5.18</v>
      </c>
      <c r="F2191" s="7" t="str" cm="1">
        <f t="array" ref="F2191">_xlfn.IFS(Healthcare!$E2191&lt;5.7,"normal",Healthcare!$E2191&lt;=6.4,"prediabetes",Healthcare!$E2191&gt;=6.5,"diabetes")</f>
        <v>normal</v>
      </c>
      <c r="G2191" s="7" t="s">
        <v>19</v>
      </c>
      <c r="H2191" s="7" t="s">
        <v>20</v>
      </c>
      <c r="I2191" s="7" t="s">
        <v>19</v>
      </c>
      <c r="J2191" s="7">
        <v>1</v>
      </c>
      <c r="K2191" s="7" t="s">
        <v>19</v>
      </c>
      <c r="L2191" s="7" t="str">
        <f>VLOOKUP(Healthcare!$A2191,hospital_details,2,0)</f>
        <v>17-Oct-2004</v>
      </c>
      <c r="M2191" s="7">
        <f t="shared" ref="M2191:M2254" ca="1" si="13131">VLOOKUP(A2191,hospital_details,3,0)</f>
        <v>22</v>
      </c>
      <c r="N2191" s="7">
        <f t="shared" ref="N2191:N2254" si="13132">VLOOKUP($A2191,hospital_details,4,0)</f>
        <v>0</v>
      </c>
      <c r="O2191" s="8">
        <f t="shared" ref="O2191:O2254" si="13133">VLOOKUP($A2191,hospital_details,5,0)</f>
        <v>1708</v>
      </c>
      <c r="P2191" s="7" t="str">
        <f t="shared" ref="P2191:P2254" si="13134">VLOOKUP($A2191,hospital_details,6,0)</f>
        <v>tier - 3</v>
      </c>
      <c r="Q2191" s="7" t="str">
        <f t="shared" ref="Q2191:Q2254" si="13135">VLOOKUP($A2191,hospital_details,7,0)</f>
        <v>tier - 2</v>
      </c>
      <c r="R2191" s="7" t="str">
        <f t="shared" ref="R2191:R2254" si="13136">VLOOKUP($A2191,hospital_details,8,0)</f>
        <v>R1016</v>
      </c>
    </row>
    <row r="2192" spans="1:18" ht="14.4" customHeight="1" x14ac:dyDescent="0.3">
      <c r="A2192" s="5" t="s">
        <v>2212</v>
      </c>
      <c r="B2192" s="5" t="str">
        <f>VLOOKUP($A2192,[1]!Customer_Names[#Data],3,0)</f>
        <v xml:space="preserve">  Vajin L</v>
      </c>
      <c r="C2192" s="5">
        <v>23.75</v>
      </c>
      <c r="D2192" s="5" t="str" cm="1">
        <f t="array" ref="D2192">_xlfn.IFS(Healthcare!$C2192&lt;18.5,"under weight",Healthcare!$C2192&lt;=24.9,"Normal Weight",Healthcare!$C2192&gt;=25,"overweight",Healthcare!$C2192&gt;=30,"obese")</f>
        <v>Normal Weight</v>
      </c>
      <c r="E2192" s="5">
        <v>5.27</v>
      </c>
      <c r="F2192" s="5" t="str" cm="1">
        <f t="array" ref="F2192">_xlfn.IFS(Healthcare!$E2192&lt;5.7,"normal",Healthcare!$E2192&lt;=6.4,"prediabetes",Healthcare!$E2192&gt;=6.5,"diabetes")</f>
        <v>normal</v>
      </c>
      <c r="G2192" s="5" t="s">
        <v>19</v>
      </c>
      <c r="H2192" s="5" t="s">
        <v>20</v>
      </c>
      <c r="I2192" s="5" t="s">
        <v>19</v>
      </c>
      <c r="J2192" s="5">
        <v>1</v>
      </c>
      <c r="K2192" s="5" t="s">
        <v>19</v>
      </c>
      <c r="L2192" s="5" t="str">
        <f>VLOOKUP(Healthcare!$A2192,hospital_details,2,0)</f>
        <v>6-Dec-2004</v>
      </c>
      <c r="M2192" s="5">
        <f t="shared" ref="M2192:M2255" ca="1" si="13137">VLOOKUP(A2192,hospital_details,3,0)</f>
        <v>21</v>
      </c>
      <c r="N2192" s="5">
        <f t="shared" ref="N2192:N2255" si="13138">VLOOKUP($A2192,hospital_details,4,0)</f>
        <v>0</v>
      </c>
      <c r="O2192" s="6">
        <f t="shared" ref="O2192:O2255" si="13139">VLOOKUP($A2192,hospital_details,5,0)</f>
        <v>1705.62</v>
      </c>
      <c r="P2192" s="5" t="str">
        <f t="shared" ref="P2192:P2255" si="13140">VLOOKUP($A2192,hospital_details,6,0)</f>
        <v>tier - 2</v>
      </c>
      <c r="Q2192" s="5" t="str">
        <f t="shared" ref="Q2192:Q2255" si="13141">VLOOKUP($A2192,hospital_details,7,0)</f>
        <v>tier - 2</v>
      </c>
      <c r="R2192" s="5" t="str">
        <f t="shared" ref="R2192:R2255" si="13142">VLOOKUP($A2192,hospital_details,8,0)</f>
        <v>R1015</v>
      </c>
    </row>
    <row r="2193" spans="1:18" ht="14.4" customHeight="1" x14ac:dyDescent="0.3">
      <c r="A2193" s="7" t="s">
        <v>2213</v>
      </c>
      <c r="B2193" s="7" t="str">
        <f>VLOOKUP($A2193,[1]!Customer_Names[#Data],3,0)</f>
        <v xml:space="preserve">  John K</v>
      </c>
      <c r="C2193" s="7">
        <v>23.085000000000001</v>
      </c>
      <c r="D2193" s="7" t="str" cm="1">
        <f t="array" ref="D2193">_xlfn.IFS(Healthcare!$C2193&lt;18.5,"under weight",Healthcare!$C2193&lt;=24.9,"Normal Weight",Healthcare!$C2193&gt;=25,"overweight",Healthcare!$C2193&gt;=30,"obese")</f>
        <v>Normal Weight</v>
      </c>
      <c r="E2193" s="7">
        <v>5.62</v>
      </c>
      <c r="F2193" s="7" t="str" cm="1">
        <f t="array" ref="F2193">_xlfn.IFS(Healthcare!$E2193&lt;5.7,"normal",Healthcare!$E2193&lt;=6.4,"prediabetes",Healthcare!$E2193&gt;=6.5,"diabetes")</f>
        <v>normal</v>
      </c>
      <c r="G2193" s="7" t="s">
        <v>19</v>
      </c>
      <c r="H2193" s="7" t="s">
        <v>20</v>
      </c>
      <c r="I2193" s="7" t="s">
        <v>19</v>
      </c>
      <c r="J2193" s="7">
        <v>1</v>
      </c>
      <c r="K2193" s="7" t="s">
        <v>19</v>
      </c>
      <c r="L2193" s="7" t="str">
        <f>VLOOKUP(Healthcare!$A2193,hospital_details,2,0)</f>
        <v>14-Dec-2004</v>
      </c>
      <c r="M2193" s="7">
        <f t="shared" ref="M2193:M2256" ca="1" si="13143">VLOOKUP(A2193,hospital_details,3,0)</f>
        <v>21</v>
      </c>
      <c r="N2193" s="7">
        <f t="shared" ref="N2193:N2256" si="13144">VLOOKUP($A2193,hospital_details,4,0)</f>
        <v>0</v>
      </c>
      <c r="O2193" s="8">
        <f t="shared" ref="O2193:O2256" si="13145">VLOOKUP($A2193,hospital_details,5,0)</f>
        <v>1704.7</v>
      </c>
      <c r="P2193" s="7" t="str">
        <f t="shared" ref="P2193:P2256" si="13146">VLOOKUP($A2193,hospital_details,6,0)</f>
        <v>tier - 2</v>
      </c>
      <c r="Q2193" s="7" t="str">
        <f t="shared" ref="Q2193:Q2256" si="13147">VLOOKUP($A2193,hospital_details,7,0)</f>
        <v>tier - 3</v>
      </c>
      <c r="R2193" s="7" t="str">
        <f t="shared" ref="R2193:R2256" si="13148">VLOOKUP($A2193,hospital_details,8,0)</f>
        <v>R1018</v>
      </c>
    </row>
    <row r="2194" spans="1:18" ht="14.4" customHeight="1" x14ac:dyDescent="0.3">
      <c r="A2194" s="5" t="s">
        <v>2214</v>
      </c>
      <c r="B2194" s="5" t="str">
        <f>VLOOKUP($A2194,[1]!Customer_Names[#Data],3,0)</f>
        <v xml:space="preserve">  Kevin J</v>
      </c>
      <c r="C2194" s="5">
        <v>22.99</v>
      </c>
      <c r="D2194" s="5" t="str" cm="1">
        <f t="array" ref="D2194">_xlfn.IFS(Healthcare!$C2194&lt;18.5,"under weight",Healthcare!$C2194&lt;=24.9,"Normal Weight",Healthcare!$C2194&gt;=25,"overweight",Healthcare!$C2194&gt;=30,"obese")</f>
        <v>Normal Weight</v>
      </c>
      <c r="E2194" s="5">
        <v>5.0599999999999996</v>
      </c>
      <c r="F2194" s="5" t="str" cm="1">
        <f t="array" ref="F2194">_xlfn.IFS(Healthcare!$E2194&lt;5.7,"normal",Healthcare!$E2194&lt;=6.4,"prediabetes",Healthcare!$E2194&gt;=6.5,"diabetes")</f>
        <v>normal</v>
      </c>
      <c r="G2194" s="5" t="s">
        <v>19</v>
      </c>
      <c r="H2194" s="5" t="s">
        <v>20</v>
      </c>
      <c r="I2194" s="5" t="s">
        <v>19</v>
      </c>
      <c r="J2194" s="5">
        <v>1</v>
      </c>
      <c r="K2194" s="5" t="s">
        <v>19</v>
      </c>
      <c r="L2194" s="5" t="str">
        <f>VLOOKUP(Healthcare!$A2194,hospital_details,2,0)</f>
        <v>7-Nov-2004</v>
      </c>
      <c r="M2194" s="5">
        <f t="shared" ref="M2194:M2257" ca="1" si="13149">VLOOKUP(A2194,hospital_details,3,0)</f>
        <v>21</v>
      </c>
      <c r="N2194" s="5">
        <f t="shared" ref="N2194:N2257" si="13150">VLOOKUP($A2194,hospital_details,4,0)</f>
        <v>0</v>
      </c>
      <c r="O2194" s="6">
        <f t="shared" ref="O2194:O2257" si="13151">VLOOKUP($A2194,hospital_details,5,0)</f>
        <v>1704.57</v>
      </c>
      <c r="P2194" s="5" t="str">
        <f t="shared" ref="P2194:P2257" si="13152">VLOOKUP($A2194,hospital_details,6,0)</f>
        <v>tier - 2</v>
      </c>
      <c r="Q2194" s="5" t="str">
        <f t="shared" ref="Q2194:Q2257" si="13153">VLOOKUP($A2194,hospital_details,7,0)</f>
        <v>tier - 1</v>
      </c>
      <c r="R2194" s="5" t="str">
        <f t="shared" ref="R2194:R2257" si="13154">VLOOKUP($A2194,hospital_details,8,0)</f>
        <v>R1016</v>
      </c>
    </row>
    <row r="2195" spans="1:18" ht="14.4" customHeight="1" x14ac:dyDescent="0.3">
      <c r="A2195" s="7" t="s">
        <v>2215</v>
      </c>
      <c r="B2195" s="7" t="str">
        <f>VLOOKUP($A2195,[1]!Customer_Names[#Data],3,0)</f>
        <v xml:space="preserve">  Kirby W</v>
      </c>
      <c r="C2195" s="7">
        <v>21.47</v>
      </c>
      <c r="D2195" s="7" t="str" cm="1">
        <f t="array" ref="D2195">_xlfn.IFS(Healthcare!$C2195&lt;18.5,"under weight",Healthcare!$C2195&lt;=24.9,"Normal Weight",Healthcare!$C2195&gt;=25,"overweight",Healthcare!$C2195&gt;=30,"obese")</f>
        <v>Normal Weight</v>
      </c>
      <c r="E2195" s="7">
        <v>4.6900000000000004</v>
      </c>
      <c r="F2195" s="7" t="str" cm="1">
        <f t="array" ref="F2195">_xlfn.IFS(Healthcare!$E2195&lt;5.7,"normal",Healthcare!$E2195&lt;=6.4,"prediabetes",Healthcare!$E2195&gt;=6.5,"diabetes")</f>
        <v>normal</v>
      </c>
      <c r="G2195" s="7" t="s">
        <v>19</v>
      </c>
      <c r="H2195" s="7" t="s">
        <v>20</v>
      </c>
      <c r="I2195" s="7" t="s">
        <v>19</v>
      </c>
      <c r="J2195" s="7">
        <v>1</v>
      </c>
      <c r="K2195" s="7" t="s">
        <v>19</v>
      </c>
      <c r="L2195" s="7" t="str">
        <f>VLOOKUP(Healthcare!$A2195,hospital_details,2,0)</f>
        <v>10-Dec-2004</v>
      </c>
      <c r="M2195" s="7">
        <f t="shared" ref="M2195:M2258" ca="1" si="13155">VLOOKUP(A2195,hospital_details,3,0)</f>
        <v>21</v>
      </c>
      <c r="N2195" s="7">
        <f t="shared" ref="N2195:N2258" si="13156">VLOOKUP($A2195,hospital_details,4,0)</f>
        <v>0</v>
      </c>
      <c r="O2195" s="8">
        <f t="shared" ref="O2195:O2258" si="13157">VLOOKUP($A2195,hospital_details,5,0)</f>
        <v>1702.46</v>
      </c>
      <c r="P2195" s="7" t="str">
        <f t="shared" ref="P2195:P2258" si="13158">VLOOKUP($A2195,hospital_details,6,0)</f>
        <v>tier - 2</v>
      </c>
      <c r="Q2195" s="7" t="str">
        <f t="shared" ref="Q2195:Q2258" si="13159">VLOOKUP($A2195,hospital_details,7,0)</f>
        <v>tier - 3</v>
      </c>
      <c r="R2195" s="7" t="str">
        <f t="shared" ref="R2195:R2258" si="13160">VLOOKUP($A2195,hospital_details,8,0)</f>
        <v>R1019</v>
      </c>
    </row>
    <row r="2196" spans="1:18" ht="14.4" customHeight="1" x14ac:dyDescent="0.3">
      <c r="A2196" s="5" t="s">
        <v>2216</v>
      </c>
      <c r="B2196" s="5" t="str">
        <f>VLOOKUP($A2196,[1]!Customer_Names[#Data],3,0)</f>
        <v xml:space="preserve">  J A</v>
      </c>
      <c r="C2196" s="5">
        <v>15.96</v>
      </c>
      <c r="D2196" s="5" t="str" cm="1">
        <f t="array" ref="D2196">_xlfn.IFS(Healthcare!$C2196&lt;18.5,"under weight",Healthcare!$C2196&lt;=24.9,"Normal Weight",Healthcare!$C2196&gt;=25,"overweight",Healthcare!$C2196&gt;=30,"obese")</f>
        <v>under weight</v>
      </c>
      <c r="E2196" s="5">
        <v>5.44</v>
      </c>
      <c r="F2196" s="5" t="str" cm="1">
        <f t="array" ref="F2196">_xlfn.IFS(Healthcare!$E2196&lt;5.7,"normal",Healthcare!$E2196&lt;=6.4,"prediabetes",Healthcare!$E2196&gt;=6.5,"diabetes")</f>
        <v>normal</v>
      </c>
      <c r="G2196" s="5" t="s">
        <v>19</v>
      </c>
      <c r="H2196" s="5" t="s">
        <v>20</v>
      </c>
      <c r="I2196" s="5" t="s">
        <v>19</v>
      </c>
      <c r="J2196" s="5">
        <v>1</v>
      </c>
      <c r="K2196" s="5" t="s">
        <v>19</v>
      </c>
      <c r="L2196" s="5" t="str">
        <f>VLOOKUP(Healthcare!$A2196,hospital_details,2,0)</f>
        <v>17-Nov-2004</v>
      </c>
      <c r="M2196" s="5">
        <f t="shared" ref="M2196:M2259" ca="1" si="13161">VLOOKUP(A2196,hospital_details,3,0)</f>
        <v>21</v>
      </c>
      <c r="N2196" s="5">
        <f t="shared" ref="N2196:N2259" si="13162">VLOOKUP($A2196,hospital_details,4,0)</f>
        <v>0</v>
      </c>
      <c r="O2196" s="6">
        <f t="shared" ref="O2196:O2259" si="13163">VLOOKUP($A2196,hospital_details,5,0)</f>
        <v>1694.8</v>
      </c>
      <c r="P2196" s="5" t="str">
        <f t="shared" ref="P2196:P2259" si="13164">VLOOKUP($A2196,hospital_details,6,0)</f>
        <v>tier - 2</v>
      </c>
      <c r="Q2196" s="5" t="str">
        <f t="shared" ref="Q2196:Q2259" si="13165">VLOOKUP($A2196,hospital_details,7,0)</f>
        <v>tier - 2</v>
      </c>
      <c r="R2196" s="5" t="str">
        <f t="shared" ref="R2196:R2259" si="13166">VLOOKUP($A2196,hospital_details,8,0)</f>
        <v>R1015</v>
      </c>
    </row>
    <row r="2197" spans="1:18" ht="14.4" customHeight="1" x14ac:dyDescent="0.3">
      <c r="A2197" s="7" t="s">
        <v>2217</v>
      </c>
      <c r="B2197" s="7" t="str">
        <f>VLOOKUP($A2197,[1]!Customer_Names[#Data],3,0)</f>
        <v xml:space="preserve">  Dustin G</v>
      </c>
      <c r="C2197" s="7">
        <v>39.5</v>
      </c>
      <c r="D2197" s="7" t="str" cm="1">
        <f t="array" ref="D2197">_xlfn.IFS(Healthcare!$C2197&lt;18.5,"under weight",Healthcare!$C2197&lt;=24.9,"Normal Weight",Healthcare!$C2197&gt;=25,"overweight",Healthcare!$C2197&gt;=30,"obese")</f>
        <v>overweight</v>
      </c>
      <c r="E2197" s="7">
        <v>5.05</v>
      </c>
      <c r="F2197" s="7" t="str" cm="1">
        <f t="array" ref="F2197">_xlfn.IFS(Healthcare!$E2197&lt;5.7,"normal",Healthcare!$E2197&lt;=6.4,"prediabetes",Healthcare!$E2197&gt;=6.5,"diabetes")</f>
        <v>normal</v>
      </c>
      <c r="G2197" s="7" t="s">
        <v>19</v>
      </c>
      <c r="H2197" s="7" t="s">
        <v>20</v>
      </c>
      <c r="I2197" s="7" t="s">
        <v>19</v>
      </c>
      <c r="J2197" s="7">
        <v>1</v>
      </c>
      <c r="K2197" s="7" t="s">
        <v>19</v>
      </c>
      <c r="L2197" s="7" t="str">
        <f>VLOOKUP(Healthcare!$A2197,hospital_details,2,0)</f>
        <v>21-Oct-2000</v>
      </c>
      <c r="M2197" s="7">
        <f t="shared" ref="M2197:M2260" ca="1" si="13167">VLOOKUP(A2197,hospital_details,3,0)</f>
        <v>25</v>
      </c>
      <c r="N2197" s="7">
        <f t="shared" ref="N2197:N2260" si="13168">VLOOKUP($A2197,hospital_details,4,0)</f>
        <v>0</v>
      </c>
      <c r="O2197" s="8">
        <f t="shared" ref="O2197:O2260" si="13169">VLOOKUP($A2197,hospital_details,5,0)</f>
        <v>1682.6</v>
      </c>
      <c r="P2197" s="7" t="str">
        <f t="shared" ref="P2197:P2260" si="13170">VLOOKUP($A2197,hospital_details,6,0)</f>
        <v>tier - 2</v>
      </c>
      <c r="Q2197" s="7" t="str">
        <f t="shared" ref="Q2197:Q2260" si="13171">VLOOKUP($A2197,hospital_details,7,0)</f>
        <v>tier - 2</v>
      </c>
      <c r="R2197" s="7" t="str">
        <f t="shared" ref="R2197:R2260" si="13172">VLOOKUP($A2197,hospital_details,8,0)</f>
        <v>R1011</v>
      </c>
    </row>
    <row r="2198" spans="1:18" ht="14.4" customHeight="1" x14ac:dyDescent="0.3">
      <c r="A2198" s="5" t="s">
        <v>2218</v>
      </c>
      <c r="B2198" s="5" t="str">
        <f>VLOOKUP($A2198,[1]!Customer_Names[#Data],3,0)</f>
        <v xml:space="preserve">  Anthony G</v>
      </c>
      <c r="C2198" s="5">
        <v>33.770000000000003</v>
      </c>
      <c r="D2198" s="5" t="str" cm="1">
        <f t="array" ref="D2198">_xlfn.IFS(Healthcare!$C2198&lt;18.5,"under weight",Healthcare!$C2198&lt;=24.9,"Normal Weight",Healthcare!$C2198&gt;=25,"overweight",Healthcare!$C2198&gt;=30,"obese")</f>
        <v>overweight</v>
      </c>
      <c r="E2198" s="5">
        <v>6</v>
      </c>
      <c r="F2198" s="5" t="str" cm="1">
        <f t="array" ref="F2198">_xlfn.IFS(Healthcare!$E2198&lt;5.7,"normal",Healthcare!$E2198&lt;=6.4,"prediabetes",Healthcare!$E2198&gt;=6.5,"diabetes")</f>
        <v>prediabetes</v>
      </c>
      <c r="G2198" s="5" t="s">
        <v>19</v>
      </c>
      <c r="H2198" s="5" t="s">
        <v>20</v>
      </c>
      <c r="I2198" s="5" t="s">
        <v>19</v>
      </c>
      <c r="J2198" s="5">
        <v>1</v>
      </c>
      <c r="K2198" s="5" t="s">
        <v>19</v>
      </c>
      <c r="L2198" s="5" t="str">
        <f>VLOOKUP(Healthcare!$A2198,hospital_details,2,0)</f>
        <v>10-Jun-2000</v>
      </c>
      <c r="M2198" s="5">
        <f t="shared" ref="M2198:M2261" ca="1" si="13173">VLOOKUP(A2198,hospital_details,3,0)</f>
        <v>26</v>
      </c>
      <c r="N2198" s="5">
        <f t="shared" ref="N2198:N2261" si="13174">VLOOKUP($A2198,hospital_details,4,0)</f>
        <v>0</v>
      </c>
      <c r="O2198" s="6">
        <f t="shared" ref="O2198:O2261" si="13175">VLOOKUP($A2198,hospital_details,5,0)</f>
        <v>1674.63</v>
      </c>
      <c r="P2198" s="5" t="str">
        <f t="shared" ref="P2198:P2261" si="13176">VLOOKUP($A2198,hospital_details,6,0)</f>
        <v>tier - 2</v>
      </c>
      <c r="Q2198" s="5" t="str">
        <f t="shared" ref="Q2198:Q2261" si="13177">VLOOKUP($A2198,hospital_details,7,0)</f>
        <v>tier - 2</v>
      </c>
      <c r="R2198" s="5" t="str">
        <f t="shared" ref="R2198:R2261" si="13178">VLOOKUP($A2198,hospital_details,8,0)</f>
        <v>R1013</v>
      </c>
    </row>
    <row r="2199" spans="1:18" ht="14.4" customHeight="1" x14ac:dyDescent="0.3">
      <c r="A2199" s="7" t="s">
        <v>2219</v>
      </c>
      <c r="B2199" s="7" t="str">
        <f>VLOOKUP($A2199,[1]!Customer_Names[#Data],3,0)</f>
        <v xml:space="preserve">  Ryan</v>
      </c>
      <c r="C2199" s="7">
        <v>26.84</v>
      </c>
      <c r="D2199" s="7" t="str" cm="1">
        <f t="array" ref="D2199">_xlfn.IFS(Healthcare!$C2199&lt;18.5,"under weight",Healthcare!$C2199&lt;=24.9,"Normal Weight",Healthcare!$C2199&gt;=25,"overweight",Healthcare!$C2199&gt;=30,"obese")</f>
        <v>overweight</v>
      </c>
      <c r="E2199" s="7">
        <v>5.99</v>
      </c>
      <c r="F2199" s="7" t="str" cm="1">
        <f t="array" ref="F2199">_xlfn.IFS(Healthcare!$E2199&lt;5.7,"normal",Healthcare!$E2199&lt;=6.4,"prediabetes",Healthcare!$E2199&gt;=6.5,"diabetes")</f>
        <v>prediabetes</v>
      </c>
      <c r="G2199" s="7" t="s">
        <v>20</v>
      </c>
      <c r="H2199" s="7" t="s">
        <v>20</v>
      </c>
      <c r="I2199" s="7" t="s">
        <v>19</v>
      </c>
      <c r="J2199" s="7">
        <v>1</v>
      </c>
      <c r="K2199" s="7" t="s">
        <v>19</v>
      </c>
      <c r="L2199" s="7" t="str">
        <f>VLOOKUP(Healthcare!$A2199,hospital_details,2,0)</f>
        <v>23-Oct-2000</v>
      </c>
      <c r="M2199" s="7">
        <f t="shared" ref="M2199:M2262" ca="1" si="13179">VLOOKUP(A2199,hospital_details,3,0)</f>
        <v>25</v>
      </c>
      <c r="N2199" s="7">
        <f t="shared" ref="N2199:N2262" si="13180">VLOOKUP($A2199,hospital_details,4,0)</f>
        <v>0</v>
      </c>
      <c r="O2199" s="8">
        <f t="shared" ref="O2199:O2262" si="13181">VLOOKUP($A2199,hospital_details,5,0)</f>
        <v>1665</v>
      </c>
      <c r="P2199" s="7" t="str">
        <f t="shared" ref="P2199:P2262" si="13182">VLOOKUP($A2199,hospital_details,6,0)</f>
        <v>tier - 2</v>
      </c>
      <c r="Q2199" s="7" t="str">
        <f t="shared" ref="Q2199:Q2262" si="13183">VLOOKUP($A2199,hospital_details,7,0)</f>
        <v>tier - 2</v>
      </c>
      <c r="R2199" s="7" t="str">
        <f t="shared" ref="R2199:R2262" si="13184">VLOOKUP($A2199,hospital_details,8,0)</f>
        <v>R1013</v>
      </c>
    </row>
    <row r="2200" spans="1:18" ht="14.4" customHeight="1" x14ac:dyDescent="0.3">
      <c r="A2200" s="5" t="s">
        <v>2220</v>
      </c>
      <c r="B2200" s="5" t="str">
        <f>VLOOKUP($A2200,[1]!Customer_Names[#Data],3,0)</f>
        <v xml:space="preserve">  Eric N</v>
      </c>
      <c r="C2200" s="5">
        <v>35.53</v>
      </c>
      <c r="D2200" s="5" t="str" cm="1">
        <f t="array" ref="D2200">_xlfn.IFS(Healthcare!$C2200&lt;18.5,"under weight",Healthcare!$C2200&lt;=24.9,"Normal Weight",Healthcare!$C2200&gt;=25,"overweight",Healthcare!$C2200&gt;=30,"obese")</f>
        <v>overweight</v>
      </c>
      <c r="E2200" s="5">
        <v>4.3600000000000003</v>
      </c>
      <c r="F2200" s="5" t="str" cm="1">
        <f t="array" ref="F2200">_xlfn.IFS(Healthcare!$E2200&lt;5.7,"normal",Healthcare!$E2200&lt;=6.4,"prediabetes",Healthcare!$E2200&gt;=6.5,"diabetes")</f>
        <v>normal</v>
      </c>
      <c r="G2200" s="5" t="s">
        <v>19</v>
      </c>
      <c r="H2200" s="5" t="s">
        <v>19</v>
      </c>
      <c r="I2200" s="5" t="s">
        <v>29</v>
      </c>
      <c r="J2200" s="5">
        <v>1</v>
      </c>
      <c r="K2200" s="5" t="s">
        <v>19</v>
      </c>
      <c r="L2200" s="5" t="str">
        <f>VLOOKUP(Healthcare!$A2200,hospital_details,2,0)</f>
        <v>30-Dec-2003</v>
      </c>
      <c r="M2200" s="5">
        <f t="shared" ref="M2200:M2263" ca="1" si="13185">VLOOKUP(A2200,hospital_details,3,0)</f>
        <v>22</v>
      </c>
      <c r="N2200" s="5">
        <f t="shared" ref="N2200:N2263" si="13186">VLOOKUP($A2200,hospital_details,4,0)</f>
        <v>0</v>
      </c>
      <c r="O2200" s="6">
        <f t="shared" ref="O2200:O2263" si="13187">VLOOKUP($A2200,hospital_details,5,0)</f>
        <v>1646.43</v>
      </c>
      <c r="P2200" s="5" t="str">
        <f t="shared" ref="P2200:P2263" si="13188">VLOOKUP($A2200,hospital_details,6,0)</f>
        <v>tier - 2</v>
      </c>
      <c r="Q2200" s="5" t="str">
        <f t="shared" ref="Q2200:Q2263" si="13189">VLOOKUP($A2200,hospital_details,7,0)</f>
        <v>tier - 1</v>
      </c>
      <c r="R2200" s="5" t="str">
        <f t="shared" ref="R2200:R2263" si="13190">VLOOKUP($A2200,hospital_details,8,0)</f>
        <v>R1012</v>
      </c>
    </row>
    <row r="2201" spans="1:18" ht="14.4" customHeight="1" x14ac:dyDescent="0.3">
      <c r="A2201" s="7" t="s">
        <v>2221</v>
      </c>
      <c r="B2201" s="7" t="str">
        <f>VLOOKUP($A2201,[1]!Customer_Names[#Data],3,0)</f>
        <v xml:space="preserve">  Connor</v>
      </c>
      <c r="C2201" s="7">
        <v>30.59</v>
      </c>
      <c r="D2201" s="7" t="str" cm="1">
        <f t="array" ref="D2201">_xlfn.IFS(Healthcare!$C2201&lt;18.5,"under weight",Healthcare!$C2201&lt;=24.9,"Normal Weight",Healthcare!$C2201&gt;=25,"overweight",Healthcare!$C2201&gt;=30,"obese")</f>
        <v>overweight</v>
      </c>
      <c r="E2201" s="7">
        <v>4.41</v>
      </c>
      <c r="F2201" s="7" t="str" cm="1">
        <f t="array" ref="F2201">_xlfn.IFS(Healthcare!$E2201&lt;5.7,"normal",Healthcare!$E2201&lt;=6.4,"prediabetes",Healthcare!$E2201&gt;=6.5,"diabetes")</f>
        <v>normal</v>
      </c>
      <c r="G2201" s="7" t="s">
        <v>19</v>
      </c>
      <c r="H2201" s="7" t="s">
        <v>19</v>
      </c>
      <c r="I2201" s="7" t="s">
        <v>29</v>
      </c>
      <c r="J2201" s="7">
        <v>1</v>
      </c>
      <c r="K2201" s="7" t="s">
        <v>19</v>
      </c>
      <c r="L2201" s="7" t="str">
        <f>VLOOKUP(Healthcare!$A2201,hospital_details,2,0)</f>
        <v>21-Aug-2003</v>
      </c>
      <c r="M2201" s="7">
        <f t="shared" ref="M2201:M2264" ca="1" si="13191">VLOOKUP(A2201,hospital_details,3,0)</f>
        <v>23</v>
      </c>
      <c r="N2201" s="7">
        <f t="shared" ref="N2201:N2264" si="13192">VLOOKUP($A2201,hospital_details,4,0)</f>
        <v>0</v>
      </c>
      <c r="O2201" s="8">
        <f t="shared" ref="O2201:O2264" si="13193">VLOOKUP($A2201,hospital_details,5,0)</f>
        <v>1639.56</v>
      </c>
      <c r="P2201" s="7" t="str">
        <f t="shared" ref="P2201:P2264" si="13194">VLOOKUP($A2201,hospital_details,6,0)</f>
        <v>tier - 2</v>
      </c>
      <c r="Q2201" s="7" t="str">
        <f t="shared" ref="Q2201:Q2264" si="13195">VLOOKUP($A2201,hospital_details,7,0)</f>
        <v>tier - 2</v>
      </c>
      <c r="R2201" s="7" t="str">
        <f t="shared" ref="R2201:R2264" si="13196">VLOOKUP($A2201,hospital_details,8,0)</f>
        <v>R1012</v>
      </c>
    </row>
    <row r="2202" spans="1:18" ht="14.4" customHeight="1" x14ac:dyDescent="0.3">
      <c r="A2202" s="5" t="s">
        <v>2222</v>
      </c>
      <c r="B2202" s="5" t="str">
        <f>VLOOKUP($A2202,[1]!Customer_Names[#Data],3,0)</f>
        <v xml:space="preserve">  Patrick H</v>
      </c>
      <c r="C2202" s="5">
        <v>30.59</v>
      </c>
      <c r="D2202" s="5" t="str" cm="1">
        <f t="array" ref="D2202">_xlfn.IFS(Healthcare!$C2202&lt;18.5,"under weight",Healthcare!$C2202&lt;=24.9,"Normal Weight",Healthcare!$C2202&gt;=25,"overweight",Healthcare!$C2202&gt;=30,"obese")</f>
        <v>overweight</v>
      </c>
      <c r="E2202" s="5">
        <v>4.17</v>
      </c>
      <c r="F2202" s="5" t="str" cm="1">
        <f t="array" ref="F2202">_xlfn.IFS(Healthcare!$E2202&lt;5.7,"normal",Healthcare!$E2202&lt;=6.4,"prediabetes",Healthcare!$E2202&gt;=6.5,"diabetes")</f>
        <v>normal</v>
      </c>
      <c r="G2202" s="5" t="s">
        <v>19</v>
      </c>
      <c r="H2202" s="5" t="s">
        <v>19</v>
      </c>
      <c r="I2202" s="5" t="s">
        <v>29</v>
      </c>
      <c r="J2202" s="5">
        <v>1</v>
      </c>
      <c r="K2202" s="5" t="s">
        <v>19</v>
      </c>
      <c r="L2202" s="5" t="str">
        <f>VLOOKUP(Healthcare!$A2202,hospital_details,2,0)</f>
        <v>16-Sep-2003</v>
      </c>
      <c r="M2202" s="5">
        <f t="shared" ref="M2202:M2265" ca="1" si="13197">VLOOKUP(A2202,hospital_details,3,0)</f>
        <v>23</v>
      </c>
      <c r="N2202" s="5">
        <f t="shared" ref="N2202:N2265" si="13198">VLOOKUP($A2202,hospital_details,4,0)</f>
        <v>0</v>
      </c>
      <c r="O2202" s="6">
        <f t="shared" ref="O2202:O2265" si="13199">VLOOKUP($A2202,hospital_details,5,0)</f>
        <v>1639.56</v>
      </c>
      <c r="P2202" s="5" t="str">
        <f t="shared" ref="P2202:P2265" si="13200">VLOOKUP($A2202,hospital_details,6,0)</f>
        <v>tier - 2</v>
      </c>
      <c r="Q2202" s="5" t="str">
        <f t="shared" ref="Q2202:Q2265" si="13201">VLOOKUP($A2202,hospital_details,7,0)</f>
        <v>tier - 2</v>
      </c>
      <c r="R2202" s="5" t="str">
        <f t="shared" ref="R2202:R2265" si="13202">VLOOKUP($A2202,hospital_details,8,0)</f>
        <v>R1012</v>
      </c>
    </row>
    <row r="2203" spans="1:18" ht="14.4" customHeight="1" x14ac:dyDescent="0.3">
      <c r="A2203" s="7" t="s">
        <v>2223</v>
      </c>
      <c r="B2203" s="7" t="str">
        <f>VLOOKUP($A2203,[1]!Customer_Names[#Data],3,0)</f>
        <v xml:space="preserve">  Tyler</v>
      </c>
      <c r="C2203" s="7">
        <v>27.835000000000001</v>
      </c>
      <c r="D2203" s="7" t="str" cm="1">
        <f t="array" ref="D2203">_xlfn.IFS(Healthcare!$C2203&lt;18.5,"under weight",Healthcare!$C2203&lt;=24.9,"Normal Weight",Healthcare!$C2203&gt;=25,"overweight",Healthcare!$C2203&gt;=30,"obese")</f>
        <v>overweight</v>
      </c>
      <c r="E2203" s="7">
        <v>4.4400000000000004</v>
      </c>
      <c r="F2203" s="7" t="str" cm="1">
        <f t="array" ref="F2203">_xlfn.IFS(Healthcare!$E2203&lt;5.7,"normal",Healthcare!$E2203&lt;=6.4,"prediabetes",Healthcare!$E2203&gt;=6.5,"diabetes")</f>
        <v>normal</v>
      </c>
      <c r="G2203" s="7" t="s">
        <v>19</v>
      </c>
      <c r="H2203" s="7" t="s">
        <v>19</v>
      </c>
      <c r="I2203" s="7" t="s">
        <v>29</v>
      </c>
      <c r="J2203" s="7">
        <v>1</v>
      </c>
      <c r="K2203" s="7" t="s">
        <v>19</v>
      </c>
      <c r="L2203" s="7" t="str">
        <f>VLOOKUP(Healthcare!$A2203,hospital_details,2,0)</f>
        <v>30-Dec-2003</v>
      </c>
      <c r="M2203" s="7">
        <f t="shared" ref="M2203:M2266" ca="1" si="13203">VLOOKUP(A2203,hospital_details,3,0)</f>
        <v>22</v>
      </c>
      <c r="N2203" s="7">
        <f t="shared" ref="N2203:N2266" si="13204">VLOOKUP($A2203,hospital_details,4,0)</f>
        <v>0</v>
      </c>
      <c r="O2203" s="8">
        <f t="shared" ref="O2203:O2266" si="13205">VLOOKUP($A2203,hospital_details,5,0)</f>
        <v>1635.73</v>
      </c>
      <c r="P2203" s="7" t="str">
        <f t="shared" ref="P2203:P2266" si="13206">VLOOKUP($A2203,hospital_details,6,0)</f>
        <v>tier - 2</v>
      </c>
      <c r="Q2203" s="7" t="str">
        <f t="shared" ref="Q2203:Q2266" si="13207">VLOOKUP($A2203,hospital_details,7,0)</f>
        <v>tier - 3</v>
      </c>
      <c r="R2203" s="7" t="str">
        <f t="shared" ref="R2203:R2266" si="13208">VLOOKUP($A2203,hospital_details,8,0)</f>
        <v>R1012</v>
      </c>
    </row>
    <row r="2204" spans="1:18" ht="14.4" customHeight="1" x14ac:dyDescent="0.3">
      <c r="A2204" s="5" t="s">
        <v>2224</v>
      </c>
      <c r="B2204" s="5" t="str">
        <f>VLOOKUP($A2204,[1]!Customer_Names[#Data],3,0)</f>
        <v xml:space="preserve">  Deborah L</v>
      </c>
      <c r="C2204" s="5">
        <v>40.26</v>
      </c>
      <c r="D2204" s="5" t="str" cm="1">
        <f t="array" ref="D2204">_xlfn.IFS(Healthcare!$C2204&lt;18.5,"under weight",Healthcare!$C2204&lt;=24.9,"Normal Weight",Healthcare!$C2204&gt;=25,"overweight",Healthcare!$C2204&gt;=30,"obese")</f>
        <v>overweight</v>
      </c>
      <c r="E2204" s="5">
        <v>5.52</v>
      </c>
      <c r="F2204" s="5" t="str" cm="1">
        <f t="array" ref="F2204">_xlfn.IFS(Healthcare!$E2204&lt;5.7,"normal",Healthcare!$E2204&lt;=6.4,"prediabetes",Healthcare!$E2204&gt;=6.5,"diabetes")</f>
        <v>normal</v>
      </c>
      <c r="G2204" s="5" t="s">
        <v>19</v>
      </c>
      <c r="H2204" s="5" t="s">
        <v>20</v>
      </c>
      <c r="I2204" s="5" t="s">
        <v>19</v>
      </c>
      <c r="J2204" s="5">
        <v>1</v>
      </c>
      <c r="K2204" s="5" t="s">
        <v>19</v>
      </c>
      <c r="L2204" s="5" t="str">
        <f>VLOOKUP(Healthcare!$A2204,hospital_details,2,0)</f>
        <v>13-Jun-2004</v>
      </c>
      <c r="M2204" s="5">
        <f t="shared" ref="M2204:M2267" ca="1" si="13209">VLOOKUP(A2204,hospital_details,3,0)</f>
        <v>22</v>
      </c>
      <c r="N2204" s="5">
        <f t="shared" ref="N2204:N2267" si="13210">VLOOKUP($A2204,hospital_details,4,0)</f>
        <v>0</v>
      </c>
      <c r="O2204" s="6">
        <f t="shared" ref="O2204:O2267" si="13211">VLOOKUP($A2204,hospital_details,5,0)</f>
        <v>1634.57</v>
      </c>
      <c r="P2204" s="5" t="str">
        <f t="shared" ref="P2204:P2267" si="13212">VLOOKUP($A2204,hospital_details,6,0)</f>
        <v>tier - 2</v>
      </c>
      <c r="Q2204" s="5" t="str">
        <f t="shared" ref="Q2204:Q2267" si="13213">VLOOKUP($A2204,hospital_details,7,0)</f>
        <v>tier - 2</v>
      </c>
      <c r="R2204" s="5" t="str">
        <f t="shared" ref="R2204:R2267" si="13214">VLOOKUP($A2204,hospital_details,8,0)</f>
        <v>R1013</v>
      </c>
    </row>
    <row r="2205" spans="1:18" ht="14.4" customHeight="1" x14ac:dyDescent="0.3">
      <c r="A2205" s="7" t="s">
        <v>2225</v>
      </c>
      <c r="B2205" s="7" t="str">
        <f>VLOOKUP($A2205,[1]!Customer_Names[#Data],3,0)</f>
        <v xml:space="preserve">  Andrea K</v>
      </c>
      <c r="C2205" s="7">
        <v>39.82</v>
      </c>
      <c r="D2205" s="7" t="str" cm="1">
        <f t="array" ref="D2205">_xlfn.IFS(Healthcare!$C2205&lt;18.5,"under weight",Healthcare!$C2205&lt;=24.9,"Normal Weight",Healthcare!$C2205&gt;=25,"overweight",Healthcare!$C2205&gt;=30,"obese")</f>
        <v>overweight</v>
      </c>
      <c r="E2205" s="7">
        <v>6.01</v>
      </c>
      <c r="F2205" s="7" t="str" cm="1">
        <f t="array" ref="F2205">_xlfn.IFS(Healthcare!$E2205&lt;5.7,"normal",Healthcare!$E2205&lt;=6.4,"prediabetes",Healthcare!$E2205&gt;=6.5,"diabetes")</f>
        <v>prediabetes</v>
      </c>
      <c r="G2205" s="7" t="s">
        <v>19</v>
      </c>
      <c r="H2205" s="7" t="s">
        <v>20</v>
      </c>
      <c r="I2205" s="7" t="s">
        <v>19</v>
      </c>
      <c r="J2205" s="7">
        <v>1</v>
      </c>
      <c r="K2205" s="7" t="s">
        <v>19</v>
      </c>
      <c r="L2205" s="7" t="str">
        <f>VLOOKUP(Healthcare!$A2205,hospital_details,2,0)</f>
        <v>8-Aug-2004</v>
      </c>
      <c r="M2205" s="7">
        <f t="shared" ref="M2205:M2268" ca="1" si="13215">VLOOKUP(A2205,hospital_details,3,0)</f>
        <v>22</v>
      </c>
      <c r="N2205" s="7">
        <f t="shared" ref="N2205:N2268" si="13216">VLOOKUP($A2205,hospital_details,4,0)</f>
        <v>0</v>
      </c>
      <c r="O2205" s="8">
        <f t="shared" ref="O2205:O2268" si="13217">VLOOKUP($A2205,hospital_details,5,0)</f>
        <v>1633.96</v>
      </c>
      <c r="P2205" s="7" t="str">
        <f t="shared" ref="P2205:P2268" si="13218">VLOOKUP($A2205,hospital_details,6,0)</f>
        <v>tier - 2</v>
      </c>
      <c r="Q2205" s="7" t="str">
        <f t="shared" ref="Q2205:Q2268" si="13219">VLOOKUP($A2205,hospital_details,7,0)</f>
        <v>tier - 1</v>
      </c>
      <c r="R2205" s="7" t="str">
        <f t="shared" ref="R2205:R2268" si="13220">VLOOKUP($A2205,hospital_details,8,0)</f>
        <v>R1013</v>
      </c>
    </row>
    <row r="2206" spans="1:18" ht="14.4" customHeight="1" x14ac:dyDescent="0.3">
      <c r="A2206" s="5" t="s">
        <v>2226</v>
      </c>
      <c r="B2206" s="5" t="str">
        <f>VLOOKUP($A2206,[1]!Customer_Names[#Data],3,0)</f>
        <v xml:space="preserve">  Elleree</v>
      </c>
      <c r="C2206" s="5">
        <v>39.159999999999997</v>
      </c>
      <c r="D2206" s="5" t="str" cm="1">
        <f t="array" ref="D2206">_xlfn.IFS(Healthcare!$C2206&lt;18.5,"under weight",Healthcare!$C2206&lt;=24.9,"Normal Weight",Healthcare!$C2206&gt;=25,"overweight",Healthcare!$C2206&gt;=30,"obese")</f>
        <v>overweight</v>
      </c>
      <c r="E2206" s="5">
        <v>5.81</v>
      </c>
      <c r="F2206" s="5" t="str" cm="1">
        <f t="array" ref="F2206">_xlfn.IFS(Healthcare!$E2206&lt;5.7,"normal",Healthcare!$E2206&lt;=6.4,"prediabetes",Healthcare!$E2206&gt;=6.5,"diabetes")</f>
        <v>prediabetes</v>
      </c>
      <c r="G2206" s="5" t="s">
        <v>19</v>
      </c>
      <c r="H2206" s="5" t="s">
        <v>20</v>
      </c>
      <c r="I2206" s="5" t="s">
        <v>19</v>
      </c>
      <c r="J2206" s="5">
        <v>1</v>
      </c>
      <c r="K2206" s="5" t="s">
        <v>19</v>
      </c>
      <c r="L2206" s="5" t="str">
        <f>VLOOKUP(Healthcare!$A2206,hospital_details,2,0)</f>
        <v>13-Dec-2004</v>
      </c>
      <c r="M2206" s="5">
        <f t="shared" ref="M2206:M2269" ca="1" si="13221">VLOOKUP(A2206,hospital_details,3,0)</f>
        <v>21</v>
      </c>
      <c r="N2206" s="5">
        <f t="shared" ref="N2206:N2269" si="13222">VLOOKUP($A2206,hospital_details,4,0)</f>
        <v>0</v>
      </c>
      <c r="O2206" s="6">
        <f t="shared" ref="O2206:O2269" si="13223">VLOOKUP($A2206,hospital_details,5,0)</f>
        <v>1633.04</v>
      </c>
      <c r="P2206" s="5" t="str">
        <f t="shared" ref="P2206:P2269" si="13224">VLOOKUP($A2206,hospital_details,6,0)</f>
        <v>tier - 2</v>
      </c>
      <c r="Q2206" s="5" t="str">
        <f t="shared" ref="Q2206:Q2269" si="13225">VLOOKUP($A2206,hospital_details,7,0)</f>
        <v>tier - 2</v>
      </c>
      <c r="R2206" s="5" t="str">
        <f t="shared" ref="R2206:R2269" si="13226">VLOOKUP($A2206,hospital_details,8,0)</f>
        <v>R1013</v>
      </c>
    </row>
    <row r="2207" spans="1:18" ht="14.4" customHeight="1" x14ac:dyDescent="0.3">
      <c r="A2207" s="7" t="s">
        <v>2227</v>
      </c>
      <c r="B2207" s="7" t="str">
        <f>VLOOKUP($A2207,[1]!Customer_Names[#Data],3,0)</f>
        <v xml:space="preserve">  Brandon J</v>
      </c>
      <c r="C2207" s="7">
        <v>25.555</v>
      </c>
      <c r="D2207" s="7" t="str" cm="1">
        <f t="array" ref="D2207">_xlfn.IFS(Healthcare!$C2207&lt;18.5,"under weight",Healthcare!$C2207&lt;=24.9,"Normal Weight",Healthcare!$C2207&gt;=25,"overweight",Healthcare!$C2207&gt;=30,"obese")</f>
        <v>overweight</v>
      </c>
      <c r="E2207" s="7">
        <v>4.37</v>
      </c>
      <c r="F2207" s="7" t="str" cm="1">
        <f t="array" ref="F2207">_xlfn.IFS(Healthcare!$E2207&lt;5.7,"normal",Healthcare!$E2207&lt;=6.4,"prediabetes",Healthcare!$E2207&gt;=6.5,"diabetes")</f>
        <v>normal</v>
      </c>
      <c r="G2207" s="7" t="s">
        <v>19</v>
      </c>
      <c r="H2207" s="7" t="s">
        <v>19</v>
      </c>
      <c r="I2207" s="7" t="s">
        <v>29</v>
      </c>
      <c r="J2207" s="7">
        <v>1</v>
      </c>
      <c r="K2207" s="7" t="s">
        <v>19</v>
      </c>
      <c r="L2207" s="7" t="str">
        <f>VLOOKUP(Healthcare!$A2207,hospital_details,2,0)</f>
        <v>16-Sep-2003</v>
      </c>
      <c r="M2207" s="7">
        <f t="shared" ref="M2207:M2270" ca="1" si="13227">VLOOKUP(A2207,hospital_details,3,0)</f>
        <v>23</v>
      </c>
      <c r="N2207" s="7">
        <f t="shared" ref="N2207:N2270" si="13228">VLOOKUP($A2207,hospital_details,4,0)</f>
        <v>0</v>
      </c>
      <c r="O2207" s="8">
        <f t="shared" ref="O2207:O2270" si="13229">VLOOKUP($A2207,hospital_details,5,0)</f>
        <v>1632.56</v>
      </c>
      <c r="P2207" s="7" t="str">
        <f t="shared" ref="P2207:P2270" si="13230">VLOOKUP($A2207,hospital_details,6,0)</f>
        <v>tier - 2</v>
      </c>
      <c r="Q2207" s="7" t="str">
        <f t="shared" ref="Q2207:Q2270" si="13231">VLOOKUP($A2207,hospital_details,7,0)</f>
        <v>tier - 2</v>
      </c>
      <c r="R2207" s="7" t="str">
        <f t="shared" ref="R2207:R2270" si="13232">VLOOKUP($A2207,hospital_details,8,0)</f>
        <v>R1012</v>
      </c>
    </row>
    <row r="2208" spans="1:18" ht="14.4" customHeight="1" x14ac:dyDescent="0.3">
      <c r="A2208" s="5" t="s">
        <v>2228</v>
      </c>
      <c r="B2208" s="5" t="str">
        <f>VLOOKUP($A2208,[1]!Customer_Names[#Data],3,0)</f>
        <v xml:space="preserve">  Steve</v>
      </c>
      <c r="C2208" s="5">
        <v>25.175000000000001</v>
      </c>
      <c r="D2208" s="5" t="str" cm="1">
        <f t="array" ref="D2208">_xlfn.IFS(Healthcare!$C2208&lt;18.5,"under weight",Healthcare!$C2208&lt;=24.9,"Normal Weight",Healthcare!$C2208&gt;=25,"overweight",Healthcare!$C2208&gt;=30,"obese")</f>
        <v>overweight</v>
      </c>
      <c r="E2208" s="5">
        <v>5.74</v>
      </c>
      <c r="F2208" s="5" t="str" cm="1">
        <f t="array" ref="F2208">_xlfn.IFS(Healthcare!$E2208&lt;5.7,"normal",Healthcare!$E2208&lt;=6.4,"prediabetes",Healthcare!$E2208&gt;=6.5,"diabetes")</f>
        <v>prediabetes</v>
      </c>
      <c r="G2208" s="5" t="s">
        <v>19</v>
      </c>
      <c r="H2208" s="5" t="s">
        <v>19</v>
      </c>
      <c r="I2208" s="5" t="s">
        <v>29</v>
      </c>
      <c r="J2208" s="5">
        <v>1</v>
      </c>
      <c r="K2208" s="5" t="s">
        <v>19</v>
      </c>
      <c r="L2208" s="5" t="str">
        <f>VLOOKUP(Healthcare!$A2208,hospital_details,2,0)</f>
        <v>3-Oct-2003</v>
      </c>
      <c r="M2208" s="5">
        <f t="shared" ref="M2208:M2271" ca="1" si="13233">VLOOKUP(A2208,hospital_details,3,0)</f>
        <v>23</v>
      </c>
      <c r="N2208" s="5">
        <f t="shared" ref="N2208:N2271" si="13234">VLOOKUP($A2208,hospital_details,4,0)</f>
        <v>0</v>
      </c>
      <c r="O2208" s="6">
        <f t="shared" ref="O2208:O2271" si="13235">VLOOKUP($A2208,hospital_details,5,0)</f>
        <v>1632.04</v>
      </c>
      <c r="P2208" s="5" t="str">
        <f t="shared" ref="P2208:P2271" si="13236">VLOOKUP($A2208,hospital_details,6,0)</f>
        <v>tier - 2</v>
      </c>
      <c r="Q2208" s="5" t="str">
        <f t="shared" ref="Q2208:Q2271" si="13237">VLOOKUP($A2208,hospital_details,7,0)</f>
        <v>tier - 2</v>
      </c>
      <c r="R2208" s="5" t="str">
        <f t="shared" ref="R2208:R2271" si="13238">VLOOKUP($A2208,hospital_details,8,0)</f>
        <v>R1012</v>
      </c>
    </row>
    <row r="2209" spans="1:18" ht="14.4" customHeight="1" x14ac:dyDescent="0.3">
      <c r="A2209" s="7" t="s">
        <v>2229</v>
      </c>
      <c r="B2209" s="7" t="str">
        <f>VLOOKUP($A2209,[1]!Customer_Names[#Data],3,0)</f>
        <v xml:space="preserve">  Nina Wavik Sr</v>
      </c>
      <c r="C2209" s="7">
        <v>38.28</v>
      </c>
      <c r="D2209" s="7" t="str" cm="1">
        <f t="array" ref="D2209">_xlfn.IFS(Healthcare!$C2209&lt;18.5,"under weight",Healthcare!$C2209&lt;=24.9,"Normal Weight",Healthcare!$C2209&gt;=25,"overweight",Healthcare!$C2209&gt;=30,"obese")</f>
        <v>overweight</v>
      </c>
      <c r="E2209" s="7">
        <v>5.39</v>
      </c>
      <c r="F2209" s="7" t="str" cm="1">
        <f t="array" ref="F2209">_xlfn.IFS(Healthcare!$E2209&lt;5.7,"normal",Healthcare!$E2209&lt;=6.4,"prediabetes",Healthcare!$E2209&gt;=6.5,"diabetes")</f>
        <v>normal</v>
      </c>
      <c r="G2209" s="7" t="s">
        <v>19</v>
      </c>
      <c r="H2209" s="7" t="s">
        <v>20</v>
      </c>
      <c r="I2209" s="7" t="s">
        <v>19</v>
      </c>
      <c r="J2209" s="7">
        <v>1</v>
      </c>
      <c r="K2209" s="7" t="s">
        <v>19</v>
      </c>
      <c r="L2209" s="7" t="str">
        <f>VLOOKUP(Healthcare!$A2209,hospital_details,2,0)</f>
        <v>9-Jul-2004</v>
      </c>
      <c r="M2209" s="7">
        <f t="shared" ref="M2209:M2272" ca="1" si="13239">VLOOKUP(A2209,hospital_details,3,0)</f>
        <v>22</v>
      </c>
      <c r="N2209" s="7">
        <f t="shared" ref="N2209:N2272" si="13240">VLOOKUP($A2209,hospital_details,4,0)</f>
        <v>0</v>
      </c>
      <c r="O2209" s="8">
        <f t="shared" ref="O2209:O2272" si="13241">VLOOKUP($A2209,hospital_details,5,0)</f>
        <v>1631.82</v>
      </c>
      <c r="P2209" s="7" t="str">
        <f t="shared" ref="P2209:P2272" si="13242">VLOOKUP($A2209,hospital_details,6,0)</f>
        <v>tier - 2</v>
      </c>
      <c r="Q2209" s="7" t="str">
        <f t="shared" ref="Q2209:Q2272" si="13243">VLOOKUP($A2209,hospital_details,7,0)</f>
        <v>tier - 1</v>
      </c>
      <c r="R2209" s="7" t="str">
        <f t="shared" ref="R2209:R2272" si="13244">VLOOKUP($A2209,hospital_details,8,0)</f>
        <v>R1013</v>
      </c>
    </row>
    <row r="2210" spans="1:18" ht="14.4" customHeight="1" x14ac:dyDescent="0.3">
      <c r="A2210" s="5" t="s">
        <v>2230</v>
      </c>
      <c r="B2210" s="5" t="str">
        <f>VLOOKUP($A2210,[1]!Customer_Names[#Data],3,0)</f>
        <v xml:space="preserve">  Dani</v>
      </c>
      <c r="C2210" s="5">
        <v>38.17</v>
      </c>
      <c r="D2210" s="5" t="str" cm="1">
        <f t="array" ref="D2210">_xlfn.IFS(Healthcare!$C2210&lt;18.5,"under weight",Healthcare!$C2210&lt;=24.9,"Normal Weight",Healthcare!$C2210&gt;=25,"overweight",Healthcare!$C2210&gt;=30,"obese")</f>
        <v>overweight</v>
      </c>
      <c r="E2210" s="5">
        <v>4.07</v>
      </c>
      <c r="F2210" s="5" t="str" cm="1">
        <f t="array" ref="F2210">_xlfn.IFS(Healthcare!$E2210&lt;5.7,"normal",Healthcare!$E2210&lt;=6.4,"prediabetes",Healthcare!$E2210&gt;=6.5,"diabetes")</f>
        <v>normal</v>
      </c>
      <c r="G2210" s="5" t="s">
        <v>19</v>
      </c>
      <c r="H2210" s="5" t="s">
        <v>20</v>
      </c>
      <c r="I2210" s="5" t="s">
        <v>19</v>
      </c>
      <c r="J2210" s="5">
        <v>1</v>
      </c>
      <c r="K2210" s="5" t="s">
        <v>19</v>
      </c>
      <c r="L2210" s="5" t="str">
        <f>VLOOKUP(Healthcare!$A2210,hospital_details,2,0)</f>
        <v>5-Dec-2004</v>
      </c>
      <c r="M2210" s="5">
        <f t="shared" ref="M2210:M2273" ca="1" si="13245">VLOOKUP(A2210,hospital_details,3,0)</f>
        <v>21</v>
      </c>
      <c r="N2210" s="5">
        <f t="shared" ref="N2210:N2273" si="13246">VLOOKUP($A2210,hospital_details,4,0)</f>
        <v>0</v>
      </c>
      <c r="O2210" s="6">
        <f t="shared" ref="O2210:O2273" si="13247">VLOOKUP($A2210,hospital_details,5,0)</f>
        <v>1631.67</v>
      </c>
      <c r="P2210" s="5" t="str">
        <f t="shared" ref="P2210:P2273" si="13248">VLOOKUP($A2210,hospital_details,6,0)</f>
        <v>tier - 2</v>
      </c>
      <c r="Q2210" s="5" t="str">
        <f t="shared" ref="Q2210:Q2273" si="13249">VLOOKUP($A2210,hospital_details,7,0)</f>
        <v>tier - 3</v>
      </c>
      <c r="R2210" s="5" t="str">
        <f t="shared" ref="R2210:R2273" si="13250">VLOOKUP($A2210,hospital_details,8,0)</f>
        <v>R1013</v>
      </c>
    </row>
    <row r="2211" spans="1:18" ht="14.4" customHeight="1" x14ac:dyDescent="0.3">
      <c r="A2211" s="7" t="s">
        <v>2231</v>
      </c>
      <c r="B2211" s="7" t="str">
        <f>VLOOKUP($A2211,[1]!Customer_Names[#Data],3,0)</f>
        <v xml:space="preserve">  Jennifer A</v>
      </c>
      <c r="C2211" s="7">
        <v>36.85</v>
      </c>
      <c r="D2211" s="7" t="str" cm="1">
        <f t="array" ref="D2211">_xlfn.IFS(Healthcare!$C2211&lt;18.5,"under weight",Healthcare!$C2211&lt;=24.9,"Normal Weight",Healthcare!$C2211&gt;=25,"overweight",Healthcare!$C2211&gt;=30,"obese")</f>
        <v>overweight</v>
      </c>
      <c r="E2211" s="7">
        <v>5.49</v>
      </c>
      <c r="F2211" s="7" t="str" cm="1">
        <f t="array" ref="F2211">_xlfn.IFS(Healthcare!$E2211&lt;5.7,"normal",Healthcare!$E2211&lt;=6.4,"prediabetes",Healthcare!$E2211&gt;=6.5,"diabetes")</f>
        <v>normal</v>
      </c>
      <c r="G2211" s="7" t="s">
        <v>19</v>
      </c>
      <c r="H2211" s="7" t="s">
        <v>20</v>
      </c>
      <c r="I2211" s="7" t="s">
        <v>19</v>
      </c>
      <c r="J2211" s="7">
        <v>1</v>
      </c>
      <c r="K2211" s="7" t="s">
        <v>19</v>
      </c>
      <c r="L2211" s="7" t="str">
        <f>VLOOKUP(Healthcare!$A2211,hospital_details,2,0)</f>
        <v>4-Oct-2004</v>
      </c>
      <c r="M2211" s="7">
        <f t="shared" ref="M2211:M2274" ca="1" si="13251">VLOOKUP(A2211,hospital_details,3,0)</f>
        <v>22</v>
      </c>
      <c r="N2211" s="7">
        <f t="shared" ref="N2211:N2274" si="13252">VLOOKUP($A2211,hospital_details,4,0)</f>
        <v>0</v>
      </c>
      <c r="O2211" s="8">
        <f t="shared" ref="O2211:O2274" si="13253">VLOOKUP($A2211,hospital_details,5,0)</f>
        <v>1629.83</v>
      </c>
      <c r="P2211" s="7" t="str">
        <f t="shared" ref="P2211:P2274" si="13254">VLOOKUP($A2211,hospital_details,6,0)</f>
        <v>tier - 2</v>
      </c>
      <c r="Q2211" s="7" t="str">
        <f t="shared" ref="Q2211:Q2274" si="13255">VLOOKUP($A2211,hospital_details,7,0)</f>
        <v>tier - 2</v>
      </c>
      <c r="R2211" s="7" t="str">
        <f t="shared" ref="R2211:R2274" si="13256">VLOOKUP($A2211,hospital_details,8,0)</f>
        <v>R1013</v>
      </c>
    </row>
    <row r="2212" spans="1:18" ht="14.4" customHeight="1" x14ac:dyDescent="0.3">
      <c r="A2212" s="5" t="s">
        <v>2232</v>
      </c>
      <c r="B2212" s="5" t="str">
        <f>VLOOKUP($A2212,[1]!Customer_Names[#Data],3,0)</f>
        <v xml:space="preserve">  Martin</v>
      </c>
      <c r="C2212" s="5">
        <v>22.61</v>
      </c>
      <c r="D2212" s="5" t="str" cm="1">
        <f t="array" ref="D2212">_xlfn.IFS(Healthcare!$C2212&lt;18.5,"under weight",Healthcare!$C2212&lt;=24.9,"Normal Weight",Healthcare!$C2212&gt;=25,"overweight",Healthcare!$C2212&gt;=30,"obese")</f>
        <v>Normal Weight</v>
      </c>
      <c r="E2212" s="5">
        <v>5.68</v>
      </c>
      <c r="F2212" s="5" t="str" cm="1">
        <f t="array" ref="F2212">_xlfn.IFS(Healthcare!$E2212&lt;5.7,"normal",Healthcare!$E2212&lt;=6.4,"prediabetes",Healthcare!$E2212&gt;=6.5,"diabetes")</f>
        <v>normal</v>
      </c>
      <c r="G2212" s="5" t="s">
        <v>19</v>
      </c>
      <c r="H2212" s="5" t="s">
        <v>19</v>
      </c>
      <c r="I2212" s="5" t="s">
        <v>29</v>
      </c>
      <c r="J2212" s="5">
        <v>1</v>
      </c>
      <c r="K2212" s="5" t="s">
        <v>19</v>
      </c>
      <c r="L2212" s="5" t="str">
        <f>VLOOKUP(Healthcare!$A2212,hospital_details,2,0)</f>
        <v>17-Jul-2003</v>
      </c>
      <c r="M2212" s="5">
        <f t="shared" ref="M2212:M2275" ca="1" si="13257">VLOOKUP(A2212,hospital_details,3,0)</f>
        <v>23</v>
      </c>
      <c r="N2212" s="5">
        <f t="shared" ref="N2212:N2275" si="13258">VLOOKUP($A2212,hospital_details,4,0)</f>
        <v>0</v>
      </c>
      <c r="O2212" s="6">
        <f t="shared" ref="O2212:O2275" si="13259">VLOOKUP($A2212,hospital_details,5,0)</f>
        <v>1628.47</v>
      </c>
      <c r="P2212" s="5" t="str">
        <f t="shared" ref="P2212:P2275" si="13260">VLOOKUP($A2212,hospital_details,6,0)</f>
        <v>tier - 2</v>
      </c>
      <c r="Q2212" s="5" t="str">
        <f t="shared" ref="Q2212:Q2275" si="13261">VLOOKUP($A2212,hospital_details,7,0)</f>
        <v>tier - 1</v>
      </c>
      <c r="R2212" s="5" t="str">
        <f t="shared" ref="R2212:R2275" si="13262">VLOOKUP($A2212,hospital_details,8,0)</f>
        <v>R1012</v>
      </c>
    </row>
    <row r="2213" spans="1:18" ht="14.4" customHeight="1" x14ac:dyDescent="0.3">
      <c r="A2213" s="7" t="s">
        <v>2233</v>
      </c>
      <c r="B2213" s="7" t="str">
        <f>VLOOKUP($A2213,[1]!Customer_Names[#Data],3,0)</f>
        <v xml:space="preserve">  Steve</v>
      </c>
      <c r="C2213" s="7">
        <v>21.754999999999999</v>
      </c>
      <c r="D2213" s="7" t="str" cm="1">
        <f t="array" ref="D2213">_xlfn.IFS(Healthcare!$C2213&lt;18.5,"under weight",Healthcare!$C2213&lt;=24.9,"Normal Weight",Healthcare!$C2213&gt;=25,"overweight",Healthcare!$C2213&gt;=30,"obese")</f>
        <v>Normal Weight</v>
      </c>
      <c r="E2213" s="7">
        <v>6.09</v>
      </c>
      <c r="F2213" s="7" t="str" cm="1">
        <f t="array" ref="F2213">_xlfn.IFS(Healthcare!$E2213&lt;5.7,"normal",Healthcare!$E2213&lt;=6.4,"prediabetes",Healthcare!$E2213&gt;=6.5,"diabetes")</f>
        <v>prediabetes</v>
      </c>
      <c r="G2213" s="7" t="s">
        <v>19</v>
      </c>
      <c r="H2213" s="7" t="s">
        <v>19</v>
      </c>
      <c r="I2213" s="7" t="s">
        <v>29</v>
      </c>
      <c r="J2213" s="7">
        <v>1</v>
      </c>
      <c r="K2213" s="7" t="s">
        <v>19</v>
      </c>
      <c r="L2213" s="7" t="str">
        <f>VLOOKUP(Healthcare!$A2213,hospital_details,2,0)</f>
        <v>4-Dec-2003</v>
      </c>
      <c r="M2213" s="7">
        <f t="shared" ref="M2213:M2276" ca="1" si="13263">VLOOKUP(A2213,hospital_details,3,0)</f>
        <v>22</v>
      </c>
      <c r="N2213" s="7">
        <f t="shared" ref="N2213:N2276" si="13264">VLOOKUP($A2213,hospital_details,4,0)</f>
        <v>0</v>
      </c>
      <c r="O2213" s="8">
        <f t="shared" ref="O2213:O2276" si="13265">VLOOKUP($A2213,hospital_details,5,0)</f>
        <v>1627.28</v>
      </c>
      <c r="P2213" s="7" t="str">
        <f t="shared" ref="P2213:P2276" si="13266">VLOOKUP($A2213,hospital_details,6,0)</f>
        <v>tier - 2</v>
      </c>
      <c r="Q2213" s="7" t="str">
        <f t="shared" ref="Q2213:Q2276" si="13267">VLOOKUP($A2213,hospital_details,7,0)</f>
        <v>tier - 2</v>
      </c>
      <c r="R2213" s="7" t="str">
        <f t="shared" ref="R2213:R2276" si="13268">VLOOKUP($A2213,hospital_details,8,0)</f>
        <v>R1012</v>
      </c>
    </row>
    <row r="2214" spans="1:18" ht="14.4" customHeight="1" x14ac:dyDescent="0.3">
      <c r="A2214" s="5" t="s">
        <v>2234</v>
      </c>
      <c r="B2214" s="5" t="str">
        <f>VLOOKUP($A2214,[1]!Customer_Names[#Data],3,0)</f>
        <v xml:space="preserve">  Christopher</v>
      </c>
      <c r="C2214" s="5">
        <v>20.425000000000001</v>
      </c>
      <c r="D2214" s="5" t="str" cm="1">
        <f t="array" ref="D2214">_xlfn.IFS(Healthcare!$C2214&lt;18.5,"under weight",Healthcare!$C2214&lt;=24.9,"Normal Weight",Healthcare!$C2214&gt;=25,"overweight",Healthcare!$C2214&gt;=30,"obese")</f>
        <v>Normal Weight</v>
      </c>
      <c r="E2214" s="5">
        <v>5.53</v>
      </c>
      <c r="F2214" s="5" t="str" cm="1">
        <f t="array" ref="F2214">_xlfn.IFS(Healthcare!$E2214&lt;5.7,"normal",Healthcare!$E2214&lt;=6.4,"prediabetes",Healthcare!$E2214&gt;=6.5,"diabetes")</f>
        <v>normal</v>
      </c>
      <c r="G2214" s="5" t="s">
        <v>19</v>
      </c>
      <c r="H2214" s="5" t="s">
        <v>19</v>
      </c>
      <c r="I2214" s="5" t="s">
        <v>29</v>
      </c>
      <c r="J2214" s="5">
        <v>1</v>
      </c>
      <c r="K2214" s="5" t="s">
        <v>19</v>
      </c>
      <c r="L2214" s="5" t="str">
        <f>VLOOKUP(Healthcare!$A2214,hospital_details,2,0)</f>
        <v>9-Sep-2003</v>
      </c>
      <c r="M2214" s="5">
        <f t="shared" ref="M2214:M2277" ca="1" si="13269">VLOOKUP(A2214,hospital_details,3,0)</f>
        <v>23</v>
      </c>
      <c r="N2214" s="5">
        <f t="shared" ref="N2214:N2277" si="13270">VLOOKUP($A2214,hospital_details,4,0)</f>
        <v>0</v>
      </c>
      <c r="O2214" s="6">
        <f t="shared" ref="O2214:O2277" si="13271">VLOOKUP($A2214,hospital_details,5,0)</f>
        <v>1625.43</v>
      </c>
      <c r="P2214" s="5" t="str">
        <f t="shared" ref="P2214:P2277" si="13272">VLOOKUP($A2214,hospital_details,6,0)</f>
        <v>tier - 2</v>
      </c>
      <c r="Q2214" s="5" t="str">
        <f t="shared" ref="Q2214:Q2277" si="13273">VLOOKUP($A2214,hospital_details,7,0)</f>
        <v>tier - 3</v>
      </c>
      <c r="R2214" s="5" t="str">
        <f t="shared" ref="R2214:R2277" si="13274">VLOOKUP($A2214,hospital_details,8,0)</f>
        <v>R1012</v>
      </c>
    </row>
    <row r="2215" spans="1:18" ht="14.4" customHeight="1" x14ac:dyDescent="0.3">
      <c r="A2215" s="7" t="s">
        <v>2235</v>
      </c>
      <c r="B2215" s="7" t="str">
        <f>VLOOKUP($A2215,[1]!Customer_Names[#Data],3,0)</f>
        <v xml:space="preserve">  Kathryn M</v>
      </c>
      <c r="C2215" s="7">
        <v>31.35</v>
      </c>
      <c r="D2215" s="7" t="str" cm="1">
        <f t="array" ref="D2215">_xlfn.IFS(Healthcare!$C2215&lt;18.5,"under weight",Healthcare!$C2215&lt;=24.9,"Normal Weight",Healthcare!$C2215&gt;=25,"overweight",Healthcare!$C2215&gt;=30,"obese")</f>
        <v>overweight</v>
      </c>
      <c r="E2215" s="7">
        <v>4.28</v>
      </c>
      <c r="F2215" s="7" t="str" cm="1">
        <f t="array" ref="F2215">_xlfn.IFS(Healthcare!$E2215&lt;5.7,"normal",Healthcare!$E2215&lt;=6.4,"prediabetes",Healthcare!$E2215&gt;=6.5,"diabetes")</f>
        <v>normal</v>
      </c>
      <c r="G2215" s="7" t="s">
        <v>19</v>
      </c>
      <c r="H2215" s="7" t="s">
        <v>20</v>
      </c>
      <c r="I2215" s="7" t="s">
        <v>19</v>
      </c>
      <c r="J2215" s="7">
        <v>1</v>
      </c>
      <c r="K2215" s="7" t="s">
        <v>19</v>
      </c>
      <c r="L2215" s="7" t="str">
        <f>VLOOKUP(Healthcare!$A2215,hospital_details,2,0)</f>
        <v>25-Jul-2004</v>
      </c>
      <c r="M2215" s="7">
        <f t="shared" ref="M2215:M2278" ca="1" si="13275">VLOOKUP(A2215,hospital_details,3,0)</f>
        <v>22</v>
      </c>
      <c r="N2215" s="7">
        <f t="shared" ref="N2215:N2278" si="13276">VLOOKUP($A2215,hospital_details,4,0)</f>
        <v>0</v>
      </c>
      <c r="O2215" s="8">
        <f t="shared" ref="O2215:O2278" si="13277">VLOOKUP($A2215,hospital_details,5,0)</f>
        <v>1622.19</v>
      </c>
      <c r="P2215" s="7" t="str">
        <f t="shared" ref="P2215:P2278" si="13278">VLOOKUP($A2215,hospital_details,6,0)</f>
        <v>tier - 2</v>
      </c>
      <c r="Q2215" s="7" t="str">
        <f t="shared" ref="Q2215:Q2278" si="13279">VLOOKUP($A2215,hospital_details,7,0)</f>
        <v>tier - 1</v>
      </c>
      <c r="R2215" s="7" t="str">
        <f t="shared" ref="R2215:R2278" si="13280">VLOOKUP($A2215,hospital_details,8,0)</f>
        <v>R1013</v>
      </c>
    </row>
    <row r="2216" spans="1:18" ht="14.4" customHeight="1" x14ac:dyDescent="0.3">
      <c r="A2216" s="5" t="s">
        <v>2236</v>
      </c>
      <c r="B2216" s="5" t="str">
        <f>VLOOKUP($A2216,[1]!Customer_Names[#Data],3,0)</f>
        <v xml:space="preserve">  Emily</v>
      </c>
      <c r="C2216" s="5">
        <v>31.13</v>
      </c>
      <c r="D2216" s="5" t="str" cm="1">
        <f t="array" ref="D2216">_xlfn.IFS(Healthcare!$C2216&lt;18.5,"under weight",Healthcare!$C2216&lt;=24.9,"Normal Weight",Healthcare!$C2216&gt;=25,"overweight",Healthcare!$C2216&gt;=30,"obese")</f>
        <v>overweight</v>
      </c>
      <c r="E2216" s="5">
        <v>6.01</v>
      </c>
      <c r="F2216" s="5" t="str" cm="1">
        <f t="array" ref="F2216">_xlfn.IFS(Healthcare!$E2216&lt;5.7,"normal",Healthcare!$E2216&lt;=6.4,"prediabetes",Healthcare!$E2216&gt;=6.5,"diabetes")</f>
        <v>prediabetes</v>
      </c>
      <c r="G2216" s="5" t="s">
        <v>19</v>
      </c>
      <c r="H2216" s="5" t="s">
        <v>20</v>
      </c>
      <c r="I2216" s="5" t="s">
        <v>19</v>
      </c>
      <c r="J2216" s="5">
        <v>1</v>
      </c>
      <c r="K2216" s="5" t="s">
        <v>19</v>
      </c>
      <c r="L2216" s="5" t="str">
        <f>VLOOKUP(Healthcare!$A2216,hospital_details,2,0)</f>
        <v>21-Aug-2004</v>
      </c>
      <c r="M2216" s="5">
        <f t="shared" ref="M2216:M2279" ca="1" si="13281">VLOOKUP(A2216,hospital_details,3,0)</f>
        <v>22</v>
      </c>
      <c r="N2216" s="5">
        <f t="shared" ref="N2216:N2279" si="13282">VLOOKUP($A2216,hospital_details,4,0)</f>
        <v>0</v>
      </c>
      <c r="O2216" s="6">
        <f t="shared" ref="O2216:O2279" si="13283">VLOOKUP($A2216,hospital_details,5,0)</f>
        <v>1621.88</v>
      </c>
      <c r="P2216" s="5" t="str">
        <f t="shared" ref="P2216:P2279" si="13284">VLOOKUP($A2216,hospital_details,6,0)</f>
        <v>tier - 2</v>
      </c>
      <c r="Q2216" s="5" t="str">
        <f t="shared" ref="Q2216:Q2279" si="13285">VLOOKUP($A2216,hospital_details,7,0)</f>
        <v>tier - 2</v>
      </c>
      <c r="R2216" s="5" t="str">
        <f t="shared" ref="R2216:R2279" si="13286">VLOOKUP($A2216,hospital_details,8,0)</f>
        <v>R1013</v>
      </c>
    </row>
    <row r="2217" spans="1:18" ht="14.4" customHeight="1" x14ac:dyDescent="0.3">
      <c r="A2217" s="7" t="s">
        <v>2237</v>
      </c>
      <c r="B2217" s="7" t="str">
        <f>VLOOKUP($A2217,[1]!Customer_Names[#Data],3,0)</f>
        <v xml:space="preserve">  Trent A</v>
      </c>
      <c r="C2217" s="7">
        <v>17.48</v>
      </c>
      <c r="D2217" s="7" t="str" cm="1">
        <f t="array" ref="D2217">_xlfn.IFS(Healthcare!$C2217&lt;18.5,"under weight",Healthcare!$C2217&lt;=24.9,"Normal Weight",Healthcare!$C2217&gt;=25,"overweight",Healthcare!$C2217&gt;=30,"obese")</f>
        <v>under weight</v>
      </c>
      <c r="E2217" s="7">
        <v>4.59</v>
      </c>
      <c r="F2217" s="7" t="str" cm="1">
        <f t="array" ref="F2217">_xlfn.IFS(Healthcare!$E2217&lt;5.7,"normal",Healthcare!$E2217&lt;=6.4,"prediabetes",Healthcare!$E2217&gt;=6.5,"diabetes")</f>
        <v>normal</v>
      </c>
      <c r="G2217" s="7" t="s">
        <v>19</v>
      </c>
      <c r="H2217" s="7" t="s">
        <v>19</v>
      </c>
      <c r="I2217" s="7" t="s">
        <v>29</v>
      </c>
      <c r="J2217" s="7">
        <v>1</v>
      </c>
      <c r="K2217" s="7" t="s">
        <v>19</v>
      </c>
      <c r="L2217" s="7" t="str">
        <f>VLOOKUP(Healthcare!$A2217,hospital_details,2,0)</f>
        <v>14-Sep-2003</v>
      </c>
      <c r="M2217" s="7">
        <f t="shared" ref="M2217:M2280" ca="1" si="13287">VLOOKUP(A2217,hospital_details,3,0)</f>
        <v>23</v>
      </c>
      <c r="N2217" s="7">
        <f t="shared" ref="N2217:N2280" si="13288">VLOOKUP($A2217,hospital_details,4,0)</f>
        <v>0</v>
      </c>
      <c r="O2217" s="8">
        <f t="shared" ref="O2217:O2280" si="13289">VLOOKUP($A2217,hospital_details,5,0)</f>
        <v>1621.34</v>
      </c>
      <c r="P2217" s="7" t="str">
        <f t="shared" ref="P2217:P2280" si="13290">VLOOKUP($A2217,hospital_details,6,0)</f>
        <v>tier - 2</v>
      </c>
      <c r="Q2217" s="7" t="str">
        <f t="shared" ref="Q2217:Q2280" si="13291">VLOOKUP($A2217,hospital_details,7,0)</f>
        <v>tier - 2</v>
      </c>
      <c r="R2217" s="7" t="str">
        <f t="shared" ref="R2217:R2280" si="13292">VLOOKUP($A2217,hospital_details,8,0)</f>
        <v>R1012</v>
      </c>
    </row>
    <row r="2218" spans="1:18" ht="14.4" customHeight="1" x14ac:dyDescent="0.3">
      <c r="A2218" s="5" t="s">
        <v>2238</v>
      </c>
      <c r="B2218" s="5" t="str">
        <f>VLOOKUP($A2218,[1]!Customer_Names[#Data],3,0)</f>
        <v xml:space="preserve">  Jennifer E</v>
      </c>
      <c r="C2218" s="5">
        <v>22.57</v>
      </c>
      <c r="D2218" s="5" t="str" cm="1">
        <f t="array" ref="D2218">_xlfn.IFS(Healthcare!$C2218&lt;18.5,"under weight",Healthcare!$C2218&lt;=24.9,"Normal Weight",Healthcare!$C2218&gt;=25,"overweight",Healthcare!$C2218&gt;=30,"obese")</f>
        <v>Normal Weight</v>
      </c>
      <c r="E2218" s="5">
        <v>5.8</v>
      </c>
      <c r="F2218" s="5" t="str" cm="1">
        <f t="array" ref="F2218">_xlfn.IFS(Healthcare!$E2218&lt;5.7,"normal",Healthcare!$E2218&lt;=6.4,"prediabetes",Healthcare!$E2218&gt;=6.5,"diabetes")</f>
        <v>prediabetes</v>
      </c>
      <c r="G2218" s="5" t="s">
        <v>20</v>
      </c>
      <c r="H2218" s="5" t="s">
        <v>19</v>
      </c>
      <c r="I2218" s="5" t="s">
        <v>19</v>
      </c>
      <c r="J2218" s="5">
        <v>1</v>
      </c>
      <c r="K2218" s="5" t="s">
        <v>19</v>
      </c>
      <c r="L2218" s="5" t="str">
        <f>VLOOKUP(Healthcare!$A2218,hospital_details,2,0)</f>
        <v>5-Aug-1995</v>
      </c>
      <c r="M2218" s="5">
        <f t="shared" ref="M2218:M2281" ca="1" si="13293">VLOOKUP(A2218,hospital_details,3,0)</f>
        <v>31</v>
      </c>
      <c r="N2218" s="5">
        <f t="shared" ref="N2218:N2281" si="13294">VLOOKUP($A2218,hospital_details,4,0)</f>
        <v>0</v>
      </c>
      <c r="O2218" s="6">
        <f t="shared" ref="O2218:O2281" si="13295">VLOOKUP($A2218,hospital_details,5,0)</f>
        <v>1617.16</v>
      </c>
      <c r="P2218" s="5" t="str">
        <f t="shared" ref="P2218:P2281" si="13296">VLOOKUP($A2218,hospital_details,6,0)</f>
        <v>tier - 2</v>
      </c>
      <c r="Q2218" s="5" t="str">
        <f t="shared" ref="Q2218:Q2281" si="13297">VLOOKUP($A2218,hospital_details,7,0)</f>
        <v>tier - 1</v>
      </c>
      <c r="R2218" s="5" t="str">
        <f t="shared" ref="R2218:R2281" si="13298">VLOOKUP($A2218,hospital_details,8,0)</f>
        <v>R1013</v>
      </c>
    </row>
    <row r="2219" spans="1:18" ht="14.4" customHeight="1" x14ac:dyDescent="0.3">
      <c r="A2219" s="7" t="s">
        <v>2239</v>
      </c>
      <c r="B2219" s="7" t="str">
        <f>VLOOKUP($A2219,[1]!Customer_Names[#Data],3,0)</f>
        <v xml:space="preserve">  Polly</v>
      </c>
      <c r="C2219" s="7">
        <v>26.73</v>
      </c>
      <c r="D2219" s="7" t="str" cm="1">
        <f t="array" ref="D2219">_xlfn.IFS(Healthcare!$C2219&lt;18.5,"under weight",Healthcare!$C2219&lt;=24.9,"Normal Weight",Healthcare!$C2219&gt;=25,"overweight",Healthcare!$C2219&gt;=30,"obese")</f>
        <v>overweight</v>
      </c>
      <c r="E2219" s="7">
        <v>5.08</v>
      </c>
      <c r="F2219" s="7" t="str" cm="1">
        <f t="array" ref="F2219">_xlfn.IFS(Healthcare!$E2219&lt;5.7,"normal",Healthcare!$E2219&lt;=6.4,"prediabetes",Healthcare!$E2219&gt;=6.5,"diabetes")</f>
        <v>normal</v>
      </c>
      <c r="G2219" s="7" t="s">
        <v>19</v>
      </c>
      <c r="H2219" s="7" t="s">
        <v>20</v>
      </c>
      <c r="I2219" s="7" t="s">
        <v>19</v>
      </c>
      <c r="J2219" s="7">
        <v>1</v>
      </c>
      <c r="K2219" s="7" t="s">
        <v>19</v>
      </c>
      <c r="L2219" s="7" t="str">
        <f>VLOOKUP(Healthcare!$A2219,hospital_details,2,0)</f>
        <v>22-Jul-2004</v>
      </c>
      <c r="M2219" s="7">
        <f t="shared" ref="M2219:M2282" ca="1" si="13299">VLOOKUP(A2219,hospital_details,3,0)</f>
        <v>22</v>
      </c>
      <c r="N2219" s="7">
        <f t="shared" ref="N2219:N2282" si="13300">VLOOKUP($A2219,hospital_details,4,0)</f>
        <v>0</v>
      </c>
      <c r="O2219" s="8">
        <f t="shared" ref="O2219:O2282" si="13301">VLOOKUP($A2219,hospital_details,5,0)</f>
        <v>1615.77</v>
      </c>
      <c r="P2219" s="7" t="str">
        <f t="shared" ref="P2219:P2282" si="13302">VLOOKUP($A2219,hospital_details,6,0)</f>
        <v>tier - 2</v>
      </c>
      <c r="Q2219" s="7" t="str">
        <f t="shared" ref="Q2219:Q2282" si="13303">VLOOKUP($A2219,hospital_details,7,0)</f>
        <v>tier - 1</v>
      </c>
      <c r="R2219" s="7" t="str">
        <f t="shared" ref="R2219:R2282" si="13304">VLOOKUP($A2219,hospital_details,8,0)</f>
        <v>R1013</v>
      </c>
    </row>
    <row r="2220" spans="1:18" ht="14.4" customHeight="1" x14ac:dyDescent="0.3">
      <c r="A2220" s="5" t="s">
        <v>2240</v>
      </c>
      <c r="B2220" s="5" t="str">
        <f>VLOOKUP($A2220,[1]!Customer_Names[#Data],3,0)</f>
        <v xml:space="preserve">  Elizabeth</v>
      </c>
      <c r="C2220" s="5">
        <v>20.79</v>
      </c>
      <c r="D2220" s="5" t="str" cm="1">
        <f t="array" ref="D2220">_xlfn.IFS(Healthcare!$C2220&lt;18.5,"under weight",Healthcare!$C2220&lt;=24.9,"Normal Weight",Healthcare!$C2220&gt;=25,"overweight",Healthcare!$C2220&gt;=30,"obese")</f>
        <v>Normal Weight</v>
      </c>
      <c r="E2220" s="5">
        <v>5.84</v>
      </c>
      <c r="F2220" s="5" t="str" cm="1">
        <f t="array" ref="F2220">_xlfn.IFS(Healthcare!$E2220&lt;5.7,"normal",Healthcare!$E2220&lt;=6.4,"prediabetes",Healthcare!$E2220&gt;=6.5,"diabetes")</f>
        <v>prediabetes</v>
      </c>
      <c r="G2220" s="5" t="s">
        <v>19</v>
      </c>
      <c r="H2220" s="5" t="s">
        <v>20</v>
      </c>
      <c r="I2220" s="5" t="s">
        <v>19</v>
      </c>
      <c r="J2220" s="5">
        <v>1</v>
      </c>
      <c r="K2220" s="5" t="s">
        <v>19</v>
      </c>
      <c r="L2220" s="5" t="str">
        <f>VLOOKUP(Healthcare!$A2220,hospital_details,2,0)</f>
        <v>19-Nov-2004</v>
      </c>
      <c r="M2220" s="5">
        <f t="shared" ref="M2220:M2283" ca="1" si="13305">VLOOKUP(A2220,hospital_details,3,0)</f>
        <v>21</v>
      </c>
      <c r="N2220" s="5">
        <f t="shared" ref="N2220:N2283" si="13306">VLOOKUP($A2220,hospital_details,4,0)</f>
        <v>0</v>
      </c>
      <c r="O2220" s="6">
        <f t="shared" ref="O2220:O2283" si="13307">VLOOKUP($A2220,hospital_details,5,0)</f>
        <v>1607.51</v>
      </c>
      <c r="P2220" s="5" t="str">
        <f t="shared" ref="P2220:P2283" si="13308">VLOOKUP($A2220,hospital_details,6,0)</f>
        <v>tier - 2</v>
      </c>
      <c r="Q2220" s="5" t="str">
        <f t="shared" ref="Q2220:Q2283" si="13309">VLOOKUP($A2220,hospital_details,7,0)</f>
        <v>tier - 3</v>
      </c>
      <c r="R2220" s="5" t="str">
        <f t="shared" ref="R2220:R2283" si="13310">VLOOKUP($A2220,hospital_details,8,0)</f>
        <v>R1013</v>
      </c>
    </row>
    <row r="2221" spans="1:18" ht="14.4" customHeight="1" x14ac:dyDescent="0.3">
      <c r="A2221" s="7" t="s">
        <v>2241</v>
      </c>
      <c r="B2221" s="7" t="str">
        <f>VLOOKUP($A2221,[1]!Customer_Names[#Data],3,0)</f>
        <v xml:space="preserve">  Tiffany A</v>
      </c>
      <c r="C2221" s="7">
        <v>20.149999999999999</v>
      </c>
      <c r="D2221" s="7" t="str" cm="1">
        <f t="array" ref="D2221">_xlfn.IFS(Healthcare!$C2221&lt;18.5,"under weight",Healthcare!$C2221&lt;=24.9,"Normal Weight",Healthcare!$C2221&gt;=25,"overweight",Healthcare!$C2221&gt;=30,"obese")</f>
        <v>Normal Weight</v>
      </c>
      <c r="E2221" s="7">
        <v>4.1500000000000004</v>
      </c>
      <c r="F2221" s="7" t="str" cm="1">
        <f t="array" ref="F2221">_xlfn.IFS(Healthcare!$E2221&lt;5.7,"normal",Healthcare!$E2221&lt;=6.4,"prediabetes",Healthcare!$E2221&gt;=6.5,"diabetes")</f>
        <v>normal</v>
      </c>
      <c r="G2221" s="7" t="s">
        <v>19</v>
      </c>
      <c r="H2221" s="7" t="s">
        <v>19</v>
      </c>
      <c r="I2221" s="7" t="s">
        <v>19</v>
      </c>
      <c r="J2221" s="7">
        <v>1</v>
      </c>
      <c r="K2221" s="7" t="s">
        <v>19</v>
      </c>
      <c r="L2221" s="7" t="str">
        <f>VLOOKUP(Healthcare!$A2221,hospital_details,2,0)</f>
        <v>22-Sep-1992</v>
      </c>
      <c r="M2221" s="7">
        <f t="shared" ref="M2221:M2284" ca="1" si="13311">VLOOKUP(A2221,hospital_details,3,0)</f>
        <v>34</v>
      </c>
      <c r="N2221" s="7">
        <f t="shared" ref="N2221:N2284" si="13312">VLOOKUP($A2221,hospital_details,4,0)</f>
        <v>0</v>
      </c>
      <c r="O2221" s="8">
        <f t="shared" ref="O2221:O2284" si="13313">VLOOKUP($A2221,hospital_details,5,0)</f>
        <v>1566.88</v>
      </c>
      <c r="P2221" s="7" t="str">
        <f t="shared" ref="P2221:P2284" si="13314">VLOOKUP($A2221,hospital_details,6,0)</f>
        <v>tier - 2</v>
      </c>
      <c r="Q2221" s="7" t="str">
        <f t="shared" ref="Q2221:Q2284" si="13315">VLOOKUP($A2221,hospital_details,7,0)</f>
        <v>tier - 1</v>
      </c>
      <c r="R2221" s="7" t="str">
        <f t="shared" ref="R2221:R2284" si="13316">VLOOKUP($A2221,hospital_details,8,0)</f>
        <v>R1013</v>
      </c>
    </row>
    <row r="2222" spans="1:18" ht="14.4" customHeight="1" x14ac:dyDescent="0.3">
      <c r="A2222" s="5" t="s">
        <v>2242</v>
      </c>
      <c r="B2222" s="5" t="str">
        <f>VLOOKUP($A2222,[1]!Customer_Names[#Data],3,0)</f>
        <v xml:space="preserve">  Cole</v>
      </c>
      <c r="C2222" s="5">
        <v>36.85</v>
      </c>
      <c r="D2222" s="5" t="str" cm="1">
        <f t="array" ref="D2222">_xlfn.IFS(Healthcare!$C2222&lt;18.5,"under weight",Healthcare!$C2222&lt;=24.9,"Normal Weight",Healthcare!$C2222&gt;=25,"overweight",Healthcare!$C2222&gt;=30,"obese")</f>
        <v>overweight</v>
      </c>
      <c r="E2222" s="5">
        <v>4.3600000000000003</v>
      </c>
      <c r="F2222" s="5" t="str" cm="1">
        <f t="array" ref="F2222">_xlfn.IFS(Healthcare!$E2222&lt;5.7,"normal",Healthcare!$E2222&lt;=6.4,"prediabetes",Healthcare!$E2222&gt;=6.5,"diabetes")</f>
        <v>normal</v>
      </c>
      <c r="G2222" s="5" t="s">
        <v>20</v>
      </c>
      <c r="H2222" s="5" t="s">
        <v>19</v>
      </c>
      <c r="I2222" s="5" t="s">
        <v>19</v>
      </c>
      <c r="J2222" s="5">
        <v>0</v>
      </c>
      <c r="K2222" s="5" t="s">
        <v>19</v>
      </c>
      <c r="L2222" s="5" t="str">
        <f>VLOOKUP(Healthcare!$A2222,hospital_details,2,0)</f>
        <v>5-Dec-2001</v>
      </c>
      <c r="M2222" s="5">
        <f t="shared" ref="M2222:M2285" ca="1" si="13317">VLOOKUP(A2222,hospital_details,3,0)</f>
        <v>24</v>
      </c>
      <c r="N2222" s="5">
        <f t="shared" ref="N2222:N2285" si="13318">VLOOKUP($A2222,hospital_details,4,0)</f>
        <v>0</v>
      </c>
      <c r="O2222" s="6">
        <f t="shared" ref="O2222:O2285" si="13319">VLOOKUP($A2222,hospital_details,5,0)</f>
        <v>1534.3</v>
      </c>
      <c r="P2222" s="5" t="str">
        <f t="shared" ref="P2222:P2285" si="13320">VLOOKUP($A2222,hospital_details,6,0)</f>
        <v>tier - 2</v>
      </c>
      <c r="Q2222" s="5" t="str">
        <f t="shared" ref="Q2222:Q2285" si="13321">VLOOKUP($A2222,hospital_details,7,0)</f>
        <v>tier - 2</v>
      </c>
      <c r="R2222" s="5" t="str">
        <f t="shared" ref="R2222:R2285" si="13322">VLOOKUP($A2222,hospital_details,8,0)</f>
        <v>R1013</v>
      </c>
    </row>
    <row r="2223" spans="1:18" ht="14.4" customHeight="1" x14ac:dyDescent="0.3">
      <c r="A2223" s="7" t="s">
        <v>2243</v>
      </c>
      <c r="B2223" s="7" t="str">
        <f>VLOOKUP($A2223,[1]!Customer_Names[#Data],3,0)</f>
        <v xml:space="preserve">  Matthew T</v>
      </c>
      <c r="C2223" s="7">
        <v>35.53</v>
      </c>
      <c r="D2223" s="7" t="str" cm="1">
        <f t="array" ref="D2223">_xlfn.IFS(Healthcare!$C2223&lt;18.5,"under weight",Healthcare!$C2223&lt;=24.9,"Normal Weight",Healthcare!$C2223&gt;=25,"overweight",Healthcare!$C2223&gt;=30,"obese")</f>
        <v>overweight</v>
      </c>
      <c r="E2223" s="7">
        <v>4.55</v>
      </c>
      <c r="F2223" s="7" t="str" cm="1">
        <f t="array" ref="F2223">_xlfn.IFS(Healthcare!$E2223&lt;5.7,"normal",Healthcare!$E2223&lt;=6.4,"prediabetes",Healthcare!$E2223&gt;=6.5,"diabetes")</f>
        <v>normal</v>
      </c>
      <c r="G2223" s="7" t="s">
        <v>20</v>
      </c>
      <c r="H2223" s="7" t="s">
        <v>19</v>
      </c>
      <c r="I2223" s="7" t="s">
        <v>19</v>
      </c>
      <c r="J2223" s="7">
        <v>0</v>
      </c>
      <c r="K2223" s="7" t="s">
        <v>19</v>
      </c>
      <c r="L2223" s="7" t="str">
        <f>VLOOKUP(Healthcare!$A2223,hospital_details,2,0)</f>
        <v>2-Jun-2001</v>
      </c>
      <c r="M2223" s="7">
        <f t="shared" ref="M2223:M2286" ca="1" si="13323">VLOOKUP(A2223,hospital_details,3,0)</f>
        <v>25</v>
      </c>
      <c r="N2223" s="7">
        <f t="shared" ref="N2223:N2286" si="13324">VLOOKUP($A2223,hospital_details,4,0)</f>
        <v>0</v>
      </c>
      <c r="O2223" s="8">
        <f t="shared" ref="O2223:O2286" si="13325">VLOOKUP($A2223,hospital_details,5,0)</f>
        <v>1532.47</v>
      </c>
      <c r="P2223" s="7" t="str">
        <f t="shared" ref="P2223:P2286" si="13326">VLOOKUP($A2223,hospital_details,6,0)</f>
        <v>tier - 2</v>
      </c>
      <c r="Q2223" s="7" t="str">
        <f t="shared" ref="Q2223:Q2286" si="13327">VLOOKUP($A2223,hospital_details,7,0)</f>
        <v>tier - 2</v>
      </c>
      <c r="R2223" s="7" t="str">
        <f t="shared" ref="R2223:R2286" si="13328">VLOOKUP($A2223,hospital_details,8,0)</f>
        <v>R1013</v>
      </c>
    </row>
    <row r="2224" spans="1:18" ht="14.4" customHeight="1" x14ac:dyDescent="0.3">
      <c r="A2224" s="5" t="s">
        <v>2244</v>
      </c>
      <c r="B2224" s="5" t="str">
        <f>VLOOKUP($A2224,[1]!Customer_Names[#Data],3,0)</f>
        <v xml:space="preserve">  Zachary</v>
      </c>
      <c r="C2224" s="5">
        <v>31.1</v>
      </c>
      <c r="D2224" s="5" t="str" cm="1">
        <f t="array" ref="D2224">_xlfn.IFS(Healthcare!$C2224&lt;18.5,"under weight",Healthcare!$C2224&lt;=24.9,"Normal Weight",Healthcare!$C2224&gt;=25,"overweight",Healthcare!$C2224&gt;=30,"obese")</f>
        <v>overweight</v>
      </c>
      <c r="E2224" s="5">
        <v>4.37</v>
      </c>
      <c r="F2224" s="5" t="str" cm="1">
        <f t="array" ref="F2224">_xlfn.IFS(Healthcare!$E2224&lt;5.7,"normal",Healthcare!$E2224&lt;=6.4,"prediabetes",Healthcare!$E2224&gt;=6.5,"diabetes")</f>
        <v>normal</v>
      </c>
      <c r="G2224" s="5" t="s">
        <v>20</v>
      </c>
      <c r="H2224" s="5" t="s">
        <v>19</v>
      </c>
      <c r="I2224" s="5" t="s">
        <v>19</v>
      </c>
      <c r="J2224" s="5">
        <v>0</v>
      </c>
      <c r="K2224" s="5" t="s">
        <v>19</v>
      </c>
      <c r="L2224" s="5" t="str">
        <f>VLOOKUP(Healthcare!$A2224,hospital_details,2,0)</f>
        <v>7-Jul-2001</v>
      </c>
      <c r="M2224" s="5">
        <f t="shared" ref="M2224:M2287" ca="1" si="13329">VLOOKUP(A2224,hospital_details,3,0)</f>
        <v>25</v>
      </c>
      <c r="N2224" s="5">
        <f t="shared" ref="N2224:N2287" si="13330">VLOOKUP($A2224,hospital_details,4,0)</f>
        <v>0</v>
      </c>
      <c r="O2224" s="6">
        <f t="shared" ref="O2224:O2287" si="13331">VLOOKUP($A2224,hospital_details,5,0)</f>
        <v>1526.31</v>
      </c>
      <c r="P2224" s="5" t="str">
        <f t="shared" ref="P2224:P2287" si="13332">VLOOKUP($A2224,hospital_details,6,0)</f>
        <v>tier - 2</v>
      </c>
      <c r="Q2224" s="5" t="str">
        <f t="shared" ref="Q2224:Q2287" si="13333">VLOOKUP($A2224,hospital_details,7,0)</f>
        <v>tier - 3</v>
      </c>
      <c r="R2224" s="5" t="str">
        <f t="shared" ref="R2224:R2287" si="13334">VLOOKUP($A2224,hospital_details,8,0)</f>
        <v>R1011</v>
      </c>
    </row>
    <row r="2225" spans="1:18" ht="14.4" customHeight="1" x14ac:dyDescent="0.3">
      <c r="A2225" s="7" t="s">
        <v>2245</v>
      </c>
      <c r="B2225" s="7" t="str">
        <f>VLOOKUP($A2225,[1]!Customer_Names[#Data],3,0)</f>
        <v xml:space="preserve">  Matthew T</v>
      </c>
      <c r="C2225" s="7">
        <v>23.21</v>
      </c>
      <c r="D2225" s="7" t="str" cm="1">
        <f t="array" ref="D2225">_xlfn.IFS(Healthcare!$C2225&lt;18.5,"under weight",Healthcare!$C2225&lt;=24.9,"Normal Weight",Healthcare!$C2225&gt;=25,"overweight",Healthcare!$C2225&gt;=30,"obese")</f>
        <v>Normal Weight</v>
      </c>
      <c r="E2225" s="7">
        <v>5.24</v>
      </c>
      <c r="F2225" s="7" t="str" cm="1">
        <f t="array" ref="F2225">_xlfn.IFS(Healthcare!$E2225&lt;5.7,"normal",Healthcare!$E2225&lt;=6.4,"prediabetes",Healthcare!$E2225&gt;=6.5,"diabetes")</f>
        <v>normal</v>
      </c>
      <c r="G2225" s="7" t="s">
        <v>20</v>
      </c>
      <c r="H2225" s="7" t="s">
        <v>19</v>
      </c>
      <c r="I2225" s="7" t="s">
        <v>19</v>
      </c>
      <c r="J2225" s="7">
        <v>0</v>
      </c>
      <c r="K2225" s="7" t="s">
        <v>19</v>
      </c>
      <c r="L2225" s="7" t="str">
        <f>VLOOKUP(Healthcare!$A2225,hospital_details,2,0)</f>
        <v>25-Aug-2001</v>
      </c>
      <c r="M2225" s="7">
        <f t="shared" ref="M2225:M2288" ca="1" si="13335">VLOOKUP(A2225,hospital_details,3,0)</f>
        <v>25</v>
      </c>
      <c r="N2225" s="7">
        <f t="shared" ref="N2225:N2288" si="13336">VLOOKUP($A2225,hospital_details,4,0)</f>
        <v>0</v>
      </c>
      <c r="O2225" s="8">
        <f t="shared" ref="O2225:O2288" si="13337">VLOOKUP($A2225,hospital_details,5,0)</f>
        <v>1515.34</v>
      </c>
      <c r="P2225" s="7" t="str">
        <f t="shared" ref="P2225:P2288" si="13338">VLOOKUP($A2225,hospital_details,6,0)</f>
        <v>tier - 2</v>
      </c>
      <c r="Q2225" s="7" t="str">
        <f t="shared" ref="Q2225:Q2288" si="13339">VLOOKUP($A2225,hospital_details,7,0)</f>
        <v>tier - 3</v>
      </c>
      <c r="R2225" s="7" t="str">
        <f t="shared" ref="R2225:R2288" si="13340">VLOOKUP($A2225,hospital_details,8,0)</f>
        <v>R1013</v>
      </c>
    </row>
    <row r="2226" spans="1:18" ht="14.4" customHeight="1" x14ac:dyDescent="0.3">
      <c r="A2226" s="5" t="s">
        <v>2246</v>
      </c>
      <c r="B2226" s="5" t="str">
        <f>VLOOKUP($A2226,[1]!Customer_Names[#Data],3,0)</f>
        <v xml:space="preserve">  Pat</v>
      </c>
      <c r="C2226" s="5">
        <v>18.36</v>
      </c>
      <c r="D2226" s="5" t="str" cm="1">
        <f t="array" ref="D2226">_xlfn.IFS(Healthcare!$C2226&lt;18.5,"under weight",Healthcare!$C2226&lt;=24.9,"Normal Weight",Healthcare!$C2226&gt;=25,"overweight",Healthcare!$C2226&gt;=30,"obese")</f>
        <v>under weight</v>
      </c>
      <c r="E2226" s="5">
        <v>5.96</v>
      </c>
      <c r="F2226" s="5" t="str" cm="1">
        <f t="array" ref="F2226">_xlfn.IFS(Healthcare!$E2226&lt;5.7,"normal",Healthcare!$E2226&lt;=6.4,"prediabetes",Healthcare!$E2226&gt;=6.5,"diabetes")</f>
        <v>prediabetes</v>
      </c>
      <c r="G2226" s="5" t="s">
        <v>19</v>
      </c>
      <c r="H2226" s="5" t="s">
        <v>19</v>
      </c>
      <c r="I2226" s="5" t="s">
        <v>19</v>
      </c>
      <c r="J2226" s="5">
        <v>1</v>
      </c>
      <c r="K2226" s="5" t="s">
        <v>19</v>
      </c>
      <c r="L2226" s="5" t="str">
        <f>VLOOKUP(Healthcare!$A2226,hospital_details,2,0)</f>
        <v>19-Jun-1998</v>
      </c>
      <c r="M2226" s="5">
        <f t="shared" ref="M2226:M2289" ca="1" si="13341">VLOOKUP(A2226,hospital_details,3,0)</f>
        <v>28</v>
      </c>
      <c r="N2226" s="5">
        <f t="shared" ref="N2226:N2289" si="13342">VLOOKUP($A2226,hospital_details,4,0)</f>
        <v>0</v>
      </c>
      <c r="O2226" s="6">
        <f t="shared" ref="O2226:O2289" si="13343">VLOOKUP($A2226,hospital_details,5,0)</f>
        <v>1497</v>
      </c>
      <c r="P2226" s="5" t="str">
        <f t="shared" ref="P2226:P2289" si="13344">VLOOKUP($A2226,hospital_details,6,0)</f>
        <v>tier - 2</v>
      </c>
      <c r="Q2226" s="5" t="str">
        <f t="shared" ref="Q2226:Q2289" si="13345">VLOOKUP($A2226,hospital_details,7,0)</f>
        <v>tier - 2</v>
      </c>
      <c r="R2226" s="5" t="str">
        <f t="shared" ref="R2226:R2289" si="13346">VLOOKUP($A2226,hospital_details,8,0)</f>
        <v>R1013</v>
      </c>
    </row>
    <row r="2227" spans="1:18" ht="14.4" customHeight="1" x14ac:dyDescent="0.3">
      <c r="A2227" s="7" t="s">
        <v>2247</v>
      </c>
      <c r="B2227" s="7" t="str">
        <f>VLOOKUP($A2227,[1]!Customer_Names[#Data],3,0)</f>
        <v xml:space="preserve">  Ashley</v>
      </c>
      <c r="C2227" s="7">
        <v>15.92</v>
      </c>
      <c r="D2227" s="7" t="str" cm="1">
        <f t="array" ref="D2227">_xlfn.IFS(Healthcare!$C2227&lt;18.5,"under weight",Healthcare!$C2227&lt;=24.9,"Normal Weight",Healthcare!$C2227&gt;=25,"overweight",Healthcare!$C2227&gt;=30,"obese")</f>
        <v>under weight</v>
      </c>
      <c r="E2227" s="7">
        <v>4.76</v>
      </c>
      <c r="F2227" s="7" t="str" cm="1">
        <f t="array" ref="F2227">_xlfn.IFS(Healthcare!$E2227&lt;5.7,"normal",Healthcare!$E2227&lt;=6.4,"prediabetes",Healthcare!$E2227&gt;=6.5,"diabetes")</f>
        <v>normal</v>
      </c>
      <c r="G2227" s="7" t="s">
        <v>20</v>
      </c>
      <c r="H2227" s="7" t="s">
        <v>19</v>
      </c>
      <c r="I2227" s="7" t="s">
        <v>19</v>
      </c>
      <c r="J2227" s="7">
        <v>1</v>
      </c>
      <c r="K2227" s="7" t="s">
        <v>19</v>
      </c>
      <c r="L2227" s="7" t="str">
        <f>VLOOKUP(Healthcare!$A2227,hospital_details,2,0)</f>
        <v>7-Oct-1995</v>
      </c>
      <c r="M2227" s="7">
        <f t="shared" ref="M2227:M2290" ca="1" si="13347">VLOOKUP(A2227,hospital_details,3,0)</f>
        <v>31</v>
      </c>
      <c r="N2227" s="7">
        <f t="shared" ref="N2227:N2290" si="13348">VLOOKUP($A2227,hospital_details,4,0)</f>
        <v>0</v>
      </c>
      <c r="O2227" s="8">
        <f t="shared" ref="O2227:O2290" si="13349">VLOOKUP($A2227,hospital_details,5,0)</f>
        <v>1493</v>
      </c>
      <c r="P2227" s="7" t="str">
        <f t="shared" ref="P2227:P2290" si="13350">VLOOKUP($A2227,hospital_details,6,0)</f>
        <v>tier - 2</v>
      </c>
      <c r="Q2227" s="7" t="str">
        <f t="shared" ref="Q2227:Q2290" si="13351">VLOOKUP($A2227,hospital_details,7,0)</f>
        <v>tier - 3</v>
      </c>
      <c r="R2227" s="7" t="str">
        <f t="shared" ref="R2227:R2290" si="13352">VLOOKUP($A2227,hospital_details,8,0)</f>
        <v>R1013</v>
      </c>
    </row>
    <row r="2228" spans="1:18" ht="14.4" customHeight="1" x14ac:dyDescent="0.3">
      <c r="A2228" s="5" t="s">
        <v>2248</v>
      </c>
      <c r="B2228" s="5" t="str">
        <f>VLOOKUP($A2228,[1]!Customer_Names[#Data],3,0)</f>
        <v xml:space="preserve">  Elizabeth A</v>
      </c>
      <c r="C2228" s="5">
        <v>15.17</v>
      </c>
      <c r="D2228" s="5" t="str" cm="1">
        <f t="array" ref="D2228">_xlfn.IFS(Healthcare!$C2228&lt;18.5,"under weight",Healthcare!$C2228&lt;=24.9,"Normal Weight",Healthcare!$C2228&gt;=25,"overweight",Healthcare!$C2228&gt;=30,"obese")</f>
        <v>under weight</v>
      </c>
      <c r="E2228" s="5">
        <v>4.3</v>
      </c>
      <c r="F2228" s="5" t="str" cm="1">
        <f t="array" ref="F2228">_xlfn.IFS(Healthcare!$E2228&lt;5.7,"normal",Healthcare!$E2228&lt;=6.4,"prediabetes",Healthcare!$E2228&gt;=6.5,"diabetes")</f>
        <v>normal</v>
      </c>
      <c r="G2228" s="5" t="s">
        <v>20</v>
      </c>
      <c r="H2228" s="5" t="s">
        <v>19</v>
      </c>
      <c r="I2228" s="5" t="s">
        <v>29</v>
      </c>
      <c r="J2228" s="5">
        <v>1</v>
      </c>
      <c r="K2228" s="5" t="s">
        <v>19</v>
      </c>
      <c r="L2228" s="5" t="str">
        <f>VLOOKUP(Healthcare!$A2228,hospital_details,2,0)</f>
        <v>9-Jun-1997</v>
      </c>
      <c r="M2228" s="5">
        <f t="shared" ref="M2228:M2291" ca="1" si="13353">VLOOKUP(A2228,hospital_details,3,0)</f>
        <v>29</v>
      </c>
      <c r="N2228" s="5">
        <f t="shared" ref="N2228:N2291" si="13354">VLOOKUP($A2228,hospital_details,4,0)</f>
        <v>0</v>
      </c>
      <c r="O2228" s="6">
        <f t="shared" ref="O2228:O2291" si="13355">VLOOKUP($A2228,hospital_details,5,0)</f>
        <v>1481</v>
      </c>
      <c r="P2228" s="5" t="str">
        <f t="shared" ref="P2228:P2291" si="13356">VLOOKUP($A2228,hospital_details,6,0)</f>
        <v>tier - 2</v>
      </c>
      <c r="Q2228" s="5" t="str">
        <f t="shared" ref="Q2228:Q2291" si="13357">VLOOKUP($A2228,hospital_details,7,0)</f>
        <v>tier - 1</v>
      </c>
      <c r="R2228" s="5" t="str">
        <f t="shared" ref="R2228:R2291" si="13358">VLOOKUP($A2228,hospital_details,8,0)</f>
        <v>R1012</v>
      </c>
    </row>
    <row r="2229" spans="1:18" ht="14.4" customHeight="1" x14ac:dyDescent="0.3">
      <c r="A2229" s="7" t="s">
        <v>2249</v>
      </c>
      <c r="B2229" s="7" t="str">
        <f>VLOOKUP($A2229,[1]!Customer_Names[#Data],3,0)</f>
        <v xml:space="preserve">  Rebecca M</v>
      </c>
      <c r="C2229" s="7">
        <v>16.63</v>
      </c>
      <c r="D2229" s="7" t="str" cm="1">
        <f t="array" ref="D2229">_xlfn.IFS(Healthcare!$C2229&lt;18.5,"under weight",Healthcare!$C2229&lt;=24.9,"Normal Weight",Healthcare!$C2229&gt;=25,"overweight",Healthcare!$C2229&gt;=30,"obese")</f>
        <v>under weight</v>
      </c>
      <c r="E2229" s="7">
        <v>4.5</v>
      </c>
      <c r="F2229" s="7" t="str" cm="1">
        <f t="array" ref="F2229">_xlfn.IFS(Healthcare!$E2229&lt;5.7,"normal",Healthcare!$E2229&lt;=6.4,"prediabetes",Healthcare!$E2229&gt;=6.5,"diabetes")</f>
        <v>normal</v>
      </c>
      <c r="G2229" s="7" t="s">
        <v>19</v>
      </c>
      <c r="H2229" s="7" t="s">
        <v>19</v>
      </c>
      <c r="I2229" s="7" t="s">
        <v>19</v>
      </c>
      <c r="J2229" s="7">
        <v>1</v>
      </c>
      <c r="K2229" s="7" t="s">
        <v>19</v>
      </c>
      <c r="L2229" s="7" t="str">
        <f>VLOOKUP(Healthcare!$A2229,hospital_details,2,0)</f>
        <v>7-Dec-1998</v>
      </c>
      <c r="M2229" s="7">
        <f t="shared" ref="M2229:M2292" ca="1" si="13359">VLOOKUP(A2229,hospital_details,3,0)</f>
        <v>27</v>
      </c>
      <c r="N2229" s="7">
        <f t="shared" ref="N2229:N2292" si="13360">VLOOKUP($A2229,hospital_details,4,0)</f>
        <v>0</v>
      </c>
      <c r="O2229" s="8">
        <f t="shared" ref="O2229:O2292" si="13361">VLOOKUP($A2229,hospital_details,5,0)</f>
        <v>1477</v>
      </c>
      <c r="P2229" s="7" t="str">
        <f t="shared" ref="P2229:P2292" si="13362">VLOOKUP($A2229,hospital_details,6,0)</f>
        <v>tier - 2</v>
      </c>
      <c r="Q2229" s="7" t="str">
        <f t="shared" ref="Q2229:Q2292" si="13363">VLOOKUP($A2229,hospital_details,7,0)</f>
        <v>tier - 1</v>
      </c>
      <c r="R2229" s="7" t="str">
        <f t="shared" ref="R2229:R2292" si="13364">VLOOKUP($A2229,hospital_details,8,0)</f>
        <v>R1013</v>
      </c>
    </row>
    <row r="2230" spans="1:18" ht="14.4" customHeight="1" x14ac:dyDescent="0.3">
      <c r="A2230" s="5" t="s">
        <v>2250</v>
      </c>
      <c r="B2230" s="5" t="str">
        <f>VLOOKUP($A2230,[1]!Customer_Names[#Data],3,0)</f>
        <v xml:space="preserve">  Ruth</v>
      </c>
      <c r="C2230" s="5">
        <v>19.39</v>
      </c>
      <c r="D2230" s="5" t="str" cm="1">
        <f t="array" ref="D2230">_xlfn.IFS(Healthcare!$C2230&lt;18.5,"under weight",Healthcare!$C2230&lt;=24.9,"Normal Weight",Healthcare!$C2230&gt;=25,"overweight",Healthcare!$C2230&gt;=30,"obese")</f>
        <v>Normal Weight</v>
      </c>
      <c r="E2230" s="5">
        <v>5.59</v>
      </c>
      <c r="F2230" s="5" t="str" cm="1">
        <f t="array" ref="F2230">_xlfn.IFS(Healthcare!$E2230&lt;5.7,"normal",Healthcare!$E2230&lt;=6.4,"prediabetes",Healthcare!$E2230&gt;=6.5,"diabetes")</f>
        <v>normal</v>
      </c>
      <c r="G2230" s="5" t="s">
        <v>19</v>
      </c>
      <c r="H2230" s="5" t="s">
        <v>19</v>
      </c>
      <c r="I2230" s="5" t="s">
        <v>29</v>
      </c>
      <c r="J2230" s="5">
        <v>1</v>
      </c>
      <c r="K2230" s="5" t="s">
        <v>19</v>
      </c>
      <c r="L2230" s="5" t="str">
        <f>VLOOKUP(Healthcare!$A2230,hospital_details,2,0)</f>
        <v>20-Jun-2003</v>
      </c>
      <c r="M2230" s="5">
        <f t="shared" ref="M2230:M2293" ca="1" si="13365">VLOOKUP(A2230,hospital_details,3,0)</f>
        <v>23</v>
      </c>
      <c r="N2230" s="5">
        <f t="shared" ref="N2230:N2293" si="13366">VLOOKUP($A2230,hospital_details,4,0)</f>
        <v>0</v>
      </c>
      <c r="O2230" s="6">
        <f t="shared" ref="O2230:O2293" si="13367">VLOOKUP($A2230,hospital_details,5,0)</f>
        <v>1467</v>
      </c>
      <c r="P2230" s="5" t="str">
        <f t="shared" ref="P2230:P2293" si="13368">VLOOKUP($A2230,hospital_details,6,0)</f>
        <v>tier - 2</v>
      </c>
      <c r="Q2230" s="5" t="str">
        <f t="shared" ref="Q2230:Q2293" si="13369">VLOOKUP($A2230,hospital_details,7,0)</f>
        <v>tier - 2</v>
      </c>
      <c r="R2230" s="5" t="str">
        <f t="shared" ref="R2230:R2293" si="13370">VLOOKUP($A2230,hospital_details,8,0)</f>
        <v>R1013</v>
      </c>
    </row>
    <row r="2231" spans="1:18" ht="14.4" customHeight="1" x14ac:dyDescent="0.3">
      <c r="A2231" s="7" t="s">
        <v>2251</v>
      </c>
      <c r="B2231" s="7" t="str">
        <f>VLOOKUP($A2231,[1]!Customer_Names[#Data],3,0)</f>
        <v xml:space="preserve">  Gregory S</v>
      </c>
      <c r="C2231" s="7">
        <v>17.34</v>
      </c>
      <c r="D2231" s="7" t="str" cm="1">
        <f t="array" ref="D2231">_xlfn.IFS(Healthcare!$C2231&lt;18.5,"under weight",Healthcare!$C2231&lt;=24.9,"Normal Weight",Healthcare!$C2231&gt;=25,"overweight",Healthcare!$C2231&gt;=30,"obese")</f>
        <v>under weight</v>
      </c>
      <c r="E2231" s="7">
        <v>6.29</v>
      </c>
      <c r="F2231" s="7" t="str" cm="1">
        <f t="array" ref="F2231">_xlfn.IFS(Healthcare!$E2231&lt;5.7,"normal",Healthcare!$E2231&lt;=6.4,"prediabetes",Healthcare!$E2231&gt;=6.5,"diabetes")</f>
        <v>prediabetes</v>
      </c>
      <c r="G2231" s="7" t="s">
        <v>20</v>
      </c>
      <c r="H2231" s="7" t="s">
        <v>19</v>
      </c>
      <c r="I2231" s="7" t="s">
        <v>29</v>
      </c>
      <c r="J2231" s="7">
        <v>1</v>
      </c>
      <c r="K2231" s="7" t="s">
        <v>19</v>
      </c>
      <c r="L2231" s="7" t="str">
        <f>VLOOKUP(Healthcare!$A2231,hospital_details,2,0)</f>
        <v>19-Jun-1997</v>
      </c>
      <c r="M2231" s="7">
        <f t="shared" ref="M2231:M2294" ca="1" si="13371">VLOOKUP(A2231,hospital_details,3,0)</f>
        <v>29</v>
      </c>
      <c r="N2231" s="7">
        <f t="shared" ref="N2231:N2294" si="13372">VLOOKUP($A2231,hospital_details,4,0)</f>
        <v>0</v>
      </c>
      <c r="O2231" s="8">
        <f t="shared" ref="O2231:O2294" si="13373">VLOOKUP($A2231,hospital_details,5,0)</f>
        <v>1445</v>
      </c>
      <c r="P2231" s="7" t="str">
        <f t="shared" ref="P2231:P2294" si="13374">VLOOKUP($A2231,hospital_details,6,0)</f>
        <v>tier - 2</v>
      </c>
      <c r="Q2231" s="7" t="str">
        <f t="shared" ref="Q2231:Q2294" si="13375">VLOOKUP($A2231,hospital_details,7,0)</f>
        <v>tier - 1</v>
      </c>
      <c r="R2231" s="7" t="str">
        <f t="shared" ref="R2231:R2294" si="13376">VLOOKUP($A2231,hospital_details,8,0)</f>
        <v>R1013</v>
      </c>
    </row>
    <row r="2232" spans="1:18" ht="14.4" customHeight="1" x14ac:dyDescent="0.3">
      <c r="A2232" s="5" t="s">
        <v>2252</v>
      </c>
      <c r="B2232" s="5" t="str">
        <f>VLOOKUP($A2232,[1]!Customer_Names[#Data],3,0)</f>
        <v xml:space="preserve">  Alexandra S</v>
      </c>
      <c r="C2232" s="5">
        <v>17.940000000000001</v>
      </c>
      <c r="D2232" s="5" t="str" cm="1">
        <f t="array" ref="D2232">_xlfn.IFS(Healthcare!$C2232&lt;18.5,"under weight",Healthcare!$C2232&lt;=24.9,"Normal Weight",Healthcare!$C2232&gt;=25,"overweight",Healthcare!$C2232&gt;=30,"obese")</f>
        <v>under weight</v>
      </c>
      <c r="E2232" s="5">
        <v>4.1900000000000004</v>
      </c>
      <c r="F2232" s="5" t="str" cm="1">
        <f t="array" ref="F2232">_xlfn.IFS(Healthcare!$E2232&lt;5.7,"normal",Healthcare!$E2232&lt;=6.4,"prediabetes",Healthcare!$E2232&gt;=6.5,"diabetes")</f>
        <v>normal</v>
      </c>
      <c r="G2232" s="5" t="s">
        <v>19</v>
      </c>
      <c r="H2232" s="5" t="s">
        <v>20</v>
      </c>
      <c r="I2232" s="5" t="s">
        <v>19</v>
      </c>
      <c r="J2232" s="5">
        <v>1</v>
      </c>
      <c r="K2232" s="5" t="s">
        <v>19</v>
      </c>
      <c r="L2232" s="5" t="str">
        <f>VLOOKUP(Healthcare!$A2232,hospital_details,2,0)</f>
        <v>1-Sep-2000</v>
      </c>
      <c r="M2232" s="5">
        <f t="shared" ref="M2232:M2295" ca="1" si="13377">VLOOKUP(A2232,hospital_details,3,0)</f>
        <v>26</v>
      </c>
      <c r="N2232" s="5">
        <f t="shared" ref="N2232:N2295" si="13378">VLOOKUP($A2232,hospital_details,4,0)</f>
        <v>0</v>
      </c>
      <c r="O2232" s="6">
        <f t="shared" ref="O2232:O2295" si="13379">VLOOKUP($A2232,hospital_details,5,0)</f>
        <v>1438</v>
      </c>
      <c r="P2232" s="5" t="str">
        <f t="shared" ref="P2232:P2295" si="13380">VLOOKUP($A2232,hospital_details,6,0)</f>
        <v>tier - 2</v>
      </c>
      <c r="Q2232" s="5" t="str">
        <f t="shared" ref="Q2232:Q2295" si="13381">VLOOKUP($A2232,hospital_details,7,0)</f>
        <v>tier - 2</v>
      </c>
      <c r="R2232" s="5" t="str">
        <f t="shared" ref="R2232:R2295" si="13382">VLOOKUP($A2232,hospital_details,8,0)</f>
        <v>R1013</v>
      </c>
    </row>
    <row r="2233" spans="1:18" ht="14.4" customHeight="1" x14ac:dyDescent="0.3">
      <c r="A2233" s="7" t="s">
        <v>2253</v>
      </c>
      <c r="B2233" s="7" t="str">
        <f>VLOOKUP($A2233,[1]!Customer_Names[#Data],3,0)</f>
        <v xml:space="preserve">  Hillary</v>
      </c>
      <c r="C2233" s="7">
        <v>16.670000000000002</v>
      </c>
      <c r="D2233" s="7" t="str" cm="1">
        <f t="array" ref="D2233">_xlfn.IFS(Healthcare!$C2233&lt;18.5,"under weight",Healthcare!$C2233&lt;=24.9,"Normal Weight",Healthcare!$C2233&gt;=25,"overweight",Healthcare!$C2233&gt;=30,"obese")</f>
        <v>under weight</v>
      </c>
      <c r="E2233" s="7">
        <v>4.7</v>
      </c>
      <c r="F2233" s="7" t="str" cm="1">
        <f t="array" ref="F2233">_xlfn.IFS(Healthcare!$E2233&lt;5.7,"normal",Healthcare!$E2233&lt;=6.4,"prediabetes",Healthcare!$E2233&gt;=6.5,"diabetes")</f>
        <v>normal</v>
      </c>
      <c r="G2233" s="7" t="s">
        <v>20</v>
      </c>
      <c r="H2233" s="7" t="s">
        <v>19</v>
      </c>
      <c r="I2233" s="7" t="s">
        <v>29</v>
      </c>
      <c r="J2233" s="7">
        <v>1</v>
      </c>
      <c r="K2233" s="7" t="s">
        <v>19</v>
      </c>
      <c r="L2233" s="7" t="str">
        <f>VLOOKUP(Healthcare!$A2233,hospital_details,2,0)</f>
        <v>5-Dec-1997</v>
      </c>
      <c r="M2233" s="7">
        <f t="shared" ref="M2233:M2296" ca="1" si="13383">VLOOKUP(A2233,hospital_details,3,0)</f>
        <v>28</v>
      </c>
      <c r="N2233" s="7">
        <f t="shared" ref="N2233:N2296" si="13384">VLOOKUP($A2233,hospital_details,4,0)</f>
        <v>0</v>
      </c>
      <c r="O2233" s="8">
        <f t="shared" ref="O2233:O2296" si="13385">VLOOKUP($A2233,hospital_details,5,0)</f>
        <v>1422</v>
      </c>
      <c r="P2233" s="7" t="str">
        <f t="shared" ref="P2233:P2296" si="13386">VLOOKUP($A2233,hospital_details,6,0)</f>
        <v>tier - 2</v>
      </c>
      <c r="Q2233" s="7" t="str">
        <f t="shared" ref="Q2233:Q2296" si="13387">VLOOKUP($A2233,hospital_details,7,0)</f>
        <v>tier - 2</v>
      </c>
      <c r="R2233" s="7" t="str">
        <f t="shared" ref="R2233:R2296" si="13388">VLOOKUP($A2233,hospital_details,8,0)</f>
        <v>R1013</v>
      </c>
    </row>
    <row r="2234" spans="1:18" ht="14.4" customHeight="1" x14ac:dyDescent="0.3">
      <c r="A2234" s="5" t="s">
        <v>2254</v>
      </c>
      <c r="B2234" s="5" t="str">
        <f>VLOOKUP($A2234,[1]!Customer_Names[#Data],3,0)</f>
        <v xml:space="preserve">  Amy K</v>
      </c>
      <c r="C2234" s="5">
        <v>20.58</v>
      </c>
      <c r="D2234" s="5" t="str" cm="1">
        <f t="array" ref="D2234">_xlfn.IFS(Healthcare!$C2234&lt;18.5,"under weight",Healthcare!$C2234&lt;=24.9,"Normal Weight",Healthcare!$C2234&gt;=25,"overweight",Healthcare!$C2234&gt;=30,"obese")</f>
        <v>Normal Weight</v>
      </c>
      <c r="E2234" s="5">
        <v>5.64</v>
      </c>
      <c r="F2234" s="5" t="str" cm="1">
        <f t="array" ref="F2234">_xlfn.IFS(Healthcare!$E2234&lt;5.7,"normal",Healthcare!$E2234&lt;=6.4,"prediabetes",Healthcare!$E2234&gt;=6.5,"diabetes")</f>
        <v>normal</v>
      </c>
      <c r="G2234" s="5" t="s">
        <v>20</v>
      </c>
      <c r="H2234" s="5" t="s">
        <v>19</v>
      </c>
      <c r="I2234" s="5" t="s">
        <v>19</v>
      </c>
      <c r="J2234" s="5">
        <v>0</v>
      </c>
      <c r="K2234" s="5" t="s">
        <v>19</v>
      </c>
      <c r="L2234" s="5" t="str">
        <f>VLOOKUP(Healthcare!$A2234,hospital_details,2,0)</f>
        <v>23-Aug-2001</v>
      </c>
      <c r="M2234" s="5">
        <f t="shared" ref="M2234:M2297" ca="1" si="13389">VLOOKUP(A2234,hospital_details,3,0)</f>
        <v>25</v>
      </c>
      <c r="N2234" s="5">
        <f t="shared" ref="N2234:N2297" si="13390">VLOOKUP($A2234,hospital_details,4,0)</f>
        <v>0</v>
      </c>
      <c r="O2234" s="6">
        <f t="shared" ref="O2234:O2297" si="13391">VLOOKUP($A2234,hospital_details,5,0)</f>
        <v>1421</v>
      </c>
      <c r="P2234" s="5" t="str">
        <f t="shared" ref="P2234:P2297" si="13392">VLOOKUP($A2234,hospital_details,6,0)</f>
        <v>tier - 2</v>
      </c>
      <c r="Q2234" s="5" t="str">
        <f t="shared" ref="Q2234:Q2297" si="13393">VLOOKUP($A2234,hospital_details,7,0)</f>
        <v>tier - 2</v>
      </c>
      <c r="R2234" s="5" t="str">
        <f t="shared" ref="R2234:R2297" si="13394">VLOOKUP($A2234,hospital_details,8,0)</f>
        <v>R1013</v>
      </c>
    </row>
    <row r="2235" spans="1:18" ht="14.4" customHeight="1" x14ac:dyDescent="0.3">
      <c r="A2235" s="7" t="s">
        <v>2255</v>
      </c>
      <c r="B2235" s="7" t="str">
        <f>VLOOKUP($A2235,[1]!Customer_Names[#Data],3,0)</f>
        <v xml:space="preserve">  Scott</v>
      </c>
      <c r="C2235" s="7">
        <v>16.5</v>
      </c>
      <c r="D2235" s="7" t="str" cm="1">
        <f t="array" ref="D2235">_xlfn.IFS(Healthcare!$C2235&lt;18.5,"under weight",Healthcare!$C2235&lt;=24.9,"Normal Weight",Healthcare!$C2235&gt;=25,"overweight",Healthcare!$C2235&gt;=30,"obese")</f>
        <v>under weight</v>
      </c>
      <c r="E2235" s="7">
        <v>4.1100000000000003</v>
      </c>
      <c r="F2235" s="7" t="str" cm="1">
        <f t="array" ref="F2235">_xlfn.IFS(Healthcare!$E2235&lt;5.7,"normal",Healthcare!$E2235&lt;=6.4,"prediabetes",Healthcare!$E2235&gt;=6.5,"diabetes")</f>
        <v>normal</v>
      </c>
      <c r="G2235" s="7" t="s">
        <v>20</v>
      </c>
      <c r="H2235" s="7" t="s">
        <v>19</v>
      </c>
      <c r="I2235" s="7" t="s">
        <v>19</v>
      </c>
      <c r="J2235" s="7">
        <v>0</v>
      </c>
      <c r="K2235" s="7" t="s">
        <v>19</v>
      </c>
      <c r="L2235" s="7" t="str">
        <f>VLOOKUP(Healthcare!$A2235,hospital_details,2,0)</f>
        <v>23-Jun-1996</v>
      </c>
      <c r="M2235" s="7">
        <f t="shared" ref="M2235:M2298" ca="1" si="13395">VLOOKUP(A2235,hospital_details,3,0)</f>
        <v>30</v>
      </c>
      <c r="N2235" s="7">
        <f t="shared" ref="N2235:N2298" si="13396">VLOOKUP($A2235,hospital_details,4,0)</f>
        <v>0</v>
      </c>
      <c r="O2235" s="8">
        <f t="shared" ref="O2235:O2298" si="13397">VLOOKUP($A2235,hospital_details,5,0)</f>
        <v>1417</v>
      </c>
      <c r="P2235" s="7" t="str">
        <f t="shared" ref="P2235:P2298" si="13398">VLOOKUP($A2235,hospital_details,6,0)</f>
        <v>tier - 2</v>
      </c>
      <c r="Q2235" s="7" t="str">
        <f t="shared" ref="Q2235:Q2298" si="13399">VLOOKUP($A2235,hospital_details,7,0)</f>
        <v>tier - 3</v>
      </c>
      <c r="R2235" s="7" t="str">
        <f t="shared" ref="R2235:R2298" si="13400">VLOOKUP($A2235,hospital_details,8,0)</f>
        <v>R1013</v>
      </c>
    </row>
    <row r="2236" spans="1:18" ht="14.4" customHeight="1" x14ac:dyDescent="0.3">
      <c r="A2236" s="5" t="s">
        <v>2256</v>
      </c>
      <c r="B2236" s="5" t="str">
        <f>VLOOKUP($A2236,[1]!Customer_Names[#Data],3,0)</f>
        <v xml:space="preserve">  John</v>
      </c>
      <c r="C2236" s="5">
        <v>15.41</v>
      </c>
      <c r="D2236" s="5" t="str" cm="1">
        <f t="array" ref="D2236">_xlfn.IFS(Healthcare!$C2236&lt;18.5,"under weight",Healthcare!$C2236&lt;=24.9,"Normal Weight",Healthcare!$C2236&gt;=25,"overweight",Healthcare!$C2236&gt;=30,"obese")</f>
        <v>under weight</v>
      </c>
      <c r="E2236" s="5">
        <v>5.43</v>
      </c>
      <c r="F2236" s="5" t="str" cm="1">
        <f t="array" ref="F2236">_xlfn.IFS(Healthcare!$E2236&lt;5.7,"normal",Healthcare!$E2236&lt;=6.4,"prediabetes",Healthcare!$E2236&gt;=6.5,"diabetes")</f>
        <v>normal</v>
      </c>
      <c r="G2236" s="5" t="s">
        <v>20</v>
      </c>
      <c r="H2236" s="5" t="s">
        <v>19</v>
      </c>
      <c r="I2236" s="5" t="s">
        <v>29</v>
      </c>
      <c r="J2236" s="5">
        <v>1</v>
      </c>
      <c r="K2236" s="5" t="s">
        <v>19</v>
      </c>
      <c r="L2236" s="5" t="str">
        <f>VLOOKUP(Healthcare!$A2236,hospital_details,2,0)</f>
        <v>27-Oct-1997</v>
      </c>
      <c r="M2236" s="5">
        <f t="shared" ref="M2236:M2299" ca="1" si="13401">VLOOKUP(A2236,hospital_details,3,0)</f>
        <v>28</v>
      </c>
      <c r="N2236" s="5">
        <f t="shared" ref="N2236:N2299" si="13402">VLOOKUP($A2236,hospital_details,4,0)</f>
        <v>0</v>
      </c>
      <c r="O2236" s="6">
        <f t="shared" ref="O2236:O2299" si="13403">VLOOKUP($A2236,hospital_details,5,0)</f>
        <v>1402</v>
      </c>
      <c r="P2236" s="5" t="str">
        <f t="shared" ref="P2236:P2299" si="13404">VLOOKUP($A2236,hospital_details,6,0)</f>
        <v>tier - 2</v>
      </c>
      <c r="Q2236" s="5" t="str">
        <f t="shared" ref="Q2236:Q2299" si="13405">VLOOKUP($A2236,hospital_details,7,0)</f>
        <v>tier - 3</v>
      </c>
      <c r="R2236" s="5" t="str">
        <f t="shared" ref="R2236:R2299" si="13406">VLOOKUP($A2236,hospital_details,8,0)</f>
        <v>R1011</v>
      </c>
    </row>
    <row r="2237" spans="1:18" ht="14.4" customHeight="1" x14ac:dyDescent="0.3">
      <c r="A2237" s="7" t="s">
        <v>2257</v>
      </c>
      <c r="B2237" s="7" t="str">
        <f>VLOOKUP($A2237,[1]!Customer_Names[#Data],3,0)</f>
        <v xml:space="preserve">  Maaikel</v>
      </c>
      <c r="C2237" s="7">
        <v>24.59</v>
      </c>
      <c r="D2237" s="7" t="str" cm="1">
        <f t="array" ref="D2237">_xlfn.IFS(Healthcare!$C2237&lt;18.5,"under weight",Healthcare!$C2237&lt;=24.9,"Normal Weight",Healthcare!$C2237&gt;=25,"overweight",Healthcare!$C2237&gt;=30,"obese")</f>
        <v>Normal Weight</v>
      </c>
      <c r="E2237" s="7">
        <v>4.38</v>
      </c>
      <c r="F2237" s="7" t="str" cm="1">
        <f t="array" ref="F2237">_xlfn.IFS(Healthcare!$E2237&lt;5.7,"normal",Healthcare!$E2237&lt;=6.4,"prediabetes",Healthcare!$E2237&gt;=6.5,"diabetes")</f>
        <v>normal</v>
      </c>
      <c r="G2237" s="7" t="s">
        <v>19</v>
      </c>
      <c r="H2237" s="7" t="s">
        <v>19</v>
      </c>
      <c r="I2237" s="7" t="s">
        <v>19</v>
      </c>
      <c r="J2237" s="7">
        <v>1</v>
      </c>
      <c r="K2237" s="7" t="s">
        <v>19</v>
      </c>
      <c r="L2237" s="7" t="str">
        <f>VLOOKUP(Healthcare!$A2237,hospital_details,2,0)</f>
        <v>5-Sep-1998</v>
      </c>
      <c r="M2237" s="7">
        <f t="shared" ref="M2237:M2300" ca="1" si="13407">VLOOKUP(A2237,hospital_details,3,0)</f>
        <v>28</v>
      </c>
      <c r="N2237" s="7">
        <f t="shared" ref="N2237:N2300" si="13408">VLOOKUP($A2237,hospital_details,4,0)</f>
        <v>0</v>
      </c>
      <c r="O2237" s="8">
        <f t="shared" ref="O2237:O2300" si="13409">VLOOKUP($A2237,hospital_details,5,0)</f>
        <v>1400.44</v>
      </c>
      <c r="P2237" s="7" t="str">
        <f t="shared" ref="P2237:P2300" si="13410">VLOOKUP($A2237,hospital_details,6,0)</f>
        <v>tier - 2</v>
      </c>
      <c r="Q2237" s="7" t="str">
        <f t="shared" ref="Q2237:Q2300" si="13411">VLOOKUP($A2237,hospital_details,7,0)</f>
        <v>tier - 2</v>
      </c>
      <c r="R2237" s="7" t="str">
        <f t="shared" ref="R2237:R2300" si="13412">VLOOKUP($A2237,hospital_details,8,0)</f>
        <v>R1013</v>
      </c>
    </row>
    <row r="2238" spans="1:18" ht="14.4" customHeight="1" x14ac:dyDescent="0.3">
      <c r="A2238" s="5" t="s">
        <v>2258</v>
      </c>
      <c r="B2238" s="5" t="str">
        <f>VLOOKUP($A2238,[1]!Customer_Names[#Data],3,0)</f>
        <v xml:space="preserve">  Daniel C</v>
      </c>
      <c r="C2238" s="5">
        <v>33.33</v>
      </c>
      <c r="D2238" s="5" t="str" cm="1">
        <f t="array" ref="D2238">_xlfn.IFS(Healthcare!$C2238&lt;18.5,"under weight",Healthcare!$C2238&lt;=24.9,"Normal Weight",Healthcare!$C2238&gt;=25,"overweight",Healthcare!$C2238&gt;=30,"obese")</f>
        <v>overweight</v>
      </c>
      <c r="E2238" s="5">
        <v>9.7899999999999991</v>
      </c>
      <c r="F2238" s="5" t="str" cm="1">
        <f t="array" ref="F2238">_xlfn.IFS(Healthcare!$E2238&lt;5.7,"normal",Healthcare!$E2238&lt;=6.4,"prediabetes",Healthcare!$E2238&gt;=6.5,"diabetes")</f>
        <v>diabetes</v>
      </c>
      <c r="G2238" s="5" t="s">
        <v>19</v>
      </c>
      <c r="H2238" s="5" t="s">
        <v>19</v>
      </c>
      <c r="I2238" s="5" t="s">
        <v>19</v>
      </c>
      <c r="J2238" s="5">
        <v>0</v>
      </c>
      <c r="K2238" s="5" t="s">
        <v>19</v>
      </c>
      <c r="L2238" s="5" t="str">
        <f>VLOOKUP(Healthcare!$A2238,hospital_details,2,0)</f>
        <v>22-Dec-2002</v>
      </c>
      <c r="M2238" s="5">
        <f t="shared" ref="M2238:M2301" ca="1" si="13413">VLOOKUP(A2238,hospital_details,3,0)</f>
        <v>23</v>
      </c>
      <c r="N2238" s="5">
        <f t="shared" ref="N2238:N2301" si="13414">VLOOKUP($A2238,hospital_details,4,0)</f>
        <v>0</v>
      </c>
      <c r="O2238" s="6">
        <f t="shared" ref="O2238:O2301" si="13415">VLOOKUP($A2238,hospital_details,5,0)</f>
        <v>1391.53</v>
      </c>
      <c r="P2238" s="5" t="str">
        <f t="shared" ref="P2238:P2301" si="13416">VLOOKUP($A2238,hospital_details,6,0)</f>
        <v>tier - 2</v>
      </c>
      <c r="Q2238" s="5" t="str">
        <f t="shared" ref="Q2238:Q2301" si="13417">VLOOKUP($A2238,hospital_details,7,0)</f>
        <v>tier - 1</v>
      </c>
      <c r="R2238" s="5" t="str">
        <f t="shared" ref="R2238:R2301" si="13418">VLOOKUP($A2238,hospital_details,8,0)</f>
        <v>R1013</v>
      </c>
    </row>
    <row r="2239" spans="1:18" ht="14.4" customHeight="1" x14ac:dyDescent="0.3">
      <c r="A2239" s="7" t="s">
        <v>2259</v>
      </c>
      <c r="B2239" s="7" t="str">
        <f>VLOOKUP($A2239,[1]!Customer_Names[#Data],3,0)</f>
        <v xml:space="preserve">  Christopher S</v>
      </c>
      <c r="C2239" s="7">
        <v>18.5</v>
      </c>
      <c r="D2239" s="7" t="str" cm="1">
        <f t="array" ref="D2239">_xlfn.IFS(Healthcare!$C2239&lt;18.5,"under weight",Healthcare!$C2239&lt;=24.9,"Normal Weight",Healthcare!$C2239&gt;=25,"overweight",Healthcare!$C2239&gt;=30,"obese")</f>
        <v>Normal Weight</v>
      </c>
      <c r="E2239" s="7">
        <v>11.84</v>
      </c>
      <c r="F2239" s="7" t="str" cm="1">
        <f t="array" ref="F2239">_xlfn.IFS(Healthcare!$E2239&lt;5.7,"normal",Healthcare!$E2239&lt;=6.4,"prediabetes",Healthcare!$E2239&gt;=6.5,"diabetes")</f>
        <v>diabetes</v>
      </c>
      <c r="G2239" s="7" t="s">
        <v>19</v>
      </c>
      <c r="H2239" s="7" t="s">
        <v>19</v>
      </c>
      <c r="I2239" s="7" t="s">
        <v>19</v>
      </c>
      <c r="J2239" s="7">
        <v>0</v>
      </c>
      <c r="K2239" s="7" t="s">
        <v>19</v>
      </c>
      <c r="L2239" s="7" t="str">
        <f>VLOOKUP(Healthcare!$A2239,hospital_details,2,0)</f>
        <v>14-Nov-2002</v>
      </c>
      <c r="M2239" s="7">
        <f t="shared" ref="M2239:M2302" ca="1" si="13419">VLOOKUP(A2239,hospital_details,3,0)</f>
        <v>23</v>
      </c>
      <c r="N2239" s="7">
        <f t="shared" ref="N2239:N2302" si="13420">VLOOKUP($A2239,hospital_details,4,0)</f>
        <v>0</v>
      </c>
      <c r="O2239" s="8">
        <f t="shared" ref="O2239:O2302" si="13421">VLOOKUP($A2239,hospital_details,5,0)</f>
        <v>1390</v>
      </c>
      <c r="P2239" s="7" t="str">
        <f t="shared" ref="P2239:P2302" si="13422">VLOOKUP($A2239,hospital_details,6,0)</f>
        <v>tier - 2</v>
      </c>
      <c r="Q2239" s="7" t="str">
        <f t="shared" ref="Q2239:Q2302" si="13423">VLOOKUP($A2239,hospital_details,7,0)</f>
        <v>tier - 2</v>
      </c>
      <c r="R2239" s="7" t="str">
        <f t="shared" ref="R2239:R2302" si="13424">VLOOKUP($A2239,hospital_details,8,0)</f>
        <v>R1013</v>
      </c>
    </row>
    <row r="2240" spans="1:18" ht="14.4" customHeight="1" x14ac:dyDescent="0.3">
      <c r="A2240" s="5" t="s">
        <v>2260</v>
      </c>
      <c r="B2240" s="5" t="str">
        <f>VLOOKUP($A2240,[1]!Customer_Names[#Data],3,0)</f>
        <v xml:space="preserve">  William R</v>
      </c>
      <c r="C2240" s="5">
        <v>18.579999999999998</v>
      </c>
      <c r="D2240" s="5" t="str" cm="1">
        <f t="array" ref="D2240">_xlfn.IFS(Healthcare!$C2240&lt;18.5,"under weight",Healthcare!$C2240&lt;=24.9,"Normal Weight",Healthcare!$C2240&gt;=25,"overweight",Healthcare!$C2240&gt;=30,"obese")</f>
        <v>Normal Weight</v>
      </c>
      <c r="E2240" s="5">
        <v>6.22</v>
      </c>
      <c r="F2240" s="5" t="str" cm="1">
        <f t="array" ref="F2240">_xlfn.IFS(Healthcare!$E2240&lt;5.7,"normal",Healthcare!$E2240&lt;=6.4,"prediabetes",Healthcare!$E2240&gt;=6.5,"diabetes")</f>
        <v>prediabetes</v>
      </c>
      <c r="G2240" s="5" t="s">
        <v>19</v>
      </c>
      <c r="H2240" s="5" t="s">
        <v>19</v>
      </c>
      <c r="I2240" s="5" t="s">
        <v>19</v>
      </c>
      <c r="J2240" s="5">
        <v>0</v>
      </c>
      <c r="K2240" s="5" t="s">
        <v>19</v>
      </c>
      <c r="L2240" s="5" t="str">
        <f>VLOOKUP(Healthcare!$A2240,hospital_details,2,0)</f>
        <v>6-Jul-1999</v>
      </c>
      <c r="M2240" s="5">
        <f t="shared" ref="M2240:M2303" ca="1" si="13425">VLOOKUP(A2240,hospital_details,3,0)</f>
        <v>27</v>
      </c>
      <c r="N2240" s="5">
        <f t="shared" ref="N2240:N2303" si="13426">VLOOKUP($A2240,hospital_details,4,0)</f>
        <v>0</v>
      </c>
      <c r="O2240" s="6">
        <f t="shared" ref="O2240:O2303" si="13427">VLOOKUP($A2240,hospital_details,5,0)</f>
        <v>1389</v>
      </c>
      <c r="P2240" s="5" t="str">
        <f t="shared" ref="P2240:P2303" si="13428">VLOOKUP($A2240,hospital_details,6,0)</f>
        <v>tier - 2</v>
      </c>
      <c r="Q2240" s="5" t="str">
        <f t="shared" ref="Q2240:Q2303" si="13429">VLOOKUP($A2240,hospital_details,7,0)</f>
        <v>tier - 2</v>
      </c>
      <c r="R2240" s="5" t="str">
        <f t="shared" ref="R2240:R2303" si="13430">VLOOKUP($A2240,hospital_details,8,0)</f>
        <v>R1013</v>
      </c>
    </row>
    <row r="2241" spans="1:18" ht="14.4" customHeight="1" x14ac:dyDescent="0.3">
      <c r="A2241" s="7" t="s">
        <v>2261</v>
      </c>
      <c r="B2241" s="7" t="str">
        <f>VLOOKUP($A2241,[1]!Customer_Names[#Data],3,0)</f>
        <v xml:space="preserve">  Lyndsy</v>
      </c>
      <c r="C2241" s="7">
        <v>16.64</v>
      </c>
      <c r="D2241" s="7" t="str" cm="1">
        <f t="array" ref="D2241">_xlfn.IFS(Healthcare!$C2241&lt;18.5,"under weight",Healthcare!$C2241&lt;=24.9,"Normal Weight",Healthcare!$C2241&gt;=25,"overweight",Healthcare!$C2241&gt;=30,"obese")</f>
        <v>under weight</v>
      </c>
      <c r="E2241" s="7">
        <v>10.01</v>
      </c>
      <c r="F2241" s="7" t="str" cm="1">
        <f t="array" ref="F2241">_xlfn.IFS(Healthcare!$E2241&lt;5.7,"normal",Healthcare!$E2241&lt;=6.4,"prediabetes",Healthcare!$E2241&gt;=6.5,"diabetes")</f>
        <v>diabetes</v>
      </c>
      <c r="G2241" s="7" t="s">
        <v>19</v>
      </c>
      <c r="H2241" s="7" t="s">
        <v>19</v>
      </c>
      <c r="I2241" s="7" t="s">
        <v>19</v>
      </c>
      <c r="J2241" s="7">
        <v>0</v>
      </c>
      <c r="K2241" s="7" t="s">
        <v>19</v>
      </c>
      <c r="L2241" s="7" t="str">
        <f>VLOOKUP(Healthcare!$A2241,hospital_details,2,0)</f>
        <v>15-Aug-2002</v>
      </c>
      <c r="M2241" s="7">
        <f t="shared" ref="M2241:M2304" ca="1" si="13431">VLOOKUP(A2241,hospital_details,3,0)</f>
        <v>24</v>
      </c>
      <c r="N2241" s="7">
        <f t="shared" ref="N2241:N2304" si="13432">VLOOKUP($A2241,hospital_details,4,0)</f>
        <v>0</v>
      </c>
      <c r="O2241" s="8">
        <f t="shared" ref="O2241:O2304" si="13433">VLOOKUP($A2241,hospital_details,5,0)</f>
        <v>1382</v>
      </c>
      <c r="P2241" s="7" t="str">
        <f t="shared" ref="P2241:P2304" si="13434">VLOOKUP($A2241,hospital_details,6,0)</f>
        <v>tier - 2</v>
      </c>
      <c r="Q2241" s="7" t="str">
        <f t="shared" ref="Q2241:Q2304" si="13435">VLOOKUP($A2241,hospital_details,7,0)</f>
        <v>tier - 1</v>
      </c>
      <c r="R2241" s="7" t="str">
        <f t="shared" ref="R2241:R2304" si="13436">VLOOKUP($A2241,hospital_details,8,0)</f>
        <v>R1013</v>
      </c>
    </row>
    <row r="2242" spans="1:18" ht="14.4" customHeight="1" x14ac:dyDescent="0.3">
      <c r="A2242" s="5" t="s">
        <v>2262</v>
      </c>
      <c r="B2242" s="5" t="str">
        <f>VLOOKUP($A2242,[1]!Customer_Names[#Data],3,0)</f>
        <v xml:space="preserve">  Jessica</v>
      </c>
      <c r="C2242" s="5">
        <v>19.329999999999998</v>
      </c>
      <c r="D2242" s="5" t="str" cm="1">
        <f t="array" ref="D2242">_xlfn.IFS(Healthcare!$C2242&lt;18.5,"under weight",Healthcare!$C2242&lt;=24.9,"Normal Weight",Healthcare!$C2242&gt;=25,"overweight",Healthcare!$C2242&gt;=30,"obese")</f>
        <v>Normal Weight</v>
      </c>
      <c r="E2242" s="5">
        <v>4.32</v>
      </c>
      <c r="F2242" s="5" t="str" cm="1">
        <f t="array" ref="F2242">_xlfn.IFS(Healthcare!$E2242&lt;5.7,"normal",Healthcare!$E2242&lt;=6.4,"prediabetes",Healthcare!$E2242&gt;=6.5,"diabetes")</f>
        <v>normal</v>
      </c>
      <c r="G2242" s="5" t="s">
        <v>19</v>
      </c>
      <c r="H2242" s="5" t="s">
        <v>19</v>
      </c>
      <c r="I2242" s="5" t="s">
        <v>19</v>
      </c>
      <c r="J2242" s="5">
        <v>1</v>
      </c>
      <c r="K2242" s="5" t="s">
        <v>19</v>
      </c>
      <c r="L2242" s="5" t="str">
        <f>VLOOKUP(Healthcare!$A2242,hospital_details,2,0)</f>
        <v>3-Dec-1998</v>
      </c>
      <c r="M2242" s="5">
        <f t="shared" ref="M2242:M2305" ca="1" si="13437">VLOOKUP(A2242,hospital_details,3,0)</f>
        <v>27</v>
      </c>
      <c r="N2242" s="5">
        <f t="shared" ref="N2242:N2305" si="13438">VLOOKUP($A2242,hospital_details,4,0)</f>
        <v>0</v>
      </c>
      <c r="O2242" s="6">
        <f t="shared" ref="O2242:O2305" si="13439">VLOOKUP($A2242,hospital_details,5,0)</f>
        <v>1359</v>
      </c>
      <c r="P2242" s="5" t="str">
        <f t="shared" ref="P2242:P2305" si="13440">VLOOKUP($A2242,hospital_details,6,0)</f>
        <v>tier - 2</v>
      </c>
      <c r="Q2242" s="5" t="str">
        <f t="shared" ref="Q2242:Q2305" si="13441">VLOOKUP($A2242,hospital_details,7,0)</f>
        <v>tier - 1</v>
      </c>
      <c r="R2242" s="5" t="str">
        <f t="shared" ref="R2242:R2305" si="13442">VLOOKUP($A2242,hospital_details,8,0)</f>
        <v>R1013</v>
      </c>
    </row>
    <row r="2243" spans="1:18" ht="14.4" customHeight="1" x14ac:dyDescent="0.3">
      <c r="A2243" s="7" t="s">
        <v>2263</v>
      </c>
      <c r="B2243" s="7" t="str">
        <f>VLOOKUP($A2243,[1]!Customer_Names[#Data],3,0)</f>
        <v xml:space="preserve">  Anna</v>
      </c>
      <c r="C2243" s="7">
        <v>21.26</v>
      </c>
      <c r="D2243" s="7" t="str" cm="1">
        <f t="array" ref="D2243">_xlfn.IFS(Healthcare!$C2243&lt;18.5,"under weight",Healthcare!$C2243&lt;=24.9,"Normal Weight",Healthcare!$C2243&gt;=25,"overweight",Healthcare!$C2243&gt;=30,"obese")</f>
        <v>Normal Weight</v>
      </c>
      <c r="E2243" s="7">
        <v>5.65</v>
      </c>
      <c r="F2243" s="7" t="str" cm="1">
        <f t="array" ref="F2243">_xlfn.IFS(Healthcare!$E2243&lt;5.7,"normal",Healthcare!$E2243&lt;=6.4,"prediabetes",Healthcare!$E2243&gt;=6.5,"diabetes")</f>
        <v>normal</v>
      </c>
      <c r="G2243" s="7" t="s">
        <v>20</v>
      </c>
      <c r="H2243" s="7" t="s">
        <v>19</v>
      </c>
      <c r="I2243" s="7" t="s">
        <v>29</v>
      </c>
      <c r="J2243" s="7">
        <v>1</v>
      </c>
      <c r="K2243" s="7" t="s">
        <v>19</v>
      </c>
      <c r="L2243" s="7" t="str">
        <f>VLOOKUP(Healthcare!$A2243,hospital_details,2,0)</f>
        <v>7-Nov-1997</v>
      </c>
      <c r="M2243" s="7">
        <f t="shared" ref="M2243:M2306" ca="1" si="13443">VLOOKUP(A2243,hospital_details,3,0)</f>
        <v>28</v>
      </c>
      <c r="N2243" s="7">
        <f t="shared" ref="N2243:N2306" si="13444">VLOOKUP($A2243,hospital_details,4,0)</f>
        <v>0</v>
      </c>
      <c r="O2243" s="8">
        <f t="shared" ref="O2243:O2306" si="13445">VLOOKUP($A2243,hospital_details,5,0)</f>
        <v>1341.16</v>
      </c>
      <c r="P2243" s="7" t="str">
        <f t="shared" ref="P2243:P2306" si="13446">VLOOKUP($A2243,hospital_details,6,0)</f>
        <v>tier - 2</v>
      </c>
      <c r="Q2243" s="7" t="str">
        <f t="shared" ref="Q2243:Q2306" si="13447">VLOOKUP($A2243,hospital_details,7,0)</f>
        <v>tier - 2</v>
      </c>
      <c r="R2243" s="7" t="str">
        <f t="shared" ref="R2243:R2306" si="13448">VLOOKUP($A2243,hospital_details,8,0)</f>
        <v>R1012</v>
      </c>
    </row>
    <row r="2244" spans="1:18" ht="14.4" customHeight="1" x14ac:dyDescent="0.3">
      <c r="A2244" s="5" t="s">
        <v>2264</v>
      </c>
      <c r="B2244" s="5" t="str">
        <f>VLOOKUP($A2244,[1]!Customer_Names[#Data],3,0)</f>
        <v xml:space="preserve">  Jordan</v>
      </c>
      <c r="C2244" s="5">
        <v>15.6</v>
      </c>
      <c r="D2244" s="5" t="str" cm="1">
        <f t="array" ref="D2244">_xlfn.IFS(Healthcare!$C2244&lt;18.5,"under weight",Healthcare!$C2244&lt;=24.9,"Normal Weight",Healthcare!$C2244&gt;=25,"overweight",Healthcare!$C2244&gt;=30,"obese")</f>
        <v>under weight</v>
      </c>
      <c r="E2244" s="5">
        <v>4.12</v>
      </c>
      <c r="F2244" s="5" t="str" cm="1">
        <f t="array" ref="F2244">_xlfn.IFS(Healthcare!$E2244&lt;5.7,"normal",Healthcare!$E2244&lt;=6.4,"prediabetes",Healthcare!$E2244&gt;=6.5,"diabetes")</f>
        <v>normal</v>
      </c>
      <c r="G2244" s="5" t="s">
        <v>20</v>
      </c>
      <c r="H2244" s="5" t="s">
        <v>19</v>
      </c>
      <c r="I2244" s="5" t="s">
        <v>19</v>
      </c>
      <c r="J2244" s="5">
        <v>1</v>
      </c>
      <c r="K2244" s="5" t="s">
        <v>19</v>
      </c>
      <c r="L2244" s="5" t="str">
        <f>VLOOKUP(Healthcare!$A2244,hospital_details,2,0)</f>
        <v>30-Jul-1995</v>
      </c>
      <c r="M2244" s="5">
        <f t="shared" ref="M2244:M2307" ca="1" si="13449">VLOOKUP(A2244,hospital_details,3,0)</f>
        <v>31</v>
      </c>
      <c r="N2244" s="5">
        <f t="shared" ref="N2244:N2307" si="13450">VLOOKUP($A2244,hospital_details,4,0)</f>
        <v>0</v>
      </c>
      <c r="O2244" s="6">
        <f t="shared" ref="O2244:O2307" si="13451">VLOOKUP($A2244,hospital_details,5,0)</f>
        <v>1338</v>
      </c>
      <c r="P2244" s="5" t="str">
        <f t="shared" ref="P2244:P2307" si="13452">VLOOKUP($A2244,hospital_details,6,0)</f>
        <v>tier - 2</v>
      </c>
      <c r="Q2244" s="5" t="str">
        <f t="shared" ref="Q2244:Q2307" si="13453">VLOOKUP($A2244,hospital_details,7,0)</f>
        <v>tier - 3</v>
      </c>
      <c r="R2244" s="5" t="str">
        <f t="shared" ref="R2244:R2307" si="13454">VLOOKUP($A2244,hospital_details,8,0)</f>
        <v>R1012</v>
      </c>
    </row>
    <row r="2245" spans="1:18" ht="14.4" customHeight="1" x14ac:dyDescent="0.3">
      <c r="A2245" s="7" t="s">
        <v>2265</v>
      </c>
      <c r="B2245" s="7" t="str">
        <f>VLOOKUP($A2245,[1]!Customer_Names[#Data],3,0)</f>
        <v xml:space="preserve">  Brian</v>
      </c>
      <c r="C2245" s="7">
        <v>24.39</v>
      </c>
      <c r="D2245" s="7" t="str" cm="1">
        <f t="array" ref="D2245">_xlfn.IFS(Healthcare!$C2245&lt;18.5,"under weight",Healthcare!$C2245&lt;=24.9,"Normal Weight",Healthcare!$C2245&gt;=25,"overweight",Healthcare!$C2245&gt;=30,"obese")</f>
        <v>Normal Weight</v>
      </c>
      <c r="E2245" s="7">
        <v>6.24</v>
      </c>
      <c r="F2245" s="7" t="str" cm="1">
        <f t="array" ref="F2245">_xlfn.IFS(Healthcare!$E2245&lt;5.7,"normal",Healthcare!$E2245&lt;=6.4,"prediabetes",Healthcare!$E2245&gt;=6.5,"diabetes")</f>
        <v>prediabetes</v>
      </c>
      <c r="G2245" s="7" t="s">
        <v>19</v>
      </c>
      <c r="H2245" s="7" t="s">
        <v>19</v>
      </c>
      <c r="I2245" s="7" t="s">
        <v>19</v>
      </c>
      <c r="J2245" s="7">
        <v>1</v>
      </c>
      <c r="K2245" s="7" t="s">
        <v>19</v>
      </c>
      <c r="L2245" s="7" t="str">
        <f>VLOOKUP(Healthcare!$A2245,hospital_details,2,0)</f>
        <v>12-Jul-1998</v>
      </c>
      <c r="M2245" s="7">
        <f t="shared" ref="M2245:M2308" ca="1" si="13455">VLOOKUP(A2245,hospital_details,3,0)</f>
        <v>28</v>
      </c>
      <c r="N2245" s="7">
        <f t="shared" ref="N2245:N2308" si="13456">VLOOKUP($A2245,hospital_details,4,0)</f>
        <v>0</v>
      </c>
      <c r="O2245" s="8">
        <f t="shared" ref="O2245:O2308" si="13457">VLOOKUP($A2245,hospital_details,5,0)</f>
        <v>1332.61</v>
      </c>
      <c r="P2245" s="7" t="str">
        <f t="shared" ref="P2245:P2308" si="13458">VLOOKUP($A2245,hospital_details,6,0)</f>
        <v>tier - 2</v>
      </c>
      <c r="Q2245" s="7" t="str">
        <f t="shared" ref="Q2245:Q2308" si="13459">VLOOKUP($A2245,hospital_details,7,0)</f>
        <v>tier - 3</v>
      </c>
      <c r="R2245" s="7" t="str">
        <f t="shared" ref="R2245:R2308" si="13460">VLOOKUP($A2245,hospital_details,8,0)</f>
        <v>R1013</v>
      </c>
    </row>
    <row r="2246" spans="1:18" ht="14.4" customHeight="1" x14ac:dyDescent="0.3">
      <c r="A2246" s="5" t="s">
        <v>2266</v>
      </c>
      <c r="B2246" s="5" t="str">
        <f>VLOOKUP($A2246,[1]!Customer_Names[#Data],3,0)</f>
        <v xml:space="preserve">  Katherine A</v>
      </c>
      <c r="C2246" s="5">
        <v>24.75</v>
      </c>
      <c r="D2246" s="5" t="str" cm="1">
        <f t="array" ref="D2246">_xlfn.IFS(Healthcare!$C2246&lt;18.5,"under weight",Healthcare!$C2246&lt;=24.9,"Normal Weight",Healthcare!$C2246&gt;=25,"overweight",Healthcare!$C2246&gt;=30,"obese")</f>
        <v>Normal Weight</v>
      </c>
      <c r="E2246" s="5">
        <v>4.83</v>
      </c>
      <c r="F2246" s="5" t="str" cm="1">
        <f t="array" ref="F2246">_xlfn.IFS(Healthcare!$E2246&lt;5.7,"normal",Healthcare!$E2246&lt;=6.4,"prediabetes",Healthcare!$E2246&gt;=6.5,"diabetes")</f>
        <v>normal</v>
      </c>
      <c r="G2246" s="5" t="s">
        <v>19</v>
      </c>
      <c r="H2246" s="5" t="s">
        <v>19</v>
      </c>
      <c r="I2246" s="5" t="s">
        <v>19</v>
      </c>
      <c r="J2246" s="5">
        <v>0</v>
      </c>
      <c r="K2246" s="5" t="s">
        <v>19</v>
      </c>
      <c r="L2246" s="5" t="str">
        <f>VLOOKUP(Healthcare!$A2246,hospital_details,2,0)</f>
        <v>14-Oct-1999</v>
      </c>
      <c r="M2246" s="5">
        <f t="shared" ref="M2246:M2309" ca="1" si="13461">VLOOKUP(A2246,hospital_details,3,0)</f>
        <v>27</v>
      </c>
      <c r="N2246" s="5">
        <f t="shared" ref="N2246:N2309" si="13462">VLOOKUP($A2246,hospital_details,4,0)</f>
        <v>0</v>
      </c>
      <c r="O2246" s="6">
        <f t="shared" ref="O2246:O2309" si="13463">VLOOKUP($A2246,hospital_details,5,0)</f>
        <v>1329.17</v>
      </c>
      <c r="P2246" s="5" t="str">
        <f t="shared" ref="P2246:P2309" si="13464">VLOOKUP($A2246,hospital_details,6,0)</f>
        <v>tier - 2</v>
      </c>
      <c r="Q2246" s="5" t="str">
        <f t="shared" ref="Q2246:Q2309" si="13465">VLOOKUP($A2246,hospital_details,7,0)</f>
        <v>tier - 3</v>
      </c>
      <c r="R2246" s="5" t="str">
        <f t="shared" ref="R2246:R2309" si="13466">VLOOKUP($A2246,hospital_details,8,0)</f>
        <v>R1013</v>
      </c>
    </row>
    <row r="2247" spans="1:18" ht="14.4" customHeight="1" x14ac:dyDescent="0.3">
      <c r="A2247" s="7" t="s">
        <v>2267</v>
      </c>
      <c r="B2247" s="7" t="str">
        <f>VLOOKUP($A2247,[1]!Customer_Names[#Data],3,0)</f>
        <v xml:space="preserve">  Melanie</v>
      </c>
      <c r="C2247" s="7">
        <v>20.88</v>
      </c>
      <c r="D2247" s="7" t="str" cm="1">
        <f t="array" ref="D2247">_xlfn.IFS(Healthcare!$C2247&lt;18.5,"under weight",Healthcare!$C2247&lt;=24.9,"Normal Weight",Healthcare!$C2247&gt;=25,"overweight",Healthcare!$C2247&gt;=30,"obese")</f>
        <v>Normal Weight</v>
      </c>
      <c r="E2247" s="7">
        <v>7.4</v>
      </c>
      <c r="F2247" s="7" t="str" cm="1">
        <f t="array" ref="F2247">_xlfn.IFS(Healthcare!$E2247&lt;5.7,"normal",Healthcare!$E2247&lt;=6.4,"prediabetes",Healthcare!$E2247&gt;=6.5,"diabetes")</f>
        <v>diabetes</v>
      </c>
      <c r="G2247" s="7" t="s">
        <v>19</v>
      </c>
      <c r="H2247" s="7" t="s">
        <v>19</v>
      </c>
      <c r="I2247" s="7" t="s">
        <v>19</v>
      </c>
      <c r="J2247" s="7">
        <v>0</v>
      </c>
      <c r="K2247" s="7" t="s">
        <v>19</v>
      </c>
      <c r="L2247" s="7" t="str">
        <f>VLOOKUP(Healthcare!$A2247,hospital_details,2,0)</f>
        <v>13-Oct-2002</v>
      </c>
      <c r="M2247" s="7">
        <f t="shared" ref="M2247:M2310" ca="1" si="13467">VLOOKUP(A2247,hospital_details,3,0)</f>
        <v>24</v>
      </c>
      <c r="N2247" s="7">
        <f t="shared" ref="N2247:N2310" si="13468">VLOOKUP($A2247,hospital_details,4,0)</f>
        <v>0</v>
      </c>
      <c r="O2247" s="8">
        <f t="shared" ref="O2247:O2310" si="13469">VLOOKUP($A2247,hospital_details,5,0)</f>
        <v>1315</v>
      </c>
      <c r="P2247" s="7" t="str">
        <f t="shared" ref="P2247:P2310" si="13470">VLOOKUP($A2247,hospital_details,6,0)</f>
        <v>tier - 2</v>
      </c>
      <c r="Q2247" s="7" t="str">
        <f t="shared" ref="Q2247:Q2310" si="13471">VLOOKUP($A2247,hospital_details,7,0)</f>
        <v>tier - 2</v>
      </c>
      <c r="R2247" s="7" t="str">
        <f t="shared" ref="R2247:R2310" si="13472">VLOOKUP($A2247,hospital_details,8,0)</f>
        <v>R1013</v>
      </c>
    </row>
    <row r="2248" spans="1:18" ht="14.4" customHeight="1" x14ac:dyDescent="0.3">
      <c r="A2248" s="5" t="s">
        <v>2268</v>
      </c>
      <c r="B2248" s="5" t="str">
        <f>VLOOKUP($A2248,[1]!Customer_Names[#Data],3,0)</f>
        <v xml:space="preserve">  Jessica</v>
      </c>
      <c r="C2248" s="5">
        <v>20.43</v>
      </c>
      <c r="D2248" s="5" t="str" cm="1">
        <f t="array" ref="D2248">_xlfn.IFS(Healthcare!$C2248&lt;18.5,"under weight",Healthcare!$C2248&lt;=24.9,"Normal Weight",Healthcare!$C2248&gt;=25,"overweight",Healthcare!$C2248&gt;=30,"obese")</f>
        <v>Normal Weight</v>
      </c>
      <c r="E2248" s="5">
        <v>4.54</v>
      </c>
      <c r="F2248" s="5" t="str" cm="1">
        <f t="array" ref="F2248">_xlfn.IFS(Healthcare!$E2248&lt;5.7,"normal",Healthcare!$E2248&lt;=6.4,"prediabetes",Healthcare!$E2248&gt;=6.5,"diabetes")</f>
        <v>normal</v>
      </c>
      <c r="G2248" s="5" t="s">
        <v>19</v>
      </c>
      <c r="H2248" s="5" t="s">
        <v>19</v>
      </c>
      <c r="I2248" s="5" t="s">
        <v>19</v>
      </c>
      <c r="J2248" s="5">
        <v>0</v>
      </c>
      <c r="K2248" s="5" t="s">
        <v>19</v>
      </c>
      <c r="L2248" s="5" t="str">
        <f>VLOOKUP(Healthcare!$A2248,hospital_details,2,0)</f>
        <v>2-Dec-1999</v>
      </c>
      <c r="M2248" s="5">
        <f t="shared" ref="M2248:M2311" ca="1" si="13473">VLOOKUP(A2248,hospital_details,3,0)</f>
        <v>26</v>
      </c>
      <c r="N2248" s="5">
        <f t="shared" ref="N2248:N2311" si="13474">VLOOKUP($A2248,hospital_details,4,0)</f>
        <v>0</v>
      </c>
      <c r="O2248" s="6">
        <f t="shared" ref="O2248:O2311" si="13475">VLOOKUP($A2248,hospital_details,5,0)</f>
        <v>1304</v>
      </c>
      <c r="P2248" s="5" t="str">
        <f t="shared" ref="P2248:P2311" si="13476">VLOOKUP($A2248,hospital_details,6,0)</f>
        <v>tier - 2</v>
      </c>
      <c r="Q2248" s="5" t="str">
        <f t="shared" ref="Q2248:Q2311" si="13477">VLOOKUP($A2248,hospital_details,7,0)</f>
        <v>tier - 2</v>
      </c>
      <c r="R2248" s="5" t="str">
        <f t="shared" ref="R2248:R2311" si="13478">VLOOKUP($A2248,hospital_details,8,0)</f>
        <v>R1013</v>
      </c>
    </row>
    <row r="2249" spans="1:18" ht="14.4" customHeight="1" x14ac:dyDescent="0.3">
      <c r="A2249" s="7" t="s">
        <v>2269</v>
      </c>
      <c r="B2249" s="7" t="str">
        <f>VLOOKUP($A2249,[1]!Customer_Names[#Data],3,0)</f>
        <v xml:space="preserve">  Eric S</v>
      </c>
      <c r="C2249" s="7">
        <v>15.18</v>
      </c>
      <c r="D2249" s="7" t="str" cm="1">
        <f t="array" ref="D2249">_xlfn.IFS(Healthcare!$C2249&lt;18.5,"under weight",Healthcare!$C2249&lt;=24.9,"Normal Weight",Healthcare!$C2249&gt;=25,"overweight",Healthcare!$C2249&gt;=30,"obese")</f>
        <v>under weight</v>
      </c>
      <c r="E2249" s="7">
        <v>11.11</v>
      </c>
      <c r="F2249" s="7" t="str" cm="1">
        <f t="array" ref="F2249">_xlfn.IFS(Healthcare!$E2249&lt;5.7,"normal",Healthcare!$E2249&lt;=6.4,"prediabetes",Healthcare!$E2249&gt;=6.5,"diabetes")</f>
        <v>diabetes</v>
      </c>
      <c r="G2249" s="7" t="s">
        <v>19</v>
      </c>
      <c r="H2249" s="7" t="s">
        <v>19</v>
      </c>
      <c r="I2249" s="7" t="s">
        <v>19</v>
      </c>
      <c r="J2249" s="7">
        <v>0</v>
      </c>
      <c r="K2249" s="7" t="s">
        <v>19</v>
      </c>
      <c r="L2249" s="7" t="str">
        <f>VLOOKUP(Healthcare!$A2249,hospital_details,2,0)</f>
        <v>10-Dec-2002</v>
      </c>
      <c r="M2249" s="7">
        <f t="shared" ref="M2249:M2312" ca="1" si="13479">VLOOKUP(A2249,hospital_details,3,0)</f>
        <v>23</v>
      </c>
      <c r="N2249" s="7">
        <f t="shared" ref="N2249:N2312" si="13480">VLOOKUP($A2249,hospital_details,4,0)</f>
        <v>0</v>
      </c>
      <c r="O2249" s="8">
        <f t="shared" ref="O2249:O2312" si="13481">VLOOKUP($A2249,hospital_details,5,0)</f>
        <v>1304</v>
      </c>
      <c r="P2249" s="7" t="str">
        <f t="shared" ref="P2249:P2312" si="13482">VLOOKUP($A2249,hospital_details,6,0)</f>
        <v>tier - 2</v>
      </c>
      <c r="Q2249" s="7" t="str">
        <f t="shared" ref="Q2249:Q2312" si="13483">VLOOKUP($A2249,hospital_details,7,0)</f>
        <v>tier - 2</v>
      </c>
      <c r="R2249" s="7" t="str">
        <f t="shared" ref="R2249:R2312" si="13484">VLOOKUP($A2249,hospital_details,8,0)</f>
        <v>R1012</v>
      </c>
    </row>
    <row r="2250" spans="1:18" ht="14.4" customHeight="1" x14ac:dyDescent="0.3">
      <c r="A2250" s="5" t="s">
        <v>2270</v>
      </c>
      <c r="B2250" s="5" t="str">
        <f>VLOOKUP($A2250,[1]!Customer_Names[#Data],3,0)</f>
        <v xml:space="preserve">  Joseph</v>
      </c>
      <c r="C2250" s="5">
        <v>15.12</v>
      </c>
      <c r="D2250" s="5" t="str" cm="1">
        <f t="array" ref="D2250">_xlfn.IFS(Healthcare!$C2250&lt;18.5,"under weight",Healthcare!$C2250&lt;=24.9,"Normal Weight",Healthcare!$C2250&gt;=25,"overweight",Healthcare!$C2250&gt;=30,"obese")</f>
        <v>under weight</v>
      </c>
      <c r="E2250" s="5">
        <v>4.03</v>
      </c>
      <c r="F2250" s="5" t="str" cm="1">
        <f t="array" ref="F2250">_xlfn.IFS(Healthcare!$E2250&lt;5.7,"normal",Healthcare!$E2250&lt;=6.4,"prediabetes",Healthcare!$E2250&gt;=6.5,"diabetes")</f>
        <v>normal</v>
      </c>
      <c r="G2250" s="5" t="s">
        <v>20</v>
      </c>
      <c r="H2250" s="5" t="s">
        <v>19</v>
      </c>
      <c r="I2250" s="5" t="s">
        <v>19</v>
      </c>
      <c r="J2250" s="5">
        <v>0</v>
      </c>
      <c r="K2250" s="5" t="s">
        <v>19</v>
      </c>
      <c r="L2250" s="5" t="str">
        <f>VLOOKUP(Healthcare!$A2250,hospital_details,2,0)</f>
        <v>29-Nov-2001</v>
      </c>
      <c r="M2250" s="5">
        <f t="shared" ref="M2250:M2313" ca="1" si="13485">VLOOKUP(A2250,hospital_details,3,0)</f>
        <v>24</v>
      </c>
      <c r="N2250" s="5">
        <f t="shared" ref="N2250:N2313" si="13486">VLOOKUP($A2250,hospital_details,4,0)</f>
        <v>0</v>
      </c>
      <c r="O2250" s="6">
        <f t="shared" ref="O2250:O2313" si="13487">VLOOKUP($A2250,hospital_details,5,0)</f>
        <v>1293</v>
      </c>
      <c r="P2250" s="5" t="str">
        <f t="shared" ref="P2250:P2313" si="13488">VLOOKUP($A2250,hospital_details,6,0)</f>
        <v>tier - 2</v>
      </c>
      <c r="Q2250" s="5" t="str">
        <f t="shared" ref="Q2250:Q2313" si="13489">VLOOKUP($A2250,hospital_details,7,0)</f>
        <v>tier - 3</v>
      </c>
      <c r="R2250" s="5" t="str">
        <f t="shared" ref="R2250:R2313" si="13490">VLOOKUP($A2250,hospital_details,8,0)</f>
        <v>R1012</v>
      </c>
    </row>
    <row r="2251" spans="1:18" ht="14.4" customHeight="1" x14ac:dyDescent="0.3">
      <c r="A2251" s="7" t="s">
        <v>2271</v>
      </c>
      <c r="B2251" s="7" t="str">
        <f>VLOOKUP($A2251,[1]!Customer_Names[#Data],3,0)</f>
        <v xml:space="preserve">  Mary</v>
      </c>
      <c r="C2251" s="7">
        <v>23.88</v>
      </c>
      <c r="D2251" s="7" t="str" cm="1">
        <f t="array" ref="D2251">_xlfn.IFS(Healthcare!$C2251&lt;18.5,"under weight",Healthcare!$C2251&lt;=24.9,"Normal Weight",Healthcare!$C2251&gt;=25,"overweight",Healthcare!$C2251&gt;=30,"obese")</f>
        <v>Normal Weight</v>
      </c>
      <c r="E2251" s="7">
        <v>4.51</v>
      </c>
      <c r="F2251" s="7" t="str" cm="1">
        <f t="array" ref="F2251">_xlfn.IFS(Healthcare!$E2251&lt;5.7,"normal",Healthcare!$E2251&lt;=6.4,"prediabetes",Healthcare!$E2251&gt;=6.5,"diabetes")</f>
        <v>normal</v>
      </c>
      <c r="G2251" s="7" t="s">
        <v>19</v>
      </c>
      <c r="H2251" s="7" t="s">
        <v>19</v>
      </c>
      <c r="I2251" s="7" t="s">
        <v>19</v>
      </c>
      <c r="J2251" s="7">
        <v>1</v>
      </c>
      <c r="K2251" s="7" t="s">
        <v>19</v>
      </c>
      <c r="L2251" s="7" t="str">
        <f>VLOOKUP(Healthcare!$A2251,hospital_details,2,0)</f>
        <v>4-Jun-1998</v>
      </c>
      <c r="M2251" s="7">
        <f t="shared" ref="M2251:M2314" ca="1" si="13491">VLOOKUP(A2251,hospital_details,3,0)</f>
        <v>28</v>
      </c>
      <c r="N2251" s="7">
        <f t="shared" ref="N2251:N2314" si="13492">VLOOKUP($A2251,hospital_details,4,0)</f>
        <v>0</v>
      </c>
      <c r="O2251" s="8">
        <f t="shared" ref="O2251:O2314" si="13493">VLOOKUP($A2251,hospital_details,5,0)</f>
        <v>1290.93</v>
      </c>
      <c r="P2251" s="7" t="str">
        <f t="shared" ref="P2251:P2314" si="13494">VLOOKUP($A2251,hospital_details,6,0)</f>
        <v>tier - 2</v>
      </c>
      <c r="Q2251" s="7" t="str">
        <f t="shared" ref="Q2251:Q2314" si="13495">VLOOKUP($A2251,hospital_details,7,0)</f>
        <v>tier - 2</v>
      </c>
      <c r="R2251" s="7" t="str">
        <f t="shared" ref="R2251:R2314" si="13496">VLOOKUP($A2251,hospital_details,8,0)</f>
        <v>R1013</v>
      </c>
    </row>
    <row r="2252" spans="1:18" ht="14.4" customHeight="1" x14ac:dyDescent="0.3">
      <c r="A2252" s="5" t="s">
        <v>2272</v>
      </c>
      <c r="B2252" s="5" t="str">
        <f>VLOOKUP($A2252,[1]!Customer_Names[#Data],3,0)</f>
        <v xml:space="preserve">  Natalie</v>
      </c>
      <c r="C2252" s="5">
        <v>16.13</v>
      </c>
      <c r="D2252" s="5" t="str" cm="1">
        <f t="array" ref="D2252">_xlfn.IFS(Healthcare!$C2252&lt;18.5,"under weight",Healthcare!$C2252&lt;=24.9,"Normal Weight",Healthcare!$C2252&gt;=25,"overweight",Healthcare!$C2252&gt;=30,"obese")</f>
        <v>under weight</v>
      </c>
      <c r="E2252" s="5">
        <v>5.56</v>
      </c>
      <c r="F2252" s="5" t="str" cm="1">
        <f t="array" ref="F2252">_xlfn.IFS(Healthcare!$E2252&lt;5.7,"normal",Healthcare!$E2252&lt;=6.4,"prediabetes",Healthcare!$E2252&gt;=6.5,"diabetes")</f>
        <v>normal</v>
      </c>
      <c r="G2252" s="5" t="s">
        <v>19</v>
      </c>
      <c r="H2252" s="5" t="s">
        <v>20</v>
      </c>
      <c r="I2252" s="5" t="s">
        <v>19</v>
      </c>
      <c r="J2252" s="5">
        <v>1</v>
      </c>
      <c r="K2252" s="5" t="s">
        <v>19</v>
      </c>
      <c r="L2252" s="5" t="str">
        <f>VLOOKUP(Healthcare!$A2252,hospital_details,2,0)</f>
        <v>26-Jun-2000</v>
      </c>
      <c r="M2252" s="5">
        <f t="shared" ref="M2252:M2315" ca="1" si="13497">VLOOKUP(A2252,hospital_details,3,0)</f>
        <v>26</v>
      </c>
      <c r="N2252" s="5">
        <f t="shared" ref="N2252:N2315" si="13498">VLOOKUP($A2252,hospital_details,4,0)</f>
        <v>0</v>
      </c>
      <c r="O2252" s="6">
        <f t="shared" ref="O2252:O2315" si="13499">VLOOKUP($A2252,hospital_details,5,0)</f>
        <v>1286</v>
      </c>
      <c r="P2252" s="5" t="str">
        <f t="shared" ref="P2252:P2315" si="13500">VLOOKUP($A2252,hospital_details,6,0)</f>
        <v>tier - 2</v>
      </c>
      <c r="Q2252" s="5" t="str">
        <f t="shared" ref="Q2252:Q2315" si="13501">VLOOKUP($A2252,hospital_details,7,0)</f>
        <v>tier - 2</v>
      </c>
      <c r="R2252" s="5" t="str">
        <f t="shared" ref="R2252:R2315" si="13502">VLOOKUP($A2252,hospital_details,8,0)</f>
        <v>R1013</v>
      </c>
    </row>
    <row r="2253" spans="1:18" ht="14.4" customHeight="1" x14ac:dyDescent="0.3">
      <c r="A2253" s="7" t="s">
        <v>2273</v>
      </c>
      <c r="B2253" s="7" t="str">
        <f>VLOOKUP($A2253,[1]!Customer_Names[#Data],3,0)</f>
        <v xml:space="preserve">  Christopher</v>
      </c>
      <c r="C2253" s="7">
        <v>24.09</v>
      </c>
      <c r="D2253" s="7" t="str" cm="1">
        <f t="array" ref="D2253">_xlfn.IFS(Healthcare!$C2253&lt;18.5,"under weight",Healthcare!$C2253&lt;=24.9,"Normal Weight",Healthcare!$C2253&gt;=25,"overweight",Healthcare!$C2253&gt;=30,"obese")</f>
        <v>Normal Weight</v>
      </c>
      <c r="E2253" s="7">
        <v>4.0999999999999996</v>
      </c>
      <c r="F2253" s="7" t="str" cm="1">
        <f t="array" ref="F2253">_xlfn.IFS(Healthcare!$E2253&lt;5.7,"normal",Healthcare!$E2253&lt;=6.4,"prediabetes",Healthcare!$E2253&gt;=6.5,"diabetes")</f>
        <v>normal</v>
      </c>
      <c r="G2253" s="7" t="s">
        <v>19</v>
      </c>
      <c r="H2253" s="7" t="s">
        <v>20</v>
      </c>
      <c r="I2253" s="7" t="s">
        <v>19</v>
      </c>
      <c r="J2253" s="7">
        <v>1</v>
      </c>
      <c r="K2253" s="7" t="s">
        <v>19</v>
      </c>
      <c r="L2253" s="7" t="str">
        <f>VLOOKUP(Healthcare!$A2253,hospital_details,2,0)</f>
        <v>28-Jul-2004</v>
      </c>
      <c r="M2253" s="7">
        <f t="shared" ref="M2253:M2316" ca="1" si="13503">VLOOKUP(A2253,hospital_details,3,0)</f>
        <v>22</v>
      </c>
      <c r="N2253" s="7">
        <f t="shared" ref="N2253:N2316" si="13504">VLOOKUP($A2253,hospital_details,4,0)</f>
        <v>0</v>
      </c>
      <c r="O2253" s="8">
        <f t="shared" ref="O2253:O2316" si="13505">VLOOKUP($A2253,hospital_details,5,0)</f>
        <v>1285</v>
      </c>
      <c r="P2253" s="7" t="str">
        <f t="shared" ref="P2253:P2316" si="13506">VLOOKUP($A2253,hospital_details,6,0)</f>
        <v>tier - 2</v>
      </c>
      <c r="Q2253" s="7" t="str">
        <f t="shared" ref="Q2253:Q2316" si="13507">VLOOKUP($A2253,hospital_details,7,0)</f>
        <v>tier - 3</v>
      </c>
      <c r="R2253" s="7" t="str">
        <f t="shared" ref="R2253:R2316" si="13508">VLOOKUP($A2253,hospital_details,8,0)</f>
        <v>R1013</v>
      </c>
    </row>
    <row r="2254" spans="1:18" ht="14.4" customHeight="1" x14ac:dyDescent="0.3">
      <c r="A2254" s="5" t="s">
        <v>2274</v>
      </c>
      <c r="B2254" s="5" t="str">
        <f>VLOOKUP($A2254,[1]!Customer_Names[#Data],3,0)</f>
        <v xml:space="preserve">  Sonja</v>
      </c>
      <c r="C2254" s="5">
        <v>19.43</v>
      </c>
      <c r="D2254" s="5" t="str" cm="1">
        <f t="array" ref="D2254">_xlfn.IFS(Healthcare!$C2254&lt;18.5,"under weight",Healthcare!$C2254&lt;=24.9,"Normal Weight",Healthcare!$C2254&gt;=25,"overweight",Healthcare!$C2254&gt;=30,"obese")</f>
        <v>Normal Weight</v>
      </c>
      <c r="E2254" s="5">
        <v>5.85</v>
      </c>
      <c r="F2254" s="5" t="str" cm="1">
        <f t="array" ref="F2254">_xlfn.IFS(Healthcare!$E2254&lt;5.7,"normal",Healthcare!$E2254&lt;=6.4,"prediabetes",Healthcare!$E2254&gt;=6.5,"diabetes")</f>
        <v>prediabetes</v>
      </c>
      <c r="G2254" s="5" t="s">
        <v>19</v>
      </c>
      <c r="H2254" s="5" t="s">
        <v>20</v>
      </c>
      <c r="I2254" s="5" t="s">
        <v>19</v>
      </c>
      <c r="J2254" s="5">
        <v>1</v>
      </c>
      <c r="K2254" s="5" t="s">
        <v>19</v>
      </c>
      <c r="L2254" s="5" t="str">
        <f>VLOOKUP(Healthcare!$A2254,hospital_details,2,0)</f>
        <v>30-Sep-2004</v>
      </c>
      <c r="M2254" s="5">
        <f t="shared" ref="M2254:M2317" ca="1" si="13509">VLOOKUP(A2254,hospital_details,3,0)</f>
        <v>22</v>
      </c>
      <c r="N2254" s="5">
        <f t="shared" ref="N2254:N2317" si="13510">VLOOKUP($A2254,hospital_details,4,0)</f>
        <v>0</v>
      </c>
      <c r="O2254" s="6">
        <f t="shared" ref="O2254:O2317" si="13511">VLOOKUP($A2254,hospital_details,5,0)</f>
        <v>1283</v>
      </c>
      <c r="P2254" s="5" t="str">
        <f t="shared" ref="P2254:P2317" si="13512">VLOOKUP($A2254,hospital_details,6,0)</f>
        <v>tier - 2</v>
      </c>
      <c r="Q2254" s="5" t="str">
        <f t="shared" ref="Q2254:Q2317" si="13513">VLOOKUP($A2254,hospital_details,7,0)</f>
        <v>tier - 1</v>
      </c>
      <c r="R2254" s="5" t="str">
        <f t="shared" ref="R2254:R2317" si="13514">VLOOKUP($A2254,hospital_details,8,0)</f>
        <v>R1013</v>
      </c>
    </row>
    <row r="2255" spans="1:18" ht="14.4" customHeight="1" x14ac:dyDescent="0.3">
      <c r="A2255" s="7" t="s">
        <v>2275</v>
      </c>
      <c r="B2255" s="7" t="str">
        <f>VLOOKUP($A2255,[1]!Customer_Names[#Data],3,0)</f>
        <v xml:space="preserve">  Alexandra</v>
      </c>
      <c r="C2255" s="7">
        <v>15.22</v>
      </c>
      <c r="D2255" s="7" t="str" cm="1">
        <f t="array" ref="D2255">_xlfn.IFS(Healthcare!$C2255&lt;18.5,"under weight",Healthcare!$C2255&lt;=24.9,"Normal Weight",Healthcare!$C2255&gt;=25,"overweight",Healthcare!$C2255&gt;=30,"obese")</f>
        <v>under weight</v>
      </c>
      <c r="E2255" s="7">
        <v>4.92</v>
      </c>
      <c r="F2255" s="7" t="str" cm="1">
        <f t="array" ref="F2255">_xlfn.IFS(Healthcare!$E2255&lt;5.7,"normal",Healthcare!$E2255&lt;=6.4,"prediabetes",Healthcare!$E2255&gt;=6.5,"diabetes")</f>
        <v>normal</v>
      </c>
      <c r="G2255" s="7" t="s">
        <v>20</v>
      </c>
      <c r="H2255" s="7" t="s">
        <v>19</v>
      </c>
      <c r="I2255" s="7" t="s">
        <v>29</v>
      </c>
      <c r="J2255" s="7">
        <v>1</v>
      </c>
      <c r="K2255" s="7" t="s">
        <v>19</v>
      </c>
      <c r="L2255" s="7" t="str">
        <f>VLOOKUP(Healthcare!$A2255,hospital_details,2,0)</f>
        <v>26-Oct-1997</v>
      </c>
      <c r="M2255" s="7">
        <f t="shared" ref="M2255:M2318" ca="1" si="13515">VLOOKUP(A2255,hospital_details,3,0)</f>
        <v>28</v>
      </c>
      <c r="N2255" s="7">
        <f t="shared" ref="N2255:N2318" si="13516">VLOOKUP($A2255,hospital_details,4,0)</f>
        <v>0</v>
      </c>
      <c r="O2255" s="8">
        <f t="shared" ref="O2255:O2318" si="13517">VLOOKUP($A2255,hospital_details,5,0)</f>
        <v>1276</v>
      </c>
      <c r="P2255" s="7" t="str">
        <f t="shared" ref="P2255:P2318" si="13518">VLOOKUP($A2255,hospital_details,6,0)</f>
        <v>tier - 2</v>
      </c>
      <c r="Q2255" s="7" t="str">
        <f t="shared" ref="Q2255:Q2318" si="13519">VLOOKUP($A2255,hospital_details,7,0)</f>
        <v>tier - 2</v>
      </c>
      <c r="R2255" s="7" t="str">
        <f t="shared" ref="R2255:R2318" si="13520">VLOOKUP($A2255,hospital_details,8,0)</f>
        <v>R1012</v>
      </c>
    </row>
    <row r="2256" spans="1:18" ht="14.4" customHeight="1" x14ac:dyDescent="0.3">
      <c r="A2256" s="5" t="s">
        <v>2276</v>
      </c>
      <c r="B2256" s="5" t="str">
        <f>VLOOKUP($A2256,[1]!Customer_Names[#Data],3,0)</f>
        <v xml:space="preserve">  Martha L</v>
      </c>
      <c r="C2256" s="5">
        <v>20.72</v>
      </c>
      <c r="D2256" s="5" t="str" cm="1">
        <f t="array" ref="D2256">_xlfn.IFS(Healthcare!$C2256&lt;18.5,"under weight",Healthcare!$C2256&lt;=24.9,"Normal Weight",Healthcare!$C2256&gt;=25,"overweight",Healthcare!$C2256&gt;=30,"obese")</f>
        <v>Normal Weight</v>
      </c>
      <c r="E2256" s="5">
        <v>9.4600000000000009</v>
      </c>
      <c r="F2256" s="5" t="str" cm="1">
        <f t="array" ref="F2256">_xlfn.IFS(Healthcare!$E2256&lt;5.7,"normal",Healthcare!$E2256&lt;=6.4,"prediabetes",Healthcare!$E2256&gt;=6.5,"diabetes")</f>
        <v>diabetes</v>
      </c>
      <c r="G2256" s="5" t="s">
        <v>19</v>
      </c>
      <c r="H2256" s="5" t="s">
        <v>19</v>
      </c>
      <c r="I2256" s="5" t="s">
        <v>19</v>
      </c>
      <c r="J2256" s="5">
        <v>0</v>
      </c>
      <c r="K2256" s="5" t="s">
        <v>19</v>
      </c>
      <c r="L2256" s="5" t="str">
        <f>VLOOKUP(Healthcare!$A2256,hospital_details,2,0)</f>
        <v>4-Dec-2002</v>
      </c>
      <c r="M2256" s="5">
        <f t="shared" ref="M2256:M2319" ca="1" si="13521">VLOOKUP(A2256,hospital_details,3,0)</f>
        <v>23</v>
      </c>
      <c r="N2256" s="5">
        <f t="shared" ref="N2256:N2319" si="13522">VLOOKUP($A2256,hospital_details,4,0)</f>
        <v>0</v>
      </c>
      <c r="O2256" s="6">
        <f t="shared" ref="O2256:O2319" si="13523">VLOOKUP($A2256,hospital_details,5,0)</f>
        <v>1267</v>
      </c>
      <c r="P2256" s="5" t="str">
        <f t="shared" ref="P2256:P2319" si="13524">VLOOKUP($A2256,hospital_details,6,0)</f>
        <v>tier - 2</v>
      </c>
      <c r="Q2256" s="5" t="str">
        <f t="shared" ref="Q2256:Q2319" si="13525">VLOOKUP($A2256,hospital_details,7,0)</f>
        <v>tier - 1</v>
      </c>
      <c r="R2256" s="5" t="str">
        <f t="shared" ref="R2256:R2319" si="13526">VLOOKUP($A2256,hospital_details,8,0)</f>
        <v>R1013</v>
      </c>
    </row>
    <row r="2257" spans="1:18" ht="14.4" customHeight="1" x14ac:dyDescent="0.3">
      <c r="A2257" s="7" t="s">
        <v>2277</v>
      </c>
      <c r="B2257" s="7" t="str">
        <f>VLOOKUP($A2257,[1]!Customer_Names[#Data],3,0)</f>
        <v xml:space="preserve">  Ryan C</v>
      </c>
      <c r="C2257" s="7">
        <v>35.4</v>
      </c>
      <c r="D2257" s="7" t="str" cm="1">
        <f t="array" ref="D2257">_xlfn.IFS(Healthcare!$C2257&lt;18.5,"under weight",Healthcare!$C2257&lt;=24.9,"Normal Weight",Healthcare!$C2257&gt;=25,"overweight",Healthcare!$C2257&gt;=30,"obese")</f>
        <v>overweight</v>
      </c>
      <c r="E2257" s="7">
        <v>5.94</v>
      </c>
      <c r="F2257" s="7" t="str" cm="1">
        <f t="array" ref="F2257">_xlfn.IFS(Healthcare!$E2257&lt;5.7,"normal",Healthcare!$E2257&lt;=6.4,"prediabetes",Healthcare!$E2257&gt;=6.5,"diabetes")</f>
        <v>prediabetes</v>
      </c>
      <c r="G2257" s="7" t="s">
        <v>19</v>
      </c>
      <c r="H2257" s="7" t="s">
        <v>19</v>
      </c>
      <c r="I2257" s="7" t="s">
        <v>29</v>
      </c>
      <c r="J2257" s="7">
        <v>1</v>
      </c>
      <c r="K2257" s="7" t="s">
        <v>19</v>
      </c>
      <c r="L2257" s="7" t="str">
        <f>VLOOKUP(Healthcare!$A2257,hospital_details,2,0)</f>
        <v>21-Nov-2003</v>
      </c>
      <c r="M2257" s="7">
        <f t="shared" ref="M2257:M2320" ca="1" si="13527">VLOOKUP(A2257,hospital_details,3,0)</f>
        <v>22</v>
      </c>
      <c r="N2257" s="7">
        <f t="shared" ref="N2257:N2320" si="13528">VLOOKUP($A2257,hospital_details,4,0)</f>
        <v>0</v>
      </c>
      <c r="O2257" s="8">
        <f t="shared" ref="O2257:O2320" si="13529">VLOOKUP($A2257,hospital_details,5,0)</f>
        <v>1263.25</v>
      </c>
      <c r="P2257" s="7" t="str">
        <f t="shared" ref="P2257:P2320" si="13530">VLOOKUP($A2257,hospital_details,6,0)</f>
        <v>tier - 2</v>
      </c>
      <c r="Q2257" s="7" t="str">
        <f t="shared" ref="Q2257:Q2320" si="13531">VLOOKUP($A2257,hospital_details,7,0)</f>
        <v>tier - 3</v>
      </c>
      <c r="R2257" s="7" t="str">
        <f t="shared" ref="R2257:R2320" si="13532">VLOOKUP($A2257,hospital_details,8,0)</f>
        <v>R1011</v>
      </c>
    </row>
    <row r="2258" spans="1:18" ht="14.4" customHeight="1" x14ac:dyDescent="0.3">
      <c r="A2258" s="5" t="s">
        <v>2278</v>
      </c>
      <c r="B2258" s="5" t="str">
        <f>VLOOKUP($A2258,[1]!Customer_Names[#Data],3,0)</f>
        <v xml:space="preserve">  Cliff</v>
      </c>
      <c r="C2258" s="5">
        <v>34.4</v>
      </c>
      <c r="D2258" s="5" t="str" cm="1">
        <f t="array" ref="D2258">_xlfn.IFS(Healthcare!$C2258&lt;18.5,"under weight",Healthcare!$C2258&lt;=24.9,"Normal Weight",Healthcare!$C2258&gt;=25,"overweight",Healthcare!$C2258&gt;=30,"obese")</f>
        <v>overweight</v>
      </c>
      <c r="E2258" s="5">
        <v>5.7</v>
      </c>
      <c r="F2258" s="5" t="str" cm="1">
        <f t="array" ref="F2258">_xlfn.IFS(Healthcare!$E2258&lt;5.7,"normal",Healthcare!$E2258&lt;=6.4,"prediabetes",Healthcare!$E2258&gt;=6.5,"diabetes")</f>
        <v>prediabetes</v>
      </c>
      <c r="G2258" s="5" t="s">
        <v>19</v>
      </c>
      <c r="H2258" s="5" t="s">
        <v>19</v>
      </c>
      <c r="I2258" s="5" t="s">
        <v>29</v>
      </c>
      <c r="J2258" s="5">
        <v>1</v>
      </c>
      <c r="K2258" s="5" t="s">
        <v>19</v>
      </c>
      <c r="L2258" s="5" t="str">
        <f>VLOOKUP(Healthcare!$A2258,hospital_details,2,0)</f>
        <v>15-Aug-2003</v>
      </c>
      <c r="M2258" s="5">
        <f t="shared" ref="M2258:M2321" ca="1" si="13533">VLOOKUP(A2258,hospital_details,3,0)</f>
        <v>23</v>
      </c>
      <c r="N2258" s="5">
        <f t="shared" ref="N2258:N2321" si="13534">VLOOKUP($A2258,hospital_details,4,0)</f>
        <v>0</v>
      </c>
      <c r="O2258" s="6">
        <f t="shared" ref="O2258:O2321" si="13535">VLOOKUP($A2258,hospital_details,5,0)</f>
        <v>1261.8599999999999</v>
      </c>
      <c r="P2258" s="5" t="str">
        <f t="shared" ref="P2258:P2321" si="13536">VLOOKUP($A2258,hospital_details,6,0)</f>
        <v>tier - 2</v>
      </c>
      <c r="Q2258" s="5" t="str">
        <f t="shared" ref="Q2258:Q2321" si="13537">VLOOKUP($A2258,hospital_details,7,0)</f>
        <v>tier - 3</v>
      </c>
      <c r="R2258" s="5" t="str">
        <f t="shared" ref="R2258:R2321" si="13538">VLOOKUP($A2258,hospital_details,8,0)</f>
        <v>R1011</v>
      </c>
    </row>
    <row r="2259" spans="1:18" ht="14.4" customHeight="1" x14ac:dyDescent="0.3">
      <c r="A2259" s="7" t="s">
        <v>2279</v>
      </c>
      <c r="B2259" s="7" t="str">
        <f>VLOOKUP($A2259,[1]!Customer_Names[#Data],3,0)</f>
        <v xml:space="preserve">  Blue</v>
      </c>
      <c r="C2259" s="7">
        <v>34.1</v>
      </c>
      <c r="D2259" s="7" t="str" cm="1">
        <f t="array" ref="D2259">_xlfn.IFS(Healthcare!$C2259&lt;18.5,"under weight",Healthcare!$C2259&lt;=24.9,"Normal Weight",Healthcare!$C2259&gt;=25,"overweight",Healthcare!$C2259&gt;=30,"obese")</f>
        <v>overweight</v>
      </c>
      <c r="E2259" s="7">
        <v>4.13</v>
      </c>
      <c r="F2259" s="7" t="str" cm="1">
        <f t="array" ref="F2259">_xlfn.IFS(Healthcare!$E2259&lt;5.7,"normal",Healthcare!$E2259&lt;=6.4,"prediabetes",Healthcare!$E2259&gt;=6.5,"diabetes")</f>
        <v>normal</v>
      </c>
      <c r="G2259" s="7" t="s">
        <v>19</v>
      </c>
      <c r="H2259" s="7" t="s">
        <v>19</v>
      </c>
      <c r="I2259" s="7" t="s">
        <v>29</v>
      </c>
      <c r="J2259" s="7">
        <v>1</v>
      </c>
      <c r="K2259" s="7" t="s">
        <v>19</v>
      </c>
      <c r="L2259" s="7" t="str">
        <f>VLOOKUP(Healthcare!$A2259,hospital_details,2,0)</f>
        <v>30-Oct-2003</v>
      </c>
      <c r="M2259" s="7">
        <f t="shared" ref="M2259:M2322" ca="1" si="13539">VLOOKUP(A2259,hospital_details,3,0)</f>
        <v>22</v>
      </c>
      <c r="N2259" s="7">
        <f t="shared" ref="N2259:N2322" si="13540">VLOOKUP($A2259,hospital_details,4,0)</f>
        <v>0</v>
      </c>
      <c r="O2259" s="8">
        <f t="shared" ref="O2259:O2322" si="13541">VLOOKUP($A2259,hospital_details,5,0)</f>
        <v>1261.44</v>
      </c>
      <c r="P2259" s="7" t="str">
        <f t="shared" ref="P2259:P2322" si="13542">VLOOKUP($A2259,hospital_details,6,0)</f>
        <v>tier - 2</v>
      </c>
      <c r="Q2259" s="7" t="str">
        <f t="shared" ref="Q2259:Q2322" si="13543">VLOOKUP($A2259,hospital_details,7,0)</f>
        <v>tier - 3</v>
      </c>
      <c r="R2259" s="7" t="str">
        <f t="shared" ref="R2259:R2322" si="13544">VLOOKUP($A2259,hospital_details,8,0)</f>
        <v>R1011</v>
      </c>
    </row>
    <row r="2260" spans="1:18" ht="14.4" customHeight="1" x14ac:dyDescent="0.3">
      <c r="A2260" s="5" t="s">
        <v>2280</v>
      </c>
      <c r="B2260" s="5" t="str">
        <f>VLOOKUP($A2260,[1]!Customer_Names[#Data],3,0)</f>
        <v xml:space="preserve">  Jeffrey M</v>
      </c>
      <c r="C2260" s="5">
        <v>30.4</v>
      </c>
      <c r="D2260" s="5" t="str" cm="1">
        <f t="array" ref="D2260">_xlfn.IFS(Healthcare!$C2260&lt;18.5,"under weight",Healthcare!$C2260&lt;=24.9,"Normal Weight",Healthcare!$C2260&gt;=25,"overweight",Healthcare!$C2260&gt;=30,"obese")</f>
        <v>overweight</v>
      </c>
      <c r="E2260" s="5">
        <v>4.7699999999999996</v>
      </c>
      <c r="F2260" s="5" t="str" cm="1">
        <f t="array" ref="F2260">_xlfn.IFS(Healthcare!$E2260&lt;5.7,"normal",Healthcare!$E2260&lt;=6.4,"prediabetes",Healthcare!$E2260&gt;=6.5,"diabetes")</f>
        <v>normal</v>
      </c>
      <c r="G2260" s="5" t="s">
        <v>19</v>
      </c>
      <c r="H2260" s="5" t="s">
        <v>19</v>
      </c>
      <c r="I2260" s="5" t="s">
        <v>29</v>
      </c>
      <c r="J2260" s="5">
        <v>1</v>
      </c>
      <c r="K2260" s="5" t="s">
        <v>19</v>
      </c>
      <c r="L2260" s="5" t="str">
        <f>VLOOKUP(Healthcare!$A2260,hospital_details,2,0)</f>
        <v>13-Oct-2003</v>
      </c>
      <c r="M2260" s="5">
        <f t="shared" ref="M2260:M2323" ca="1" si="13545">VLOOKUP(A2260,hospital_details,3,0)</f>
        <v>23</v>
      </c>
      <c r="N2260" s="5">
        <f t="shared" ref="N2260:N2323" si="13546">VLOOKUP($A2260,hospital_details,4,0)</f>
        <v>0</v>
      </c>
      <c r="O2260" s="6">
        <f t="shared" ref="O2260:O2323" si="13547">VLOOKUP($A2260,hospital_details,5,0)</f>
        <v>1256.3</v>
      </c>
      <c r="P2260" s="5" t="str">
        <f t="shared" ref="P2260:P2323" si="13548">VLOOKUP($A2260,hospital_details,6,0)</f>
        <v>tier - 2</v>
      </c>
      <c r="Q2260" s="5" t="str">
        <f t="shared" ref="Q2260:Q2323" si="13549">VLOOKUP($A2260,hospital_details,7,0)</f>
        <v>tier - 3</v>
      </c>
      <c r="R2260" s="5" t="str">
        <f t="shared" ref="R2260:R2323" si="13550">VLOOKUP($A2260,hospital_details,8,0)</f>
        <v>R1011</v>
      </c>
    </row>
    <row r="2261" spans="1:18" ht="14.4" customHeight="1" x14ac:dyDescent="0.3">
      <c r="A2261" s="7" t="s">
        <v>2281</v>
      </c>
      <c r="B2261" s="7" t="str">
        <f>VLOOKUP($A2261,[1]!Customer_Names[#Data],3,0)</f>
        <v xml:space="preserve">  Andrew</v>
      </c>
      <c r="C2261" s="7">
        <v>28.7</v>
      </c>
      <c r="D2261" s="7" t="str" cm="1">
        <f t="array" ref="D2261">_xlfn.IFS(Healthcare!$C2261&lt;18.5,"under weight",Healthcare!$C2261&lt;=24.9,"Normal Weight",Healthcare!$C2261&gt;=25,"overweight",Healthcare!$C2261&gt;=30,"obese")</f>
        <v>overweight</v>
      </c>
      <c r="E2261" s="7">
        <v>4.99</v>
      </c>
      <c r="F2261" s="7" t="str" cm="1">
        <f t="array" ref="F2261">_xlfn.IFS(Healthcare!$E2261&lt;5.7,"normal",Healthcare!$E2261&lt;=6.4,"prediabetes",Healthcare!$E2261&gt;=6.5,"diabetes")</f>
        <v>normal</v>
      </c>
      <c r="G2261" s="7" t="s">
        <v>19</v>
      </c>
      <c r="H2261" s="7" t="s">
        <v>19</v>
      </c>
      <c r="I2261" s="7" t="s">
        <v>29</v>
      </c>
      <c r="J2261" s="7">
        <v>1</v>
      </c>
      <c r="K2261" s="7" t="s">
        <v>19</v>
      </c>
      <c r="L2261" s="7" t="str">
        <f>VLOOKUP(Healthcare!$A2261,hospital_details,2,0)</f>
        <v>10-Dec-2003</v>
      </c>
      <c r="M2261" s="7">
        <f t="shared" ref="M2261:M2324" ca="1" si="13551">VLOOKUP(A2261,hospital_details,3,0)</f>
        <v>22</v>
      </c>
      <c r="N2261" s="7">
        <f t="shared" ref="N2261:N2324" si="13552">VLOOKUP($A2261,hospital_details,4,0)</f>
        <v>0</v>
      </c>
      <c r="O2261" s="8">
        <f t="shared" ref="O2261:O2324" si="13553">VLOOKUP($A2261,hospital_details,5,0)</f>
        <v>1253.94</v>
      </c>
      <c r="P2261" s="7" t="str">
        <f t="shared" ref="P2261:P2324" si="13554">VLOOKUP($A2261,hospital_details,6,0)</f>
        <v>tier - 2</v>
      </c>
      <c r="Q2261" s="7" t="str">
        <f t="shared" ref="Q2261:Q2324" si="13555">VLOOKUP($A2261,hospital_details,7,0)</f>
        <v>tier - 2</v>
      </c>
      <c r="R2261" s="7" t="str">
        <f t="shared" ref="R2261:R2324" si="13556">VLOOKUP($A2261,hospital_details,8,0)</f>
        <v>R1011</v>
      </c>
    </row>
    <row r="2262" spans="1:18" ht="14.4" customHeight="1" x14ac:dyDescent="0.3">
      <c r="A2262" s="5" t="s">
        <v>2282</v>
      </c>
      <c r="B2262" s="5" t="str">
        <f>VLOOKUP($A2262,[1]!Customer_Names[#Data],3,0)</f>
        <v xml:space="preserve">  Julia</v>
      </c>
      <c r="C2262" s="5">
        <v>17.440000000000001</v>
      </c>
      <c r="D2262" s="5" t="str" cm="1">
        <f t="array" ref="D2262">_xlfn.IFS(Healthcare!$C2262&lt;18.5,"under weight",Healthcare!$C2262&lt;=24.9,"Normal Weight",Healthcare!$C2262&gt;=25,"overweight",Healthcare!$C2262&gt;=30,"obese")</f>
        <v>under weight</v>
      </c>
      <c r="E2262" s="5">
        <v>4.42</v>
      </c>
      <c r="F2262" s="5" t="str" cm="1">
        <f t="array" ref="F2262">_xlfn.IFS(Healthcare!$E2262&lt;5.7,"normal",Healthcare!$E2262&lt;=6.4,"prediabetes",Healthcare!$E2262&gt;=6.5,"diabetes")</f>
        <v>normal</v>
      </c>
      <c r="G2262" s="5" t="s">
        <v>20</v>
      </c>
      <c r="H2262" s="5" t="s">
        <v>19</v>
      </c>
      <c r="I2262" s="5" t="s">
        <v>29</v>
      </c>
      <c r="J2262" s="5">
        <v>1</v>
      </c>
      <c r="K2262" s="5" t="s">
        <v>19</v>
      </c>
      <c r="L2262" s="5" t="str">
        <f>VLOOKUP(Healthcare!$A2262,hospital_details,2,0)</f>
        <v>4-Nov-1997</v>
      </c>
      <c r="M2262" s="5">
        <f t="shared" ref="M2262:M2325" ca="1" si="13557">VLOOKUP(A2262,hospital_details,3,0)</f>
        <v>28</v>
      </c>
      <c r="N2262" s="5">
        <f t="shared" ref="N2262:N2325" si="13558">VLOOKUP($A2262,hospital_details,4,0)</f>
        <v>0</v>
      </c>
      <c r="O2262" s="6">
        <f t="shared" ref="O2262:O2325" si="13559">VLOOKUP($A2262,hospital_details,5,0)</f>
        <v>1253</v>
      </c>
      <c r="P2262" s="5" t="str">
        <f t="shared" ref="P2262:P2325" si="13560">VLOOKUP($A2262,hospital_details,6,0)</f>
        <v>tier - 2</v>
      </c>
      <c r="Q2262" s="5" t="str">
        <f t="shared" ref="Q2262:Q2325" si="13561">VLOOKUP($A2262,hospital_details,7,0)</f>
        <v>tier - 2</v>
      </c>
      <c r="R2262" s="5" t="str">
        <f t="shared" ref="R2262:R2325" si="13562">VLOOKUP($A2262,hospital_details,8,0)</f>
        <v>R1013</v>
      </c>
    </row>
    <row r="2263" spans="1:18" ht="14.4" customHeight="1" x14ac:dyDescent="0.3">
      <c r="A2263" s="7" t="s">
        <v>2283</v>
      </c>
      <c r="B2263" s="7" t="str">
        <f>VLOOKUP($A2263,[1]!Customer_Names[#Data],3,0)</f>
        <v xml:space="preserve">  Daniel</v>
      </c>
      <c r="C2263" s="7">
        <v>27.6</v>
      </c>
      <c r="D2263" s="7" t="str" cm="1">
        <f t="array" ref="D2263">_xlfn.IFS(Healthcare!$C2263&lt;18.5,"under weight",Healthcare!$C2263&lt;=24.9,"Normal Weight",Healthcare!$C2263&gt;=25,"overweight",Healthcare!$C2263&gt;=30,"obese")</f>
        <v>overweight</v>
      </c>
      <c r="E2263" s="7">
        <v>4.01</v>
      </c>
      <c r="F2263" s="7" t="str" cm="1">
        <f t="array" ref="F2263">_xlfn.IFS(Healthcare!$E2263&lt;5.7,"normal",Healthcare!$E2263&lt;=6.4,"prediabetes",Healthcare!$E2263&gt;=6.5,"diabetes")</f>
        <v>normal</v>
      </c>
      <c r="G2263" s="7" t="s">
        <v>19</v>
      </c>
      <c r="H2263" s="7" t="s">
        <v>19</v>
      </c>
      <c r="I2263" s="7" t="s">
        <v>29</v>
      </c>
      <c r="J2263" s="7">
        <v>1</v>
      </c>
      <c r="K2263" s="7" t="s">
        <v>19</v>
      </c>
      <c r="L2263" s="7" t="str">
        <f>VLOOKUP(Healthcare!$A2263,hospital_details,2,0)</f>
        <v>15-Sep-2003</v>
      </c>
      <c r="M2263" s="7">
        <f t="shared" ref="M2263:M2326" ca="1" si="13563">VLOOKUP(A2263,hospital_details,3,0)</f>
        <v>23</v>
      </c>
      <c r="N2263" s="7">
        <f t="shared" ref="N2263:N2326" si="13564">VLOOKUP($A2263,hospital_details,4,0)</f>
        <v>0</v>
      </c>
      <c r="O2263" s="8">
        <f t="shared" ref="O2263:O2326" si="13565">VLOOKUP($A2263,hospital_details,5,0)</f>
        <v>1252.4100000000001</v>
      </c>
      <c r="P2263" s="7" t="str">
        <f t="shared" ref="P2263:P2326" si="13566">VLOOKUP($A2263,hospital_details,6,0)</f>
        <v>tier - 2</v>
      </c>
      <c r="Q2263" s="7" t="str">
        <f t="shared" ref="Q2263:Q2326" si="13567">VLOOKUP($A2263,hospital_details,7,0)</f>
        <v>tier - 3</v>
      </c>
      <c r="R2263" s="7" t="str">
        <f t="shared" ref="R2263:R2326" si="13568">VLOOKUP($A2263,hospital_details,8,0)</f>
        <v>R1011</v>
      </c>
    </row>
    <row r="2264" spans="1:18" ht="14.4" customHeight="1" x14ac:dyDescent="0.3">
      <c r="A2264" s="5" t="s">
        <v>2284</v>
      </c>
      <c r="B2264" s="5" t="str">
        <f>VLOOKUP($A2264,[1]!Customer_Names[#Data],3,0)</f>
        <v xml:space="preserve">  Jaime</v>
      </c>
      <c r="C2264" s="5">
        <v>20.7</v>
      </c>
      <c r="D2264" s="5" t="str" cm="1">
        <f t="array" ref="D2264">_xlfn.IFS(Healthcare!$C2264&lt;18.5,"under weight",Healthcare!$C2264&lt;=24.9,"Normal Weight",Healthcare!$C2264&gt;=25,"overweight",Healthcare!$C2264&gt;=30,"obese")</f>
        <v>Normal Weight</v>
      </c>
      <c r="E2264" s="5">
        <v>4.49</v>
      </c>
      <c r="F2264" s="5" t="str" cm="1">
        <f t="array" ref="F2264">_xlfn.IFS(Healthcare!$E2264&lt;5.7,"normal",Healthcare!$E2264&lt;=6.4,"prediabetes",Healthcare!$E2264&gt;=6.5,"diabetes")</f>
        <v>normal</v>
      </c>
      <c r="G2264" s="5" t="s">
        <v>19</v>
      </c>
      <c r="H2264" s="5" t="s">
        <v>19</v>
      </c>
      <c r="I2264" s="5" t="s">
        <v>29</v>
      </c>
      <c r="J2264" s="5">
        <v>1</v>
      </c>
      <c r="K2264" s="5" t="s">
        <v>19</v>
      </c>
      <c r="L2264" s="5" t="str">
        <f>VLOOKUP(Healthcare!$A2264,hospital_details,2,0)</f>
        <v>8-Sep-2003</v>
      </c>
      <c r="M2264" s="5">
        <f t="shared" ref="M2264:M2327" ca="1" si="13569">VLOOKUP(A2264,hospital_details,3,0)</f>
        <v>23</v>
      </c>
      <c r="N2264" s="5">
        <f t="shared" ref="N2264:N2327" si="13570">VLOOKUP($A2264,hospital_details,4,0)</f>
        <v>0</v>
      </c>
      <c r="O2264" s="6">
        <f t="shared" ref="O2264:O2327" si="13571">VLOOKUP($A2264,hospital_details,5,0)</f>
        <v>1242.82</v>
      </c>
      <c r="P2264" s="5" t="str">
        <f t="shared" ref="P2264:P2327" si="13572">VLOOKUP($A2264,hospital_details,6,0)</f>
        <v>tier - 2</v>
      </c>
      <c r="Q2264" s="5" t="str">
        <f t="shared" ref="Q2264:Q2327" si="13573">VLOOKUP($A2264,hospital_details,7,0)</f>
        <v>tier - 1</v>
      </c>
      <c r="R2264" s="5" t="str">
        <f t="shared" ref="R2264:R2327" si="13574">VLOOKUP($A2264,hospital_details,8,0)</f>
        <v>R1011</v>
      </c>
    </row>
    <row r="2265" spans="1:18" ht="14.4" customHeight="1" x14ac:dyDescent="0.3">
      <c r="A2265" s="7" t="s">
        <v>2285</v>
      </c>
      <c r="B2265" s="7" t="str">
        <f>VLOOKUP($A2265,[1]!Customer_Names[#Data],3,0)</f>
        <v xml:space="preserve">  Mohd Syahidan</v>
      </c>
      <c r="C2265" s="7">
        <v>20.3</v>
      </c>
      <c r="D2265" s="7" t="str" cm="1">
        <f t="array" ref="D2265">_xlfn.IFS(Healthcare!$C2265&lt;18.5,"under weight",Healthcare!$C2265&lt;=24.9,"Normal Weight",Healthcare!$C2265&gt;=25,"overweight",Healthcare!$C2265&gt;=30,"obese")</f>
        <v>Normal Weight</v>
      </c>
      <c r="E2265" s="7">
        <v>6.37</v>
      </c>
      <c r="F2265" s="7" t="str" cm="1">
        <f t="array" ref="F2265">_xlfn.IFS(Healthcare!$E2265&lt;5.7,"normal",Healthcare!$E2265&lt;=6.4,"prediabetes",Healthcare!$E2265&gt;=6.5,"diabetes")</f>
        <v>prediabetes</v>
      </c>
      <c r="G2265" s="7" t="s">
        <v>19</v>
      </c>
      <c r="H2265" s="7" t="s">
        <v>19</v>
      </c>
      <c r="I2265" s="7" t="s">
        <v>29</v>
      </c>
      <c r="J2265" s="7">
        <v>1</v>
      </c>
      <c r="K2265" s="7" t="s">
        <v>19</v>
      </c>
      <c r="L2265" s="7" t="str">
        <f>VLOOKUP(Healthcare!$A2265,hospital_details,2,0)</f>
        <v>15-Sep-2003</v>
      </c>
      <c r="M2265" s="7">
        <f t="shared" ref="M2265:M2328" ca="1" si="13575">VLOOKUP(A2265,hospital_details,3,0)</f>
        <v>23</v>
      </c>
      <c r="N2265" s="7">
        <f t="shared" ref="N2265:N2328" si="13576">VLOOKUP($A2265,hospital_details,4,0)</f>
        <v>0</v>
      </c>
      <c r="O2265" s="8">
        <f t="shared" ref="O2265:O2328" si="13577">VLOOKUP($A2265,hospital_details,5,0)</f>
        <v>1242.26</v>
      </c>
      <c r="P2265" s="7" t="str">
        <f t="shared" ref="P2265:P2328" si="13578">VLOOKUP($A2265,hospital_details,6,0)</f>
        <v>tier - 2</v>
      </c>
      <c r="Q2265" s="7" t="str">
        <f t="shared" ref="Q2265:Q2328" si="13579">VLOOKUP($A2265,hospital_details,7,0)</f>
        <v>tier - 1</v>
      </c>
      <c r="R2265" s="7" t="str">
        <f t="shared" ref="R2265:R2328" si="13580">VLOOKUP($A2265,hospital_details,8,0)</f>
        <v>R1011</v>
      </c>
    </row>
    <row r="2266" spans="1:18" ht="14.4" customHeight="1" x14ac:dyDescent="0.3">
      <c r="A2266" s="5" t="s">
        <v>2286</v>
      </c>
      <c r="B2266" s="5" t="str">
        <f>VLOOKUP($A2266,[1]!Customer_Names[#Data],3,0)</f>
        <v xml:space="preserve">  Matthew</v>
      </c>
      <c r="C2266" s="5">
        <v>19.8</v>
      </c>
      <c r="D2266" s="5" t="str" cm="1">
        <f t="array" ref="D2266">_xlfn.IFS(Healthcare!$C2266&lt;18.5,"under weight",Healthcare!$C2266&lt;=24.9,"Normal Weight",Healthcare!$C2266&gt;=25,"overweight",Healthcare!$C2266&gt;=30,"obese")</f>
        <v>Normal Weight</v>
      </c>
      <c r="E2266" s="5">
        <v>5.12</v>
      </c>
      <c r="F2266" s="5" t="str" cm="1">
        <f t="array" ref="F2266">_xlfn.IFS(Healthcare!$E2266&lt;5.7,"normal",Healthcare!$E2266&lt;=6.4,"prediabetes",Healthcare!$E2266&gt;=6.5,"diabetes")</f>
        <v>normal</v>
      </c>
      <c r="G2266" s="5" t="s">
        <v>19</v>
      </c>
      <c r="H2266" s="5" t="s">
        <v>19</v>
      </c>
      <c r="I2266" s="5" t="s">
        <v>29</v>
      </c>
      <c r="J2266" s="5">
        <v>1</v>
      </c>
      <c r="K2266" s="5" t="s">
        <v>19</v>
      </c>
      <c r="L2266" s="5" t="str">
        <f>VLOOKUP(Healthcare!$A2266,hospital_details,2,0)</f>
        <v>2-Aug-2003</v>
      </c>
      <c r="M2266" s="5">
        <f t="shared" ref="M2266:M2329" ca="1" si="13581">VLOOKUP(A2266,hospital_details,3,0)</f>
        <v>23</v>
      </c>
      <c r="N2266" s="5">
        <f t="shared" ref="N2266:N2329" si="13582">VLOOKUP($A2266,hospital_details,4,0)</f>
        <v>0</v>
      </c>
      <c r="O2266" s="6">
        <f t="shared" ref="O2266:O2329" si="13583">VLOOKUP($A2266,hospital_details,5,0)</f>
        <v>1241.57</v>
      </c>
      <c r="P2266" s="5" t="str">
        <f t="shared" ref="P2266:P2329" si="13584">VLOOKUP($A2266,hospital_details,6,0)</f>
        <v>tier - 2</v>
      </c>
      <c r="Q2266" s="5" t="str">
        <f t="shared" ref="Q2266:Q2329" si="13585">VLOOKUP($A2266,hospital_details,7,0)</f>
        <v>tier - 2</v>
      </c>
      <c r="R2266" s="5" t="str">
        <f t="shared" ref="R2266:R2329" si="13586">VLOOKUP($A2266,hospital_details,8,0)</f>
        <v>R1011</v>
      </c>
    </row>
    <row r="2267" spans="1:18" ht="14.4" customHeight="1" x14ac:dyDescent="0.3">
      <c r="A2267" s="7" t="s">
        <v>2287</v>
      </c>
      <c r="B2267" s="7" t="str">
        <f>VLOOKUP($A2267,[1]!Customer_Names[#Data],3,0)</f>
        <v xml:space="preserve">  Elizabeth S</v>
      </c>
      <c r="C2267" s="7">
        <v>21.87</v>
      </c>
      <c r="D2267" s="7" t="str" cm="1">
        <f t="array" ref="D2267">_xlfn.IFS(Healthcare!$C2267&lt;18.5,"under weight",Healthcare!$C2267&lt;=24.9,"Normal Weight",Healthcare!$C2267&gt;=25,"overweight",Healthcare!$C2267&gt;=30,"obese")</f>
        <v>Normal Weight</v>
      </c>
      <c r="E2267" s="7">
        <v>8.59</v>
      </c>
      <c r="F2267" s="7" t="str" cm="1">
        <f t="array" ref="F2267">_xlfn.IFS(Healthcare!$E2267&lt;5.7,"normal",Healthcare!$E2267&lt;=6.4,"prediabetes",Healthcare!$E2267&gt;=6.5,"diabetes")</f>
        <v>diabetes</v>
      </c>
      <c r="G2267" s="7" t="s">
        <v>19</v>
      </c>
      <c r="H2267" s="7" t="s">
        <v>19</v>
      </c>
      <c r="I2267" s="7" t="s">
        <v>19</v>
      </c>
      <c r="J2267" s="7">
        <v>0</v>
      </c>
      <c r="K2267" s="7" t="s">
        <v>19</v>
      </c>
      <c r="L2267" s="7" t="str">
        <f>VLOOKUP(Healthcare!$A2267,hospital_details,2,0)</f>
        <v>1-Jul-2002</v>
      </c>
      <c r="M2267" s="7">
        <f t="shared" ref="M2267:M2330" ca="1" si="13587">VLOOKUP(A2267,hospital_details,3,0)</f>
        <v>24</v>
      </c>
      <c r="N2267" s="7">
        <f t="shared" ref="N2267:N2330" si="13588">VLOOKUP($A2267,hospital_details,4,0)</f>
        <v>0</v>
      </c>
      <c r="O2267" s="8">
        <f t="shared" ref="O2267:O2330" si="13589">VLOOKUP($A2267,hospital_details,5,0)</f>
        <v>1241</v>
      </c>
      <c r="P2267" s="7" t="str">
        <f t="shared" ref="P2267:P2330" si="13590">VLOOKUP($A2267,hospital_details,6,0)</f>
        <v>tier - 2</v>
      </c>
      <c r="Q2267" s="7" t="str">
        <f t="shared" ref="Q2267:Q2330" si="13591">VLOOKUP($A2267,hospital_details,7,0)</f>
        <v>tier - 2</v>
      </c>
      <c r="R2267" s="7" t="str">
        <f t="shared" ref="R2267:R2330" si="13592">VLOOKUP($A2267,hospital_details,8,0)</f>
        <v>R1013</v>
      </c>
    </row>
    <row r="2268" spans="1:18" ht="14.4" customHeight="1" x14ac:dyDescent="0.3">
      <c r="A2268" s="5" t="s">
        <v>2288</v>
      </c>
      <c r="B2268" s="5" t="str">
        <f>VLOOKUP($A2268,[1]!Customer_Names[#Data],3,0)</f>
        <v xml:space="preserve">  Katie</v>
      </c>
      <c r="C2268" s="5">
        <v>16.600000000000001</v>
      </c>
      <c r="D2268" s="5" t="str" cm="1">
        <f t="array" ref="D2268">_xlfn.IFS(Healthcare!$C2268&lt;18.5,"under weight",Healthcare!$C2268&lt;=24.9,"Normal Weight",Healthcare!$C2268&gt;=25,"overweight",Healthcare!$C2268&gt;=30,"obese")</f>
        <v>under weight</v>
      </c>
      <c r="E2268" s="5">
        <v>5.87</v>
      </c>
      <c r="F2268" s="5" t="str" cm="1">
        <f t="array" ref="F2268">_xlfn.IFS(Healthcare!$E2268&lt;5.7,"normal",Healthcare!$E2268&lt;=6.4,"prediabetes",Healthcare!$E2268&gt;=6.5,"diabetes")</f>
        <v>prediabetes</v>
      </c>
      <c r="G2268" s="5" t="s">
        <v>19</v>
      </c>
      <c r="H2268" s="5" t="s">
        <v>19</v>
      </c>
      <c r="I2268" s="5" t="s">
        <v>19</v>
      </c>
      <c r="J2268" s="5">
        <v>1</v>
      </c>
      <c r="K2268" s="5" t="s">
        <v>19</v>
      </c>
      <c r="L2268" s="5" t="str">
        <f>VLOOKUP(Healthcare!$A2268,hospital_details,2,0)</f>
        <v>11-Oct-1998</v>
      </c>
      <c r="M2268" s="5">
        <f t="shared" ref="M2268:M2331" ca="1" si="13593">VLOOKUP(A2268,hospital_details,3,0)</f>
        <v>28</v>
      </c>
      <c r="N2268" s="5">
        <f t="shared" ref="N2268:N2331" si="13594">VLOOKUP($A2268,hospital_details,4,0)</f>
        <v>0</v>
      </c>
      <c r="O2268" s="6">
        <f t="shared" ref="O2268:O2331" si="13595">VLOOKUP($A2268,hospital_details,5,0)</f>
        <v>1240</v>
      </c>
      <c r="P2268" s="5" t="str">
        <f t="shared" ref="P2268:P2331" si="13596">VLOOKUP($A2268,hospital_details,6,0)</f>
        <v>tier - 2</v>
      </c>
      <c r="Q2268" s="5" t="str">
        <f t="shared" ref="Q2268:Q2331" si="13597">VLOOKUP($A2268,hospital_details,7,0)</f>
        <v>tier - 1</v>
      </c>
      <c r="R2268" s="5" t="str">
        <f t="shared" ref="R2268:R2331" si="13598">VLOOKUP($A2268,hospital_details,8,0)</f>
        <v>R1012</v>
      </c>
    </row>
    <row r="2269" spans="1:18" ht="14.4" customHeight="1" x14ac:dyDescent="0.3">
      <c r="A2269" s="7" t="s">
        <v>2289</v>
      </c>
      <c r="B2269" s="7" t="str">
        <f>VLOOKUP($A2269,[1]!Customer_Names[#Data],3,0)</f>
        <v xml:space="preserve">  Christi A</v>
      </c>
      <c r="C2269" s="7">
        <v>21.98</v>
      </c>
      <c r="D2269" s="7" t="str" cm="1">
        <f t="array" ref="D2269">_xlfn.IFS(Healthcare!$C2269&lt;18.5,"under weight",Healthcare!$C2269&lt;=24.9,"Normal Weight",Healthcare!$C2269&gt;=25,"overweight",Healthcare!$C2269&gt;=30,"obese")</f>
        <v>Normal Weight</v>
      </c>
      <c r="E2269" s="7">
        <v>7.03</v>
      </c>
      <c r="F2269" s="7" t="str" cm="1">
        <f t="array" ref="F2269">_xlfn.IFS(Healthcare!$E2269&lt;5.7,"normal",Healthcare!$E2269&lt;=6.4,"prediabetes",Healthcare!$E2269&gt;=6.5,"diabetes")</f>
        <v>diabetes</v>
      </c>
      <c r="G2269" s="7" t="s">
        <v>19</v>
      </c>
      <c r="H2269" s="7" t="s">
        <v>19</v>
      </c>
      <c r="I2269" s="7" t="s">
        <v>19</v>
      </c>
      <c r="J2269" s="7">
        <v>0</v>
      </c>
      <c r="K2269" s="7" t="s">
        <v>19</v>
      </c>
      <c r="L2269" s="7" t="str">
        <f>VLOOKUP(Healthcare!$A2269,hospital_details,2,0)</f>
        <v>12-Dec-2002</v>
      </c>
      <c r="M2269" s="7">
        <f t="shared" ref="M2269:M2332" ca="1" si="13599">VLOOKUP(A2269,hospital_details,3,0)</f>
        <v>23</v>
      </c>
      <c r="N2269" s="7">
        <f t="shared" ref="N2269:N2332" si="13600">VLOOKUP($A2269,hospital_details,4,0)</f>
        <v>0</v>
      </c>
      <c r="O2269" s="8">
        <f t="shared" ref="O2269:O2332" si="13601">VLOOKUP($A2269,hospital_details,5,0)</f>
        <v>1237</v>
      </c>
      <c r="P2269" s="7" t="str">
        <f t="shared" ref="P2269:P2332" si="13602">VLOOKUP($A2269,hospital_details,6,0)</f>
        <v>tier - 2</v>
      </c>
      <c r="Q2269" s="7" t="str">
        <f t="shared" ref="Q2269:Q2332" si="13603">VLOOKUP($A2269,hospital_details,7,0)</f>
        <v>tier - 2</v>
      </c>
      <c r="R2269" s="7" t="str">
        <f t="shared" ref="R2269:R2332" si="13604">VLOOKUP($A2269,hospital_details,8,0)</f>
        <v>R1013</v>
      </c>
    </row>
    <row r="2270" spans="1:18" ht="14.4" customHeight="1" x14ac:dyDescent="0.3">
      <c r="A2270" s="5" t="s">
        <v>2290</v>
      </c>
      <c r="B2270" s="5" t="str">
        <f>VLOOKUP($A2270,[1]!Customer_Names[#Data],3,0)</f>
        <v xml:space="preserve">  Sandra K</v>
      </c>
      <c r="C2270" s="5">
        <v>19.7</v>
      </c>
      <c r="D2270" s="5" t="str" cm="1">
        <f t="array" ref="D2270">_xlfn.IFS(Healthcare!$C2270&lt;18.5,"under weight",Healthcare!$C2270&lt;=24.9,"Normal Weight",Healthcare!$C2270&gt;=25,"overweight",Healthcare!$C2270&gt;=30,"obese")</f>
        <v>Normal Weight</v>
      </c>
      <c r="E2270" s="5">
        <v>5.51</v>
      </c>
      <c r="F2270" s="5" t="str" cm="1">
        <f t="array" ref="F2270">_xlfn.IFS(Healthcare!$E2270&lt;5.7,"normal",Healthcare!$E2270&lt;=6.4,"prediabetes",Healthcare!$E2270&gt;=6.5,"diabetes")</f>
        <v>normal</v>
      </c>
      <c r="G2270" s="5" t="s">
        <v>19</v>
      </c>
      <c r="H2270" s="5" t="s">
        <v>19</v>
      </c>
      <c r="I2270" s="5" t="s">
        <v>19</v>
      </c>
      <c r="J2270" s="5">
        <v>1</v>
      </c>
      <c r="K2270" s="5" t="s">
        <v>19</v>
      </c>
      <c r="L2270" s="5" t="str">
        <f>VLOOKUP(Healthcare!$A2270,hospital_details,2,0)</f>
        <v>13-Jul-1998</v>
      </c>
      <c r="M2270" s="5">
        <f t="shared" ref="M2270:M2333" ca="1" si="13605">VLOOKUP(A2270,hospital_details,3,0)</f>
        <v>28</v>
      </c>
      <c r="N2270" s="5">
        <f t="shared" ref="N2270:N2333" si="13606">VLOOKUP($A2270,hospital_details,4,0)</f>
        <v>0</v>
      </c>
      <c r="O2270" s="6">
        <f t="shared" ref="O2270:O2333" si="13607">VLOOKUP($A2270,hospital_details,5,0)</f>
        <v>1234</v>
      </c>
      <c r="P2270" s="5" t="str">
        <f t="shared" ref="P2270:P2333" si="13608">VLOOKUP($A2270,hospital_details,6,0)</f>
        <v>tier - 2</v>
      </c>
      <c r="Q2270" s="5" t="str">
        <f t="shared" ref="Q2270:Q2333" si="13609">VLOOKUP($A2270,hospital_details,7,0)</f>
        <v>tier - 1</v>
      </c>
      <c r="R2270" s="5" t="str">
        <f t="shared" ref="R2270:R2333" si="13610">VLOOKUP($A2270,hospital_details,8,0)</f>
        <v>R1013</v>
      </c>
    </row>
    <row r="2271" spans="1:18" ht="14.4" customHeight="1" x14ac:dyDescent="0.3">
      <c r="A2271" s="7" t="s">
        <v>2291</v>
      </c>
      <c r="B2271" s="7" t="str">
        <f>VLOOKUP($A2271,[1]!Customer_Names[#Data],3,0)</f>
        <v xml:space="preserve">  Katharine</v>
      </c>
      <c r="C2271" s="7">
        <v>19.21</v>
      </c>
      <c r="D2271" s="7" t="str" cm="1">
        <f t="array" ref="D2271">_xlfn.IFS(Healthcare!$C2271&lt;18.5,"under weight",Healthcare!$C2271&lt;=24.9,"Normal Weight",Healthcare!$C2271&gt;=25,"overweight",Healthcare!$C2271&gt;=30,"obese")</f>
        <v>Normal Weight</v>
      </c>
      <c r="E2271" s="7">
        <v>4.76</v>
      </c>
      <c r="F2271" s="7" t="str" cm="1">
        <f t="array" ref="F2271">_xlfn.IFS(Healthcare!$E2271&lt;5.7,"normal",Healthcare!$E2271&lt;=6.4,"prediabetes",Healthcare!$E2271&gt;=6.5,"diabetes")</f>
        <v>normal</v>
      </c>
      <c r="G2271" s="7" t="s">
        <v>19</v>
      </c>
      <c r="H2271" s="7" t="s">
        <v>20</v>
      </c>
      <c r="I2271" s="7" t="s">
        <v>19</v>
      </c>
      <c r="J2271" s="7">
        <v>1</v>
      </c>
      <c r="K2271" s="7" t="s">
        <v>19</v>
      </c>
      <c r="L2271" s="7" t="str">
        <f>VLOOKUP(Healthcare!$A2271,hospital_details,2,0)</f>
        <v>16-Oct-2004</v>
      </c>
      <c r="M2271" s="7">
        <f t="shared" ref="M2271:M2334" ca="1" si="13611">VLOOKUP(A2271,hospital_details,3,0)</f>
        <v>22</v>
      </c>
      <c r="N2271" s="7">
        <f t="shared" ref="N2271:N2334" si="13612">VLOOKUP($A2271,hospital_details,4,0)</f>
        <v>0</v>
      </c>
      <c r="O2271" s="8">
        <f t="shared" ref="O2271:O2334" si="13613">VLOOKUP($A2271,hospital_details,5,0)</f>
        <v>1228</v>
      </c>
      <c r="P2271" s="7" t="str">
        <f t="shared" ref="P2271:P2334" si="13614">VLOOKUP($A2271,hospital_details,6,0)</f>
        <v>tier - 2</v>
      </c>
      <c r="Q2271" s="7" t="str">
        <f t="shared" ref="Q2271:Q2334" si="13615">VLOOKUP($A2271,hospital_details,7,0)</f>
        <v>tier - 1</v>
      </c>
      <c r="R2271" s="7" t="str">
        <f t="shared" ref="R2271:R2334" si="13616">VLOOKUP($A2271,hospital_details,8,0)</f>
        <v>R1012</v>
      </c>
    </row>
    <row r="2272" spans="1:18" ht="14.4" customHeight="1" x14ac:dyDescent="0.3">
      <c r="A2272" s="5" t="s">
        <v>2292</v>
      </c>
      <c r="B2272" s="5" t="str">
        <f>VLOOKUP($A2272,[1]!Customer_Names[#Data],3,0)</f>
        <v xml:space="preserve">  Jerome</v>
      </c>
      <c r="C2272" s="5">
        <v>19.3</v>
      </c>
      <c r="D2272" s="5" t="str" cm="1">
        <f t="array" ref="D2272">_xlfn.IFS(Healthcare!$C2272&lt;18.5,"under weight",Healthcare!$C2272&lt;=24.9,"Normal Weight",Healthcare!$C2272&gt;=25,"overweight",Healthcare!$C2272&gt;=30,"obese")</f>
        <v>Normal Weight</v>
      </c>
      <c r="E2272" s="5">
        <v>4.7</v>
      </c>
      <c r="F2272" s="5" t="str" cm="1">
        <f t="array" ref="F2272">_xlfn.IFS(Healthcare!$E2272&lt;5.7,"normal",Healthcare!$E2272&lt;=6.4,"prediabetes",Healthcare!$E2272&gt;=6.5,"diabetes")</f>
        <v>normal</v>
      </c>
      <c r="G2272" s="5" t="s">
        <v>19</v>
      </c>
      <c r="H2272" s="5" t="s">
        <v>20</v>
      </c>
      <c r="I2272" s="5" t="s">
        <v>19</v>
      </c>
      <c r="J2272" s="5">
        <v>1</v>
      </c>
      <c r="K2272" s="5" t="s">
        <v>19</v>
      </c>
      <c r="L2272" s="5" t="str">
        <f>VLOOKUP(Healthcare!$A2272,hospital_details,2,0)</f>
        <v>9-Jul-2004</v>
      </c>
      <c r="M2272" s="5">
        <f t="shared" ref="M2272:M2335" ca="1" si="13617">VLOOKUP(A2272,hospital_details,3,0)</f>
        <v>22</v>
      </c>
      <c r="N2272" s="5">
        <f t="shared" ref="N2272:N2335" si="13618">VLOOKUP($A2272,hospital_details,4,0)</f>
        <v>0</v>
      </c>
      <c r="O2272" s="6">
        <f t="shared" ref="O2272:O2335" si="13619">VLOOKUP($A2272,hospital_details,5,0)</f>
        <v>1224</v>
      </c>
      <c r="P2272" s="5" t="str">
        <f t="shared" ref="P2272:P2335" si="13620">VLOOKUP($A2272,hospital_details,6,0)</f>
        <v>tier - 2</v>
      </c>
      <c r="Q2272" s="5" t="str">
        <f t="shared" ref="Q2272:Q2335" si="13621">VLOOKUP($A2272,hospital_details,7,0)</f>
        <v>tier - 1</v>
      </c>
      <c r="R2272" s="5" t="str">
        <f t="shared" ref="R2272:R2335" si="13622">VLOOKUP($A2272,hospital_details,8,0)</f>
        <v>R1013</v>
      </c>
    </row>
    <row r="2273" spans="1:18" ht="14.4" customHeight="1" x14ac:dyDescent="0.3">
      <c r="A2273" s="7" t="s">
        <v>2293</v>
      </c>
      <c r="B2273" s="7" t="str">
        <f>VLOOKUP($A2273,[1]!Customer_Names[#Data],3,0)</f>
        <v xml:space="preserve">  Julia R</v>
      </c>
      <c r="C2273" s="7">
        <v>16.22</v>
      </c>
      <c r="D2273" s="7" t="str" cm="1">
        <f t="array" ref="D2273">_xlfn.IFS(Healthcare!$C2273&lt;18.5,"under weight",Healthcare!$C2273&lt;=24.9,"Normal Weight",Healthcare!$C2273&gt;=25,"overweight",Healthcare!$C2273&gt;=30,"obese")</f>
        <v>under weight</v>
      </c>
      <c r="E2273" s="7">
        <v>6.21</v>
      </c>
      <c r="F2273" s="7" t="str" cm="1">
        <f t="array" ref="F2273">_xlfn.IFS(Healthcare!$E2273&lt;5.7,"normal",Healthcare!$E2273&lt;=6.4,"prediabetes",Healthcare!$E2273&gt;=6.5,"diabetes")</f>
        <v>prediabetes</v>
      </c>
      <c r="G2273" s="7" t="s">
        <v>20</v>
      </c>
      <c r="H2273" s="7" t="s">
        <v>19</v>
      </c>
      <c r="I2273" s="7" t="s">
        <v>19</v>
      </c>
      <c r="J2273" s="7">
        <v>0</v>
      </c>
      <c r="K2273" s="7" t="s">
        <v>19</v>
      </c>
      <c r="L2273" s="7" t="str">
        <f>VLOOKUP(Healthcare!$A2273,hospital_details,2,0)</f>
        <v>4-Nov-1996</v>
      </c>
      <c r="M2273" s="7">
        <f t="shared" ref="M2273:M2336" ca="1" si="13623">VLOOKUP(A2273,hospital_details,3,0)</f>
        <v>29</v>
      </c>
      <c r="N2273" s="7">
        <f t="shared" ref="N2273:N2336" si="13624">VLOOKUP($A2273,hospital_details,4,0)</f>
        <v>0</v>
      </c>
      <c r="O2273" s="8">
        <f t="shared" ref="O2273:O2336" si="13625">VLOOKUP($A2273,hospital_details,5,0)</f>
        <v>1220</v>
      </c>
      <c r="P2273" s="7" t="str">
        <f t="shared" ref="P2273:P2336" si="13626">VLOOKUP($A2273,hospital_details,6,0)</f>
        <v>tier - 2</v>
      </c>
      <c r="Q2273" s="7" t="str">
        <f t="shared" ref="Q2273:Q2336" si="13627">VLOOKUP($A2273,hospital_details,7,0)</f>
        <v>tier - 3</v>
      </c>
      <c r="R2273" s="7" t="str">
        <f t="shared" ref="R2273:R2336" si="13628">VLOOKUP($A2273,hospital_details,8,0)</f>
        <v>R1012</v>
      </c>
    </row>
    <row r="2274" spans="1:18" ht="14.4" customHeight="1" x14ac:dyDescent="0.3">
      <c r="A2274" s="5" t="s">
        <v>2294</v>
      </c>
      <c r="B2274" s="5" t="str">
        <f>VLOOKUP($A2274,[1]!Customer_Names[#Data],3,0)</f>
        <v xml:space="preserve">  Sean Henry</v>
      </c>
      <c r="C2274" s="5">
        <v>17.12</v>
      </c>
      <c r="D2274" s="5" t="str" cm="1">
        <f t="array" ref="D2274">_xlfn.IFS(Healthcare!$C2274&lt;18.5,"under weight",Healthcare!$C2274&lt;=24.9,"Normal Weight",Healthcare!$C2274&gt;=25,"overweight",Healthcare!$C2274&gt;=30,"obese")</f>
        <v>under weight</v>
      </c>
      <c r="E2274" s="5">
        <v>4.5199999999999996</v>
      </c>
      <c r="F2274" s="5" t="str" cm="1">
        <f t="array" ref="F2274">_xlfn.IFS(Healthcare!$E2274&lt;5.7,"normal",Healthcare!$E2274&lt;=6.4,"prediabetes",Healthcare!$E2274&gt;=6.5,"diabetes")</f>
        <v>normal</v>
      </c>
      <c r="G2274" s="5" t="s">
        <v>19</v>
      </c>
      <c r="H2274" s="5" t="s">
        <v>20</v>
      </c>
      <c r="I2274" s="5" t="s">
        <v>19</v>
      </c>
      <c r="J2274" s="5">
        <v>1</v>
      </c>
      <c r="K2274" s="5" t="s">
        <v>19</v>
      </c>
      <c r="L2274" s="5" t="str">
        <f>VLOOKUP(Healthcare!$A2274,hospital_details,2,0)</f>
        <v>2-Jun-2004</v>
      </c>
      <c r="M2274" s="5">
        <f t="shared" ref="M2274:M2337" ca="1" si="13629">VLOOKUP(A2274,hospital_details,3,0)</f>
        <v>22</v>
      </c>
      <c r="N2274" s="5">
        <f t="shared" ref="N2274:N2337" si="13630">VLOOKUP($A2274,hospital_details,4,0)</f>
        <v>0</v>
      </c>
      <c r="O2274" s="6">
        <f t="shared" ref="O2274:O2337" si="13631">VLOOKUP($A2274,hospital_details,5,0)</f>
        <v>1210</v>
      </c>
      <c r="P2274" s="5" t="str">
        <f t="shared" ref="P2274:P2337" si="13632">VLOOKUP($A2274,hospital_details,6,0)</f>
        <v>tier - 2</v>
      </c>
      <c r="Q2274" s="5" t="str">
        <f t="shared" ref="Q2274:Q2337" si="13633">VLOOKUP($A2274,hospital_details,7,0)</f>
        <v>tier - 1</v>
      </c>
      <c r="R2274" s="5" t="str">
        <f t="shared" ref="R2274:R2337" si="13634">VLOOKUP($A2274,hospital_details,8,0)</f>
        <v>R1013</v>
      </c>
    </row>
    <row r="2275" spans="1:18" ht="14.4" customHeight="1" x14ac:dyDescent="0.3">
      <c r="A2275" s="7" t="s">
        <v>2295</v>
      </c>
      <c r="B2275" s="7" t="str">
        <f>VLOOKUP($A2275,[1]!Customer_Names[#Data],3,0)</f>
        <v xml:space="preserve">  Rachel A</v>
      </c>
      <c r="C2275" s="7">
        <v>19.07</v>
      </c>
      <c r="D2275" s="7" t="str" cm="1">
        <f t="array" ref="D2275">_xlfn.IFS(Healthcare!$C2275&lt;18.5,"under weight",Healthcare!$C2275&lt;=24.9,"Normal Weight",Healthcare!$C2275&gt;=25,"overweight",Healthcare!$C2275&gt;=30,"obese")</f>
        <v>Normal Weight</v>
      </c>
      <c r="E2275" s="7">
        <v>5.45</v>
      </c>
      <c r="F2275" s="7" t="str" cm="1">
        <f t="array" ref="F2275">_xlfn.IFS(Healthcare!$E2275&lt;5.7,"normal",Healthcare!$E2275&lt;=6.4,"prediabetes",Healthcare!$E2275&gt;=6.5,"diabetes")</f>
        <v>normal</v>
      </c>
      <c r="G2275" s="7" t="s">
        <v>19</v>
      </c>
      <c r="H2275" s="7" t="s">
        <v>19</v>
      </c>
      <c r="I2275" s="7" t="s">
        <v>19</v>
      </c>
      <c r="J2275" s="7">
        <v>1</v>
      </c>
      <c r="K2275" s="7" t="s">
        <v>19</v>
      </c>
      <c r="L2275" s="7" t="str">
        <f>VLOOKUP(Healthcare!$A2275,hospital_details,2,0)</f>
        <v>6-Oct-1992</v>
      </c>
      <c r="M2275" s="7">
        <f t="shared" ref="M2275:M2338" ca="1" si="13635">VLOOKUP(A2275,hospital_details,3,0)</f>
        <v>34</v>
      </c>
      <c r="N2275" s="7">
        <f t="shared" ref="N2275:N2338" si="13636">VLOOKUP($A2275,hospital_details,4,0)</f>
        <v>0</v>
      </c>
      <c r="O2275" s="8">
        <f t="shared" ref="O2275:O2338" si="13637">VLOOKUP($A2275,hospital_details,5,0)</f>
        <v>1200.55</v>
      </c>
      <c r="P2275" s="7" t="str">
        <f t="shared" ref="P2275:P2338" si="13638">VLOOKUP($A2275,hospital_details,6,0)</f>
        <v>tier - 2</v>
      </c>
      <c r="Q2275" s="7" t="str">
        <f t="shared" ref="Q2275:Q2338" si="13639">VLOOKUP($A2275,hospital_details,7,0)</f>
        <v>tier - 3</v>
      </c>
      <c r="R2275" s="7" t="str">
        <f t="shared" ref="R2275:R2338" si="13640">VLOOKUP($A2275,hospital_details,8,0)</f>
        <v>R1013</v>
      </c>
    </row>
    <row r="2276" spans="1:18" ht="14.4" customHeight="1" x14ac:dyDescent="0.3">
      <c r="A2276" s="5" t="s">
        <v>2296</v>
      </c>
      <c r="B2276" s="5" t="str">
        <f>VLOOKUP($A2276,[1]!Customer_Names[#Data],3,0)</f>
        <v xml:space="preserve">  Jim</v>
      </c>
      <c r="C2276" s="5">
        <v>15.56</v>
      </c>
      <c r="D2276" s="5" t="str" cm="1">
        <f t="array" ref="D2276">_xlfn.IFS(Healthcare!$C2276&lt;18.5,"under weight",Healthcare!$C2276&lt;=24.9,"Normal Weight",Healthcare!$C2276&gt;=25,"overweight",Healthcare!$C2276&gt;=30,"obese")</f>
        <v>under weight</v>
      </c>
      <c r="E2276" s="5">
        <v>4.42</v>
      </c>
      <c r="F2276" s="5" t="str" cm="1">
        <f t="array" ref="F2276">_xlfn.IFS(Healthcare!$E2276&lt;5.7,"normal",Healthcare!$E2276&lt;=6.4,"prediabetes",Healthcare!$E2276&gt;=6.5,"diabetes")</f>
        <v>normal</v>
      </c>
      <c r="G2276" s="5" t="s">
        <v>19</v>
      </c>
      <c r="H2276" s="5" t="s">
        <v>19</v>
      </c>
      <c r="I2276" s="5" t="s">
        <v>19</v>
      </c>
      <c r="J2276" s="5">
        <v>0</v>
      </c>
      <c r="K2276" s="5" t="s">
        <v>19</v>
      </c>
      <c r="L2276" s="5" t="str">
        <f>VLOOKUP(Healthcare!$A2276,hospital_details,2,0)</f>
        <v>28-Jun-1999</v>
      </c>
      <c r="M2276" s="5">
        <f t="shared" ref="M2276:M2339" ca="1" si="13641">VLOOKUP(A2276,hospital_details,3,0)</f>
        <v>27</v>
      </c>
      <c r="N2276" s="5">
        <f t="shared" ref="N2276:N2339" si="13642">VLOOKUP($A2276,hospital_details,4,0)</f>
        <v>0</v>
      </c>
      <c r="O2276" s="6">
        <f t="shared" ref="O2276:O2339" si="13643">VLOOKUP($A2276,hospital_details,5,0)</f>
        <v>1200</v>
      </c>
      <c r="P2276" s="5" t="str">
        <f t="shared" ref="P2276:P2339" si="13644">VLOOKUP($A2276,hospital_details,6,0)</f>
        <v>tier - 2</v>
      </c>
      <c r="Q2276" s="5" t="str">
        <f t="shared" ref="Q2276:Q2339" si="13645">VLOOKUP($A2276,hospital_details,7,0)</f>
        <v>tier - 3</v>
      </c>
      <c r="R2276" s="5" t="str">
        <f t="shared" ref="R2276:R2339" si="13646">VLOOKUP($A2276,hospital_details,8,0)</f>
        <v>R1012</v>
      </c>
    </row>
    <row r="2277" spans="1:18" ht="14.4" customHeight="1" x14ac:dyDescent="0.3">
      <c r="A2277" s="7" t="s">
        <v>2297</v>
      </c>
      <c r="B2277" s="7" t="str">
        <f>VLOOKUP($A2277,[1]!Customer_Names[#Data],3,0)</f>
        <v xml:space="preserve">  Tim</v>
      </c>
      <c r="C2277" s="7">
        <v>22.76</v>
      </c>
      <c r="D2277" s="7" t="str" cm="1">
        <f t="array" ref="D2277">_xlfn.IFS(Healthcare!$C2277&lt;18.5,"under weight",Healthcare!$C2277&lt;=24.9,"Normal Weight",Healthcare!$C2277&gt;=25,"overweight",Healthcare!$C2277&gt;=30,"obese")</f>
        <v>Normal Weight</v>
      </c>
      <c r="E2277" s="7">
        <v>9.44</v>
      </c>
      <c r="F2277" s="7" t="str" cm="1">
        <f t="array" ref="F2277">_xlfn.IFS(Healthcare!$E2277&lt;5.7,"normal",Healthcare!$E2277&lt;=6.4,"prediabetes",Healthcare!$E2277&gt;=6.5,"diabetes")</f>
        <v>diabetes</v>
      </c>
      <c r="G2277" s="7" t="s">
        <v>19</v>
      </c>
      <c r="H2277" s="7" t="s">
        <v>19</v>
      </c>
      <c r="I2277" s="7" t="s">
        <v>19</v>
      </c>
      <c r="J2277" s="7">
        <v>0</v>
      </c>
      <c r="K2277" s="7" t="s">
        <v>19</v>
      </c>
      <c r="L2277" s="7" t="str">
        <f>VLOOKUP(Healthcare!$A2277,hospital_details,2,0)</f>
        <v>26-Aug-2002</v>
      </c>
      <c r="M2277" s="7">
        <f t="shared" ref="M2277:M2340" ca="1" si="13647">VLOOKUP(A2277,hospital_details,3,0)</f>
        <v>24</v>
      </c>
      <c r="N2277" s="7">
        <f t="shared" ref="N2277:N2340" si="13648">VLOOKUP($A2277,hospital_details,4,0)</f>
        <v>0</v>
      </c>
      <c r="O2277" s="8">
        <f t="shared" ref="O2277:O2340" si="13649">VLOOKUP($A2277,hospital_details,5,0)</f>
        <v>1191</v>
      </c>
      <c r="P2277" s="7" t="str">
        <f t="shared" ref="P2277:P2340" si="13650">VLOOKUP($A2277,hospital_details,6,0)</f>
        <v>tier - 2</v>
      </c>
      <c r="Q2277" s="7" t="str">
        <f t="shared" ref="Q2277:Q2340" si="13651">VLOOKUP($A2277,hospital_details,7,0)</f>
        <v>tier - 1</v>
      </c>
      <c r="R2277" s="7" t="str">
        <f t="shared" ref="R2277:R2340" si="13652">VLOOKUP($A2277,hospital_details,8,0)</f>
        <v>R1013</v>
      </c>
    </row>
    <row r="2278" spans="1:18" ht="14.4" customHeight="1" x14ac:dyDescent="0.3">
      <c r="A2278" s="5" t="s">
        <v>2298</v>
      </c>
      <c r="B2278" s="5" t="str">
        <f>VLOOKUP($A2278,[1]!Customer_Names[#Data],3,0)</f>
        <v xml:space="preserve">  Abby L</v>
      </c>
      <c r="C2278" s="5">
        <v>22.79</v>
      </c>
      <c r="D2278" s="5" t="str" cm="1">
        <f t="array" ref="D2278">_xlfn.IFS(Healthcare!$C2278&lt;18.5,"under weight",Healthcare!$C2278&lt;=24.9,"Normal Weight",Healthcare!$C2278&gt;=25,"overweight",Healthcare!$C2278&gt;=30,"obese")</f>
        <v>Normal Weight</v>
      </c>
      <c r="E2278" s="5">
        <v>6.15</v>
      </c>
      <c r="F2278" s="5" t="str" cm="1">
        <f t="array" ref="F2278">_xlfn.IFS(Healthcare!$E2278&lt;5.7,"normal",Healthcare!$E2278&lt;=6.4,"prediabetes",Healthcare!$E2278&gt;=6.5,"diabetes")</f>
        <v>prediabetes</v>
      </c>
      <c r="G2278" s="5" t="s">
        <v>20</v>
      </c>
      <c r="H2278" s="5" t="s">
        <v>19</v>
      </c>
      <c r="I2278" s="5" t="s">
        <v>29</v>
      </c>
      <c r="J2278" s="5">
        <v>1</v>
      </c>
      <c r="K2278" s="5" t="s">
        <v>19</v>
      </c>
      <c r="L2278" s="5" t="str">
        <f>VLOOKUP(Healthcare!$A2278,hospital_details,2,0)</f>
        <v>28-Jun-1997</v>
      </c>
      <c r="M2278" s="5">
        <f t="shared" ref="M2278:M2341" ca="1" si="13653">VLOOKUP(A2278,hospital_details,3,0)</f>
        <v>29</v>
      </c>
      <c r="N2278" s="5">
        <f t="shared" ref="N2278:N2341" si="13654">VLOOKUP($A2278,hospital_details,4,0)</f>
        <v>0</v>
      </c>
      <c r="O2278" s="6">
        <f t="shared" ref="O2278:O2341" si="13655">VLOOKUP($A2278,hospital_details,5,0)</f>
        <v>1178.07</v>
      </c>
      <c r="P2278" s="5" t="str">
        <f t="shared" ref="P2278:P2341" si="13656">VLOOKUP($A2278,hospital_details,6,0)</f>
        <v>tier - 2</v>
      </c>
      <c r="Q2278" s="5" t="str">
        <f t="shared" ref="Q2278:Q2341" si="13657">VLOOKUP($A2278,hospital_details,7,0)</f>
        <v>tier - 2</v>
      </c>
      <c r="R2278" s="5" t="str">
        <f t="shared" ref="R2278:R2341" si="13658">VLOOKUP($A2278,hospital_details,8,0)</f>
        <v>R1013</v>
      </c>
    </row>
    <row r="2279" spans="1:18" ht="14.4" customHeight="1" x14ac:dyDescent="0.3">
      <c r="A2279" s="7" t="s">
        <v>2299</v>
      </c>
      <c r="B2279" s="7" t="str">
        <f>VLOOKUP($A2279,[1]!Customer_Names[#Data],3,0)</f>
        <v xml:space="preserve">  Mark</v>
      </c>
      <c r="C2279" s="7">
        <v>17.41</v>
      </c>
      <c r="D2279" s="7" t="str" cm="1">
        <f t="array" ref="D2279">_xlfn.IFS(Healthcare!$C2279&lt;18.5,"under weight",Healthcare!$C2279&lt;=24.9,"Normal Weight",Healthcare!$C2279&gt;=25,"overweight",Healthcare!$C2279&gt;=30,"obese")</f>
        <v>under weight</v>
      </c>
      <c r="E2279" s="7">
        <v>5.13</v>
      </c>
      <c r="F2279" s="7" t="str" cm="1">
        <f t="array" ref="F2279">_xlfn.IFS(Healthcare!$E2279&lt;5.7,"normal",Healthcare!$E2279&lt;=6.4,"prediabetes",Healthcare!$E2279&gt;=6.5,"diabetes")</f>
        <v>normal</v>
      </c>
      <c r="G2279" s="7" t="s">
        <v>20</v>
      </c>
      <c r="H2279" s="7" t="s">
        <v>19</v>
      </c>
      <c r="I2279" s="7" t="s">
        <v>19</v>
      </c>
      <c r="J2279" s="7">
        <v>0</v>
      </c>
      <c r="K2279" s="7" t="s">
        <v>19</v>
      </c>
      <c r="L2279" s="7" t="str">
        <f>VLOOKUP(Healthcare!$A2279,hospital_details,2,0)</f>
        <v>11-Aug-1996</v>
      </c>
      <c r="M2279" s="7">
        <f t="shared" ref="M2279:M2342" ca="1" si="13659">VLOOKUP(A2279,hospital_details,3,0)</f>
        <v>30</v>
      </c>
      <c r="N2279" s="7">
        <f t="shared" ref="N2279:N2342" si="13660">VLOOKUP($A2279,hospital_details,4,0)</f>
        <v>0</v>
      </c>
      <c r="O2279" s="8">
        <f t="shared" ref="O2279:O2342" si="13661">VLOOKUP($A2279,hospital_details,5,0)</f>
        <v>1178</v>
      </c>
      <c r="P2279" s="7" t="str">
        <f t="shared" ref="P2279:P2342" si="13662">VLOOKUP($A2279,hospital_details,6,0)</f>
        <v>tier - 2</v>
      </c>
      <c r="Q2279" s="7" t="str">
        <f t="shared" ref="Q2279:Q2342" si="13663">VLOOKUP($A2279,hospital_details,7,0)</f>
        <v>tier - 3</v>
      </c>
      <c r="R2279" s="7" t="str">
        <f t="shared" ref="R2279:R2342" si="13664">VLOOKUP($A2279,hospital_details,8,0)</f>
        <v>R1013</v>
      </c>
    </row>
    <row r="2280" spans="1:18" ht="14.4" customHeight="1" x14ac:dyDescent="0.3">
      <c r="A2280" s="5" t="s">
        <v>2300</v>
      </c>
      <c r="B2280" s="5" t="str">
        <f>VLOOKUP($A2280,[1]!Customer_Names[#Data],3,0)</f>
        <v xml:space="preserve">  Ali</v>
      </c>
      <c r="C2280" s="5">
        <v>19.32</v>
      </c>
      <c r="D2280" s="5" t="str" cm="1">
        <f t="array" ref="D2280">_xlfn.IFS(Healthcare!$C2280&lt;18.5,"under weight",Healthcare!$C2280&lt;=24.9,"Normal Weight",Healthcare!$C2280&gt;=25,"overweight",Healthcare!$C2280&gt;=30,"obese")</f>
        <v>Normal Weight</v>
      </c>
      <c r="E2280" s="5">
        <v>4.96</v>
      </c>
      <c r="F2280" s="5" t="str" cm="1">
        <f t="array" ref="F2280">_xlfn.IFS(Healthcare!$E2280&lt;5.7,"normal",Healthcare!$E2280&lt;=6.4,"prediabetes",Healthcare!$E2280&gt;=6.5,"diabetes")</f>
        <v>normal</v>
      </c>
      <c r="G2280" s="5" t="s">
        <v>20</v>
      </c>
      <c r="H2280" s="5" t="s">
        <v>19</v>
      </c>
      <c r="I2280" s="5" t="s">
        <v>19</v>
      </c>
      <c r="J2280" s="5">
        <v>0</v>
      </c>
      <c r="K2280" s="5" t="s">
        <v>19</v>
      </c>
      <c r="L2280" s="5" t="str">
        <f>VLOOKUP(Healthcare!$A2280,hospital_details,2,0)</f>
        <v>12-Nov-2001</v>
      </c>
      <c r="M2280" s="5">
        <f t="shared" ref="M2280:M2343" ca="1" si="13665">VLOOKUP(A2280,hospital_details,3,0)</f>
        <v>24</v>
      </c>
      <c r="N2280" s="5">
        <f t="shared" ref="N2280:N2343" si="13666">VLOOKUP($A2280,hospital_details,4,0)</f>
        <v>0</v>
      </c>
      <c r="O2280" s="6">
        <f t="shared" ref="O2280:O2343" si="13667">VLOOKUP($A2280,hospital_details,5,0)</f>
        <v>1167</v>
      </c>
      <c r="P2280" s="5" t="str">
        <f t="shared" ref="P2280:P2343" si="13668">VLOOKUP($A2280,hospital_details,6,0)</f>
        <v>tier - 2</v>
      </c>
      <c r="Q2280" s="5" t="str">
        <f t="shared" ref="Q2280:Q2343" si="13669">VLOOKUP($A2280,hospital_details,7,0)</f>
        <v>tier - 1</v>
      </c>
      <c r="R2280" s="5" t="str">
        <f t="shared" ref="R2280:R2343" si="13670">VLOOKUP($A2280,hospital_details,8,0)</f>
        <v>R1013</v>
      </c>
    </row>
    <row r="2281" spans="1:18" ht="14.4" customHeight="1" x14ac:dyDescent="0.3">
      <c r="A2281" s="7" t="s">
        <v>2301</v>
      </c>
      <c r="B2281" s="7" t="str">
        <f>VLOOKUP($A2281,[1]!Customer_Names[#Data],3,0)</f>
        <v xml:space="preserve">  Joshua</v>
      </c>
      <c r="C2281" s="7">
        <v>18.25</v>
      </c>
      <c r="D2281" s="7" t="str" cm="1">
        <f t="array" ref="D2281">_xlfn.IFS(Healthcare!$C2281&lt;18.5,"under weight",Healthcare!$C2281&lt;=24.9,"Normal Weight",Healthcare!$C2281&gt;=25,"overweight",Healthcare!$C2281&gt;=30,"obese")</f>
        <v>under weight</v>
      </c>
      <c r="E2281" s="7">
        <v>10.95</v>
      </c>
      <c r="F2281" s="7" t="str" cm="1">
        <f t="array" ref="F2281">_xlfn.IFS(Healthcare!$E2281&lt;5.7,"normal",Healthcare!$E2281&lt;=6.4,"prediabetes",Healthcare!$E2281&gt;=6.5,"diabetes")</f>
        <v>diabetes</v>
      </c>
      <c r="G2281" s="7" t="s">
        <v>19</v>
      </c>
      <c r="H2281" s="7" t="s">
        <v>19</v>
      </c>
      <c r="I2281" s="7" t="s">
        <v>19</v>
      </c>
      <c r="J2281" s="7">
        <v>0</v>
      </c>
      <c r="K2281" s="7" t="s">
        <v>19</v>
      </c>
      <c r="L2281" s="7" t="str">
        <f>VLOOKUP(Healthcare!$A2281,hospital_details,2,0)</f>
        <v>11-Jun-2002</v>
      </c>
      <c r="M2281" s="7">
        <f t="shared" ref="M2281:M2344" ca="1" si="13671">VLOOKUP(A2281,hospital_details,3,0)</f>
        <v>24</v>
      </c>
      <c r="N2281" s="7">
        <f t="shared" ref="N2281:N2344" si="13672">VLOOKUP($A2281,hospital_details,4,0)</f>
        <v>0</v>
      </c>
      <c r="O2281" s="8">
        <f t="shared" ref="O2281:O2344" si="13673">VLOOKUP($A2281,hospital_details,5,0)</f>
        <v>1165</v>
      </c>
      <c r="P2281" s="7" t="str">
        <f t="shared" ref="P2281:P2344" si="13674">VLOOKUP($A2281,hospital_details,6,0)</f>
        <v>tier - 2</v>
      </c>
      <c r="Q2281" s="7" t="str">
        <f t="shared" ref="Q2281:Q2344" si="13675">VLOOKUP($A2281,hospital_details,7,0)</f>
        <v>tier - 3</v>
      </c>
      <c r="R2281" s="7" t="str">
        <f t="shared" ref="R2281:R2344" si="13676">VLOOKUP($A2281,hospital_details,8,0)</f>
        <v>R1012</v>
      </c>
    </row>
    <row r="2282" spans="1:18" ht="14.4" customHeight="1" x14ac:dyDescent="0.3">
      <c r="A2282" s="5" t="s">
        <v>2302</v>
      </c>
      <c r="B2282" s="5" t="str">
        <f>VLOOKUP($A2282,[1]!Customer_Names[#Data],3,0)</f>
        <v xml:space="preserve">  Pierre</v>
      </c>
      <c r="C2282" s="5">
        <v>53.13</v>
      </c>
      <c r="D2282" s="5" t="str" cm="1">
        <f t="array" ref="D2282">_xlfn.IFS(Healthcare!$C2282&lt;18.5,"under weight",Healthcare!$C2282&lt;=24.9,"Normal Weight",Healthcare!$C2282&gt;=25,"overweight",Healthcare!$C2282&gt;=30,"obese")</f>
        <v>overweight</v>
      </c>
      <c r="E2282" s="5">
        <v>4.4400000000000004</v>
      </c>
      <c r="F2282" s="5" t="str" cm="1">
        <f t="array" ref="F2282">_xlfn.IFS(Healthcare!$E2282&lt;5.7,"normal",Healthcare!$E2282&lt;=6.4,"prediabetes",Healthcare!$E2282&gt;=6.5,"diabetes")</f>
        <v>normal</v>
      </c>
      <c r="G2282" s="5" t="s">
        <v>19</v>
      </c>
      <c r="H2282" s="5" t="s">
        <v>20</v>
      </c>
      <c r="I2282" s="5" t="s">
        <v>19</v>
      </c>
      <c r="J2282" s="5">
        <v>1</v>
      </c>
      <c r="K2282" s="5" t="s">
        <v>19</v>
      </c>
      <c r="L2282" s="5" t="str">
        <f>VLOOKUP(Healthcare!$A2282,hospital_details,2,0)</f>
        <v>11-Nov-2004</v>
      </c>
      <c r="M2282" s="5">
        <f t="shared" ref="M2282:M2345" ca="1" si="13677">VLOOKUP(A2282,hospital_details,3,0)</f>
        <v>21</v>
      </c>
      <c r="N2282" s="5">
        <f t="shared" ref="N2282:N2345" si="13678">VLOOKUP($A2282,hospital_details,4,0)</f>
        <v>0</v>
      </c>
      <c r="O2282" s="6">
        <f t="shared" ref="O2282:O2345" si="13679">VLOOKUP($A2282,hospital_details,5,0)</f>
        <v>1163.46</v>
      </c>
      <c r="P2282" s="5" t="str">
        <f t="shared" ref="P2282:P2345" si="13680">VLOOKUP($A2282,hospital_details,6,0)</f>
        <v>tier - 2</v>
      </c>
      <c r="Q2282" s="5" t="str">
        <f t="shared" ref="Q2282:Q2345" si="13681">VLOOKUP($A2282,hospital_details,7,0)</f>
        <v>tier - 3</v>
      </c>
      <c r="R2282" s="5" t="str">
        <f t="shared" ref="R2282:R2345" si="13682">VLOOKUP($A2282,hospital_details,8,0)</f>
        <v>R1013</v>
      </c>
    </row>
    <row r="2283" spans="1:18" ht="14.4" customHeight="1" x14ac:dyDescent="0.3">
      <c r="A2283" s="7" t="s">
        <v>2303</v>
      </c>
      <c r="B2283" s="7" t="str">
        <f>VLOOKUP($A2283,[1]!Customer_Names[#Data],3,0)</f>
        <v xml:space="preserve">  Kate</v>
      </c>
      <c r="C2283" s="7">
        <v>20.46</v>
      </c>
      <c r="D2283" s="7" t="str" cm="1">
        <f t="array" ref="D2283">_xlfn.IFS(Healthcare!$C2283&lt;18.5,"under weight",Healthcare!$C2283&lt;=24.9,"Normal Weight",Healthcare!$C2283&gt;=25,"overweight",Healthcare!$C2283&gt;=30,"obese")</f>
        <v>Normal Weight</v>
      </c>
      <c r="E2283" s="7">
        <v>4.0199999999999996</v>
      </c>
      <c r="F2283" s="7" t="str" cm="1">
        <f t="array" ref="F2283">_xlfn.IFS(Healthcare!$E2283&lt;5.7,"normal",Healthcare!$E2283&lt;=6.4,"prediabetes",Healthcare!$E2283&gt;=6.5,"diabetes")</f>
        <v>normal</v>
      </c>
      <c r="G2283" s="7" t="s">
        <v>19</v>
      </c>
      <c r="H2283" s="7" t="s">
        <v>19</v>
      </c>
      <c r="I2283" s="7" t="s">
        <v>19</v>
      </c>
      <c r="J2283" s="7">
        <v>0</v>
      </c>
      <c r="K2283" s="7" t="s">
        <v>19</v>
      </c>
      <c r="L2283" s="7" t="str">
        <f>VLOOKUP(Healthcare!$A2283,hospital_details,2,0)</f>
        <v>26-Jul-1994</v>
      </c>
      <c r="M2283" s="7">
        <f t="shared" ref="M2283:M2346" ca="1" si="13683">VLOOKUP(A2283,hospital_details,3,0)</f>
        <v>32</v>
      </c>
      <c r="N2283" s="7">
        <f t="shared" ref="N2283:N2346" si="13684">VLOOKUP($A2283,hospital_details,4,0)</f>
        <v>0</v>
      </c>
      <c r="O2283" s="8">
        <f t="shared" ref="O2283:O2346" si="13685">VLOOKUP($A2283,hospital_details,5,0)</f>
        <v>1158.32</v>
      </c>
      <c r="P2283" s="7" t="str">
        <f t="shared" ref="P2283:P2346" si="13686">VLOOKUP($A2283,hospital_details,6,0)</f>
        <v>tier - 2</v>
      </c>
      <c r="Q2283" s="7" t="str">
        <f t="shared" ref="Q2283:Q2346" si="13687">VLOOKUP($A2283,hospital_details,7,0)</f>
        <v>tier - 1</v>
      </c>
      <c r="R2283" s="7" t="str">
        <f t="shared" ref="R2283:R2346" si="13688">VLOOKUP($A2283,hospital_details,8,0)</f>
        <v>R1013</v>
      </c>
    </row>
    <row r="2284" spans="1:18" ht="14.4" customHeight="1" x14ac:dyDescent="0.3">
      <c r="A2284" s="5" t="s">
        <v>2304</v>
      </c>
      <c r="B2284" s="5" t="str">
        <f>VLOOKUP($A2284,[1]!Customer_Names[#Data],3,0)</f>
        <v xml:space="preserve">  David</v>
      </c>
      <c r="C2284" s="5">
        <v>43.01</v>
      </c>
      <c r="D2284" s="5" t="str" cm="1">
        <f t="array" ref="D2284">_xlfn.IFS(Healthcare!$C2284&lt;18.5,"under weight",Healthcare!$C2284&lt;=24.9,"Normal Weight",Healthcare!$C2284&gt;=25,"overweight",Healthcare!$C2284&gt;=30,"obese")</f>
        <v>overweight</v>
      </c>
      <c r="E2284" s="5">
        <v>5.44</v>
      </c>
      <c r="F2284" s="5" t="str" cm="1">
        <f t="array" ref="F2284">_xlfn.IFS(Healthcare!$E2284&lt;5.7,"normal",Healthcare!$E2284&lt;=6.4,"prediabetes",Healthcare!$E2284&gt;=6.5,"diabetes")</f>
        <v>normal</v>
      </c>
      <c r="G2284" s="5" t="s">
        <v>19</v>
      </c>
      <c r="H2284" s="5" t="s">
        <v>20</v>
      </c>
      <c r="I2284" s="5" t="s">
        <v>19</v>
      </c>
      <c r="J2284" s="5">
        <v>1</v>
      </c>
      <c r="K2284" s="5" t="s">
        <v>19</v>
      </c>
      <c r="L2284" s="5" t="str">
        <f>VLOOKUP(Healthcare!$A2284,hospital_details,2,0)</f>
        <v>18-Jul-2004</v>
      </c>
      <c r="M2284" s="5">
        <f t="shared" ref="M2284:M2347" ca="1" si="13689">VLOOKUP(A2284,hospital_details,3,0)</f>
        <v>22</v>
      </c>
      <c r="N2284" s="5">
        <f t="shared" ref="N2284:N2347" si="13690">VLOOKUP($A2284,hospital_details,4,0)</f>
        <v>0</v>
      </c>
      <c r="O2284" s="6">
        <f t="shared" ref="O2284:O2347" si="13691">VLOOKUP($A2284,hospital_details,5,0)</f>
        <v>1149.4000000000001</v>
      </c>
      <c r="P2284" s="5" t="str">
        <f t="shared" ref="P2284:P2347" si="13692">VLOOKUP($A2284,hospital_details,6,0)</f>
        <v>tier - 2</v>
      </c>
      <c r="Q2284" s="5" t="str">
        <f t="shared" ref="Q2284:Q2347" si="13693">VLOOKUP($A2284,hospital_details,7,0)</f>
        <v>tier - 2</v>
      </c>
      <c r="R2284" s="5" t="str">
        <f t="shared" ref="R2284:R2347" si="13694">VLOOKUP($A2284,hospital_details,8,0)</f>
        <v>R1013</v>
      </c>
    </row>
    <row r="2285" spans="1:18" ht="14.4" customHeight="1" x14ac:dyDescent="0.3">
      <c r="A2285" s="7" t="s">
        <v>2305</v>
      </c>
      <c r="B2285" s="7" t="str">
        <f>VLOOKUP($A2285,[1]!Customer_Names[#Data],3,0)</f>
        <v xml:space="preserve">  Carla</v>
      </c>
      <c r="C2285" s="7">
        <v>15.01</v>
      </c>
      <c r="D2285" s="7" t="str" cm="1">
        <f t="array" ref="D2285">_xlfn.IFS(Healthcare!$C2285&lt;18.5,"under weight",Healthcare!$C2285&lt;=24.9,"Normal Weight",Healthcare!$C2285&gt;=25,"overweight",Healthcare!$C2285&gt;=30,"obese")</f>
        <v>under weight</v>
      </c>
      <c r="E2285" s="7">
        <v>4.1500000000000004</v>
      </c>
      <c r="F2285" s="7" t="str" cm="1">
        <f t="array" ref="F2285">_xlfn.IFS(Healthcare!$E2285&lt;5.7,"normal",Healthcare!$E2285&lt;=6.4,"prediabetes",Healthcare!$E2285&gt;=6.5,"diabetes")</f>
        <v>normal</v>
      </c>
      <c r="G2285" s="7" t="s">
        <v>19</v>
      </c>
      <c r="H2285" s="7" t="s">
        <v>19</v>
      </c>
      <c r="I2285" s="7" t="s">
        <v>29</v>
      </c>
      <c r="J2285" s="7">
        <v>1</v>
      </c>
      <c r="K2285" s="7" t="s">
        <v>19</v>
      </c>
      <c r="L2285" s="7" t="str">
        <f>VLOOKUP(Healthcare!$A2285,hospital_details,2,0)</f>
        <v>12-Jun-2003</v>
      </c>
      <c r="M2285" s="7">
        <f t="shared" ref="M2285:M2348" ca="1" si="13695">VLOOKUP(A2285,hospital_details,3,0)</f>
        <v>23</v>
      </c>
      <c r="N2285" s="7">
        <f t="shared" ref="N2285:N2348" si="13696">VLOOKUP($A2285,hospital_details,4,0)</f>
        <v>0</v>
      </c>
      <c r="O2285" s="8">
        <f t="shared" ref="O2285:O2348" si="13697">VLOOKUP($A2285,hospital_details,5,0)</f>
        <v>1149</v>
      </c>
      <c r="P2285" s="7" t="str">
        <f t="shared" ref="P2285:P2348" si="13698">VLOOKUP($A2285,hospital_details,6,0)</f>
        <v>tier - 2</v>
      </c>
      <c r="Q2285" s="7" t="str">
        <f t="shared" ref="Q2285:Q2348" si="13699">VLOOKUP($A2285,hospital_details,7,0)</f>
        <v>tier - 1</v>
      </c>
      <c r="R2285" s="7" t="str">
        <f t="shared" ref="R2285:R2348" si="13700">VLOOKUP($A2285,hospital_details,8,0)</f>
        <v>R1012</v>
      </c>
    </row>
    <row r="2286" spans="1:18" ht="14.4" customHeight="1" x14ac:dyDescent="0.3">
      <c r="A2286" s="5" t="s">
        <v>2306</v>
      </c>
      <c r="B2286" s="5" t="str">
        <f>VLOOKUP($A2286,[1]!Customer_Names[#Data],3,0)</f>
        <v xml:space="preserve">  Alvaro Sr</v>
      </c>
      <c r="C2286" s="5">
        <v>41.14</v>
      </c>
      <c r="D2286" s="5" t="str" cm="1">
        <f t="array" ref="D2286">_xlfn.IFS(Healthcare!$C2286&lt;18.5,"under weight",Healthcare!$C2286&lt;=24.9,"Normal Weight",Healthcare!$C2286&gt;=25,"overweight",Healthcare!$C2286&gt;=30,"obese")</f>
        <v>overweight</v>
      </c>
      <c r="E2286" s="5">
        <v>6.02</v>
      </c>
      <c r="F2286" s="5" t="str" cm="1">
        <f t="array" ref="F2286">_xlfn.IFS(Healthcare!$E2286&lt;5.7,"normal",Healthcare!$E2286&lt;=6.4,"prediabetes",Healthcare!$E2286&gt;=6.5,"diabetes")</f>
        <v>prediabetes</v>
      </c>
      <c r="G2286" s="5" t="s">
        <v>19</v>
      </c>
      <c r="H2286" s="5" t="s">
        <v>20</v>
      </c>
      <c r="I2286" s="5" t="s">
        <v>19</v>
      </c>
      <c r="J2286" s="5">
        <v>1</v>
      </c>
      <c r="K2286" s="5" t="s">
        <v>19</v>
      </c>
      <c r="L2286" s="5" t="str">
        <f>VLOOKUP(Healthcare!$A2286,hospital_details,2,0)</f>
        <v>10-Jun-2004</v>
      </c>
      <c r="M2286" s="5">
        <f t="shared" ref="M2286:M2349" ca="1" si="13701">VLOOKUP(A2286,hospital_details,3,0)</f>
        <v>22</v>
      </c>
      <c r="N2286" s="5">
        <f t="shared" ref="N2286:N2349" si="13702">VLOOKUP($A2286,hospital_details,4,0)</f>
        <v>0</v>
      </c>
      <c r="O2286" s="6">
        <f t="shared" ref="O2286:O2349" si="13703">VLOOKUP($A2286,hospital_details,5,0)</f>
        <v>1146.8</v>
      </c>
      <c r="P2286" s="5" t="str">
        <f t="shared" ref="P2286:P2349" si="13704">VLOOKUP($A2286,hospital_details,6,0)</f>
        <v>tier - 2</v>
      </c>
      <c r="Q2286" s="5" t="str">
        <f t="shared" ref="Q2286:Q2349" si="13705">VLOOKUP($A2286,hospital_details,7,0)</f>
        <v>tier - 2</v>
      </c>
      <c r="R2286" s="5" t="str">
        <f t="shared" ref="R2286:R2349" si="13706">VLOOKUP($A2286,hospital_details,8,0)</f>
        <v>R1013</v>
      </c>
    </row>
    <row r="2287" spans="1:18" ht="14.4" customHeight="1" x14ac:dyDescent="0.3">
      <c r="A2287" s="7" t="s">
        <v>2307</v>
      </c>
      <c r="B2287" s="7" t="str">
        <f>VLOOKUP($A2287,[1]!Customer_Names[#Data],3,0)</f>
        <v xml:space="preserve">  Hope</v>
      </c>
      <c r="C2287" s="7">
        <v>16.55</v>
      </c>
      <c r="D2287" s="7" t="str" cm="1">
        <f t="array" ref="D2287">_xlfn.IFS(Healthcare!$C2287&lt;18.5,"under weight",Healthcare!$C2287&lt;=24.9,"Normal Weight",Healthcare!$C2287&gt;=25,"overweight",Healthcare!$C2287&gt;=30,"obese")</f>
        <v>under weight</v>
      </c>
      <c r="E2287" s="7">
        <v>7.73</v>
      </c>
      <c r="F2287" s="7" t="str" cm="1">
        <f t="array" ref="F2287">_xlfn.IFS(Healthcare!$E2287&lt;5.7,"normal",Healthcare!$E2287&lt;=6.4,"prediabetes",Healthcare!$E2287&gt;=6.5,"diabetes")</f>
        <v>diabetes</v>
      </c>
      <c r="G2287" s="7" t="s">
        <v>19</v>
      </c>
      <c r="H2287" s="7" t="s">
        <v>19</v>
      </c>
      <c r="I2287" s="7" t="s">
        <v>19</v>
      </c>
      <c r="J2287" s="7">
        <v>0</v>
      </c>
      <c r="K2287" s="7" t="s">
        <v>19</v>
      </c>
      <c r="L2287" s="7" t="str">
        <f>VLOOKUP(Healthcare!$A2287,hospital_details,2,0)</f>
        <v>1-Oct-2002</v>
      </c>
      <c r="M2287" s="7">
        <f t="shared" ref="M2287:M2350" ca="1" si="13707">VLOOKUP(A2287,hospital_details,3,0)</f>
        <v>24</v>
      </c>
      <c r="N2287" s="7">
        <f t="shared" ref="N2287:N2350" si="13708">VLOOKUP($A2287,hospital_details,4,0)</f>
        <v>0</v>
      </c>
      <c r="O2287" s="8">
        <f t="shared" ref="O2287:O2350" si="13709">VLOOKUP($A2287,hospital_details,5,0)</f>
        <v>1142</v>
      </c>
      <c r="P2287" s="7" t="str">
        <f t="shared" ref="P2287:P2350" si="13710">VLOOKUP($A2287,hospital_details,6,0)</f>
        <v>tier - 3</v>
      </c>
      <c r="Q2287" s="7" t="str">
        <f t="shared" ref="Q2287:Q2350" si="13711">VLOOKUP($A2287,hospital_details,7,0)</f>
        <v>tier - 2</v>
      </c>
      <c r="R2287" s="7" t="str">
        <f t="shared" ref="R2287:R2350" si="13712">VLOOKUP($A2287,hospital_details,8,0)</f>
        <v>R1011</v>
      </c>
    </row>
    <row r="2288" spans="1:18" ht="14.4" customHeight="1" x14ac:dyDescent="0.3">
      <c r="A2288" s="5" t="s">
        <v>2308</v>
      </c>
      <c r="B2288" s="5" t="str">
        <f>VLOOKUP($A2288,[1]!Customer_Names[#Data],3,0)</f>
        <v xml:space="preserve">  Mark P</v>
      </c>
      <c r="C2288" s="5">
        <v>37.29</v>
      </c>
      <c r="D2288" s="5" t="str" cm="1">
        <f t="array" ref="D2288">_xlfn.IFS(Healthcare!$C2288&lt;18.5,"under weight",Healthcare!$C2288&lt;=24.9,"Normal Weight",Healthcare!$C2288&gt;=25,"overweight",Healthcare!$C2288&gt;=30,"obese")</f>
        <v>overweight</v>
      </c>
      <c r="E2288" s="5">
        <v>5.03</v>
      </c>
      <c r="F2288" s="5" t="str" cm="1">
        <f t="array" ref="F2288">_xlfn.IFS(Healthcare!$E2288&lt;5.7,"normal",Healthcare!$E2288&lt;=6.4,"prediabetes",Healthcare!$E2288&gt;=6.5,"diabetes")</f>
        <v>normal</v>
      </c>
      <c r="G2288" s="5" t="s">
        <v>19</v>
      </c>
      <c r="H2288" s="5" t="s">
        <v>20</v>
      </c>
      <c r="I2288" s="5" t="s">
        <v>19</v>
      </c>
      <c r="J2288" s="5">
        <v>1</v>
      </c>
      <c r="K2288" s="5" t="s">
        <v>19</v>
      </c>
      <c r="L2288" s="5" t="str">
        <f>VLOOKUP(Healthcare!$A2288,hospital_details,2,0)</f>
        <v>12-Sep-2004</v>
      </c>
      <c r="M2288" s="5">
        <f t="shared" ref="M2288:M2351" ca="1" si="13713">VLOOKUP(A2288,hospital_details,3,0)</f>
        <v>22</v>
      </c>
      <c r="N2288" s="5">
        <f t="shared" ref="N2288:N2351" si="13714">VLOOKUP($A2288,hospital_details,4,0)</f>
        <v>0</v>
      </c>
      <c r="O2288" s="6">
        <f t="shared" ref="O2288:O2351" si="13715">VLOOKUP($A2288,hospital_details,5,0)</f>
        <v>1141.45</v>
      </c>
      <c r="P2288" s="5" t="str">
        <f t="shared" ref="P2288:P2351" si="13716">VLOOKUP($A2288,hospital_details,6,0)</f>
        <v>tier - 3</v>
      </c>
      <c r="Q2288" s="5" t="str">
        <f t="shared" ref="Q2288:Q2351" si="13717">VLOOKUP($A2288,hospital_details,7,0)</f>
        <v>tier - 3</v>
      </c>
      <c r="R2288" s="5" t="str">
        <f t="shared" ref="R2288:R2351" si="13718">VLOOKUP($A2288,hospital_details,8,0)</f>
        <v>R1013</v>
      </c>
    </row>
    <row r="2289" spans="1:18" ht="14.4" customHeight="1" x14ac:dyDescent="0.3">
      <c r="A2289" s="7" t="s">
        <v>2309</v>
      </c>
      <c r="B2289" s="7" t="str">
        <f>VLOOKUP($A2289,[1]!Customer_Names[#Data],3,0)</f>
        <v xml:space="preserve">  Desiree</v>
      </c>
      <c r="C2289" s="7">
        <v>16.739999999999998</v>
      </c>
      <c r="D2289" s="7" t="str" cm="1">
        <f t="array" ref="D2289">_xlfn.IFS(Healthcare!$C2289&lt;18.5,"under weight",Healthcare!$C2289&lt;=24.9,"Normal Weight",Healthcare!$C2289&gt;=25,"overweight",Healthcare!$C2289&gt;=30,"obese")</f>
        <v>under weight</v>
      </c>
      <c r="E2289" s="7">
        <v>4.08</v>
      </c>
      <c r="F2289" s="7" t="str" cm="1">
        <f t="array" ref="F2289">_xlfn.IFS(Healthcare!$E2289&lt;5.7,"normal",Healthcare!$E2289&lt;=6.4,"prediabetes",Healthcare!$E2289&gt;=6.5,"diabetes")</f>
        <v>normal</v>
      </c>
      <c r="G2289" s="7" t="s">
        <v>20</v>
      </c>
      <c r="H2289" s="7" t="s">
        <v>19</v>
      </c>
      <c r="I2289" s="7" t="s">
        <v>19</v>
      </c>
      <c r="J2289" s="7">
        <v>0</v>
      </c>
      <c r="K2289" s="7" t="s">
        <v>19</v>
      </c>
      <c r="L2289" s="7" t="str">
        <f>VLOOKUP(Healthcare!$A2289,hospital_details,2,0)</f>
        <v>25-Oct-2001</v>
      </c>
      <c r="M2289" s="7">
        <f t="shared" ref="M2289:M2352" ca="1" si="13719">VLOOKUP(A2289,hospital_details,3,0)</f>
        <v>24</v>
      </c>
      <c r="N2289" s="7">
        <f t="shared" ref="N2289:N2352" si="13720">VLOOKUP($A2289,hospital_details,4,0)</f>
        <v>0</v>
      </c>
      <c r="O2289" s="8">
        <f t="shared" ref="O2289:O2352" si="13721">VLOOKUP($A2289,hospital_details,5,0)</f>
        <v>1141</v>
      </c>
      <c r="P2289" s="7" t="str">
        <f t="shared" ref="P2289:P2352" si="13722">VLOOKUP($A2289,hospital_details,6,0)</f>
        <v>tier - 3</v>
      </c>
      <c r="Q2289" s="7" t="str">
        <f t="shared" ref="Q2289:Q2352" si="13723">VLOOKUP($A2289,hospital_details,7,0)</f>
        <v>tier - 1</v>
      </c>
      <c r="R2289" s="7" t="str">
        <f t="shared" ref="R2289:R2352" si="13724">VLOOKUP($A2289,hospital_details,8,0)</f>
        <v>R1013</v>
      </c>
    </row>
    <row r="2290" spans="1:18" ht="14.4" customHeight="1" x14ac:dyDescent="0.3">
      <c r="A2290" s="5" t="s">
        <v>2310</v>
      </c>
      <c r="B2290" s="5" t="str">
        <f>VLOOKUP($A2290,[1]!Customer_Names[#Data],3,0)</f>
        <v xml:space="preserve">  Mario Jr</v>
      </c>
      <c r="C2290" s="5">
        <v>34.43</v>
      </c>
      <c r="D2290" s="5" t="str" cm="1">
        <f t="array" ref="D2290">_xlfn.IFS(Healthcare!$C2290&lt;18.5,"under weight",Healthcare!$C2290&lt;=24.9,"Normal Weight",Healthcare!$C2290&gt;=25,"overweight",Healthcare!$C2290&gt;=30,"obese")</f>
        <v>overweight</v>
      </c>
      <c r="E2290" s="5">
        <v>4.2699999999999996</v>
      </c>
      <c r="F2290" s="5" t="str" cm="1">
        <f t="array" ref="F2290">_xlfn.IFS(Healthcare!$E2290&lt;5.7,"normal",Healthcare!$E2290&lt;=6.4,"prediabetes",Healthcare!$E2290&gt;=6.5,"diabetes")</f>
        <v>normal</v>
      </c>
      <c r="G2290" s="5" t="s">
        <v>19</v>
      </c>
      <c r="H2290" s="5" t="s">
        <v>20</v>
      </c>
      <c r="I2290" s="5" t="s">
        <v>19</v>
      </c>
      <c r="J2290" s="5">
        <v>1</v>
      </c>
      <c r="K2290" s="5" t="s">
        <v>19</v>
      </c>
      <c r="L2290" s="5" t="str">
        <f>VLOOKUP(Healthcare!$A2290,hospital_details,2,0)</f>
        <v>27-Nov-2004</v>
      </c>
      <c r="M2290" s="5">
        <f t="shared" ref="M2290:M2353" ca="1" si="13725">VLOOKUP(A2290,hospital_details,3,0)</f>
        <v>21</v>
      </c>
      <c r="N2290" s="5">
        <f t="shared" ref="N2290:N2353" si="13726">VLOOKUP($A2290,hospital_details,4,0)</f>
        <v>0</v>
      </c>
      <c r="O2290" s="6">
        <f t="shared" ref="O2290:O2353" si="13727">VLOOKUP($A2290,hospital_details,5,0)</f>
        <v>1137.47</v>
      </c>
      <c r="P2290" s="5" t="str">
        <f t="shared" ref="P2290:P2353" si="13728">VLOOKUP($A2290,hospital_details,6,0)</f>
        <v>tier - 3</v>
      </c>
      <c r="Q2290" s="5" t="str">
        <f t="shared" ref="Q2290:Q2353" si="13729">VLOOKUP($A2290,hospital_details,7,0)</f>
        <v>tier - 2</v>
      </c>
      <c r="R2290" s="5" t="str">
        <f t="shared" ref="R2290:R2353" si="13730">VLOOKUP($A2290,hospital_details,8,0)</f>
        <v>R1013</v>
      </c>
    </row>
    <row r="2291" spans="1:18" ht="14.4" customHeight="1" x14ac:dyDescent="0.3">
      <c r="A2291" s="7" t="s">
        <v>2311</v>
      </c>
      <c r="B2291" s="7" t="str">
        <f>VLOOKUP($A2291,[1]!Customer_Names[#Data],3,0)</f>
        <v xml:space="preserve">  Lusapho</v>
      </c>
      <c r="C2291" s="7">
        <v>34.1</v>
      </c>
      <c r="D2291" s="7" t="str" cm="1">
        <f t="array" ref="D2291">_xlfn.IFS(Healthcare!$C2291&lt;18.5,"under weight",Healthcare!$C2291&lt;=24.9,"Normal Weight",Healthcare!$C2291&gt;=25,"overweight",Healthcare!$C2291&gt;=30,"obese")</f>
        <v>overweight</v>
      </c>
      <c r="E2291" s="7">
        <v>4.07</v>
      </c>
      <c r="F2291" s="7" t="str" cm="1">
        <f t="array" ref="F2291">_xlfn.IFS(Healthcare!$E2291&lt;5.7,"normal",Healthcare!$E2291&lt;=6.4,"prediabetes",Healthcare!$E2291&gt;=6.5,"diabetes")</f>
        <v>normal</v>
      </c>
      <c r="G2291" s="7" t="s">
        <v>19</v>
      </c>
      <c r="H2291" s="7" t="s">
        <v>20</v>
      </c>
      <c r="I2291" s="7" t="s">
        <v>19</v>
      </c>
      <c r="J2291" s="7">
        <v>1</v>
      </c>
      <c r="K2291" s="7" t="s">
        <v>19</v>
      </c>
      <c r="L2291" s="7" t="str">
        <f>VLOOKUP(Healthcare!$A2291,hospital_details,2,0)</f>
        <v>15-Oct-2004</v>
      </c>
      <c r="M2291" s="7">
        <f t="shared" ref="M2291:M2354" ca="1" si="13731">VLOOKUP(A2291,hospital_details,3,0)</f>
        <v>22</v>
      </c>
      <c r="N2291" s="7">
        <f t="shared" ref="N2291:N2354" si="13732">VLOOKUP($A2291,hospital_details,4,0)</f>
        <v>0</v>
      </c>
      <c r="O2291" s="8">
        <f t="shared" ref="O2291:O2354" si="13733">VLOOKUP($A2291,hospital_details,5,0)</f>
        <v>1137.01</v>
      </c>
      <c r="P2291" s="7" t="str">
        <f t="shared" ref="P2291:P2354" si="13734">VLOOKUP($A2291,hospital_details,6,0)</f>
        <v>tier - 3</v>
      </c>
      <c r="Q2291" s="7" t="str">
        <f t="shared" ref="Q2291:Q2354" si="13735">VLOOKUP($A2291,hospital_details,7,0)</f>
        <v>tier - 1</v>
      </c>
      <c r="R2291" s="7" t="str">
        <f t="shared" ref="R2291:R2354" si="13736">VLOOKUP($A2291,hospital_details,8,0)</f>
        <v>R1013</v>
      </c>
    </row>
    <row r="2292" spans="1:18" ht="14.4" customHeight="1" x14ac:dyDescent="0.3">
      <c r="A2292" s="5" t="s">
        <v>2312</v>
      </c>
      <c r="B2292" s="5" t="str">
        <f>VLOOKUP($A2292,[1]!Customer_Names[#Data],3,0)</f>
        <v xml:space="preserve">  Erin C</v>
      </c>
      <c r="C2292" s="5">
        <v>19.3</v>
      </c>
      <c r="D2292" s="5" t="str" cm="1">
        <f t="array" ref="D2292">_xlfn.IFS(Healthcare!$C2292&lt;18.5,"under weight",Healthcare!$C2292&lt;=24.9,"Normal Weight",Healthcare!$C2292&gt;=25,"overweight",Healthcare!$C2292&gt;=30,"obese")</f>
        <v>Normal Weight</v>
      </c>
      <c r="E2292" s="5">
        <v>10.36</v>
      </c>
      <c r="F2292" s="5" t="str" cm="1">
        <f t="array" ref="F2292">_xlfn.IFS(Healthcare!$E2292&lt;5.7,"normal",Healthcare!$E2292&lt;=6.4,"prediabetes",Healthcare!$E2292&gt;=6.5,"diabetes")</f>
        <v>diabetes</v>
      </c>
      <c r="G2292" s="5" t="s">
        <v>19</v>
      </c>
      <c r="H2292" s="5" t="s">
        <v>19</v>
      </c>
      <c r="I2292" s="5" t="s">
        <v>19</v>
      </c>
      <c r="J2292" s="5">
        <v>0</v>
      </c>
      <c r="K2292" s="5" t="s">
        <v>19</v>
      </c>
      <c r="L2292" s="5" t="str">
        <f>VLOOKUP(Healthcare!$A2292,hospital_details,2,0)</f>
        <v>11-Aug-2002</v>
      </c>
      <c r="M2292" s="5">
        <f t="shared" ref="M2292:M2355" ca="1" si="13737">VLOOKUP(A2292,hospital_details,3,0)</f>
        <v>24</v>
      </c>
      <c r="N2292" s="5">
        <f t="shared" ref="N2292:N2355" si="13738">VLOOKUP($A2292,hospital_details,4,0)</f>
        <v>0</v>
      </c>
      <c r="O2292" s="6">
        <f t="shared" ref="O2292:O2355" si="13739">VLOOKUP($A2292,hospital_details,5,0)</f>
        <v>1137</v>
      </c>
      <c r="P2292" s="5" t="str">
        <f t="shared" ref="P2292:P2355" si="13740">VLOOKUP($A2292,hospital_details,6,0)</f>
        <v>tier - 3</v>
      </c>
      <c r="Q2292" s="5" t="str">
        <f t="shared" ref="Q2292:Q2355" si="13741">VLOOKUP($A2292,hospital_details,7,0)</f>
        <v>tier - 1</v>
      </c>
      <c r="R2292" s="5" t="str">
        <f t="shared" ref="R2292:R2355" si="13742">VLOOKUP($A2292,hospital_details,8,0)</f>
        <v>R1013</v>
      </c>
    </row>
    <row r="2293" spans="1:18" ht="14.4" customHeight="1" x14ac:dyDescent="0.3">
      <c r="A2293" s="7" t="s">
        <v>2313</v>
      </c>
      <c r="B2293" s="7" t="str">
        <f>VLOOKUP($A2293,[1]!Customer_Names[#Data],3,0)</f>
        <v xml:space="preserve">  Alan F</v>
      </c>
      <c r="C2293" s="7">
        <v>33.659999999999997</v>
      </c>
      <c r="D2293" s="7" t="str" cm="1">
        <f t="array" ref="D2293">_xlfn.IFS(Healthcare!$C2293&lt;18.5,"under weight",Healthcare!$C2293&lt;=24.9,"Normal Weight",Healthcare!$C2293&gt;=25,"overweight",Healthcare!$C2293&gt;=30,"obese")</f>
        <v>overweight</v>
      </c>
      <c r="E2293" s="7">
        <v>5.71</v>
      </c>
      <c r="F2293" s="7" t="str" cm="1">
        <f t="array" ref="F2293">_xlfn.IFS(Healthcare!$E2293&lt;5.7,"normal",Healthcare!$E2293&lt;=6.4,"prediabetes",Healthcare!$E2293&gt;=6.5,"diabetes")</f>
        <v>prediabetes</v>
      </c>
      <c r="G2293" s="7" t="s">
        <v>19</v>
      </c>
      <c r="H2293" s="7" t="s">
        <v>20</v>
      </c>
      <c r="I2293" s="7" t="s">
        <v>19</v>
      </c>
      <c r="J2293" s="7">
        <v>1</v>
      </c>
      <c r="K2293" s="7" t="s">
        <v>19</v>
      </c>
      <c r="L2293" s="7" t="str">
        <f>VLOOKUP(Healthcare!$A2293,hospital_details,2,0)</f>
        <v>28-Nov-2004</v>
      </c>
      <c r="M2293" s="7">
        <f t="shared" ref="M2293:M2356" ca="1" si="13743">VLOOKUP(A2293,hospital_details,3,0)</f>
        <v>21</v>
      </c>
      <c r="N2293" s="7">
        <f t="shared" ref="N2293:N2356" si="13744">VLOOKUP($A2293,hospital_details,4,0)</f>
        <v>0</v>
      </c>
      <c r="O2293" s="8">
        <f t="shared" ref="O2293:O2356" si="13745">VLOOKUP($A2293,hospital_details,5,0)</f>
        <v>1136.4000000000001</v>
      </c>
      <c r="P2293" s="7" t="str">
        <f t="shared" ref="P2293:P2356" si="13746">VLOOKUP($A2293,hospital_details,6,0)</f>
        <v>tier - 3</v>
      </c>
      <c r="Q2293" s="7" t="str">
        <f t="shared" ref="Q2293:Q2356" si="13747">VLOOKUP($A2293,hospital_details,7,0)</f>
        <v>tier - 3</v>
      </c>
      <c r="R2293" s="7" t="str">
        <f t="shared" ref="R2293:R2356" si="13748">VLOOKUP($A2293,hospital_details,8,0)</f>
        <v>R1013</v>
      </c>
    </row>
    <row r="2294" spans="1:18" ht="14.4" customHeight="1" x14ac:dyDescent="0.3">
      <c r="A2294" s="5" t="s">
        <v>2314</v>
      </c>
      <c r="B2294" s="5" t="str">
        <f>VLOOKUP($A2294,[1]!Customer_Names[#Data],3,0)</f>
        <v xml:space="preserve">  Ryan</v>
      </c>
      <c r="C2294" s="5">
        <v>33.33</v>
      </c>
      <c r="D2294" s="5" t="str" cm="1">
        <f t="array" ref="D2294">_xlfn.IFS(Healthcare!$C2294&lt;18.5,"under weight",Healthcare!$C2294&lt;=24.9,"Normal Weight",Healthcare!$C2294&gt;=25,"overweight",Healthcare!$C2294&gt;=30,"obese")</f>
        <v>overweight</v>
      </c>
      <c r="E2294" s="5">
        <v>6.08</v>
      </c>
      <c r="F2294" s="5" t="str" cm="1">
        <f t="array" ref="F2294">_xlfn.IFS(Healthcare!$E2294&lt;5.7,"normal",Healthcare!$E2294&lt;=6.4,"prediabetes",Healthcare!$E2294&gt;=6.5,"diabetes")</f>
        <v>prediabetes</v>
      </c>
      <c r="G2294" s="5" t="s">
        <v>19</v>
      </c>
      <c r="H2294" s="5" t="s">
        <v>20</v>
      </c>
      <c r="I2294" s="5" t="s">
        <v>19</v>
      </c>
      <c r="J2294" s="5">
        <v>1</v>
      </c>
      <c r="K2294" s="5" t="s">
        <v>19</v>
      </c>
      <c r="L2294" s="5" t="str">
        <f>VLOOKUP(Healthcare!$A2294,hospital_details,2,0)</f>
        <v>11-Jun-2004</v>
      </c>
      <c r="M2294" s="5">
        <f t="shared" ref="M2294:M2357" ca="1" si="13749">VLOOKUP(A2294,hospital_details,3,0)</f>
        <v>22</v>
      </c>
      <c r="N2294" s="5">
        <f t="shared" ref="N2294:N2357" si="13750">VLOOKUP($A2294,hospital_details,4,0)</f>
        <v>0</v>
      </c>
      <c r="O2294" s="6">
        <f t="shared" ref="O2294:O2357" si="13751">VLOOKUP($A2294,hospital_details,5,0)</f>
        <v>1135.94</v>
      </c>
      <c r="P2294" s="5" t="str">
        <f t="shared" ref="P2294:P2357" si="13752">VLOOKUP($A2294,hospital_details,6,0)</f>
        <v>tier - 3</v>
      </c>
      <c r="Q2294" s="5" t="str">
        <f t="shared" ref="Q2294:Q2357" si="13753">VLOOKUP($A2294,hospital_details,7,0)</f>
        <v>tier - 3</v>
      </c>
      <c r="R2294" s="5" t="str">
        <f t="shared" ref="R2294:R2357" si="13754">VLOOKUP($A2294,hospital_details,8,0)</f>
        <v>R1013</v>
      </c>
    </row>
    <row r="2295" spans="1:18" ht="14.4" customHeight="1" x14ac:dyDescent="0.3">
      <c r="A2295" s="7" t="s">
        <v>2315</v>
      </c>
      <c r="B2295" s="7" t="str">
        <f>VLOOKUP($A2295,[1]!Customer_Names[#Data],3,0)</f>
        <v xml:space="preserve">  Hope</v>
      </c>
      <c r="C2295" s="7">
        <v>21.84</v>
      </c>
      <c r="D2295" s="7" t="str" cm="1">
        <f t="array" ref="D2295">_xlfn.IFS(Healthcare!$C2295&lt;18.5,"under weight",Healthcare!$C2295&lt;=24.9,"Normal Weight",Healthcare!$C2295&gt;=25,"overweight",Healthcare!$C2295&gt;=30,"obese")</f>
        <v>Normal Weight</v>
      </c>
      <c r="E2295" s="7">
        <v>5.71</v>
      </c>
      <c r="F2295" s="7" t="str" cm="1">
        <f t="array" ref="F2295">_xlfn.IFS(Healthcare!$E2295&lt;5.7,"normal",Healthcare!$E2295&lt;=6.4,"prediabetes",Healthcare!$E2295&gt;=6.5,"diabetes")</f>
        <v>prediabetes</v>
      </c>
      <c r="G2295" s="7" t="s">
        <v>19</v>
      </c>
      <c r="H2295" s="7" t="s">
        <v>20</v>
      </c>
      <c r="I2295" s="7" t="s">
        <v>19</v>
      </c>
      <c r="J2295" s="7">
        <v>1</v>
      </c>
      <c r="K2295" s="7" t="s">
        <v>19</v>
      </c>
      <c r="L2295" s="7" t="str">
        <f>VLOOKUP(Healthcare!$A2295,hospital_details,2,0)</f>
        <v>6-Oct-2004</v>
      </c>
      <c r="M2295" s="7">
        <f t="shared" ref="M2295:M2358" ca="1" si="13755">VLOOKUP(A2295,hospital_details,3,0)</f>
        <v>22</v>
      </c>
      <c r="N2295" s="7">
        <f t="shared" ref="N2295:N2358" si="13756">VLOOKUP($A2295,hospital_details,4,0)</f>
        <v>0</v>
      </c>
      <c r="O2295" s="8">
        <f t="shared" ref="O2295:O2358" si="13757">VLOOKUP($A2295,hospital_details,5,0)</f>
        <v>1135</v>
      </c>
      <c r="P2295" s="7" t="str">
        <f t="shared" ref="P2295:P2358" si="13758">VLOOKUP($A2295,hospital_details,6,0)</f>
        <v>tier - 3</v>
      </c>
      <c r="Q2295" s="7" t="str">
        <f t="shared" ref="Q2295:Q2358" si="13759">VLOOKUP($A2295,hospital_details,7,0)</f>
        <v>tier - 3</v>
      </c>
      <c r="R2295" s="7" t="str">
        <f t="shared" ref="R2295:R2358" si="13760">VLOOKUP($A2295,hospital_details,8,0)</f>
        <v>R1013</v>
      </c>
    </row>
    <row r="2296" spans="1:18" ht="14.4" customHeight="1" x14ac:dyDescent="0.3">
      <c r="A2296" s="5" t="s">
        <v>2316</v>
      </c>
      <c r="B2296" s="5" t="str">
        <f>VLOOKUP($A2296,[1]!Customer_Names[#Data],3,0)</f>
        <v xml:space="preserve">  Josh</v>
      </c>
      <c r="C2296" s="5">
        <v>16.87</v>
      </c>
      <c r="D2296" s="5" t="str" cm="1">
        <f t="array" ref="D2296">_xlfn.IFS(Healthcare!$C2296&lt;18.5,"under weight",Healthcare!$C2296&lt;=24.9,"Normal Weight",Healthcare!$C2296&gt;=25,"overweight",Healthcare!$C2296&gt;=30,"obese")</f>
        <v>under weight</v>
      </c>
      <c r="E2296" s="5">
        <v>9.1300000000000008</v>
      </c>
      <c r="F2296" s="5" t="str" cm="1">
        <f t="array" ref="F2296">_xlfn.IFS(Healthcare!$E2296&lt;5.7,"normal",Healthcare!$E2296&lt;=6.4,"prediabetes",Healthcare!$E2296&gt;=6.5,"diabetes")</f>
        <v>diabetes</v>
      </c>
      <c r="G2296" s="5" t="s">
        <v>19</v>
      </c>
      <c r="H2296" s="5" t="s">
        <v>19</v>
      </c>
      <c r="I2296" s="5" t="s">
        <v>19</v>
      </c>
      <c r="J2296" s="5">
        <v>0</v>
      </c>
      <c r="K2296" s="5" t="s">
        <v>19</v>
      </c>
      <c r="L2296" s="5" t="str">
        <f>VLOOKUP(Healthcare!$A2296,hospital_details,2,0)</f>
        <v>19-Jul-2002</v>
      </c>
      <c r="M2296" s="5">
        <f t="shared" ref="M2296:M2359" ca="1" si="13761">VLOOKUP(A2296,hospital_details,3,0)</f>
        <v>24</v>
      </c>
      <c r="N2296" s="5">
        <f t="shared" ref="N2296:N2359" si="13762">VLOOKUP($A2296,hospital_details,4,0)</f>
        <v>0</v>
      </c>
      <c r="O2296" s="6">
        <f t="shared" ref="O2296:O2359" si="13763">VLOOKUP($A2296,hospital_details,5,0)</f>
        <v>1132</v>
      </c>
      <c r="P2296" s="5" t="str">
        <f t="shared" ref="P2296:P2359" si="13764">VLOOKUP($A2296,hospital_details,6,0)</f>
        <v>tier - 3</v>
      </c>
      <c r="Q2296" s="5" t="str">
        <f t="shared" ref="Q2296:Q2359" si="13765">VLOOKUP($A2296,hospital_details,7,0)</f>
        <v>tier - 1</v>
      </c>
      <c r="R2296" s="5" t="str">
        <f t="shared" ref="R2296:R2359" si="13766">VLOOKUP($A2296,hospital_details,8,0)</f>
        <v>R1013</v>
      </c>
    </row>
    <row r="2297" spans="1:18" ht="14.4" customHeight="1" x14ac:dyDescent="0.3">
      <c r="A2297" s="7" t="s">
        <v>2317</v>
      </c>
      <c r="B2297" s="7" t="str">
        <f>VLOOKUP($A2297,[1]!Customer_Names[#Data],3,0)</f>
        <v xml:space="preserve">  Jacob J</v>
      </c>
      <c r="C2297" s="7">
        <v>30.14</v>
      </c>
      <c r="D2297" s="7" t="str" cm="1">
        <f t="array" ref="D2297">_xlfn.IFS(Healthcare!$C2297&lt;18.5,"under weight",Healthcare!$C2297&lt;=24.9,"Normal Weight",Healthcare!$C2297&gt;=25,"overweight",Healthcare!$C2297&gt;=30,"obese")</f>
        <v>overweight</v>
      </c>
      <c r="E2297" s="7">
        <v>5.49</v>
      </c>
      <c r="F2297" s="7" t="str" cm="1">
        <f t="array" ref="F2297">_xlfn.IFS(Healthcare!$E2297&lt;5.7,"normal",Healthcare!$E2297&lt;=6.4,"prediabetes",Healthcare!$E2297&gt;=6.5,"diabetes")</f>
        <v>normal</v>
      </c>
      <c r="G2297" s="7" t="s">
        <v>19</v>
      </c>
      <c r="H2297" s="7" t="s">
        <v>20</v>
      </c>
      <c r="I2297" s="7" t="s">
        <v>19</v>
      </c>
      <c r="J2297" s="7">
        <v>1</v>
      </c>
      <c r="K2297" s="7" t="s">
        <v>19</v>
      </c>
      <c r="L2297" s="7" t="str">
        <f>VLOOKUP(Healthcare!$A2297,hospital_details,2,0)</f>
        <v>14-Jun-2004</v>
      </c>
      <c r="M2297" s="7">
        <f t="shared" ref="M2297:M2360" ca="1" si="13767">VLOOKUP(A2297,hospital_details,3,0)</f>
        <v>22</v>
      </c>
      <c r="N2297" s="7">
        <f t="shared" ref="N2297:N2360" si="13768">VLOOKUP($A2297,hospital_details,4,0)</f>
        <v>0</v>
      </c>
      <c r="O2297" s="8">
        <f t="shared" ref="O2297:O2360" si="13769">VLOOKUP($A2297,hospital_details,5,0)</f>
        <v>1131.51</v>
      </c>
      <c r="P2297" s="7" t="str">
        <f t="shared" ref="P2297:P2360" si="13770">VLOOKUP($A2297,hospital_details,6,0)</f>
        <v>tier - 3</v>
      </c>
      <c r="Q2297" s="7" t="str">
        <f t="shared" ref="Q2297:Q2360" si="13771">VLOOKUP($A2297,hospital_details,7,0)</f>
        <v>tier - 1</v>
      </c>
      <c r="R2297" s="7" t="str">
        <f t="shared" ref="R2297:R2360" si="13772">VLOOKUP($A2297,hospital_details,8,0)</f>
        <v>R1013</v>
      </c>
    </row>
    <row r="2298" spans="1:18" ht="14.4" customHeight="1" x14ac:dyDescent="0.3">
      <c r="A2298" s="5" t="s">
        <v>2318</v>
      </c>
      <c r="B2298" s="5" t="str">
        <f>VLOOKUP($A2298,[1]!Customer_Names[#Data],3,0)</f>
        <v xml:space="preserve">  Jose Tomas</v>
      </c>
      <c r="C2298" s="5">
        <v>23.21</v>
      </c>
      <c r="D2298" s="5" t="str" cm="1">
        <f t="array" ref="D2298">_xlfn.IFS(Healthcare!$C2298&lt;18.5,"under weight",Healthcare!$C2298&lt;=24.9,"Normal Weight",Healthcare!$C2298&gt;=25,"overweight",Healthcare!$C2298&gt;=30,"obese")</f>
        <v>Normal Weight</v>
      </c>
      <c r="E2298" s="5">
        <v>4.37</v>
      </c>
      <c r="F2298" s="5" t="str" cm="1">
        <f t="array" ref="F2298">_xlfn.IFS(Healthcare!$E2298&lt;5.7,"normal",Healthcare!$E2298&lt;=6.4,"prediabetes",Healthcare!$E2298&gt;=6.5,"diabetes")</f>
        <v>normal</v>
      </c>
      <c r="G2298" s="5" t="s">
        <v>19</v>
      </c>
      <c r="H2298" s="5" t="s">
        <v>20</v>
      </c>
      <c r="I2298" s="5" t="s">
        <v>19</v>
      </c>
      <c r="J2298" s="5">
        <v>1</v>
      </c>
      <c r="K2298" s="5" t="s">
        <v>19</v>
      </c>
      <c r="L2298" s="5" t="str">
        <f>VLOOKUP(Healthcare!$A2298,hospital_details,2,0)</f>
        <v>12-Nov-2004</v>
      </c>
      <c r="M2298" s="5">
        <f t="shared" ref="M2298:M2361" ca="1" si="13773">VLOOKUP(A2298,hospital_details,3,0)</f>
        <v>21</v>
      </c>
      <c r="N2298" s="5">
        <f t="shared" ref="N2298:N2361" si="13774">VLOOKUP($A2298,hospital_details,4,0)</f>
        <v>0</v>
      </c>
      <c r="O2298" s="6">
        <f t="shared" ref="O2298:O2361" si="13775">VLOOKUP($A2298,hospital_details,5,0)</f>
        <v>1121.8699999999999</v>
      </c>
      <c r="P2298" s="5" t="str">
        <f t="shared" ref="P2298:P2361" si="13776">VLOOKUP($A2298,hospital_details,6,0)</f>
        <v>tier - 3</v>
      </c>
      <c r="Q2298" s="5" t="str">
        <f t="shared" ref="Q2298:Q2361" si="13777">VLOOKUP($A2298,hospital_details,7,0)</f>
        <v>tier - 1</v>
      </c>
      <c r="R2298" s="5" t="str">
        <f t="shared" ref="R2298:R2361" si="13778">VLOOKUP($A2298,hospital_details,8,0)</f>
        <v>R1013</v>
      </c>
    </row>
    <row r="2299" spans="1:18" ht="14.4" customHeight="1" x14ac:dyDescent="0.3">
      <c r="A2299" s="7" t="s">
        <v>2319</v>
      </c>
      <c r="B2299" s="7" t="str">
        <f>VLOOKUP($A2299,[1]!Customer_Names[#Data],3,0)</f>
        <v xml:space="preserve">  Mary Evan</v>
      </c>
      <c r="C2299" s="7">
        <v>17.170000000000002</v>
      </c>
      <c r="D2299" s="7" t="str" cm="1">
        <f t="array" ref="D2299">_xlfn.IFS(Healthcare!$C2299&lt;18.5,"under weight",Healthcare!$C2299&lt;=24.9,"Normal Weight",Healthcare!$C2299&gt;=25,"overweight",Healthcare!$C2299&gt;=30,"obese")</f>
        <v>under weight</v>
      </c>
      <c r="E2299" s="7">
        <v>8.4600000000000009</v>
      </c>
      <c r="F2299" s="7" t="str" cm="1">
        <f t="array" ref="F2299">_xlfn.IFS(Healthcare!$E2299&lt;5.7,"normal",Healthcare!$E2299&lt;=6.4,"prediabetes",Healthcare!$E2299&gt;=6.5,"diabetes")</f>
        <v>diabetes</v>
      </c>
      <c r="G2299" s="7" t="s">
        <v>19</v>
      </c>
      <c r="H2299" s="7" t="s">
        <v>19</v>
      </c>
      <c r="I2299" s="7" t="s">
        <v>19</v>
      </c>
      <c r="J2299" s="7">
        <v>0</v>
      </c>
      <c r="K2299" s="7" t="s">
        <v>19</v>
      </c>
      <c r="L2299" s="7" t="str">
        <f>VLOOKUP(Healthcare!$A2299,hospital_details,2,0)</f>
        <v>13-Aug-2002</v>
      </c>
      <c r="M2299" s="7">
        <f t="shared" ref="M2299:M2362" ca="1" si="13779">VLOOKUP(A2299,hospital_details,3,0)</f>
        <v>24</v>
      </c>
      <c r="N2299" s="7">
        <f t="shared" ref="N2299:N2362" si="13780">VLOOKUP($A2299,hospital_details,4,0)</f>
        <v>0</v>
      </c>
      <c r="O2299" s="8">
        <f t="shared" ref="O2299:O2362" si="13781">VLOOKUP($A2299,hospital_details,5,0)</f>
        <v>1086</v>
      </c>
      <c r="P2299" s="7" t="str">
        <f t="shared" ref="P2299:P2362" si="13782">VLOOKUP($A2299,hospital_details,6,0)</f>
        <v>tier - 3</v>
      </c>
      <c r="Q2299" s="7" t="str">
        <f t="shared" ref="Q2299:Q2362" si="13783">VLOOKUP($A2299,hospital_details,7,0)</f>
        <v>tier - 3</v>
      </c>
      <c r="R2299" s="7" t="str">
        <f t="shared" ref="R2299:R2362" si="13784">VLOOKUP($A2299,hospital_details,8,0)</f>
        <v>R1013</v>
      </c>
    </row>
    <row r="2300" spans="1:18" ht="14.4" customHeight="1" x14ac:dyDescent="0.3">
      <c r="A2300" s="5" t="s">
        <v>2320</v>
      </c>
      <c r="B2300" s="5" t="str">
        <f>VLOOKUP($A2300,[1]!Customer_Names[#Data],3,0)</f>
        <v xml:space="preserve">  Justin K</v>
      </c>
      <c r="C2300" s="5">
        <v>15.61</v>
      </c>
      <c r="D2300" s="5" t="str" cm="1">
        <f t="array" ref="D2300">_xlfn.IFS(Healthcare!$C2300&lt;18.5,"under weight",Healthcare!$C2300&lt;=24.9,"Normal Weight",Healthcare!$C2300&gt;=25,"overweight",Healthcare!$C2300&gt;=30,"obese")</f>
        <v>under weight</v>
      </c>
      <c r="E2300" s="5">
        <v>5.28</v>
      </c>
      <c r="F2300" s="5" t="str" cm="1">
        <f t="array" ref="F2300">_xlfn.IFS(Healthcare!$E2300&lt;5.7,"normal",Healthcare!$E2300&lt;=6.4,"prediabetes",Healthcare!$E2300&gt;=6.5,"diabetes")</f>
        <v>normal</v>
      </c>
      <c r="G2300" s="5" t="s">
        <v>19</v>
      </c>
      <c r="H2300" s="5" t="s">
        <v>19</v>
      </c>
      <c r="I2300" s="5" t="s">
        <v>19</v>
      </c>
      <c r="J2300" s="5">
        <v>1</v>
      </c>
      <c r="K2300" s="5" t="s">
        <v>19</v>
      </c>
      <c r="L2300" s="5" t="str">
        <f>VLOOKUP(Healthcare!$A2300,hospital_details,2,0)</f>
        <v>26-Dec-1998</v>
      </c>
      <c r="M2300" s="5">
        <f t="shared" ref="M2300:M2363" ca="1" si="13785">VLOOKUP(A2300,hospital_details,3,0)</f>
        <v>27</v>
      </c>
      <c r="N2300" s="5">
        <f t="shared" ref="N2300:N2363" si="13786">VLOOKUP($A2300,hospital_details,4,0)</f>
        <v>0</v>
      </c>
      <c r="O2300" s="6">
        <f t="shared" ref="O2300:O2363" si="13787">VLOOKUP($A2300,hospital_details,5,0)</f>
        <v>1082</v>
      </c>
      <c r="P2300" s="5" t="str">
        <f t="shared" ref="P2300:P2363" si="13788">VLOOKUP($A2300,hospital_details,6,0)</f>
        <v>tier - 3</v>
      </c>
      <c r="Q2300" s="5" t="str">
        <f t="shared" ref="Q2300:Q2363" si="13789">VLOOKUP($A2300,hospital_details,7,0)</f>
        <v>tier - 2</v>
      </c>
      <c r="R2300" s="5" t="str">
        <f t="shared" ref="R2300:R2363" si="13790">VLOOKUP($A2300,hospital_details,8,0)</f>
        <v>R1013</v>
      </c>
    </row>
    <row r="2301" spans="1:18" ht="14.4" customHeight="1" x14ac:dyDescent="0.3">
      <c r="A2301" s="7" t="s">
        <v>2321</v>
      </c>
      <c r="B2301" s="7" t="str">
        <f>VLOOKUP($A2301,[1]!Customer_Names[#Data],3,0)</f>
        <v xml:space="preserve">  Patrick</v>
      </c>
      <c r="C2301" s="7">
        <v>17.98</v>
      </c>
      <c r="D2301" s="7" t="str" cm="1">
        <f t="array" ref="D2301">_xlfn.IFS(Healthcare!$C2301&lt;18.5,"under weight",Healthcare!$C2301&lt;=24.9,"Normal Weight",Healthcare!$C2301&gt;=25,"overweight",Healthcare!$C2301&gt;=30,"obese")</f>
        <v>under weight</v>
      </c>
      <c r="E2301" s="7">
        <v>5.33</v>
      </c>
      <c r="F2301" s="7" t="str" cm="1">
        <f t="array" ref="F2301">_xlfn.IFS(Healthcare!$E2301&lt;5.7,"normal",Healthcare!$E2301&lt;=6.4,"prediabetes",Healthcare!$E2301&gt;=6.5,"diabetes")</f>
        <v>normal</v>
      </c>
      <c r="G2301" s="7" t="s">
        <v>20</v>
      </c>
      <c r="H2301" s="7" t="s">
        <v>19</v>
      </c>
      <c r="I2301" s="7" t="s">
        <v>29</v>
      </c>
      <c r="J2301" s="7">
        <v>1</v>
      </c>
      <c r="K2301" s="7" t="s">
        <v>19</v>
      </c>
      <c r="L2301" s="7" t="str">
        <f>VLOOKUP(Healthcare!$A2301,hospital_details,2,0)</f>
        <v>13-Aug-1997</v>
      </c>
      <c r="M2301" s="7">
        <f t="shared" ref="M2301:M2364" ca="1" si="13791">VLOOKUP(A2301,hospital_details,3,0)</f>
        <v>29</v>
      </c>
      <c r="N2301" s="7">
        <f t="shared" ref="N2301:N2364" si="13792">VLOOKUP($A2301,hospital_details,4,0)</f>
        <v>0</v>
      </c>
      <c r="O2301" s="8">
        <f t="shared" ref="O2301:O2364" si="13793">VLOOKUP($A2301,hospital_details,5,0)</f>
        <v>1071</v>
      </c>
      <c r="P2301" s="7" t="str">
        <f t="shared" ref="P2301:P2364" si="13794">VLOOKUP($A2301,hospital_details,6,0)</f>
        <v>tier - 3</v>
      </c>
      <c r="Q2301" s="7" t="str">
        <f t="shared" ref="Q2301:Q2364" si="13795">VLOOKUP($A2301,hospital_details,7,0)</f>
        <v>tier - 3</v>
      </c>
      <c r="R2301" s="7" t="str">
        <f t="shared" ref="R2301:R2364" si="13796">VLOOKUP($A2301,hospital_details,8,0)</f>
        <v>R1013</v>
      </c>
    </row>
    <row r="2302" spans="1:18" ht="14.4" customHeight="1" x14ac:dyDescent="0.3">
      <c r="A2302" s="5" t="s">
        <v>2322</v>
      </c>
      <c r="B2302" s="5" t="str">
        <f>VLOOKUP($A2302,[1]!Customer_Names[#Data],3,0)</f>
        <v xml:space="preserve">  Roman</v>
      </c>
      <c r="C2302" s="5">
        <v>21.64</v>
      </c>
      <c r="D2302" s="5" t="str" cm="1">
        <f t="array" ref="D2302">_xlfn.IFS(Healthcare!$C2302&lt;18.5,"under weight",Healthcare!$C2302&lt;=24.9,"Normal Weight",Healthcare!$C2302&gt;=25,"overweight",Healthcare!$C2302&gt;=30,"obese")</f>
        <v>Normal Weight</v>
      </c>
      <c r="E2302" s="5">
        <v>5.5</v>
      </c>
      <c r="F2302" s="5" t="str" cm="1">
        <f t="array" ref="F2302">_xlfn.IFS(Healthcare!$E2302&lt;5.7,"normal",Healthcare!$E2302&lt;=6.4,"prediabetes",Healthcare!$E2302&gt;=6.5,"diabetes")</f>
        <v>normal</v>
      </c>
      <c r="G2302" s="5" t="s">
        <v>19</v>
      </c>
      <c r="H2302" s="5" t="s">
        <v>20</v>
      </c>
      <c r="I2302" s="5" t="s">
        <v>19</v>
      </c>
      <c r="J2302" s="5">
        <v>1</v>
      </c>
      <c r="K2302" s="5" t="s">
        <v>19</v>
      </c>
      <c r="L2302" s="5" t="str">
        <f>VLOOKUP(Healthcare!$A2302,hospital_details,2,0)</f>
        <v>24-Aug-2004</v>
      </c>
      <c r="M2302" s="5">
        <f t="shared" ref="M2302:M2365" ca="1" si="13797">VLOOKUP(A2302,hospital_details,3,0)</f>
        <v>22</v>
      </c>
      <c r="N2302" s="5">
        <f t="shared" ref="N2302:N2365" si="13798">VLOOKUP($A2302,hospital_details,4,0)</f>
        <v>0</v>
      </c>
      <c r="O2302" s="6">
        <f t="shared" ref="O2302:O2365" si="13799">VLOOKUP($A2302,hospital_details,5,0)</f>
        <v>1070</v>
      </c>
      <c r="P2302" s="5" t="str">
        <f t="shared" ref="P2302:P2365" si="13800">VLOOKUP($A2302,hospital_details,6,0)</f>
        <v>tier - 3</v>
      </c>
      <c r="Q2302" s="5" t="str">
        <f t="shared" ref="Q2302:Q2365" si="13801">VLOOKUP($A2302,hospital_details,7,0)</f>
        <v>tier - 3</v>
      </c>
      <c r="R2302" s="5" t="str">
        <f t="shared" ref="R2302:R2365" si="13802">VLOOKUP($A2302,hospital_details,8,0)</f>
        <v>R1013</v>
      </c>
    </row>
    <row r="2303" spans="1:18" ht="14.4" customHeight="1" x14ac:dyDescent="0.3">
      <c r="A2303" s="7" t="s">
        <v>2323</v>
      </c>
      <c r="B2303" s="7" t="str">
        <f>VLOOKUP($A2303,[1]!Customer_Names[#Data],3,0)</f>
        <v xml:space="preserve">  David</v>
      </c>
      <c r="C2303" s="7">
        <v>16.399999999999999</v>
      </c>
      <c r="D2303" s="7" t="str" cm="1">
        <f t="array" ref="D2303">_xlfn.IFS(Healthcare!$C2303&lt;18.5,"under weight",Healthcare!$C2303&lt;=24.9,"Normal Weight",Healthcare!$C2303&gt;=25,"overweight",Healthcare!$C2303&gt;=30,"obese")</f>
        <v>under weight</v>
      </c>
      <c r="E2303" s="7">
        <v>5.4</v>
      </c>
      <c r="F2303" s="7" t="str" cm="1">
        <f t="array" ref="F2303">_xlfn.IFS(Healthcare!$E2303&lt;5.7,"normal",Healthcare!$E2303&lt;=6.4,"prediabetes",Healthcare!$E2303&gt;=6.5,"diabetes")</f>
        <v>normal</v>
      </c>
      <c r="G2303" s="7" t="s">
        <v>19</v>
      </c>
      <c r="H2303" s="7" t="s">
        <v>19</v>
      </c>
      <c r="I2303" s="7" t="s">
        <v>29</v>
      </c>
      <c r="J2303" s="7">
        <v>1</v>
      </c>
      <c r="K2303" s="7" t="s">
        <v>19</v>
      </c>
      <c r="L2303" s="7" t="str">
        <f>VLOOKUP(Healthcare!$A2303,hospital_details,2,0)</f>
        <v>28-Sep-1993</v>
      </c>
      <c r="M2303" s="7">
        <f t="shared" ref="M2303:M2366" ca="1" si="13803">VLOOKUP(A2303,hospital_details,3,0)</f>
        <v>33</v>
      </c>
      <c r="N2303" s="7">
        <f t="shared" ref="N2303:N2366" si="13804">VLOOKUP($A2303,hospital_details,4,0)</f>
        <v>0</v>
      </c>
      <c r="O2303" s="8">
        <f t="shared" ref="O2303:O2366" si="13805">VLOOKUP($A2303,hospital_details,5,0)</f>
        <v>1068</v>
      </c>
      <c r="P2303" s="7" t="str">
        <f t="shared" ref="P2303:P2366" si="13806">VLOOKUP($A2303,hospital_details,6,0)</f>
        <v>tier - 3</v>
      </c>
      <c r="Q2303" s="7" t="str">
        <f t="shared" ref="Q2303:Q2366" si="13807">VLOOKUP($A2303,hospital_details,7,0)</f>
        <v>tier - 1</v>
      </c>
      <c r="R2303" s="7" t="str">
        <f t="shared" ref="R2303:R2366" si="13808">VLOOKUP($A2303,hospital_details,8,0)</f>
        <v>R1013</v>
      </c>
    </row>
    <row r="2304" spans="1:18" ht="14.4" customHeight="1" x14ac:dyDescent="0.3">
      <c r="A2304" s="5" t="s">
        <v>2324</v>
      </c>
      <c r="B2304" s="5" t="str">
        <f>VLOOKUP($A2304,[1]!Customer_Names[#Data],3,0)</f>
        <v xml:space="preserve">  Evelyn L</v>
      </c>
      <c r="C2304" s="5">
        <v>15.77</v>
      </c>
      <c r="D2304" s="5" t="str" cm="1">
        <f t="array" ref="D2304">_xlfn.IFS(Healthcare!$C2304&lt;18.5,"under weight",Healthcare!$C2304&lt;=24.9,"Normal Weight",Healthcare!$C2304&gt;=25,"overweight",Healthcare!$C2304&gt;=30,"obese")</f>
        <v>under weight</v>
      </c>
      <c r="E2304" s="5">
        <v>6.05</v>
      </c>
      <c r="F2304" s="5" t="str" cm="1">
        <f t="array" ref="F2304">_xlfn.IFS(Healthcare!$E2304&lt;5.7,"normal",Healthcare!$E2304&lt;=6.4,"prediabetes",Healthcare!$E2304&gt;=6.5,"diabetes")</f>
        <v>prediabetes</v>
      </c>
      <c r="G2304" s="5" t="s">
        <v>20</v>
      </c>
      <c r="H2304" s="5" t="s">
        <v>19</v>
      </c>
      <c r="I2304" s="5" t="s">
        <v>19</v>
      </c>
      <c r="J2304" s="5">
        <v>1</v>
      </c>
      <c r="K2304" s="5" t="s">
        <v>19</v>
      </c>
      <c r="L2304" s="5" t="str">
        <f>VLOOKUP(Healthcare!$A2304,hospital_details,2,0)</f>
        <v>1-Jun-1995</v>
      </c>
      <c r="M2304" s="5">
        <f t="shared" ref="M2304:M2367" ca="1" si="13809">VLOOKUP(A2304,hospital_details,3,0)</f>
        <v>31</v>
      </c>
      <c r="N2304" s="5">
        <f t="shared" ref="N2304:N2367" si="13810">VLOOKUP($A2304,hospital_details,4,0)</f>
        <v>0</v>
      </c>
      <c r="O2304" s="6">
        <f t="shared" ref="O2304:O2367" si="13811">VLOOKUP($A2304,hospital_details,5,0)</f>
        <v>1056</v>
      </c>
      <c r="P2304" s="5" t="str">
        <f t="shared" ref="P2304:P2367" si="13812">VLOOKUP($A2304,hospital_details,6,0)</f>
        <v>tier - 3</v>
      </c>
      <c r="Q2304" s="5" t="str">
        <f t="shared" ref="Q2304:Q2367" si="13813">VLOOKUP($A2304,hospital_details,7,0)</f>
        <v>tier - 2</v>
      </c>
      <c r="R2304" s="5" t="str">
        <f t="shared" ref="R2304:R2367" si="13814">VLOOKUP($A2304,hospital_details,8,0)</f>
        <v>R1013</v>
      </c>
    </row>
    <row r="2305" spans="1:18" ht="14.4" customHeight="1" x14ac:dyDescent="0.3">
      <c r="A2305" s="7" t="s">
        <v>2325</v>
      </c>
      <c r="B2305" s="7" t="str">
        <f>VLOOKUP($A2305,[1]!Customer_Names[#Data],3,0)</f>
        <v xml:space="preserve">  Jim</v>
      </c>
      <c r="C2305" s="7">
        <v>18.27</v>
      </c>
      <c r="D2305" s="7" t="str" cm="1">
        <f t="array" ref="D2305">_xlfn.IFS(Healthcare!$C2305&lt;18.5,"under weight",Healthcare!$C2305&lt;=24.9,"Normal Weight",Healthcare!$C2305&gt;=25,"overweight",Healthcare!$C2305&gt;=30,"obese")</f>
        <v>under weight</v>
      </c>
      <c r="E2305" s="7">
        <v>11.46</v>
      </c>
      <c r="F2305" s="7" t="str" cm="1">
        <f t="array" ref="F2305">_xlfn.IFS(Healthcare!$E2305&lt;5.7,"normal",Healthcare!$E2305&lt;=6.4,"prediabetes",Healthcare!$E2305&gt;=6.5,"diabetes")</f>
        <v>diabetes</v>
      </c>
      <c r="G2305" s="7" t="s">
        <v>19</v>
      </c>
      <c r="H2305" s="7" t="s">
        <v>19</v>
      </c>
      <c r="I2305" s="7" t="s">
        <v>19</v>
      </c>
      <c r="J2305" s="7">
        <v>0</v>
      </c>
      <c r="K2305" s="7" t="s">
        <v>19</v>
      </c>
      <c r="L2305" s="7" t="str">
        <f>VLOOKUP(Healthcare!$A2305,hospital_details,2,0)</f>
        <v>1-Jul-2002</v>
      </c>
      <c r="M2305" s="7">
        <f t="shared" ref="M2305:M2368" ca="1" si="13815">VLOOKUP(A2305,hospital_details,3,0)</f>
        <v>24</v>
      </c>
      <c r="N2305" s="7">
        <f t="shared" ref="N2305:N2368" si="13816">VLOOKUP($A2305,hospital_details,4,0)</f>
        <v>0</v>
      </c>
      <c r="O2305" s="8">
        <f t="shared" ref="O2305:O2368" si="13817">VLOOKUP($A2305,hospital_details,5,0)</f>
        <v>1049</v>
      </c>
      <c r="P2305" s="7" t="str">
        <f t="shared" ref="P2305:P2368" si="13818">VLOOKUP($A2305,hospital_details,6,0)</f>
        <v>tier - 3</v>
      </c>
      <c r="Q2305" s="7" t="str">
        <f t="shared" ref="Q2305:Q2368" si="13819">VLOOKUP($A2305,hospital_details,7,0)</f>
        <v>tier - 2</v>
      </c>
      <c r="R2305" s="7" t="str">
        <f t="shared" ref="R2305:R2368" si="13820">VLOOKUP($A2305,hospital_details,8,0)</f>
        <v>R1012</v>
      </c>
    </row>
    <row r="2306" spans="1:18" ht="14.4" customHeight="1" x14ac:dyDescent="0.3">
      <c r="A2306" s="5" t="s">
        <v>2326</v>
      </c>
      <c r="B2306" s="5" t="str">
        <f>VLOOKUP($A2306,[1]!Customer_Names[#Data],3,0)</f>
        <v xml:space="preserve">  Matthew S</v>
      </c>
      <c r="C2306" s="5">
        <v>16.489999999999998</v>
      </c>
      <c r="D2306" s="5" t="str" cm="1">
        <f t="array" ref="D2306">_xlfn.IFS(Healthcare!$C2306&lt;18.5,"under weight",Healthcare!$C2306&lt;=24.9,"Normal Weight",Healthcare!$C2306&gt;=25,"overweight",Healthcare!$C2306&gt;=30,"obese")</f>
        <v>under weight</v>
      </c>
      <c r="E2306" s="5">
        <v>8.48</v>
      </c>
      <c r="F2306" s="5" t="str" cm="1">
        <f t="array" ref="F2306">_xlfn.IFS(Healthcare!$E2306&lt;5.7,"normal",Healthcare!$E2306&lt;=6.4,"prediabetes",Healthcare!$E2306&gt;=6.5,"diabetes")</f>
        <v>diabetes</v>
      </c>
      <c r="G2306" s="5" t="s">
        <v>19</v>
      </c>
      <c r="H2306" s="5" t="s">
        <v>19</v>
      </c>
      <c r="I2306" s="5" t="s">
        <v>19</v>
      </c>
      <c r="J2306" s="5">
        <v>0</v>
      </c>
      <c r="K2306" s="5" t="s">
        <v>19</v>
      </c>
      <c r="L2306" s="5" t="str">
        <f>VLOOKUP(Healthcare!$A2306,hospital_details,2,0)</f>
        <v>20-Jul-2002</v>
      </c>
      <c r="M2306" s="5">
        <f t="shared" ref="M2306:M2336" ca="1" si="13821">VLOOKUP(A2306,hospital_details,3,0)</f>
        <v>24</v>
      </c>
      <c r="N2306" s="5">
        <f t="shared" ref="N2306:N2336" si="13822">VLOOKUP($A2306,hospital_details,4,0)</f>
        <v>0</v>
      </c>
      <c r="O2306" s="6">
        <f t="shared" ref="O2306:O2336" si="13823">VLOOKUP($A2306,hospital_details,5,0)</f>
        <v>1047</v>
      </c>
      <c r="P2306" s="5" t="str">
        <f t="shared" ref="P2306:P2336" si="13824">VLOOKUP($A2306,hospital_details,6,0)</f>
        <v>tier - 3</v>
      </c>
      <c r="Q2306" s="5" t="str">
        <f t="shared" ref="Q2306:Q2336" si="13825">VLOOKUP($A2306,hospital_details,7,0)</f>
        <v>tier - 1</v>
      </c>
      <c r="R2306" s="5" t="str">
        <f t="shared" ref="R2306:R2336" si="13826">VLOOKUP($A2306,hospital_details,8,0)</f>
        <v>R1013</v>
      </c>
    </row>
    <row r="2307" spans="1:18" ht="14.4" customHeight="1" x14ac:dyDescent="0.3">
      <c r="A2307" s="7" t="s">
        <v>2327</v>
      </c>
      <c r="B2307" s="7" t="str">
        <f>VLOOKUP($A2307,[1]!Customer_Names[#Data],3,0)</f>
        <v xml:space="preserve">  Kenneth</v>
      </c>
      <c r="C2307" s="7">
        <v>16.14</v>
      </c>
      <c r="D2307" s="7" t="str" cm="1">
        <f t="array" ref="D2307">_xlfn.IFS(Healthcare!$C2307&lt;18.5,"under weight",Healthcare!$C2307&lt;=24.9,"Normal Weight",Healthcare!$C2307&gt;=25,"overweight",Healthcare!$C2307&gt;=30,"obese")</f>
        <v>under weight</v>
      </c>
      <c r="E2307" s="7">
        <v>4.8600000000000003</v>
      </c>
      <c r="F2307" s="7" t="str" cm="1">
        <f t="array" ref="F2307">_xlfn.IFS(Healthcare!$E2307&lt;5.7,"normal",Healthcare!$E2307&lt;=6.4,"prediabetes",Healthcare!$E2307&gt;=6.5,"diabetes")</f>
        <v>normal</v>
      </c>
      <c r="G2307" s="7" t="s">
        <v>19</v>
      </c>
      <c r="H2307" s="7" t="s">
        <v>19</v>
      </c>
      <c r="I2307" s="7" t="s">
        <v>19</v>
      </c>
      <c r="J2307" s="7">
        <v>0</v>
      </c>
      <c r="K2307" s="7" t="s">
        <v>19</v>
      </c>
      <c r="L2307" s="7" t="str">
        <f>VLOOKUP(Healthcare!$A2307,hospital_details,2,0)</f>
        <v>17-Nov-1994</v>
      </c>
      <c r="M2307" s="7">
        <f t="shared" ref="M2307:M2337" ca="1" si="13827">VLOOKUP(A2307,hospital_details,3,0)</f>
        <v>31</v>
      </c>
      <c r="N2307" s="7">
        <f t="shared" ref="N2307:N2337" si="13828">VLOOKUP($A2307,hospital_details,4,0)</f>
        <v>0</v>
      </c>
      <c r="O2307" s="8">
        <f t="shared" ref="O2307:O2337" si="13829">VLOOKUP($A2307,hospital_details,5,0)</f>
        <v>1044</v>
      </c>
      <c r="P2307" s="7" t="str">
        <f t="shared" ref="P2307:P2337" si="13830">VLOOKUP($A2307,hospital_details,6,0)</f>
        <v>tier - 3</v>
      </c>
      <c r="Q2307" s="7" t="str">
        <f t="shared" ref="Q2307:Q2337" si="13831">VLOOKUP($A2307,hospital_details,7,0)</f>
        <v>tier - 2</v>
      </c>
      <c r="R2307" s="7" t="str">
        <f t="shared" ref="R2307:R2337" si="13832">VLOOKUP($A2307,hospital_details,8,0)</f>
        <v>R1013</v>
      </c>
    </row>
    <row r="2308" spans="1:18" ht="14.4" customHeight="1" x14ac:dyDescent="0.3">
      <c r="A2308" s="5" t="s">
        <v>2328</v>
      </c>
      <c r="B2308" s="5" t="str">
        <f>VLOOKUP($A2308,[1]!Customer_Names[#Data],3,0)</f>
        <v xml:space="preserve">  Andrea</v>
      </c>
      <c r="C2308" s="5">
        <v>20.85</v>
      </c>
      <c r="D2308" s="5" t="str" cm="1">
        <f t="array" ref="D2308">_xlfn.IFS(Healthcare!$C2308&lt;18.5,"under weight",Healthcare!$C2308&lt;=24.9,"Normal Weight",Healthcare!$C2308&gt;=25,"overweight",Healthcare!$C2308&gt;=30,"obese")</f>
        <v>Normal Weight</v>
      </c>
      <c r="E2308" s="5">
        <v>4.45</v>
      </c>
      <c r="F2308" s="5" t="str" cm="1">
        <f t="array" ref="F2308">_xlfn.IFS(Healthcare!$E2308&lt;5.7,"normal",Healthcare!$E2308&lt;=6.4,"prediabetes",Healthcare!$E2308&gt;=6.5,"diabetes")</f>
        <v>normal</v>
      </c>
      <c r="G2308" s="5" t="s">
        <v>20</v>
      </c>
      <c r="H2308" s="5" t="s">
        <v>19</v>
      </c>
      <c r="I2308" s="5" t="s">
        <v>19</v>
      </c>
      <c r="J2308" s="5">
        <v>1</v>
      </c>
      <c r="K2308" s="5" t="s">
        <v>19</v>
      </c>
      <c r="L2308" s="5" t="str">
        <f>VLOOKUP(Healthcare!$A2308,hospital_details,2,0)</f>
        <v>5-Oct-1995</v>
      </c>
      <c r="M2308" s="5">
        <f t="shared" ref="M2308:M2338" ca="1" si="13833">VLOOKUP(A2308,hospital_details,3,0)</f>
        <v>31</v>
      </c>
      <c r="N2308" s="5">
        <f t="shared" ref="N2308:N2338" si="13834">VLOOKUP($A2308,hospital_details,4,0)</f>
        <v>0</v>
      </c>
      <c r="O2308" s="6">
        <f t="shared" ref="O2308:O2338" si="13835">VLOOKUP($A2308,hospital_details,5,0)</f>
        <v>1033.74</v>
      </c>
      <c r="P2308" s="5" t="str">
        <f t="shared" ref="P2308:P2338" si="13836">VLOOKUP($A2308,hospital_details,6,0)</f>
        <v>tier - 3</v>
      </c>
      <c r="Q2308" s="5" t="str">
        <f t="shared" ref="Q2308:Q2338" si="13837">VLOOKUP($A2308,hospital_details,7,0)</f>
        <v>tier - 1</v>
      </c>
      <c r="R2308" s="5" t="str">
        <f t="shared" ref="R2308:R2338" si="13838">VLOOKUP($A2308,hospital_details,8,0)</f>
        <v>R1013</v>
      </c>
    </row>
    <row r="2309" spans="1:18" ht="14.4" customHeight="1" x14ac:dyDescent="0.3">
      <c r="A2309" s="7" t="s">
        <v>2329</v>
      </c>
      <c r="B2309" s="7" t="str">
        <f>VLOOKUP($A2309,[1]!Customer_Names[#Data],3,0)</f>
        <v xml:space="preserve">  Kristina</v>
      </c>
      <c r="C2309" s="7">
        <v>15.88</v>
      </c>
      <c r="D2309" s="7" t="str" cm="1">
        <f t="array" ref="D2309">_xlfn.IFS(Healthcare!$C2309&lt;18.5,"under weight",Healthcare!$C2309&lt;=24.9,"Normal Weight",Healthcare!$C2309&gt;=25,"overweight",Healthcare!$C2309&gt;=30,"obese")</f>
        <v>under weight</v>
      </c>
      <c r="E2309" s="7">
        <v>4.3600000000000003</v>
      </c>
      <c r="F2309" s="7" t="str" cm="1">
        <f t="array" ref="F2309">_xlfn.IFS(Healthcare!$E2309&lt;5.7,"normal",Healthcare!$E2309&lt;=6.4,"prediabetes",Healthcare!$E2309&gt;=6.5,"diabetes")</f>
        <v>normal</v>
      </c>
      <c r="G2309" s="7" t="s">
        <v>19</v>
      </c>
      <c r="H2309" s="7" t="s">
        <v>19</v>
      </c>
      <c r="I2309" s="7" t="s">
        <v>19</v>
      </c>
      <c r="J2309" s="7">
        <v>0</v>
      </c>
      <c r="K2309" s="7" t="s">
        <v>19</v>
      </c>
      <c r="L2309" s="7" t="str">
        <f>VLOOKUP(Healthcare!$A2309,hospital_details,2,0)</f>
        <v>5-Aug-1999</v>
      </c>
      <c r="M2309" s="7">
        <f t="shared" ref="M2309:M2339" ca="1" si="13839">VLOOKUP(A2309,hospital_details,3,0)</f>
        <v>27</v>
      </c>
      <c r="N2309" s="7">
        <f t="shared" ref="N2309:N2339" si="13840">VLOOKUP($A2309,hospital_details,4,0)</f>
        <v>0</v>
      </c>
      <c r="O2309" s="8">
        <f t="shared" ref="O2309:O2339" si="13841">VLOOKUP($A2309,hospital_details,5,0)</f>
        <v>1019</v>
      </c>
      <c r="P2309" s="7" t="str">
        <f t="shared" ref="P2309:P2339" si="13842">VLOOKUP($A2309,hospital_details,6,0)</f>
        <v>tier - 3</v>
      </c>
      <c r="Q2309" s="7" t="str">
        <f t="shared" ref="Q2309:Q2339" si="13843">VLOOKUP($A2309,hospital_details,7,0)</f>
        <v>tier - 2</v>
      </c>
      <c r="R2309" s="7" t="str">
        <f t="shared" ref="R2309:R2339" si="13844">VLOOKUP($A2309,hospital_details,8,0)</f>
        <v>R1013</v>
      </c>
    </row>
    <row r="2310" spans="1:18" ht="14.4" customHeight="1" x14ac:dyDescent="0.3">
      <c r="A2310" s="5" t="s">
        <v>2330</v>
      </c>
      <c r="B2310" s="5" t="str">
        <f>VLOOKUP($A2310,[1]!Customer_Names[#Data],3,0)</f>
        <v xml:space="preserve">  Kristen</v>
      </c>
      <c r="C2310" s="5">
        <v>20.66</v>
      </c>
      <c r="D2310" s="5" t="str" cm="1">
        <f t="array" ref="D2310">_xlfn.IFS(Healthcare!$C2310&lt;18.5,"under weight",Healthcare!$C2310&lt;=24.9,"Normal Weight",Healthcare!$C2310&gt;=25,"overweight",Healthcare!$C2310&gt;=30,"obese")</f>
        <v>Normal Weight</v>
      </c>
      <c r="E2310" s="5">
        <v>5.8</v>
      </c>
      <c r="F2310" s="5" t="str" cm="1">
        <f t="array" ref="F2310">_xlfn.IFS(Healthcare!$E2310&lt;5.7,"normal",Healthcare!$E2310&lt;=6.4,"prediabetes",Healthcare!$E2310&gt;=6.5,"diabetes")</f>
        <v>prediabetes</v>
      </c>
      <c r="G2310" s="5" t="s">
        <v>19</v>
      </c>
      <c r="H2310" s="5" t="s">
        <v>20</v>
      </c>
      <c r="I2310" s="5" t="s">
        <v>19</v>
      </c>
      <c r="J2310" s="5">
        <v>1</v>
      </c>
      <c r="K2310" s="5" t="s">
        <v>19</v>
      </c>
      <c r="L2310" s="5" t="str">
        <f>VLOOKUP(Healthcare!$A2310,hospital_details,2,0)</f>
        <v>9-Oct-2000</v>
      </c>
      <c r="M2310" s="5">
        <f t="shared" ref="M2310:M2340" ca="1" si="13845">VLOOKUP(A2310,hospital_details,3,0)</f>
        <v>26</v>
      </c>
      <c r="N2310" s="5">
        <f t="shared" ref="N2310:N2340" si="13846">VLOOKUP($A2310,hospital_details,4,0)</f>
        <v>0</v>
      </c>
      <c r="O2310" s="6">
        <f t="shared" ref="O2310:O2340" si="13847">VLOOKUP($A2310,hospital_details,5,0)</f>
        <v>1012</v>
      </c>
      <c r="P2310" s="5" t="str">
        <f t="shared" ref="P2310:P2340" si="13848">VLOOKUP($A2310,hospital_details,6,0)</f>
        <v>tier - 3</v>
      </c>
      <c r="Q2310" s="5" t="str">
        <f t="shared" ref="Q2310:Q2340" si="13849">VLOOKUP($A2310,hospital_details,7,0)</f>
        <v>tier - 2</v>
      </c>
      <c r="R2310" s="5" t="str">
        <f t="shared" ref="R2310:R2340" si="13850">VLOOKUP($A2310,hospital_details,8,0)</f>
        <v>R1013</v>
      </c>
    </row>
    <row r="2311" spans="1:18" ht="14.4" customHeight="1" x14ac:dyDescent="0.3">
      <c r="A2311" s="7" t="s">
        <v>2331</v>
      </c>
      <c r="B2311" s="7" t="str">
        <f>VLOOKUP($A2311,[1]!Customer_Names[#Data],3,0)</f>
        <v xml:space="preserve">  Matthew</v>
      </c>
      <c r="C2311" s="7">
        <v>20.399999999999999</v>
      </c>
      <c r="D2311" s="7" t="str" cm="1">
        <f t="array" ref="D2311">_xlfn.IFS(Healthcare!$C2311&lt;18.5,"under weight",Healthcare!$C2311&lt;=24.9,"Normal Weight",Healthcare!$C2311&gt;=25,"overweight",Healthcare!$C2311&gt;=30,"obese")</f>
        <v>Normal Weight</v>
      </c>
      <c r="E2311" s="7">
        <v>5.27</v>
      </c>
      <c r="F2311" s="7" t="str" cm="1">
        <f t="array" ref="F2311">_xlfn.IFS(Healthcare!$E2311&lt;5.7,"normal",Healthcare!$E2311&lt;=6.4,"prediabetes",Healthcare!$E2311&gt;=6.5,"diabetes")</f>
        <v>normal</v>
      </c>
      <c r="G2311" s="7" t="s">
        <v>19</v>
      </c>
      <c r="H2311" s="7" t="s">
        <v>19</v>
      </c>
      <c r="I2311" s="7" t="s">
        <v>19</v>
      </c>
      <c r="J2311" s="7">
        <v>0</v>
      </c>
      <c r="K2311" s="7" t="s">
        <v>19</v>
      </c>
      <c r="L2311" s="7" t="str">
        <f>VLOOKUP(Healthcare!$A2311,hospital_details,2,0)</f>
        <v>22-Nov-1994</v>
      </c>
      <c r="M2311" s="7">
        <f t="shared" ref="M2311:M2341" ca="1" si="13851">VLOOKUP(A2311,hospital_details,3,0)</f>
        <v>31</v>
      </c>
      <c r="N2311" s="7">
        <f t="shared" ref="N2311:N2341" si="13852">VLOOKUP($A2311,hospital_details,4,0)</f>
        <v>0</v>
      </c>
      <c r="O2311" s="8">
        <f t="shared" ref="O2311:O2341" si="13853">VLOOKUP($A2311,hospital_details,5,0)</f>
        <v>1006.65</v>
      </c>
      <c r="P2311" s="7" t="str">
        <f t="shared" ref="P2311:P2341" si="13854">VLOOKUP($A2311,hospital_details,6,0)</f>
        <v>tier - 3</v>
      </c>
      <c r="Q2311" s="7" t="str">
        <f t="shared" ref="Q2311:Q2341" si="13855">VLOOKUP($A2311,hospital_details,7,0)</f>
        <v>tier - 2</v>
      </c>
      <c r="R2311" s="7" t="str">
        <f t="shared" ref="R2311:R2341" si="13856">VLOOKUP($A2311,hospital_details,8,0)</f>
        <v>R1013</v>
      </c>
    </row>
    <row r="2312" spans="1:18" ht="14.4" customHeight="1" x14ac:dyDescent="0.3">
      <c r="A2312" s="5" t="s">
        <v>2332</v>
      </c>
      <c r="B2312" s="5" t="str">
        <f>VLOOKUP($A2312,[1]!Customer_Names[#Data],3,0)</f>
        <v xml:space="preserve">  Kathleen</v>
      </c>
      <c r="C2312" s="5">
        <v>25.19</v>
      </c>
      <c r="D2312" s="5" t="str" cm="1">
        <f t="array" ref="D2312">_xlfn.IFS(Healthcare!$C2312&lt;18.5,"under weight",Healthcare!$C2312&lt;=24.9,"Normal Weight",Healthcare!$C2312&gt;=25,"overweight",Healthcare!$C2312&gt;=30,"obese")</f>
        <v>overweight</v>
      </c>
      <c r="E2312" s="5">
        <v>5.64</v>
      </c>
      <c r="F2312" s="5" t="str" cm="1">
        <f t="array" ref="F2312">_xlfn.IFS(Healthcare!$E2312&lt;5.7,"normal",Healthcare!$E2312&lt;=6.4,"prediabetes",Healthcare!$E2312&gt;=6.5,"diabetes")</f>
        <v>normal</v>
      </c>
      <c r="G2312" s="5" t="s">
        <v>20</v>
      </c>
      <c r="H2312" s="5" t="s">
        <v>19</v>
      </c>
      <c r="I2312" s="5" t="s">
        <v>19</v>
      </c>
      <c r="J2312" s="5">
        <v>0</v>
      </c>
      <c r="K2312" s="5" t="s">
        <v>19</v>
      </c>
      <c r="L2312" s="5" t="str">
        <f>VLOOKUP(Healthcare!$A2312,hospital_details,2,0)</f>
        <v>19-Aug-2001</v>
      </c>
      <c r="M2312" s="5">
        <f t="shared" ref="M2312:M2342" ca="1" si="13857">VLOOKUP(A2312,hospital_details,3,0)</f>
        <v>25</v>
      </c>
      <c r="N2312" s="5">
        <f t="shared" ref="N2312:N2342" si="13858">VLOOKUP($A2312,hospital_details,4,0)</f>
        <v>0</v>
      </c>
      <c r="O2312" s="6">
        <f t="shared" ref="O2312:O2342" si="13859">VLOOKUP($A2312,hospital_details,5,0)</f>
        <v>964.71</v>
      </c>
      <c r="P2312" s="5" t="str">
        <f t="shared" ref="P2312:P2342" si="13860">VLOOKUP($A2312,hospital_details,6,0)</f>
        <v>tier - 3</v>
      </c>
      <c r="Q2312" s="5" t="str">
        <f t="shared" ref="Q2312:Q2342" si="13861">VLOOKUP($A2312,hospital_details,7,0)</f>
        <v>tier - 2</v>
      </c>
      <c r="R2312" s="5" t="str">
        <f t="shared" ref="R2312:R2342" si="13862">VLOOKUP($A2312,hospital_details,8,0)</f>
        <v>R1013</v>
      </c>
    </row>
    <row r="2313" spans="1:18" ht="14.4" customHeight="1" x14ac:dyDescent="0.3">
      <c r="A2313" s="7" t="s">
        <v>2333</v>
      </c>
      <c r="B2313" s="7" t="str">
        <f>VLOOKUP($A2313,[1]!Customer_Names[#Data],3,0)</f>
        <v xml:space="preserve">  Lindsey</v>
      </c>
      <c r="C2313" s="7">
        <v>20.54</v>
      </c>
      <c r="D2313" s="7" t="str" cm="1">
        <f t="array" ref="D2313">_xlfn.IFS(Healthcare!$C2313&lt;18.5,"under weight",Healthcare!$C2313&lt;=24.9,"Normal Weight",Healthcare!$C2313&gt;=25,"overweight",Healthcare!$C2313&gt;=30,"obese")</f>
        <v>Normal Weight</v>
      </c>
      <c r="E2313" s="7">
        <v>4.2</v>
      </c>
      <c r="F2313" s="7" t="str" cm="1">
        <f t="array" ref="F2313">_xlfn.IFS(Healthcare!$E2313&lt;5.7,"normal",Healthcare!$E2313&lt;=6.4,"prediabetes",Healthcare!$E2313&gt;=6.5,"diabetes")</f>
        <v>normal</v>
      </c>
      <c r="G2313" s="7" t="s">
        <v>20</v>
      </c>
      <c r="H2313" s="7" t="s">
        <v>19</v>
      </c>
      <c r="I2313" s="7" t="s">
        <v>19</v>
      </c>
      <c r="J2313" s="7">
        <v>1</v>
      </c>
      <c r="K2313" s="7" t="s">
        <v>19</v>
      </c>
      <c r="L2313" s="7" t="str">
        <f>VLOOKUP(Healthcare!$A2313,hospital_details,2,0)</f>
        <v>28-Oct-1995</v>
      </c>
      <c r="M2313" s="7">
        <f t="shared" ref="M2313:M2343" ca="1" si="13863">VLOOKUP(A2313,hospital_details,3,0)</f>
        <v>30</v>
      </c>
      <c r="N2313" s="7">
        <f t="shared" ref="N2313:N2343" si="13864">VLOOKUP($A2313,hospital_details,4,0)</f>
        <v>0</v>
      </c>
      <c r="O2313" s="8">
        <f t="shared" ref="O2313:O2343" si="13865">VLOOKUP($A2313,hospital_details,5,0)</f>
        <v>928.59</v>
      </c>
      <c r="P2313" s="7" t="str">
        <f t="shared" ref="P2313:P2343" si="13866">VLOOKUP($A2313,hospital_details,6,0)</f>
        <v>tier - 3</v>
      </c>
      <c r="Q2313" s="7" t="str">
        <f t="shared" ref="Q2313:Q2343" si="13867">VLOOKUP($A2313,hospital_details,7,0)</f>
        <v>tier - 1</v>
      </c>
      <c r="R2313" s="7" t="str">
        <f t="shared" ref="R2313:R2343" si="13868">VLOOKUP($A2313,hospital_details,8,0)</f>
        <v>R1013</v>
      </c>
    </row>
    <row r="2314" spans="1:18" ht="14.4" customHeight="1" x14ac:dyDescent="0.3">
      <c r="A2314" s="5" t="s">
        <v>2334</v>
      </c>
      <c r="B2314" s="5" t="str">
        <f>VLOOKUP($A2314,[1]!Customer_Names[#Data],3,0)</f>
        <v xml:space="preserve">  Robert</v>
      </c>
      <c r="C2314" s="5">
        <v>20.13</v>
      </c>
      <c r="D2314" s="5" t="str" cm="1">
        <f t="array" ref="D2314">_xlfn.IFS(Healthcare!$C2314&lt;18.5,"under weight",Healthcare!$C2314&lt;=24.9,"Normal Weight",Healthcare!$C2314&gt;=25,"overweight",Healthcare!$C2314&gt;=30,"obese")</f>
        <v>Normal Weight</v>
      </c>
      <c r="E2314" s="5">
        <v>5.42</v>
      </c>
      <c r="F2314" s="5" t="str" cm="1">
        <f t="array" ref="F2314">_xlfn.IFS(Healthcare!$E2314&lt;5.7,"normal",Healthcare!$E2314&lt;=6.4,"prediabetes",Healthcare!$E2314&gt;=6.5,"diabetes")</f>
        <v>normal</v>
      </c>
      <c r="G2314" s="5" t="s">
        <v>19</v>
      </c>
      <c r="H2314" s="5" t="s">
        <v>19</v>
      </c>
      <c r="I2314" s="5" t="s">
        <v>19</v>
      </c>
      <c r="J2314" s="5">
        <v>0</v>
      </c>
      <c r="K2314" s="5" t="s">
        <v>19</v>
      </c>
      <c r="L2314" s="5" t="str">
        <f>VLOOKUP(Healthcare!$A2314,hospital_details,2,0)</f>
        <v>30-Oct-1994</v>
      </c>
      <c r="M2314" s="5">
        <f t="shared" ref="M2314:M2344" ca="1" si="13869">VLOOKUP(A2314,hospital_details,3,0)</f>
        <v>31</v>
      </c>
      <c r="N2314" s="5">
        <f t="shared" ref="N2314:N2344" si="13870">VLOOKUP($A2314,hospital_details,4,0)</f>
        <v>0</v>
      </c>
      <c r="O2314" s="6">
        <f t="shared" ref="O2314:O2344" si="13871">VLOOKUP($A2314,hospital_details,5,0)</f>
        <v>915.07</v>
      </c>
      <c r="P2314" s="5" t="str">
        <f t="shared" ref="P2314:P2344" si="13872">VLOOKUP($A2314,hospital_details,6,0)</f>
        <v>tier - 3</v>
      </c>
      <c r="Q2314" s="5" t="str">
        <f t="shared" ref="Q2314:Q2344" si="13873">VLOOKUP($A2314,hospital_details,7,0)</f>
        <v>tier - 1</v>
      </c>
      <c r="R2314" s="5" t="str">
        <f t="shared" ref="R2314:R2344" si="13874">VLOOKUP($A2314,hospital_details,8,0)</f>
        <v>R1013</v>
      </c>
    </row>
    <row r="2315" spans="1:18" ht="14.4" customHeight="1" x14ac:dyDescent="0.3">
      <c r="A2315" s="7" t="s">
        <v>2335</v>
      </c>
      <c r="B2315" s="7" t="str">
        <f>VLOOKUP($A2315,[1]!Customer_Names[#Data],3,0)</f>
        <v xml:space="preserve">  Sarah E</v>
      </c>
      <c r="C2315" s="7">
        <v>18.93</v>
      </c>
      <c r="D2315" s="7" t="str" cm="1">
        <f t="array" ref="D2315">_xlfn.IFS(Healthcare!$C2315&lt;18.5,"under weight",Healthcare!$C2315&lt;=24.9,"Normal Weight",Healthcare!$C2315&gt;=25,"overweight",Healthcare!$C2315&gt;=30,"obese")</f>
        <v>Normal Weight</v>
      </c>
      <c r="E2315" s="7">
        <v>6.11</v>
      </c>
      <c r="F2315" s="7" t="str" cm="1">
        <f t="array" ref="F2315">_xlfn.IFS(Healthcare!$E2315&lt;5.7,"normal",Healthcare!$E2315&lt;=6.4,"prediabetes",Healthcare!$E2315&gt;=6.5,"diabetes")</f>
        <v>prediabetes</v>
      </c>
      <c r="G2315" s="7" t="s">
        <v>19</v>
      </c>
      <c r="H2315" s="7" t="s">
        <v>19</v>
      </c>
      <c r="I2315" s="7" t="s">
        <v>29</v>
      </c>
      <c r="J2315" s="7">
        <v>1</v>
      </c>
      <c r="K2315" s="7" t="s">
        <v>19</v>
      </c>
      <c r="L2315" s="7" t="str">
        <f>VLOOKUP(Healthcare!$A2315,hospital_details,2,0)</f>
        <v>27-Nov-1993</v>
      </c>
      <c r="M2315" s="7">
        <f t="shared" ref="M2315:M2345" ca="1" si="13875">VLOOKUP(A2315,hospital_details,3,0)</f>
        <v>32</v>
      </c>
      <c r="N2315" s="7">
        <f t="shared" ref="N2315:N2345" si="13876">VLOOKUP($A2315,hospital_details,4,0)</f>
        <v>0</v>
      </c>
      <c r="O2315" s="8">
        <f t="shared" ref="O2315:O2345" si="13877">VLOOKUP($A2315,hospital_details,5,0)</f>
        <v>896.21</v>
      </c>
      <c r="P2315" s="7" t="str">
        <f t="shared" ref="P2315:P2345" si="13878">VLOOKUP($A2315,hospital_details,6,0)</f>
        <v>tier - 3</v>
      </c>
      <c r="Q2315" s="7" t="str">
        <f t="shared" ref="Q2315:Q2345" si="13879">VLOOKUP($A2315,hospital_details,7,0)</f>
        <v>tier - 1</v>
      </c>
      <c r="R2315" s="7" t="str">
        <f t="shared" ref="R2315:R2345" si="13880">VLOOKUP($A2315,hospital_details,8,0)</f>
        <v>R1013</v>
      </c>
    </row>
    <row r="2316" spans="1:18" ht="14.4" customHeight="1" x14ac:dyDescent="0.3">
      <c r="A2316" s="5" t="s">
        <v>2336</v>
      </c>
      <c r="B2316" s="5" t="str">
        <f>VLOOKUP($A2316,[1]!Customer_Names[#Data],3,0)</f>
        <v xml:space="preserve">  Flannery</v>
      </c>
      <c r="C2316" s="5">
        <v>24.14</v>
      </c>
      <c r="D2316" s="5" t="str" cm="1">
        <f t="array" ref="D2316">_xlfn.IFS(Healthcare!$C2316&lt;18.5,"under weight",Healthcare!$C2316&lt;=24.9,"Normal Weight",Healthcare!$C2316&gt;=25,"overweight",Healthcare!$C2316&gt;=30,"obese")</f>
        <v>Normal Weight</v>
      </c>
      <c r="E2316" s="5">
        <v>5.29</v>
      </c>
      <c r="F2316" s="5" t="str" cm="1">
        <f t="array" ref="F2316">_xlfn.IFS(Healthcare!$E2316&lt;5.7,"normal",Healthcare!$E2316&lt;=6.4,"prediabetes",Healthcare!$E2316&gt;=6.5,"diabetes")</f>
        <v>normal</v>
      </c>
      <c r="G2316" s="5" t="s">
        <v>19</v>
      </c>
      <c r="H2316" s="5" t="s">
        <v>20</v>
      </c>
      <c r="I2316" s="5" t="s">
        <v>19</v>
      </c>
      <c r="J2316" s="5">
        <v>1</v>
      </c>
      <c r="K2316" s="5" t="s">
        <v>19</v>
      </c>
      <c r="L2316" s="5" t="str">
        <f>VLOOKUP(Healthcare!$A2316,hospital_details,2,0)</f>
        <v>18-Nov-2000</v>
      </c>
      <c r="M2316" s="5">
        <f t="shared" ref="M2316:M2346" ca="1" si="13881">VLOOKUP(A2316,hospital_details,3,0)</f>
        <v>25</v>
      </c>
      <c r="N2316" s="5">
        <f t="shared" ref="N2316:N2346" si="13882">VLOOKUP($A2316,hospital_details,4,0)</f>
        <v>0</v>
      </c>
      <c r="O2316" s="6">
        <f t="shared" ref="O2316:O2346" si="13883">VLOOKUP($A2316,hospital_details,5,0)</f>
        <v>865.41</v>
      </c>
      <c r="P2316" s="5" t="str">
        <f t="shared" ref="P2316:P2346" si="13884">VLOOKUP($A2316,hospital_details,6,0)</f>
        <v>tier - 3</v>
      </c>
      <c r="Q2316" s="5" t="str">
        <f t="shared" ref="Q2316:Q2346" si="13885">VLOOKUP($A2316,hospital_details,7,0)</f>
        <v>tier - 1</v>
      </c>
      <c r="R2316" s="5" t="str">
        <f t="shared" ref="R2316:R2346" si="13886">VLOOKUP($A2316,hospital_details,8,0)</f>
        <v>R1013</v>
      </c>
    </row>
    <row r="2317" spans="1:18" ht="14.4" customHeight="1" x14ac:dyDescent="0.3">
      <c r="A2317" s="7" t="s">
        <v>2337</v>
      </c>
      <c r="B2317" s="7" t="str">
        <f>VLOOKUP($A2317,[1]!Customer_Names[#Data],3,0)</f>
        <v xml:space="preserve">  John T</v>
      </c>
      <c r="C2317" s="7">
        <v>25.03</v>
      </c>
      <c r="D2317" s="7" t="str" cm="1">
        <f t="array" ref="D2317">_xlfn.IFS(Healthcare!$C2317&lt;18.5,"under weight",Healthcare!$C2317&lt;=24.9,"Normal Weight",Healthcare!$C2317&gt;=25,"overweight",Healthcare!$C2317&gt;=30,"obese")</f>
        <v>overweight</v>
      </c>
      <c r="E2317" s="7">
        <v>5.91</v>
      </c>
      <c r="F2317" s="7" t="str" cm="1">
        <f t="array" ref="F2317">_xlfn.IFS(Healthcare!$E2317&lt;5.7,"normal",Healthcare!$E2317&lt;=6.4,"prediabetes",Healthcare!$E2317&gt;=6.5,"diabetes")</f>
        <v>prediabetes</v>
      </c>
      <c r="G2317" s="7" t="s">
        <v>19</v>
      </c>
      <c r="H2317" s="7" t="s">
        <v>20</v>
      </c>
      <c r="I2317" s="7" t="s">
        <v>19</v>
      </c>
      <c r="J2317" s="7">
        <v>1</v>
      </c>
      <c r="K2317" s="7" t="s">
        <v>19</v>
      </c>
      <c r="L2317" s="7" t="str">
        <f>VLOOKUP(Healthcare!$A2317,hospital_details,2,0)</f>
        <v>7-Oct-2004</v>
      </c>
      <c r="M2317" s="7">
        <f t="shared" ref="M2317:M2347" ca="1" si="13887">VLOOKUP(A2317,hospital_details,3,0)</f>
        <v>22</v>
      </c>
      <c r="N2317" s="7">
        <f t="shared" ref="N2317:N2347" si="13888">VLOOKUP($A2317,hospital_details,4,0)</f>
        <v>0</v>
      </c>
      <c r="O2317" s="8">
        <f t="shared" ref="O2317:O2347" si="13889">VLOOKUP($A2317,hospital_details,5,0)</f>
        <v>830.52</v>
      </c>
      <c r="P2317" s="7" t="str">
        <f t="shared" ref="P2317:P2347" si="13890">VLOOKUP($A2317,hospital_details,6,0)</f>
        <v>tier - 3</v>
      </c>
      <c r="Q2317" s="7" t="str">
        <f t="shared" ref="Q2317:Q2347" si="13891">VLOOKUP($A2317,hospital_details,7,0)</f>
        <v>tier - 2</v>
      </c>
      <c r="R2317" s="7" t="str">
        <f t="shared" ref="R2317:R2347" si="13892">VLOOKUP($A2317,hospital_details,8,0)</f>
        <v>R1011</v>
      </c>
    </row>
    <row r="2318" spans="1:18" ht="14.4" customHeight="1" x14ac:dyDescent="0.3">
      <c r="A2318" s="5" t="s">
        <v>2338</v>
      </c>
      <c r="B2318" s="5" t="str">
        <f>VLOOKUP($A2318,[1]!Customer_Names[#Data],3,0)</f>
        <v xml:space="preserve">  Koji</v>
      </c>
      <c r="C2318" s="5">
        <v>20.47</v>
      </c>
      <c r="D2318" s="5" t="str" cm="1">
        <f t="array" ref="D2318">_xlfn.IFS(Healthcare!$C2318&lt;18.5,"under weight",Healthcare!$C2318&lt;=24.9,"Normal Weight",Healthcare!$C2318&gt;=25,"overweight",Healthcare!$C2318&gt;=30,"obese")</f>
        <v>Normal Weight</v>
      </c>
      <c r="E2318" s="5">
        <v>5.81</v>
      </c>
      <c r="F2318" s="5" t="str" cm="1">
        <f t="array" ref="F2318">_xlfn.IFS(Healthcare!$E2318&lt;5.7,"normal",Healthcare!$E2318&lt;=6.4,"prediabetes",Healthcare!$E2318&gt;=6.5,"diabetes")</f>
        <v>prediabetes</v>
      </c>
      <c r="G2318" s="5" t="s">
        <v>20</v>
      </c>
      <c r="H2318" s="5" t="s">
        <v>19</v>
      </c>
      <c r="I2318" s="5" t="s">
        <v>19</v>
      </c>
      <c r="J2318" s="5">
        <v>1</v>
      </c>
      <c r="K2318" s="5" t="s">
        <v>19</v>
      </c>
      <c r="L2318" s="5" t="str">
        <f>VLOOKUP(Healthcare!$A2318,hospital_details,2,0)</f>
        <v>7-Dec-1995</v>
      </c>
      <c r="M2318" s="5">
        <f t="shared" ref="M2318:M2348" ca="1" si="13893">VLOOKUP(A2318,hospital_details,3,0)</f>
        <v>30</v>
      </c>
      <c r="N2318" s="5">
        <f t="shared" ref="N2318:N2348" si="13894">VLOOKUP($A2318,hospital_details,4,0)</f>
        <v>0</v>
      </c>
      <c r="O2318" s="6">
        <f t="shared" ref="O2318:O2348" si="13895">VLOOKUP($A2318,hospital_details,5,0)</f>
        <v>773.54</v>
      </c>
      <c r="P2318" s="5" t="str">
        <f t="shared" ref="P2318:P2348" si="13896">VLOOKUP($A2318,hospital_details,6,0)</f>
        <v>tier - 3</v>
      </c>
      <c r="Q2318" s="5" t="str">
        <f t="shared" ref="Q2318:Q2348" si="13897">VLOOKUP($A2318,hospital_details,7,0)</f>
        <v>tier - 2</v>
      </c>
      <c r="R2318" s="5" t="str">
        <f t="shared" ref="R2318:R2348" si="13898">VLOOKUP($A2318,hospital_details,8,0)</f>
        <v>R1013</v>
      </c>
    </row>
    <row r="2319" spans="1:18" ht="14.4" customHeight="1" x14ac:dyDescent="0.3">
      <c r="A2319" s="7" t="s">
        <v>2339</v>
      </c>
      <c r="B2319" s="7" t="str">
        <f>VLOOKUP($A2319,[1]!Customer_Names[#Data],3,0)</f>
        <v xml:space="preserve">  Candice M</v>
      </c>
      <c r="C2319" s="7">
        <v>18.82</v>
      </c>
      <c r="D2319" s="7" t="str" cm="1">
        <f t="array" ref="D2319">_xlfn.IFS(Healthcare!$C2319&lt;18.5,"under weight",Healthcare!$C2319&lt;=24.9,"Normal Weight",Healthcare!$C2319&gt;=25,"overweight",Healthcare!$C2319&gt;=30,"obese")</f>
        <v>Normal Weight</v>
      </c>
      <c r="E2319" s="7">
        <v>5.51</v>
      </c>
      <c r="F2319" s="7" t="str" cm="1">
        <f t="array" ref="F2319">_xlfn.IFS(Healthcare!$E2319&lt;5.7,"normal",Healthcare!$E2319&lt;=6.4,"prediabetes",Healthcare!$E2319&gt;=6.5,"diabetes")</f>
        <v>normal</v>
      </c>
      <c r="G2319" s="7" t="s">
        <v>20</v>
      </c>
      <c r="H2319" s="7" t="s">
        <v>19</v>
      </c>
      <c r="I2319" s="7" t="s">
        <v>19</v>
      </c>
      <c r="J2319" s="7">
        <v>0</v>
      </c>
      <c r="K2319" s="7" t="s">
        <v>19</v>
      </c>
      <c r="L2319" s="7" t="str">
        <f>VLOOKUP(Healthcare!$A2319,hospital_details,2,0)</f>
        <v>18-sep-1996</v>
      </c>
      <c r="M2319" s="7">
        <f t="shared" ref="M2319:M2349" ca="1" si="13899">VLOOKUP(A2319,hospital_details,3,0)</f>
        <v>30</v>
      </c>
      <c r="N2319" s="7">
        <f t="shared" ref="N2319:N2349" si="13900">VLOOKUP($A2319,hospital_details,4,0)</f>
        <v>0</v>
      </c>
      <c r="O2319" s="8">
        <f t="shared" ref="O2319:O2349" si="13901">VLOOKUP($A2319,hospital_details,5,0)</f>
        <v>770.38</v>
      </c>
      <c r="P2319" s="7" t="str">
        <f t="shared" ref="P2319:P2349" si="13902">VLOOKUP($A2319,hospital_details,6,0)</f>
        <v>tier - 3</v>
      </c>
      <c r="Q2319" s="7" t="str">
        <f t="shared" ref="Q2319:Q2349" si="13903">VLOOKUP($A2319,hospital_details,7,0)</f>
        <v>unknown</v>
      </c>
      <c r="R2319" s="7" t="str">
        <f t="shared" ref="R2319:R2349" si="13904">VLOOKUP($A2319,hospital_details,8,0)</f>
        <v>R1012</v>
      </c>
    </row>
    <row r="2320" spans="1:18" ht="14.4" customHeight="1" x14ac:dyDescent="0.3">
      <c r="A2320" s="5" t="s">
        <v>2340</v>
      </c>
      <c r="B2320" s="5" t="str">
        <f>VLOOKUP($A2320,[1]!Customer_Names[#Data],3,0)</f>
        <v xml:space="preserve">  Theodore A</v>
      </c>
      <c r="C2320" s="5">
        <v>17.079999999999998</v>
      </c>
      <c r="D2320" s="5" t="str" cm="1">
        <f t="array" ref="D2320">_xlfn.IFS(Healthcare!$C2320&lt;18.5,"under weight",Healthcare!$C2320&lt;=24.9,"Normal Weight",Healthcare!$C2320&gt;=25,"overweight",Healthcare!$C2320&gt;=30,"obese")</f>
        <v>under weight</v>
      </c>
      <c r="E2320" s="5">
        <v>5.73</v>
      </c>
      <c r="F2320" s="5" t="str" cm="1">
        <f t="array" ref="F2320">_xlfn.IFS(Healthcare!$E2320&lt;5.7,"normal",Healthcare!$E2320&lt;=6.4,"prediabetes",Healthcare!$E2320&gt;=6.5,"diabetes")</f>
        <v>prediabetes</v>
      </c>
      <c r="G2320" s="5" t="s">
        <v>19</v>
      </c>
      <c r="H2320" s="5" t="s">
        <v>19</v>
      </c>
      <c r="I2320" s="5" t="s">
        <v>29</v>
      </c>
      <c r="J2320" s="5">
        <v>1</v>
      </c>
      <c r="K2320" s="5" t="s">
        <v>19</v>
      </c>
      <c r="L2320" s="5" t="str">
        <f>VLOOKUP(Healthcare!$A2320,hospital_details,2,0)</f>
        <v>28-Jun-1993</v>
      </c>
      <c r="M2320" s="5">
        <f t="shared" ref="M2320:M2350" ca="1" si="13905">VLOOKUP(A2320,hospital_details,3,0)</f>
        <v>33</v>
      </c>
      <c r="N2320" s="5">
        <f t="shared" ref="N2320:N2350" si="13906">VLOOKUP($A2320,hospital_details,4,0)</f>
        <v>0</v>
      </c>
      <c r="O2320" s="6">
        <f t="shared" ref="O2320:O2350" si="13907">VLOOKUP($A2320,hospital_details,5,0)</f>
        <v>770</v>
      </c>
      <c r="P2320" s="5" t="str">
        <f t="shared" ref="P2320:P2350" si="13908">VLOOKUP($A2320,hospital_details,6,0)</f>
        <v>tier - 3</v>
      </c>
      <c r="Q2320" s="5" t="str">
        <f t="shared" ref="Q2320:Q2350" si="13909">VLOOKUP($A2320,hospital_details,7,0)</f>
        <v>tier - 3</v>
      </c>
      <c r="R2320" s="5" t="str">
        <f t="shared" ref="R2320:R2350" si="13910">VLOOKUP($A2320,hospital_details,8,0)</f>
        <v>R1013</v>
      </c>
    </row>
    <row r="2321" spans="1:18" ht="14.4" customHeight="1" x14ac:dyDescent="0.3">
      <c r="A2321" s="7" t="s">
        <v>2341</v>
      </c>
      <c r="B2321" s="7" t="str">
        <f>VLOOKUP($A2321,[1]!Customer_Names[#Data],3,0)</f>
        <v xml:space="preserve">  Lindy</v>
      </c>
      <c r="C2321" s="7">
        <v>19.21</v>
      </c>
      <c r="D2321" s="7" t="str" cm="1">
        <f t="array" ref="D2321">_xlfn.IFS(Healthcare!$C2321&lt;18.5,"under weight",Healthcare!$C2321&lt;=24.9,"Normal Weight",Healthcare!$C2321&gt;=25,"overweight",Healthcare!$C2321&gt;=30,"obese")</f>
        <v>Normal Weight</v>
      </c>
      <c r="E2321" s="7">
        <v>5.53</v>
      </c>
      <c r="F2321" s="7" t="str" cm="1">
        <f t="array" ref="F2321">_xlfn.IFS(Healthcare!$E2321&lt;5.7,"normal",Healthcare!$E2321&lt;=6.4,"prediabetes",Healthcare!$E2321&gt;=6.5,"diabetes")</f>
        <v>normal</v>
      </c>
      <c r="G2321" s="7" t="s">
        <v>20</v>
      </c>
      <c r="H2321" s="7" t="s">
        <v>19</v>
      </c>
      <c r="I2321" s="7" t="s">
        <v>19</v>
      </c>
      <c r="J2321" s="7">
        <v>0</v>
      </c>
      <c r="K2321" s="7" t="s">
        <v>19</v>
      </c>
      <c r="L2321" s="7" t="str">
        <f>VLOOKUP(Healthcare!$A2321,hospital_details,2,0)</f>
        <v>22-Oct-1996</v>
      </c>
      <c r="M2321" s="7">
        <f t="shared" ref="M2321:M2351" ca="1" si="13911">VLOOKUP(A2321,hospital_details,3,0)</f>
        <v>29</v>
      </c>
      <c r="N2321" s="7">
        <f t="shared" ref="N2321:N2351" si="13912">VLOOKUP($A2321,hospital_details,4,0)</f>
        <v>0</v>
      </c>
      <c r="O2321" s="8">
        <f t="shared" ref="O2321:O2351" si="13913">VLOOKUP($A2321,hospital_details,5,0)</f>
        <v>760</v>
      </c>
      <c r="P2321" s="7" t="str">
        <f t="shared" ref="P2321:P2351" si="13914">VLOOKUP($A2321,hospital_details,6,0)</f>
        <v>tier - 3</v>
      </c>
      <c r="Q2321" s="7" t="str">
        <f t="shared" ref="Q2321:Q2351" si="13915">VLOOKUP($A2321,hospital_details,7,0)</f>
        <v>tier - 3</v>
      </c>
      <c r="R2321" s="7" t="str">
        <f t="shared" ref="R2321:R2351" si="13916">VLOOKUP($A2321,hospital_details,8,0)</f>
        <v>R1013</v>
      </c>
    </row>
    <row r="2322" spans="1:18" ht="14.4" customHeight="1" x14ac:dyDescent="0.3">
      <c r="A2322" s="5" t="s">
        <v>2342</v>
      </c>
      <c r="B2322" s="5" t="str">
        <f>VLOOKUP($A2322,[1]!Customer_Names[#Data],3,0)</f>
        <v xml:space="preserve">  Thomas</v>
      </c>
      <c r="C2322" s="5">
        <v>17.86</v>
      </c>
      <c r="D2322" s="5" t="str" cm="1">
        <f t="array" ref="D2322">_xlfn.IFS(Healthcare!$C2322&lt;18.5,"under weight",Healthcare!$C2322&lt;=24.9,"Normal Weight",Healthcare!$C2322&gt;=25,"overweight",Healthcare!$C2322&gt;=30,"obese")</f>
        <v>under weight</v>
      </c>
      <c r="E2322" s="5">
        <v>5.43</v>
      </c>
      <c r="F2322" s="5" t="str" cm="1">
        <f t="array" ref="F2322">_xlfn.IFS(Healthcare!$E2322&lt;5.7,"normal",Healthcare!$E2322&lt;=6.4,"prediabetes",Healthcare!$E2322&gt;=6.5,"diabetes")</f>
        <v>normal</v>
      </c>
      <c r="G2322" s="5" t="s">
        <v>19</v>
      </c>
      <c r="H2322" s="5" t="s">
        <v>19</v>
      </c>
      <c r="I2322" s="5" t="s">
        <v>29</v>
      </c>
      <c r="J2322" s="5">
        <v>1</v>
      </c>
      <c r="K2322" s="5" t="s">
        <v>19</v>
      </c>
      <c r="L2322" s="5" t="str">
        <f>VLOOKUP(Healthcare!$A2322,hospital_details,2,0)</f>
        <v>9-Aug-1993</v>
      </c>
      <c r="M2322" s="5">
        <f t="shared" ref="M2322:M2352" ca="1" si="13917">VLOOKUP(A2322,hospital_details,3,0)</f>
        <v>33</v>
      </c>
      <c r="N2322" s="5">
        <f t="shared" ref="N2322:N2352" si="13918">VLOOKUP($A2322,hospital_details,4,0)</f>
        <v>0</v>
      </c>
      <c r="O2322" s="6">
        <f t="shared" ref="O2322:O2352" si="13919">VLOOKUP($A2322,hospital_details,5,0)</f>
        <v>760</v>
      </c>
      <c r="P2322" s="5" t="str">
        <f t="shared" ref="P2322:P2352" si="13920">VLOOKUP($A2322,hospital_details,6,0)</f>
        <v>tier - 3</v>
      </c>
      <c r="Q2322" s="5" t="str">
        <f t="shared" ref="Q2322:Q2352" si="13921">VLOOKUP($A2322,hospital_details,7,0)</f>
        <v>tier - 1</v>
      </c>
      <c r="R2322" s="5" t="str">
        <f t="shared" ref="R2322:R2352" si="13922">VLOOKUP($A2322,hospital_details,8,0)</f>
        <v>R1013</v>
      </c>
    </row>
    <row r="2323" spans="1:18" ht="14.4" customHeight="1" x14ac:dyDescent="0.3">
      <c r="A2323" s="7" t="s">
        <v>2343</v>
      </c>
      <c r="B2323" s="7" t="str">
        <f>VLOOKUP($A2323,[1]!Customer_Names[#Data],3,0)</f>
        <v xml:space="preserve">  Holly</v>
      </c>
      <c r="C2323" s="7">
        <v>21.38</v>
      </c>
      <c r="D2323" s="7" t="str" cm="1">
        <f t="array" ref="D2323">_xlfn.IFS(Healthcare!$C2323&lt;18.5,"under weight",Healthcare!$C2323&lt;=24.9,"Normal Weight",Healthcare!$C2323&gt;=25,"overweight",Healthcare!$C2323&gt;=30,"obese")</f>
        <v>Normal Weight</v>
      </c>
      <c r="E2323" s="7">
        <v>8.01</v>
      </c>
      <c r="F2323" s="7" t="str" cm="1">
        <f t="array" ref="F2323">_xlfn.IFS(Healthcare!$E2323&lt;5.7,"normal",Healthcare!$E2323&lt;=6.4,"prediabetes",Healthcare!$E2323&gt;=6.5,"diabetes")</f>
        <v>diabetes</v>
      </c>
      <c r="G2323" s="7" t="s">
        <v>19</v>
      </c>
      <c r="H2323" s="7" t="s">
        <v>19</v>
      </c>
      <c r="I2323" s="7" t="s">
        <v>19</v>
      </c>
      <c r="J2323" s="7">
        <v>0</v>
      </c>
      <c r="K2323" s="7" t="s">
        <v>19</v>
      </c>
      <c r="L2323" s="7" t="str">
        <f>VLOOKUP(Healthcare!$A2323,hospital_details,2,0)</f>
        <v>19-sep-2002</v>
      </c>
      <c r="M2323" s="7">
        <f t="shared" ref="M2323:M2353" ca="1" si="13923">VLOOKUP(A2323,hospital_details,3,0)</f>
        <v>24</v>
      </c>
      <c r="N2323" s="7">
        <f t="shared" ref="N2323:N2353" si="13924">VLOOKUP($A2323,hospital_details,4,0)</f>
        <v>0</v>
      </c>
      <c r="O2323" s="8">
        <f t="shared" ref="O2323:O2353" si="13925">VLOOKUP($A2323,hospital_details,5,0)</f>
        <v>750</v>
      </c>
      <c r="P2323" s="7" t="str">
        <f t="shared" ref="P2323:P2353" si="13926">VLOOKUP($A2323,hospital_details,6,0)</f>
        <v>tier - 3</v>
      </c>
      <c r="Q2323" s="7" t="str">
        <f t="shared" ref="Q2323:Q2353" si="13927">VLOOKUP($A2323,hospital_details,7,0)</f>
        <v>tier - 1</v>
      </c>
      <c r="R2323" s="7" t="str">
        <f t="shared" ref="R2323:R2353" si="13928">VLOOKUP($A2323,hospital_details,8,0)</f>
        <v>R1012</v>
      </c>
    </row>
    <row r="2324" spans="1:18" ht="14.4" customHeight="1" x14ac:dyDescent="0.3">
      <c r="A2324" s="5" t="s">
        <v>2344</v>
      </c>
      <c r="B2324" s="5" t="str">
        <f>VLOOKUP($A2324,[1]!Customer_Names[#Data],3,0)</f>
        <v xml:space="preserve">  Matthew</v>
      </c>
      <c r="C2324" s="5">
        <v>23.35</v>
      </c>
      <c r="D2324" s="5" t="str" cm="1">
        <f t="array" ref="D2324">_xlfn.IFS(Healthcare!$C2324&lt;18.5,"under weight",Healthcare!$C2324&lt;=24.9,"Normal Weight",Healthcare!$C2324&gt;=25,"overweight",Healthcare!$C2324&gt;=30,"obese")</f>
        <v>Normal Weight</v>
      </c>
      <c r="E2324" s="5">
        <v>5.94</v>
      </c>
      <c r="F2324" s="5" t="str" cm="1">
        <f t="array" ref="F2324">_xlfn.IFS(Healthcare!$E2324&lt;5.7,"normal",Healthcare!$E2324&lt;=6.4,"prediabetes",Healthcare!$E2324&gt;=6.5,"diabetes")</f>
        <v>prediabetes</v>
      </c>
      <c r="G2324" s="5" t="s">
        <v>19</v>
      </c>
      <c r="H2324" s="5" t="s">
        <v>19</v>
      </c>
      <c r="I2324" s="5" t="s">
        <v>19</v>
      </c>
      <c r="J2324" s="5">
        <v>0</v>
      </c>
      <c r="K2324" s="5" t="s">
        <v>19</v>
      </c>
      <c r="L2324" s="5" t="str">
        <f>VLOOKUP(Healthcare!$A2324,hospital_details,2,0)</f>
        <v>14-Dec-1999</v>
      </c>
      <c r="M2324" s="5">
        <f t="shared" ref="M2324:M2354" ca="1" si="13929">VLOOKUP(A2324,hospital_details,3,0)</f>
        <v>26</v>
      </c>
      <c r="N2324" s="5">
        <f t="shared" ref="N2324:N2354" si="13930">VLOOKUP($A2324,hospital_details,4,0)</f>
        <v>0</v>
      </c>
      <c r="O2324" s="6">
        <f t="shared" ref="O2324:O2354" si="13931">VLOOKUP($A2324,hospital_details,5,0)</f>
        <v>722.99</v>
      </c>
      <c r="P2324" s="5" t="str">
        <f t="shared" ref="P2324:P2354" si="13932">VLOOKUP($A2324,hospital_details,6,0)</f>
        <v>tier - 3</v>
      </c>
      <c r="Q2324" s="5" t="str">
        <f t="shared" ref="Q2324:Q2354" si="13933">VLOOKUP($A2324,hospital_details,7,0)</f>
        <v>tier - 1</v>
      </c>
      <c r="R2324" s="5" t="str">
        <f t="shared" ref="R2324:R2354" si="13934">VLOOKUP($A2324,hospital_details,8,0)</f>
        <v>R1013</v>
      </c>
    </row>
    <row r="2325" spans="1:18" ht="14.4" customHeight="1" x14ac:dyDescent="0.3">
      <c r="A2325" s="7" t="s">
        <v>2345</v>
      </c>
      <c r="B2325" s="7" t="str">
        <f>VLOOKUP($A2325,[1]!Customer_Names[#Data],3,0)</f>
        <v xml:space="preserve">  Meghan K</v>
      </c>
      <c r="C2325" s="7">
        <v>22.24</v>
      </c>
      <c r="D2325" s="7" t="str" cm="1">
        <f t="array" ref="D2325">_xlfn.IFS(Healthcare!$C2325&lt;18.5,"under weight",Healthcare!$C2325&lt;=24.9,"Normal Weight",Healthcare!$C2325&gt;=25,"overweight",Healthcare!$C2325&gt;=30,"obese")</f>
        <v>Normal Weight</v>
      </c>
      <c r="E2325" s="7">
        <v>5.04</v>
      </c>
      <c r="F2325" s="7" t="str" cm="1">
        <f t="array" ref="F2325">_xlfn.IFS(Healthcare!$E2325&lt;5.7,"normal",Healthcare!$E2325&lt;=6.4,"prediabetes",Healthcare!$E2325&gt;=6.5,"diabetes")</f>
        <v>normal</v>
      </c>
      <c r="G2325" s="7" t="s">
        <v>19</v>
      </c>
      <c r="H2325" s="7" t="s">
        <v>19</v>
      </c>
      <c r="I2325" s="7" t="s">
        <v>19</v>
      </c>
      <c r="J2325" s="7">
        <v>0</v>
      </c>
      <c r="K2325" s="7" t="s">
        <v>19</v>
      </c>
      <c r="L2325" s="7" t="str">
        <f>VLOOKUP(Healthcare!$A2325,hospital_details,2,0)</f>
        <v>26-Dec-1999</v>
      </c>
      <c r="M2325" s="7">
        <f t="shared" ref="M2325:M2355" ca="1" si="13935">VLOOKUP(A2325,hospital_details,3,0)</f>
        <v>26</v>
      </c>
      <c r="N2325" s="7">
        <f t="shared" ref="N2325:N2355" si="13936">VLOOKUP($A2325,hospital_details,4,0)</f>
        <v>0</v>
      </c>
      <c r="O2325" s="8">
        <f t="shared" ref="O2325:O2355" si="13937">VLOOKUP($A2325,hospital_details,5,0)</f>
        <v>700</v>
      </c>
      <c r="P2325" s="7" t="str">
        <f t="shared" ref="P2325:P2355" si="13938">VLOOKUP($A2325,hospital_details,6,0)</f>
        <v>unknown</v>
      </c>
      <c r="Q2325" s="7" t="str">
        <f t="shared" ref="Q2325:Q2355" si="13939">VLOOKUP($A2325,hospital_details,7,0)</f>
        <v>tier - 3</v>
      </c>
      <c r="R2325" s="7" t="str">
        <f t="shared" ref="R2325:R2355" si="13940">VLOOKUP($A2325,hospital_details,8,0)</f>
        <v>R1013</v>
      </c>
    </row>
    <row r="2326" spans="1:18" ht="14.4" customHeight="1" x14ac:dyDescent="0.3">
      <c r="A2326" s="5" t="s">
        <v>2346</v>
      </c>
      <c r="B2326" s="5" t="str">
        <f>VLOOKUP($A2326,[1]!Customer_Names[#Data],3,0)</f>
        <v xml:space="preserve">  Fred</v>
      </c>
      <c r="C2326" s="5">
        <v>24.76</v>
      </c>
      <c r="D2326" s="5" t="str" cm="1">
        <f t="array" ref="D2326">_xlfn.IFS(Healthcare!$C2326&lt;18.5,"under weight",Healthcare!$C2326&lt;=24.9,"Normal Weight",Healthcare!$C2326&gt;=25,"overweight",Healthcare!$C2326&gt;=30,"obese")</f>
        <v>Normal Weight</v>
      </c>
      <c r="E2326" s="5">
        <v>4.54</v>
      </c>
      <c r="F2326" s="5" t="str" cm="1">
        <f t="array" ref="F2326">_xlfn.IFS(Healthcare!$E2326&lt;5.7,"normal",Healthcare!$E2326&lt;=6.4,"prediabetes",Healthcare!$E2326&gt;=6.5,"diabetes")</f>
        <v>normal</v>
      </c>
      <c r="G2326" s="5" t="s">
        <v>20</v>
      </c>
      <c r="H2326" s="5" t="s">
        <v>19</v>
      </c>
      <c r="I2326" s="5" t="s">
        <v>19</v>
      </c>
      <c r="J2326" s="5">
        <v>0</v>
      </c>
      <c r="K2326" s="5" t="s">
        <v>19</v>
      </c>
      <c r="L2326" s="5" t="str">
        <f>VLOOKUP(Healthcare!$A2326,hospital_details,2,0)</f>
        <v>12-Sep-2001</v>
      </c>
      <c r="M2326" s="5">
        <f t="shared" ref="M2326:M2356" ca="1" si="13941">VLOOKUP(A2326,hospital_details,3,0)</f>
        <v>25</v>
      </c>
      <c r="N2326" s="5">
        <f t="shared" ref="N2326:N2356" si="13942">VLOOKUP($A2326,hospital_details,4,0)</f>
        <v>0</v>
      </c>
      <c r="O2326" s="6">
        <f t="shared" ref="O2326:O2356" si="13943">VLOOKUP($A2326,hospital_details,5,0)</f>
        <v>687.54</v>
      </c>
      <c r="P2326" s="5" t="str">
        <f t="shared" ref="P2326:P2356" si="13944">VLOOKUP($A2326,hospital_details,6,0)</f>
        <v>tier - 3</v>
      </c>
      <c r="Q2326" s="5" t="str">
        <f t="shared" ref="Q2326:Q2356" si="13945">VLOOKUP($A2326,hospital_details,7,0)</f>
        <v>tier - 2</v>
      </c>
      <c r="R2326" s="5" t="str">
        <f t="shared" ref="R2326:R2356" si="13946">VLOOKUP($A2326,hospital_details,8,0)</f>
        <v>R1013</v>
      </c>
    </row>
    <row r="2327" spans="1:18" ht="14.4" customHeight="1" x14ac:dyDescent="0.3">
      <c r="A2327" s="7" t="s">
        <v>2347</v>
      </c>
      <c r="B2327" s="7" t="str">
        <f>VLOOKUP($A2327,[1]!Customer_Names[#Data],3,0)</f>
        <v xml:space="preserve">  Sebastian</v>
      </c>
      <c r="C2327" s="7">
        <v>20.100000000000001</v>
      </c>
      <c r="D2327" s="7" t="str" cm="1">
        <f t="array" ref="D2327">_xlfn.IFS(Healthcare!$C2327&lt;18.5,"under weight",Healthcare!$C2327&lt;=24.9,"Normal Weight",Healthcare!$C2327&gt;=25,"overweight",Healthcare!$C2327&gt;=30,"obese")</f>
        <v>Normal Weight</v>
      </c>
      <c r="E2327" s="7">
        <v>5.6</v>
      </c>
      <c r="F2327" s="7" t="str" cm="1">
        <f t="array" ref="F2327">_xlfn.IFS(Healthcare!$E2327&lt;5.7,"normal",Healthcare!$E2327&lt;=6.4,"prediabetes",Healthcare!$E2327&gt;=6.5,"diabetes")</f>
        <v>normal</v>
      </c>
      <c r="G2327" s="7" t="s">
        <v>20</v>
      </c>
      <c r="H2327" s="7" t="s">
        <v>19</v>
      </c>
      <c r="I2327" s="7" t="s">
        <v>29</v>
      </c>
      <c r="J2327" s="7">
        <v>1</v>
      </c>
      <c r="K2327" s="7" t="s">
        <v>19</v>
      </c>
      <c r="L2327" s="7" t="str">
        <f>VLOOKUP(Healthcare!$A2327,hospital_details,2,0)</f>
        <v>9-Nov-1997</v>
      </c>
      <c r="M2327" s="7">
        <f t="shared" ref="M2327:M2357" ca="1" si="13947">VLOOKUP(A2327,hospital_details,3,0)</f>
        <v>28</v>
      </c>
      <c r="N2327" s="7">
        <f t="shared" ref="N2327:N2357" si="13948">VLOOKUP($A2327,hospital_details,4,0)</f>
        <v>0</v>
      </c>
      <c r="O2327" s="8">
        <f t="shared" ref="O2327:O2357" si="13949">VLOOKUP($A2327,hospital_details,5,0)</f>
        <v>670</v>
      </c>
      <c r="P2327" s="7" t="str">
        <f t="shared" ref="P2327:P2357" si="13950">VLOOKUP($A2327,hospital_details,6,0)</f>
        <v>tier - 3</v>
      </c>
      <c r="Q2327" s="7" t="str">
        <f t="shared" ref="Q2327:Q2357" si="13951">VLOOKUP($A2327,hospital_details,7,0)</f>
        <v>tier - 3</v>
      </c>
      <c r="R2327" s="7" t="str">
        <f t="shared" ref="R2327:R2357" si="13952">VLOOKUP($A2327,hospital_details,8,0)</f>
        <v>R1013</v>
      </c>
    </row>
    <row r="2328" spans="1:18" ht="14.4" customHeight="1" x14ac:dyDescent="0.3">
      <c r="A2328" s="5" t="s">
        <v>2348</v>
      </c>
      <c r="B2328" s="5" t="str">
        <f>VLOOKUP($A2328,[1]!Customer_Names[#Data],3,0)</f>
        <v xml:space="preserve">  Laura</v>
      </c>
      <c r="C2328" s="5">
        <v>21.77</v>
      </c>
      <c r="D2328" s="5" t="str" cm="1">
        <f t="array" ref="D2328">_xlfn.IFS(Healthcare!$C2328&lt;18.5,"under weight",Healthcare!$C2328&lt;=24.9,"Normal Weight",Healthcare!$C2328&gt;=25,"overweight",Healthcare!$C2328&gt;=30,"obese")</f>
        <v>Normal Weight</v>
      </c>
      <c r="E2328" s="5">
        <v>10.67</v>
      </c>
      <c r="F2328" s="5" t="str" cm="1">
        <f t="array" ref="F2328">_xlfn.IFS(Healthcare!$E2328&lt;5.7,"normal",Healthcare!$E2328&lt;=6.4,"prediabetes",Healthcare!$E2328&gt;=6.5,"diabetes")</f>
        <v>diabetes</v>
      </c>
      <c r="G2328" s="5" t="s">
        <v>19</v>
      </c>
      <c r="H2328" s="5" t="s">
        <v>19</v>
      </c>
      <c r="I2328" s="5" t="s">
        <v>19</v>
      </c>
      <c r="J2328" s="5">
        <v>0</v>
      </c>
      <c r="K2328" s="5" t="s">
        <v>19</v>
      </c>
      <c r="L2328" s="5" t="str">
        <f>VLOOKUP(Healthcare!$A2328,hospital_details,2,0)</f>
        <v>29-Nov-2002</v>
      </c>
      <c r="M2328" s="5">
        <f t="shared" ref="M2328:M2358" ca="1" si="13953">VLOOKUP(A2328,hospital_details,3,0)</f>
        <v>23</v>
      </c>
      <c r="N2328" s="5">
        <f t="shared" ref="N2328:N2358" si="13954">VLOOKUP($A2328,hospital_details,4,0)</f>
        <v>0</v>
      </c>
      <c r="O2328" s="6">
        <f t="shared" ref="O2328:O2358" si="13955">VLOOKUP($A2328,hospital_details,5,0)</f>
        <v>668</v>
      </c>
      <c r="P2328" s="5" t="str">
        <f t="shared" ref="P2328:P2358" si="13956">VLOOKUP($A2328,hospital_details,6,0)</f>
        <v>tier - 3</v>
      </c>
      <c r="Q2328" s="5" t="str">
        <f t="shared" ref="Q2328:Q2358" si="13957">VLOOKUP($A2328,hospital_details,7,0)</f>
        <v>tier - 2</v>
      </c>
      <c r="R2328" s="5" t="str">
        <f t="shared" ref="R2328:R2358" si="13958">VLOOKUP($A2328,hospital_details,8,0)</f>
        <v>R1012</v>
      </c>
    </row>
    <row r="2329" spans="1:18" ht="14.4" customHeight="1" x14ac:dyDescent="0.3">
      <c r="A2329" s="7" t="s">
        <v>2349</v>
      </c>
      <c r="B2329" s="7" t="str">
        <f>VLOOKUP($A2329,[1]!Customer_Names[#Data],3,0)</f>
        <v xml:space="preserve">  Nicole</v>
      </c>
      <c r="C2329" s="7">
        <v>17.82</v>
      </c>
      <c r="D2329" s="7" t="str" cm="1">
        <f t="array" ref="D2329">_xlfn.IFS(Healthcare!$C2329&lt;18.5,"under weight",Healthcare!$C2329&lt;=24.9,"Normal Weight",Healthcare!$C2329&gt;=25,"overweight",Healthcare!$C2329&gt;=30,"obese")</f>
        <v>under weight</v>
      </c>
      <c r="E2329" s="7">
        <v>5.26</v>
      </c>
      <c r="F2329" s="7" t="str" cm="1">
        <f t="array" ref="F2329">_xlfn.IFS(Healthcare!$E2329&lt;5.7,"normal",Healthcare!$E2329&lt;=6.4,"prediabetes",Healthcare!$E2329&gt;=6.5,"diabetes")</f>
        <v>normal</v>
      </c>
      <c r="G2329" s="7" t="s">
        <v>20</v>
      </c>
      <c r="H2329" s="7" t="s">
        <v>19</v>
      </c>
      <c r="I2329" s="7" t="s">
        <v>19</v>
      </c>
      <c r="J2329" s="7">
        <v>1</v>
      </c>
      <c r="K2329" s="7" t="s">
        <v>19</v>
      </c>
      <c r="L2329" s="7" t="str">
        <f>VLOOKUP(Healthcare!$A2329,hospital_details,2,0)</f>
        <v>4-Jul-1995</v>
      </c>
      <c r="M2329" s="7">
        <f t="shared" ref="M2329:M2359" ca="1" si="13959">VLOOKUP(A2329,hospital_details,3,0)</f>
        <v>31</v>
      </c>
      <c r="N2329" s="7">
        <f t="shared" ref="N2329:N2359" si="13960">VLOOKUP($A2329,hospital_details,4,0)</f>
        <v>0</v>
      </c>
      <c r="O2329" s="8">
        <f t="shared" ref="O2329:O2359" si="13961">VLOOKUP($A2329,hospital_details,5,0)</f>
        <v>650</v>
      </c>
      <c r="P2329" s="7" t="str">
        <f t="shared" ref="P2329:P2359" si="13962">VLOOKUP($A2329,hospital_details,6,0)</f>
        <v>tier - 3</v>
      </c>
      <c r="Q2329" s="7" t="str">
        <f t="shared" ref="Q2329:Q2359" si="13963">VLOOKUP($A2329,hospital_details,7,0)</f>
        <v>tier - 3</v>
      </c>
      <c r="R2329" s="7" t="str">
        <f t="shared" ref="R2329:R2359" si="13964">VLOOKUP($A2329,hospital_details,8,0)</f>
        <v>R1013</v>
      </c>
    </row>
    <row r="2330" spans="1:18" ht="14.4" customHeight="1" x14ac:dyDescent="0.3">
      <c r="A2330" s="5" t="s">
        <v>2350</v>
      </c>
      <c r="B2330" s="5" t="str">
        <f>VLOOKUP($A2330,[1]!Customer_Names[#Data],3,0)</f>
        <v xml:space="preserve">  Susan E</v>
      </c>
      <c r="C2330" s="5">
        <v>17.07</v>
      </c>
      <c r="D2330" s="5" t="str" cm="1">
        <f t="array" ref="D2330">_xlfn.IFS(Healthcare!$C2330&lt;18.5,"under weight",Healthcare!$C2330&lt;=24.9,"Normal Weight",Healthcare!$C2330&gt;=25,"overweight",Healthcare!$C2330&gt;=30,"obese")</f>
        <v>under weight</v>
      </c>
      <c r="E2330" s="5">
        <v>5.22</v>
      </c>
      <c r="F2330" s="5" t="str" cm="1">
        <f t="array" ref="F2330">_xlfn.IFS(Healthcare!$E2330&lt;5.7,"normal",Healthcare!$E2330&lt;=6.4,"prediabetes",Healthcare!$E2330&gt;=6.5,"diabetes")</f>
        <v>normal</v>
      </c>
      <c r="G2330" s="5" t="s">
        <v>19</v>
      </c>
      <c r="H2330" s="5" t="s">
        <v>19</v>
      </c>
      <c r="I2330" s="5" t="s">
        <v>29</v>
      </c>
      <c r="J2330" s="5">
        <v>1</v>
      </c>
      <c r="K2330" s="5" t="s">
        <v>19</v>
      </c>
      <c r="L2330" s="5" t="str">
        <f>VLOOKUP(Healthcare!$A2330,hospital_details,2,0)</f>
        <v>1-Jun-1993</v>
      </c>
      <c r="M2330" s="5">
        <f t="shared" ref="M2330:M2360" ca="1" si="13965">VLOOKUP(A2330,hospital_details,3,0)</f>
        <v>33</v>
      </c>
      <c r="N2330" s="5">
        <f t="shared" ref="N2330:N2360" si="13966">VLOOKUP($A2330,hospital_details,4,0)</f>
        <v>0</v>
      </c>
      <c r="O2330" s="6">
        <f t="shared" ref="O2330:O2360" si="13967">VLOOKUP($A2330,hospital_details,5,0)</f>
        <v>650</v>
      </c>
      <c r="P2330" s="5" t="str">
        <f t="shared" ref="P2330:P2360" si="13968">VLOOKUP($A2330,hospital_details,6,0)</f>
        <v>tier - 3</v>
      </c>
      <c r="Q2330" s="5" t="str">
        <f t="shared" ref="Q2330:Q2360" si="13969">VLOOKUP($A2330,hospital_details,7,0)</f>
        <v>tier - 3</v>
      </c>
      <c r="R2330" s="5" t="str">
        <f t="shared" ref="R2330:R2360" si="13970">VLOOKUP($A2330,hospital_details,8,0)</f>
        <v>R1013</v>
      </c>
    </row>
    <row r="2331" spans="1:18" ht="14.4" customHeight="1" x14ac:dyDescent="0.3">
      <c r="A2331" s="7" t="s">
        <v>2351</v>
      </c>
      <c r="B2331" s="7" t="str">
        <f>VLOOKUP($A2331,[1]!Customer_Names[#Data],3,0)</f>
        <v xml:space="preserve">  Katy</v>
      </c>
      <c r="C2331" s="7">
        <v>22.24</v>
      </c>
      <c r="D2331" s="7" t="str" cm="1">
        <f t="array" ref="D2331">_xlfn.IFS(Healthcare!$C2331&lt;18.5,"under weight",Healthcare!$C2331&lt;=24.9,"Normal Weight",Healthcare!$C2331&gt;=25,"overweight",Healthcare!$C2331&gt;=30,"obese")</f>
        <v>Normal Weight</v>
      </c>
      <c r="E2331" s="7">
        <v>4.29</v>
      </c>
      <c r="F2331" s="7" t="str" cm="1">
        <f t="array" ref="F2331">_xlfn.IFS(Healthcare!$E2331&lt;5.7,"normal",Healthcare!$E2331&lt;=6.4,"prediabetes",Healthcare!$E2331&gt;=6.5,"diabetes")</f>
        <v>normal</v>
      </c>
      <c r="G2331" s="7" t="s">
        <v>20</v>
      </c>
      <c r="H2331" s="7" t="s">
        <v>19</v>
      </c>
      <c r="I2331" s="7" t="s">
        <v>19</v>
      </c>
      <c r="J2331" s="7">
        <v>0</v>
      </c>
      <c r="K2331" s="7" t="s">
        <v>19</v>
      </c>
      <c r="L2331" s="7" t="str">
        <f>VLOOKUP(Healthcare!$A2331,hospital_details,2,0)</f>
        <v>20-Nov-2001</v>
      </c>
      <c r="M2331" s="7">
        <f t="shared" ref="M2331:M2361" ca="1" si="13971">VLOOKUP(A2331,hospital_details,3,0)</f>
        <v>24</v>
      </c>
      <c r="N2331" s="7">
        <f t="shared" ref="N2331:N2361" si="13972">VLOOKUP($A2331,hospital_details,4,0)</f>
        <v>0</v>
      </c>
      <c r="O2331" s="8">
        <f t="shared" ref="O2331:O2361" si="13973">VLOOKUP($A2331,hospital_details,5,0)</f>
        <v>646.14</v>
      </c>
      <c r="P2331" s="7" t="str">
        <f t="shared" ref="P2331:P2361" si="13974">VLOOKUP($A2331,hospital_details,6,0)</f>
        <v>tier - 3</v>
      </c>
      <c r="Q2331" s="7" t="str">
        <f t="shared" ref="Q2331:Q2361" si="13975">VLOOKUP($A2331,hospital_details,7,0)</f>
        <v>tier - 3</v>
      </c>
      <c r="R2331" s="7" t="str">
        <f t="shared" ref="R2331:R2361" si="13976">VLOOKUP($A2331,hospital_details,8,0)</f>
        <v>R1012</v>
      </c>
    </row>
    <row r="2332" spans="1:18" ht="14.4" customHeight="1" x14ac:dyDescent="0.3">
      <c r="A2332" s="5" t="s">
        <v>2352</v>
      </c>
      <c r="B2332" s="5" t="str">
        <f>VLOOKUP($A2332,[1]!Customer_Names[#Data],3,0)</f>
        <v xml:space="preserve">  Jordan</v>
      </c>
      <c r="C2332" s="5">
        <v>22.34</v>
      </c>
      <c r="D2332" s="5" t="str" cm="1">
        <f t="array" ref="D2332">_xlfn.IFS(Healthcare!$C2332&lt;18.5,"under weight",Healthcare!$C2332&lt;=24.9,"Normal Weight",Healthcare!$C2332&gt;=25,"overweight",Healthcare!$C2332&gt;=30,"obese")</f>
        <v>Normal Weight</v>
      </c>
      <c r="E2332" s="5">
        <v>5.57</v>
      </c>
      <c r="F2332" s="5" t="str" cm="1">
        <f t="array" ref="F2332">_xlfn.IFS(Healthcare!$E2332&lt;5.7,"normal",Healthcare!$E2332&lt;=6.4,"prediabetes",Healthcare!$E2332&gt;=6.5,"diabetes")</f>
        <v>normal</v>
      </c>
      <c r="G2332" s="5" t="s">
        <v>19</v>
      </c>
      <c r="H2332" s="5" t="s">
        <v>19</v>
      </c>
      <c r="I2332" s="5" t="s">
        <v>19</v>
      </c>
      <c r="J2332" s="5">
        <v>1</v>
      </c>
      <c r="K2332" s="5" t="s">
        <v>19</v>
      </c>
      <c r="L2332" s="5" t="str">
        <f>VLOOKUP(Healthcare!$A2332,hospital_details,2,0)</f>
        <v>27-Jul-1998</v>
      </c>
      <c r="M2332" s="5">
        <f t="shared" ref="M2332:M2362" ca="1" si="13977">VLOOKUP(A2332,hospital_details,3,0)</f>
        <v>28</v>
      </c>
      <c r="N2332" s="5">
        <f t="shared" ref="N2332:N2362" si="13978">VLOOKUP($A2332,hospital_details,4,0)</f>
        <v>0</v>
      </c>
      <c r="O2332" s="6">
        <f t="shared" ref="O2332:O2362" si="13979">VLOOKUP($A2332,hospital_details,5,0)</f>
        <v>637.26</v>
      </c>
      <c r="P2332" s="5" t="str">
        <f t="shared" ref="P2332:P2362" si="13980">VLOOKUP($A2332,hospital_details,6,0)</f>
        <v>tier - 3</v>
      </c>
      <c r="Q2332" s="5" t="str">
        <f t="shared" ref="Q2332:Q2362" si="13981">VLOOKUP($A2332,hospital_details,7,0)</f>
        <v>tier - 3</v>
      </c>
      <c r="R2332" s="5" t="str">
        <f t="shared" ref="R2332:R2362" si="13982">VLOOKUP($A2332,hospital_details,8,0)</f>
        <v>R1013</v>
      </c>
    </row>
    <row r="2333" spans="1:18" ht="14.4" customHeight="1" x14ac:dyDescent="0.3">
      <c r="A2333" s="7" t="s">
        <v>2353</v>
      </c>
      <c r="B2333" s="7" t="str">
        <f>VLOOKUP($A2333,[1]!Customer_Names[#Data],3,0)</f>
        <v xml:space="preserve">  Juan D</v>
      </c>
      <c r="C2333" s="7">
        <v>17.7</v>
      </c>
      <c r="D2333" s="7" t="str" cm="1">
        <f t="array" ref="D2333">_xlfn.IFS(Healthcare!$C2333&lt;18.5,"under weight",Healthcare!$C2333&lt;=24.9,"Normal Weight",Healthcare!$C2333&gt;=25,"overweight",Healthcare!$C2333&gt;=30,"obese")</f>
        <v>under weight</v>
      </c>
      <c r="E2333" s="7">
        <v>6.28</v>
      </c>
      <c r="F2333" s="7" t="str" cm="1">
        <f t="array" ref="F2333">_xlfn.IFS(Healthcare!$E2333&lt;5.7,"normal",Healthcare!$E2333&lt;=6.4,"prediabetes",Healthcare!$E2333&gt;=6.5,"diabetes")</f>
        <v>prediabetes</v>
      </c>
      <c r="G2333" s="7" t="s">
        <v>19</v>
      </c>
      <c r="H2333" s="7" t="s">
        <v>19</v>
      </c>
      <c r="I2333" s="7" t="s">
        <v>19</v>
      </c>
      <c r="J2333" s="7">
        <v>1</v>
      </c>
      <c r="K2333" s="7" t="s">
        <v>19</v>
      </c>
      <c r="L2333" s="7" t="str">
        <f>VLOOKUP(Healthcare!$A2333,hospital_details,2,0)</f>
        <v>13-Sep-1992</v>
      </c>
      <c r="M2333" s="7">
        <f t="shared" ref="M2333:M2363" ca="1" si="13983">VLOOKUP(A2333,hospital_details,3,0)</f>
        <v>34</v>
      </c>
      <c r="N2333" s="7">
        <f t="shared" ref="N2333:N2363" si="13984">VLOOKUP($A2333,hospital_details,4,0)</f>
        <v>0</v>
      </c>
      <c r="O2333" s="8">
        <f t="shared" ref="O2333:O2363" si="13985">VLOOKUP($A2333,hospital_details,5,0)</f>
        <v>604.54</v>
      </c>
      <c r="P2333" s="7" t="str">
        <f t="shared" ref="P2333:P2363" si="13986">VLOOKUP($A2333,hospital_details,6,0)</f>
        <v>tier - 3</v>
      </c>
      <c r="Q2333" s="7" t="str">
        <f t="shared" ref="Q2333:Q2363" si="13987">VLOOKUP($A2333,hospital_details,7,0)</f>
        <v>tier - 3</v>
      </c>
      <c r="R2333" s="7" t="str">
        <f t="shared" ref="R2333:R2363" si="13988">VLOOKUP($A2333,hospital_details,8,0)</f>
        <v>R1013</v>
      </c>
    </row>
    <row r="2334" spans="1:18" ht="14.4" customHeight="1" x14ac:dyDescent="0.3">
      <c r="A2334" s="5" t="s">
        <v>2354</v>
      </c>
      <c r="B2334" s="5" t="str">
        <f>VLOOKUP($A2334,[1]!Customer_Names[#Data],3,0)</f>
        <v xml:space="preserve">  Julie</v>
      </c>
      <c r="C2334" s="5">
        <v>16.47</v>
      </c>
      <c r="D2334" s="5" t="str" cm="1">
        <f t="array" ref="D2334">_xlfn.IFS(Healthcare!$C2334&lt;18.5,"under weight",Healthcare!$C2334&lt;=24.9,"Normal Weight",Healthcare!$C2334&gt;=25,"overweight",Healthcare!$C2334&gt;=30,"obese")</f>
        <v>under weight</v>
      </c>
      <c r="E2334" s="5">
        <v>6.35</v>
      </c>
      <c r="F2334" s="5" t="str" cm="1">
        <f t="array" ref="F2334">_xlfn.IFS(Healthcare!$E2334&lt;5.7,"normal",Healthcare!$E2334&lt;=6.4,"prediabetes",Healthcare!$E2334&gt;=6.5,"diabetes")</f>
        <v>prediabetes</v>
      </c>
      <c r="G2334" s="5" t="s">
        <v>19</v>
      </c>
      <c r="H2334" s="5" t="s">
        <v>19</v>
      </c>
      <c r="I2334" s="5" t="s">
        <v>29</v>
      </c>
      <c r="J2334" s="5">
        <v>1</v>
      </c>
      <c r="K2334" s="5" t="s">
        <v>19</v>
      </c>
      <c r="L2334" s="5" t="str">
        <f>VLOOKUP(Healthcare!$A2334,hospital_details,2,0)</f>
        <v>30-Jun-1993</v>
      </c>
      <c r="M2334" s="5">
        <f t="shared" ref="M2334:M2364" ca="1" si="13989">VLOOKUP(A2334,hospital_details,3,0)</f>
        <v>33</v>
      </c>
      <c r="N2334" s="5">
        <f t="shared" ref="N2334:N2364" si="13990">VLOOKUP($A2334,hospital_details,4,0)</f>
        <v>0</v>
      </c>
      <c r="O2334" s="6">
        <f t="shared" ref="O2334:O2364" si="13991">VLOOKUP($A2334,hospital_details,5,0)</f>
        <v>600</v>
      </c>
      <c r="P2334" s="5" t="str">
        <f t="shared" ref="P2334:P2364" si="13992">VLOOKUP($A2334,hospital_details,6,0)</f>
        <v>tier - 2</v>
      </c>
      <c r="Q2334" s="5" t="str">
        <f t="shared" ref="Q2334:Q2364" si="13993">VLOOKUP($A2334,hospital_details,7,0)</f>
        <v>tier - 1</v>
      </c>
      <c r="R2334" s="5" t="str">
        <f t="shared" ref="R2334:R2364" si="13994">VLOOKUP($A2334,hospital_details,8,0)</f>
        <v>R1013</v>
      </c>
    </row>
    <row r="2335" spans="1:18" ht="14.4" customHeight="1" x14ac:dyDescent="0.3">
      <c r="A2335" s="7" t="s">
        <v>2355</v>
      </c>
      <c r="B2335" s="7" t="str">
        <f>VLOOKUP($A2335,[1]!Customer_Names[#Data],3,0)</f>
        <v xml:space="preserve">  Evan P</v>
      </c>
      <c r="C2335" s="7">
        <v>17.600000000000001</v>
      </c>
      <c r="D2335" s="7" t="str" cm="1">
        <f t="array" ref="D2335">_xlfn.IFS(Healthcare!$C2335&lt;18.5,"under weight",Healthcare!$C2335&lt;=24.9,"Normal Weight",Healthcare!$C2335&gt;=25,"overweight",Healthcare!$C2335&gt;=30,"obese")</f>
        <v>under weight</v>
      </c>
      <c r="E2335" s="7">
        <v>4.3899999999999997</v>
      </c>
      <c r="F2335" s="7" t="str" cm="1">
        <f t="array" ref="F2335">_xlfn.IFS(Healthcare!$E2335&lt;5.7,"normal",Healthcare!$E2335&lt;=6.4,"prediabetes",Healthcare!$E2335&gt;=6.5,"diabetes")</f>
        <v>normal</v>
      </c>
      <c r="G2335" s="7" t="s">
        <v>19</v>
      </c>
      <c r="H2335" s="7" t="s">
        <v>19</v>
      </c>
      <c r="I2335" s="7" t="s">
        <v>19</v>
      </c>
      <c r="J2335" s="7">
        <v>1</v>
      </c>
      <c r="K2335" s="7" t="s">
        <v>19</v>
      </c>
      <c r="L2335" s="7" t="str">
        <f>VLOOKUP(Healthcare!$A2335,hospital_details,2,0)</f>
        <v>30-Nov-1992</v>
      </c>
      <c r="M2335" s="7">
        <f t="shared" ref="M2335:M2365" ca="1" si="13995">VLOOKUP(A2335,hospital_details,3,0)</f>
        <v>33</v>
      </c>
      <c r="N2335" s="7">
        <f t="shared" ref="N2335:N2365" si="13996">VLOOKUP($A2335,hospital_details,4,0)</f>
        <v>0</v>
      </c>
      <c r="O2335" s="8">
        <f t="shared" ref="O2335:O2365" si="13997">VLOOKUP($A2335,hospital_details,5,0)</f>
        <v>570.62</v>
      </c>
      <c r="P2335" s="7" t="str">
        <f t="shared" ref="P2335:P2365" si="13998">VLOOKUP($A2335,hospital_details,6,0)</f>
        <v>tier - 2</v>
      </c>
      <c r="Q2335" s="7" t="str">
        <f t="shared" ref="Q2335:Q2365" si="13999">VLOOKUP($A2335,hospital_details,7,0)</f>
        <v>tier - 1</v>
      </c>
      <c r="R2335" s="7" t="str">
        <f t="shared" ref="R2335:R2365" si="14000">VLOOKUP($A2335,hospital_details,8,0)</f>
        <v>R1013</v>
      </c>
    </row>
    <row r="2336" spans="1:18" ht="14.4" customHeight="1" x14ac:dyDescent="0.3">
      <c r="A2336" s="5" t="s">
        <v>2356</v>
      </c>
      <c r="B2336" s="5" t="str">
        <f>VLOOKUP($A2336,[1]!Customer_Names[#Data],3,0)</f>
        <v xml:space="preserve">  Aaron K</v>
      </c>
      <c r="C2336" s="5">
        <v>17.579999999999998</v>
      </c>
      <c r="D2336" s="5" t="str" cm="1">
        <f t="array" ref="D2336">_xlfn.IFS(Healthcare!$C2336&lt;18.5,"under weight",Healthcare!$C2336&lt;=24.9,"Normal Weight",Healthcare!$C2336&gt;=25,"overweight",Healthcare!$C2336&gt;=30,"obese")</f>
        <v>under weight</v>
      </c>
      <c r="E2336" s="5">
        <v>4.51</v>
      </c>
      <c r="F2336" s="5" t="str" cm="1">
        <f t="array" ref="F2336">_xlfn.IFS(Healthcare!$E2336&lt;5.7,"normal",Healthcare!$E2336&lt;=6.4,"prediabetes",Healthcare!$E2336&gt;=6.5,"diabetes")</f>
        <v>normal</v>
      </c>
      <c r="G2336" s="5" t="s">
        <v>19</v>
      </c>
      <c r="H2336" s="5" t="s">
        <v>19</v>
      </c>
      <c r="I2336" s="5" t="s">
        <v>19</v>
      </c>
      <c r="J2336" s="5">
        <v>1</v>
      </c>
      <c r="K2336" s="5" t="s">
        <v>19</v>
      </c>
      <c r="L2336" s="5" t="str">
        <f>VLOOKUP(Healthcare!$A2336,hospital_details,2,0)</f>
        <v>9-Jul-1992</v>
      </c>
      <c r="M2336" s="5">
        <f t="shared" ref="M2336:M2366" ca="1" si="14001">VLOOKUP(A2336,hospital_details,3,0)</f>
        <v>34</v>
      </c>
      <c r="N2336" s="5">
        <f t="shared" ref="N2336:N2366" si="14002">VLOOKUP($A2336,hospital_details,4,0)</f>
        <v>0</v>
      </c>
      <c r="O2336" s="6">
        <f t="shared" ref="O2336:O2366" si="14003">VLOOKUP($A2336,hospital_details,5,0)</f>
        <v>563.84</v>
      </c>
      <c r="P2336" s="5" t="str">
        <f t="shared" ref="P2336:P2366" si="14004">VLOOKUP($A2336,hospital_details,6,0)</f>
        <v>tier - 2</v>
      </c>
      <c r="Q2336" s="5" t="str">
        <f t="shared" ref="Q2336:Q2366" si="14005">VLOOKUP($A2336,hospital_details,7,0)</f>
        <v>tier - 3</v>
      </c>
      <c r="R2336" s="5" t="str">
        <f t="shared" ref="R2336:R2366" si="14006">VLOOKUP($A2336,hospital_details,8,0)</f>
        <v>R1013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BE96-C579-4C52-994E-22176B807347}">
  <dimension ref="A1"/>
  <sheetViews>
    <sheetView workbookViewId="0">
      <selection activeCell="H13" sqref="H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Healthcare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2026-10-18T16:20:59Z</dcterms:created>
  <dcterms:modified xsi:type="dcterms:W3CDTF">2026-10-18T16:23:14Z</dcterms:modified>
</cp:coreProperties>
</file>