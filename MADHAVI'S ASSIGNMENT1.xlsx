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MADHAVI\"/>
    </mc:Choice>
  </mc:AlternateContent>
  <xr:revisionPtr revIDLastSave="0" documentId="13_ncr:1_{F6835E37-3602-4953-9BBD-FE38974337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2" i="2"/>
  <c r="B37" i="2"/>
  <c r="D4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D39" i="2"/>
  <c r="D38" i="2" s="1"/>
  <c r="D36" i="2"/>
  <c r="D37" i="2" s="1"/>
  <c r="B36" i="2"/>
</calcChain>
</file>

<file path=xl/sharedStrings.xml><?xml version="1.0" encoding="utf-8"?>
<sst xmlns="http://schemas.openxmlformats.org/spreadsheetml/2006/main" count="163" uniqueCount="114">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</sst>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&quot;AVERAGE=&quot;0"/>
    <numFmt numFmtId="168" formatCode="&quot;TOTAL=&quot;0"/>
    <numFmt numFmtId="169" formatCode="&quot;MIN PRICE=&quot;0"/>
    <numFmt numFmtId="170" formatCode="&quot;MAX PRICE=&quot;0"/>
    <numFmt numFmtId="171" formatCode="&quot;ELECTRONICS TOTAL PRICE=&quot;0"/>
    <numFmt numFmtId="172" formatCode="&quot;COUNT OF PRODUCTS&lt;$100=&quot;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8" fontId="8" fillId="0" borderId="2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8" fontId="8" fillId="0" borderId="3" xfId="0" applyNumberFormat="1" applyFont="1" applyBorder="1" applyAlignment="1">
      <alignment horizontal="center"/>
    </xf>
    <xf numFmtId="172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7" fontId="8" fillId="0" borderId="2" xfId="0" applyNumberFormat="1" applyFont="1" applyBorder="1" applyAlignment="1">
      <alignment horizontal="center"/>
    </xf>
    <xf numFmtId="169" fontId="8" fillId="0" borderId="2" xfId="0" applyNumberFormat="1" applyFont="1" applyBorder="1" applyAlignment="1">
      <alignment horizontal="center"/>
    </xf>
    <xf numFmtId="170" fontId="8" fillId="0" borderId="2" xfId="0" applyNumberFormat="1" applyFont="1" applyBorder="1" applyAlignment="1">
      <alignment horizontal="center"/>
    </xf>
    <xf numFmtId="171" fontId="8" fillId="0" borderId="2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E41" sqref="E41"/>
    </sheetView>
  </sheetViews>
  <sheetFormatPr defaultColWidth="12.6640625" defaultRowHeight="15" customHeight="1" x14ac:dyDescent="0.25"/>
  <cols>
    <col min="1" max="1" width="12.6640625" customWidth="1"/>
    <col min="2" max="2" width="30.33203125" bestFit="1" customWidth="1"/>
    <col min="3" max="3" width="12.6640625" customWidth="1"/>
    <col min="4" max="4" width="32.44140625" bestFit="1" customWidth="1"/>
    <col min="5" max="6" width="12.6640625" customWidth="1"/>
    <col min="7" max="7" width="17.5546875" bestFit="1" customWidth="1"/>
    <col min="8" max="8" width="9.33203125" customWidth="1"/>
    <col min="9" max="9" width="16" bestFit="1" customWidth="1"/>
  </cols>
  <sheetData>
    <row r="1" spans="1:10" ht="16.9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110</v>
      </c>
      <c r="H1" s="5" t="s">
        <v>111</v>
      </c>
      <c r="I1" s="6" t="s">
        <v>112</v>
      </c>
      <c r="J1" s="6" t="s">
        <v>113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3" t="str">
        <f>IF(D2&gt;=500,"HIGH_PRICE","STANDARD_PRICE")</f>
        <v>HIGH_PRICE</v>
      </c>
      <c r="H2" s="11" t="str">
        <f>LEFT(A2,2)</f>
        <v>28</v>
      </c>
      <c r="I2" s="8" t="str">
        <f>RIGHT(A2,2)</f>
        <v>US</v>
      </c>
      <c r="J2" s="8" t="str">
        <f>MID(A2,4,3)</f>
        <v>JAN</v>
      </c>
    </row>
    <row r="3" spans="1:10" ht="15.75" customHeight="1" x14ac:dyDescent="0.25">
      <c r="A3" s="10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13" t="str">
        <f t="shared" ref="G3:G35" si="0">IF(D3&gt;=500,"HIGH_PRICE","STANDARD_PRICE")</f>
        <v>STANDARD_PRICE</v>
      </c>
      <c r="H3" s="11" t="str">
        <f t="shared" ref="H3:H34" si="1">LEFT(A3,2)</f>
        <v>15</v>
      </c>
      <c r="I3" s="8" t="str">
        <f t="shared" ref="I3:I35" si="2">RIGHT(A3,2)</f>
        <v>US</v>
      </c>
      <c r="J3" s="8" t="str">
        <f t="shared" ref="J3:J35" si="3">MID(A3,4,3)</f>
        <v>FEB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3" t="str">
        <f t="shared" si="0"/>
        <v>STANDARD_PRICE</v>
      </c>
      <c r="H4" s="11" t="str">
        <f t="shared" si="1"/>
        <v>03</v>
      </c>
      <c r="I4" s="8" t="str">
        <f t="shared" si="2"/>
        <v>US</v>
      </c>
      <c r="J4" s="8" t="str">
        <f t="shared" si="3"/>
        <v>MAR</v>
      </c>
    </row>
    <row r="5" spans="1:10" ht="15.75" customHeight="1" x14ac:dyDescent="0.25">
      <c r="A5" s="10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13" t="str">
        <f t="shared" si="0"/>
        <v>HIGH_PRICE</v>
      </c>
      <c r="H5" s="11" t="str">
        <f t="shared" si="1"/>
        <v>11</v>
      </c>
      <c r="I5" s="8" t="str">
        <f t="shared" si="2"/>
        <v>US</v>
      </c>
      <c r="J5" s="8" t="str">
        <f t="shared" si="3"/>
        <v>APR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3" t="str">
        <f t="shared" si="0"/>
        <v>STANDARD_PRICE</v>
      </c>
      <c r="H6" s="11" t="str">
        <f t="shared" si="1"/>
        <v>22</v>
      </c>
      <c r="I6" s="8" t="str">
        <f t="shared" si="2"/>
        <v>US</v>
      </c>
      <c r="J6" s="8" t="str">
        <f t="shared" si="3"/>
        <v>MAY</v>
      </c>
    </row>
    <row r="7" spans="1:10" ht="15.75" customHeight="1" x14ac:dyDescent="0.25">
      <c r="A7" s="10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13" t="str">
        <f t="shared" si="0"/>
        <v>STANDARD_PRICE</v>
      </c>
      <c r="H7" s="11" t="str">
        <f t="shared" si="1"/>
        <v>07</v>
      </c>
      <c r="I7" s="8" t="str">
        <f t="shared" si="2"/>
        <v>UK</v>
      </c>
      <c r="J7" s="8" t="str">
        <f t="shared" si="3"/>
        <v>JUN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3" t="str">
        <f t="shared" si="0"/>
        <v>STANDARD_PRICE</v>
      </c>
      <c r="H8" s="11" t="str">
        <f t="shared" si="1"/>
        <v>19</v>
      </c>
      <c r="I8" s="8" t="str">
        <f t="shared" si="2"/>
        <v>UK</v>
      </c>
      <c r="J8" s="8" t="str">
        <f t="shared" si="3"/>
        <v>JUL</v>
      </c>
    </row>
    <row r="9" spans="1:10" ht="15.75" customHeight="1" x14ac:dyDescent="0.25">
      <c r="A9" s="10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G9" s="13" t="str">
        <f t="shared" si="0"/>
        <v>STANDARD_PRICE</v>
      </c>
      <c r="H9" s="11" t="str">
        <f t="shared" si="1"/>
        <v>23</v>
      </c>
      <c r="I9" s="8" t="str">
        <f t="shared" si="2"/>
        <v>UK</v>
      </c>
      <c r="J9" s="8" t="str">
        <f t="shared" si="3"/>
        <v>AUG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3" t="str">
        <f t="shared" si="0"/>
        <v>HIGH_PRICE</v>
      </c>
      <c r="H10" s="11" t="str">
        <f t="shared" si="1"/>
        <v>05</v>
      </c>
      <c r="I10" s="8" t="str">
        <f t="shared" si="2"/>
        <v>UK</v>
      </c>
      <c r="J10" s="8" t="str">
        <f t="shared" si="3"/>
        <v>SEP</v>
      </c>
    </row>
    <row r="11" spans="1:10" ht="15.75" customHeight="1" x14ac:dyDescent="0.25">
      <c r="A11" s="10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13" t="str">
        <f t="shared" si="0"/>
        <v>STANDARD_PRICE</v>
      </c>
      <c r="H11" s="11" t="str">
        <f t="shared" si="1"/>
        <v>14</v>
      </c>
      <c r="I11" s="8" t="str">
        <f t="shared" si="2"/>
        <v>UK</v>
      </c>
      <c r="J11" s="8" t="str">
        <f t="shared" si="3"/>
        <v>OCT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3" t="str">
        <f t="shared" si="0"/>
        <v>HIGH_PRICE</v>
      </c>
      <c r="H12" s="11" t="str">
        <f t="shared" si="1"/>
        <v>17</v>
      </c>
      <c r="I12" s="8" t="str">
        <f t="shared" si="2"/>
        <v>IN</v>
      </c>
      <c r="J12" s="8" t="str">
        <f t="shared" si="3"/>
        <v>JUN</v>
      </c>
    </row>
    <row r="13" spans="1:10" ht="15.75" customHeight="1" x14ac:dyDescent="0.25">
      <c r="A13" s="10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13" t="str">
        <f t="shared" si="0"/>
        <v>STANDARD_PRICE</v>
      </c>
      <c r="H13" s="11" t="str">
        <f t="shared" si="1"/>
        <v>25</v>
      </c>
      <c r="I13" s="8" t="str">
        <f t="shared" si="2"/>
        <v>AU</v>
      </c>
      <c r="J13" s="8" t="str">
        <f t="shared" si="3"/>
        <v>NOV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3" t="str">
        <f t="shared" si="0"/>
        <v>STANDARD_PRICE</v>
      </c>
      <c r="H14" s="11" t="str">
        <f t="shared" si="1"/>
        <v>08</v>
      </c>
      <c r="I14" s="8" t="str">
        <f t="shared" si="2"/>
        <v>DE</v>
      </c>
      <c r="J14" s="8" t="str">
        <f t="shared" si="3"/>
        <v>DEC</v>
      </c>
    </row>
    <row r="15" spans="1:10" ht="15.75" customHeight="1" x14ac:dyDescent="0.25">
      <c r="A15" s="10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13" t="str">
        <f t="shared" si="0"/>
        <v>STANDARD_PRICE</v>
      </c>
      <c r="H15" s="11" t="str">
        <f t="shared" si="1"/>
        <v>18</v>
      </c>
      <c r="I15" s="8" t="str">
        <f t="shared" si="2"/>
        <v>CA</v>
      </c>
      <c r="J15" s="8" t="str">
        <f t="shared" si="3"/>
        <v>FEB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3" t="str">
        <f t="shared" si="0"/>
        <v>STANDARD_PRICE</v>
      </c>
      <c r="H16" s="11" t="str">
        <f t="shared" si="1"/>
        <v>16</v>
      </c>
      <c r="I16" s="8" t="str">
        <f t="shared" si="2"/>
        <v>ES</v>
      </c>
      <c r="J16" s="8" t="str">
        <f t="shared" si="3"/>
        <v>APR</v>
      </c>
    </row>
    <row r="17" spans="1:10" ht="15.75" customHeight="1" x14ac:dyDescent="0.25">
      <c r="A17" s="10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13" t="str">
        <f t="shared" si="0"/>
        <v>STANDARD_PRICE</v>
      </c>
      <c r="H17" s="11" t="str">
        <f t="shared" si="1"/>
        <v>21</v>
      </c>
      <c r="I17" s="8" t="str">
        <f t="shared" si="2"/>
        <v>CA</v>
      </c>
      <c r="J17" s="8" t="str">
        <f t="shared" si="3"/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3" t="str">
        <f t="shared" si="0"/>
        <v>STANDARD_PRICE</v>
      </c>
      <c r="H18" s="11" t="str">
        <f t="shared" si="1"/>
        <v>20</v>
      </c>
      <c r="I18" s="8" t="str">
        <f t="shared" si="2"/>
        <v>CN</v>
      </c>
      <c r="J18" s="8" t="str">
        <f t="shared" si="3"/>
        <v>AUG</v>
      </c>
    </row>
    <row r="19" spans="1:10" ht="15.75" customHeight="1" x14ac:dyDescent="0.25">
      <c r="A19" s="10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13" t="str">
        <f t="shared" si="0"/>
        <v>HIGH_PRICE</v>
      </c>
      <c r="H19" s="11" t="str">
        <f t="shared" si="1"/>
        <v>27</v>
      </c>
      <c r="I19" s="8" t="str">
        <f t="shared" si="2"/>
        <v>IT</v>
      </c>
      <c r="J19" s="8" t="str">
        <f t="shared" si="3"/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3" t="str">
        <f t="shared" si="0"/>
        <v>STANDARD_PRICE</v>
      </c>
      <c r="H20" s="11" t="str">
        <f t="shared" si="1"/>
        <v>01</v>
      </c>
      <c r="I20" s="8" t="str">
        <f t="shared" si="2"/>
        <v>UK</v>
      </c>
      <c r="J20" s="8" t="str">
        <f t="shared" si="3"/>
        <v>MAR</v>
      </c>
    </row>
    <row r="21" spans="1:10" ht="15.75" customHeight="1" x14ac:dyDescent="0.25">
      <c r="A21" s="10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13" t="str">
        <f t="shared" si="0"/>
        <v>STANDARD_PRICE</v>
      </c>
      <c r="H21" s="11" t="str">
        <f t="shared" si="1"/>
        <v>14</v>
      </c>
      <c r="I21" s="8" t="str">
        <f t="shared" si="2"/>
        <v>US</v>
      </c>
      <c r="J21" s="8" t="str">
        <f t="shared" si="3"/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3" t="str">
        <f t="shared" si="0"/>
        <v>HIGH_PRICE</v>
      </c>
      <c r="H22" s="11" t="str">
        <f t="shared" si="1"/>
        <v>14</v>
      </c>
      <c r="I22" s="8" t="str">
        <f t="shared" si="2"/>
        <v>RU</v>
      </c>
      <c r="J22" s="8" t="str">
        <f t="shared" si="3"/>
        <v>MAY</v>
      </c>
    </row>
    <row r="23" spans="1:10" ht="15.75" customHeight="1" x14ac:dyDescent="0.25">
      <c r="A23" s="10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13" t="str">
        <f t="shared" si="0"/>
        <v>STANDARD_PRICE</v>
      </c>
      <c r="H23" s="11" t="str">
        <f t="shared" si="1"/>
        <v>09</v>
      </c>
      <c r="I23" s="8" t="str">
        <f t="shared" si="2"/>
        <v>CA</v>
      </c>
      <c r="J23" s="8" t="str">
        <f t="shared" si="3"/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3" t="str">
        <f t="shared" si="0"/>
        <v>STANDARD_PRICE</v>
      </c>
      <c r="H24" s="11" t="str">
        <f t="shared" si="1"/>
        <v>19</v>
      </c>
      <c r="I24" s="8" t="str">
        <f t="shared" si="2"/>
        <v>BR</v>
      </c>
      <c r="J24" s="8" t="str">
        <f t="shared" si="3"/>
        <v>JUL</v>
      </c>
    </row>
    <row r="25" spans="1:10" ht="15.75" customHeight="1" x14ac:dyDescent="0.25">
      <c r="A25" s="10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13" t="str">
        <f t="shared" si="0"/>
        <v>STANDARD_PRICE</v>
      </c>
      <c r="H25" s="11" t="str">
        <f t="shared" si="1"/>
        <v>21</v>
      </c>
      <c r="I25" s="8" t="str">
        <f t="shared" si="2"/>
        <v>CA</v>
      </c>
      <c r="J25" s="8" t="str">
        <f t="shared" si="3"/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3" t="str">
        <f t="shared" si="0"/>
        <v>HIGH_PRICE</v>
      </c>
      <c r="H26" s="11" t="str">
        <f t="shared" si="1"/>
        <v>29</v>
      </c>
      <c r="I26" s="8" t="str">
        <f t="shared" si="2"/>
        <v>CA</v>
      </c>
      <c r="J26" s="8" t="str">
        <f t="shared" si="3"/>
        <v>SEP</v>
      </c>
    </row>
    <row r="27" spans="1:10" ht="15.75" customHeight="1" x14ac:dyDescent="0.25">
      <c r="A27" s="10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13" t="str">
        <f t="shared" si="0"/>
        <v>STANDARD_PRICE</v>
      </c>
      <c r="H27" s="11" t="str">
        <f t="shared" si="1"/>
        <v>03</v>
      </c>
      <c r="I27" s="8" t="str">
        <f t="shared" si="2"/>
        <v>CA</v>
      </c>
      <c r="J27" s="8" t="str">
        <f t="shared" si="3"/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3" t="str">
        <f t="shared" si="0"/>
        <v>STANDARD_PRICE</v>
      </c>
      <c r="H28" s="11" t="str">
        <f t="shared" si="1"/>
        <v>11</v>
      </c>
      <c r="I28" s="8" t="str">
        <f t="shared" si="2"/>
        <v>CA</v>
      </c>
      <c r="J28" s="8" t="str">
        <f t="shared" si="3"/>
        <v>JUL</v>
      </c>
    </row>
    <row r="29" spans="1:10" ht="15.75" customHeight="1" x14ac:dyDescent="0.25">
      <c r="A29" s="10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13" t="str">
        <f t="shared" si="0"/>
        <v>STANDARD_PRICE</v>
      </c>
      <c r="H29" s="11" t="str">
        <f t="shared" si="1"/>
        <v>16</v>
      </c>
      <c r="I29" s="8" t="str">
        <f t="shared" si="2"/>
        <v>ES</v>
      </c>
      <c r="J29" s="8" t="str">
        <f t="shared" si="3"/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3" t="str">
        <f t="shared" si="0"/>
        <v>STANDARD_PRICE</v>
      </c>
      <c r="H30" s="11" t="str">
        <f t="shared" si="1"/>
        <v>07</v>
      </c>
      <c r="I30" s="8" t="str">
        <f t="shared" si="2"/>
        <v>CA</v>
      </c>
      <c r="J30" s="8" t="str">
        <f t="shared" si="3"/>
        <v>MAR</v>
      </c>
    </row>
    <row r="31" spans="1:10" ht="15.75" customHeight="1" x14ac:dyDescent="0.25">
      <c r="A31" s="10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13" t="str">
        <f t="shared" si="0"/>
        <v>STANDARD_PRICE</v>
      </c>
      <c r="H31" s="11" t="str">
        <f t="shared" si="1"/>
        <v>13</v>
      </c>
      <c r="I31" s="8" t="str">
        <f t="shared" si="2"/>
        <v>CA</v>
      </c>
      <c r="J31" s="8" t="str">
        <f t="shared" si="3"/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3" t="str">
        <f t="shared" si="0"/>
        <v>STANDARD_PRICE</v>
      </c>
      <c r="H32" s="11" t="str">
        <f t="shared" si="1"/>
        <v>24</v>
      </c>
      <c r="I32" s="8" t="str">
        <f t="shared" si="2"/>
        <v>CA</v>
      </c>
      <c r="J32" s="8" t="str">
        <f t="shared" si="3"/>
        <v>MAY</v>
      </c>
    </row>
    <row r="33" spans="1:10" ht="15.75" customHeight="1" x14ac:dyDescent="0.25">
      <c r="A33" s="10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13" t="str">
        <f t="shared" si="0"/>
        <v>STANDARD_PRICE</v>
      </c>
      <c r="H33" s="11" t="str">
        <f t="shared" si="1"/>
        <v>02</v>
      </c>
      <c r="I33" s="8" t="str">
        <f t="shared" si="2"/>
        <v>CA</v>
      </c>
      <c r="J33" s="8" t="str">
        <f t="shared" si="3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3" t="str">
        <f t="shared" si="0"/>
        <v>HIGH_PRICE</v>
      </c>
      <c r="H34" s="11" t="str">
        <f t="shared" si="1"/>
        <v>17</v>
      </c>
      <c r="I34" s="8" t="str">
        <f t="shared" si="2"/>
        <v>IN</v>
      </c>
      <c r="J34" s="8" t="str">
        <f t="shared" si="3"/>
        <v>JUN</v>
      </c>
    </row>
    <row r="35" spans="1:10" ht="15.75" customHeight="1" x14ac:dyDescent="0.25">
      <c r="A35" s="10" t="s">
        <v>107</v>
      </c>
      <c r="B35" s="10" t="s">
        <v>108</v>
      </c>
      <c r="C35" s="10" t="s">
        <v>109</v>
      </c>
      <c r="D35" s="10">
        <v>100</v>
      </c>
      <c r="E35" s="10">
        <v>20</v>
      </c>
      <c r="F35" s="10" t="s">
        <v>70</v>
      </c>
      <c r="G35" s="13" t="str">
        <f t="shared" si="0"/>
        <v>STANDARD_PRICE</v>
      </c>
      <c r="H35" s="11" t="str">
        <f>LEFT(A35,2)</f>
        <v>09</v>
      </c>
      <c r="I35" s="8" t="str">
        <f t="shared" si="2"/>
        <v>FR</v>
      </c>
      <c r="J35" s="8" t="str">
        <f t="shared" si="3"/>
        <v>JUL</v>
      </c>
    </row>
    <row r="36" spans="1:10" ht="15.75" customHeight="1" x14ac:dyDescent="0.25">
      <c r="A36" s="15"/>
      <c r="B36" s="16">
        <f>COUNTA(B2:B35)</f>
        <v>34</v>
      </c>
      <c r="C36" s="23"/>
      <c r="D36" s="14">
        <f>SUM(D2:D35)</f>
        <v>10100</v>
      </c>
      <c r="E36" s="9"/>
      <c r="F36" s="9"/>
      <c r="G36" s="9"/>
      <c r="H36" s="9"/>
      <c r="I36" s="9"/>
    </row>
    <row r="37" spans="1:10" ht="15.75" customHeight="1" x14ac:dyDescent="0.25">
      <c r="A37" s="15"/>
      <c r="B37" s="17">
        <f>COUNTIF(D2:D35,"&lt;100")</f>
        <v>11</v>
      </c>
      <c r="C37" s="23"/>
      <c r="D37" s="19">
        <f>AVERAGE(D2:D35)</f>
        <v>297.05882352941177</v>
      </c>
      <c r="E37" s="9"/>
      <c r="F37" s="9"/>
      <c r="G37" s="9"/>
      <c r="H37" s="9"/>
      <c r="I37" s="9"/>
    </row>
    <row r="38" spans="1:10" ht="15.75" customHeight="1" x14ac:dyDescent="0.25">
      <c r="A38" s="15"/>
      <c r="B38" s="18"/>
      <c r="C38" s="23"/>
      <c r="D38" s="20">
        <f>MIN(D2:D35)</f>
        <v>30</v>
      </c>
      <c r="E38" s="9"/>
      <c r="F38" s="9"/>
      <c r="G38" s="9"/>
      <c r="H38" s="9"/>
      <c r="I38" s="9"/>
    </row>
    <row r="39" spans="1:10" ht="15.75" customHeight="1" x14ac:dyDescent="0.25">
      <c r="A39" s="15"/>
      <c r="B39" s="18"/>
      <c r="C39" s="23"/>
      <c r="D39" s="21">
        <f>MAX(D2:D35)</f>
        <v>1000</v>
      </c>
      <c r="E39" s="9"/>
      <c r="F39" s="9"/>
      <c r="G39" s="9"/>
      <c r="H39" s="9"/>
      <c r="I39" s="9"/>
    </row>
    <row r="40" spans="1:10" ht="15.75" customHeight="1" x14ac:dyDescent="0.25">
      <c r="A40" s="15"/>
      <c r="B40" s="18"/>
      <c r="C40" s="23"/>
      <c r="D40" s="22">
        <f>SUMIF(F2:F35,"Electronics",D2:D35)</f>
        <v>8050</v>
      </c>
      <c r="E40" s="9"/>
      <c r="F40" s="9"/>
      <c r="G40" s="9"/>
      <c r="H40" s="9"/>
      <c r="I40" s="9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2026-09-11T04:56:49Z</dcterms:created>
  <dcterms:modified xsi:type="dcterms:W3CDTF">2026-09-11T04:56:59Z</dcterms:modified>
</cp:coreProperties>
</file>